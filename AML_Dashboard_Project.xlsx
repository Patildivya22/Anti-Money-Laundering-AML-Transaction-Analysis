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project file\"/>
    </mc:Choice>
  </mc:AlternateContent>
  <xr:revisionPtr revIDLastSave="0" documentId="13_ncr:1_{3E84BD64-7D58-4A1E-974C-EC973109495F}" xr6:coauthVersionLast="47" xr6:coauthVersionMax="47" xr10:uidLastSave="{00000000-0000-0000-0000-000000000000}"/>
  <bookViews>
    <workbookView xWindow="-108" yWindow="-108" windowWidth="23256" windowHeight="12456" firstSheet="1" activeTab="10" xr2:uid="{3360A247-F3B0-4557-87A0-6165E19B86A1}"/>
  </bookViews>
  <sheets>
    <sheet name="Sheet1" sheetId="1" r:id="rId1"/>
    <sheet name="risk_score" sheetId="2" r:id="rId2"/>
    <sheet name="Sheet2" sheetId="3" r:id="rId3"/>
    <sheet name="Sheet3" sheetId="4" r:id="rId4"/>
    <sheet name="Sheet4" sheetId="5" r:id="rId5"/>
    <sheet name="Sheet5" sheetId="9" r:id="rId6"/>
    <sheet name="Sheet7" sheetId="11" r:id="rId7"/>
    <sheet name="Sheet8" sheetId="12" r:id="rId8"/>
    <sheet name="Sheet9" sheetId="13" r:id="rId9"/>
    <sheet name="Sheet11" sheetId="15" r:id="rId10"/>
    <sheet name="Dashboard" sheetId="6" r:id="rId11"/>
  </sheets>
  <definedNames>
    <definedName name="_xlnm._FilterDatabase" localSheetId="0" hidden="1">Sheet1!$A$1:$N$5000</definedName>
    <definedName name="Slicer_Country_Risk_Rating.">#N/A</definedName>
    <definedName name="Slicer_Payment_typ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6"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171" i="1"/>
  <c r="N1172" i="1"/>
  <c r="N1173"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081" i="1"/>
  <c r="N1082" i="1"/>
  <c r="N1083" i="1"/>
  <c r="N1084" i="1"/>
  <c r="N1085" i="1"/>
  <c r="N1086" i="1"/>
  <c r="N1087" i="1"/>
  <c r="N1088" i="1"/>
  <c r="N1089" i="1"/>
  <c r="N1090" i="1"/>
  <c r="N1091" i="1"/>
  <c r="N1092" i="1"/>
  <c r="N1093" i="1"/>
  <c r="N1094" i="1"/>
  <c r="N1095" i="1"/>
  <c r="N1069" i="1"/>
  <c r="N1070" i="1"/>
  <c r="N1071" i="1"/>
  <c r="N1072" i="1"/>
  <c r="N1073" i="1"/>
  <c r="N1074" i="1"/>
  <c r="N1075" i="1"/>
  <c r="N1076" i="1"/>
  <c r="N1077" i="1"/>
  <c r="N1078" i="1"/>
  <c r="N1079" i="1"/>
  <c r="N1080" i="1"/>
  <c r="N3" i="1"/>
  <c r="N4" i="1"/>
  <c r="N5"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 i="1"/>
  <c r="M4" i="1"/>
  <c r="M5" i="1"/>
  <c r="M6" i="1"/>
  <c r="M7" i="1"/>
  <c r="M8" i="1"/>
  <c r="M9" i="1"/>
  <c r="M10" i="1"/>
  <c r="M11" i="1"/>
  <c r="M12" i="1"/>
  <c r="M13" i="1"/>
  <c r="M14" i="1"/>
  <c r="M15" i="1"/>
  <c r="M16" i="1"/>
  <c r="M17" i="1"/>
  <c r="M18" i="1"/>
  <c r="M2" i="1"/>
</calcChain>
</file>

<file path=xl/sharedStrings.xml><?xml version="1.0" encoding="utf-8"?>
<sst xmlns="http://schemas.openxmlformats.org/spreadsheetml/2006/main" count="30134" uniqueCount="87">
  <si>
    <t>Time</t>
  </si>
  <si>
    <t>Date</t>
  </si>
  <si>
    <t>Sender_account</t>
  </si>
  <si>
    <t>Receiver_account</t>
  </si>
  <si>
    <t>Amount</t>
  </si>
  <si>
    <t>Payment_currency</t>
  </si>
  <si>
    <t>Received_currency</t>
  </si>
  <si>
    <t>Sender_bank_location</t>
  </si>
  <si>
    <t>Receiver_bank_location</t>
  </si>
  <si>
    <t>Payment_type</t>
  </si>
  <si>
    <t>Is_laundering</t>
  </si>
  <si>
    <t>Laundering_type</t>
  </si>
  <si>
    <t>UK pounds</t>
  </si>
  <si>
    <t>UK</t>
  </si>
  <si>
    <t>Cash Deposit</t>
  </si>
  <si>
    <t>Normal_Cash_Deposits</t>
  </si>
  <si>
    <t>Dirham</t>
  </si>
  <si>
    <t>UAE</t>
  </si>
  <si>
    <t>Cross-border</t>
  </si>
  <si>
    <t>Normal_Fan_Out</t>
  </si>
  <si>
    <t>Cheque</t>
  </si>
  <si>
    <t>Normal_Small_Fan_Out</t>
  </si>
  <si>
    <t>ACH</t>
  </si>
  <si>
    <t>Normal_Fan_In</t>
  </si>
  <si>
    <t>Normal_Group</t>
  </si>
  <si>
    <t>Credit card</t>
  </si>
  <si>
    <t>Indian rupee</t>
  </si>
  <si>
    <t>Debit card</t>
  </si>
  <si>
    <t>Pakistani rupee</t>
  </si>
  <si>
    <t>Euro</t>
  </si>
  <si>
    <t>Spain</t>
  </si>
  <si>
    <t>France</t>
  </si>
  <si>
    <t>US dollar</t>
  </si>
  <si>
    <t>USA</t>
  </si>
  <si>
    <t>Mexican Peso</t>
  </si>
  <si>
    <t>Mexico</t>
  </si>
  <si>
    <t>Cash Withdrawal</t>
  </si>
  <si>
    <t>Normal_Cash_Withdrawal</t>
  </si>
  <si>
    <t>Normal_Periodical</t>
  </si>
  <si>
    <t>Albanian lek</t>
  </si>
  <si>
    <t>Albania</t>
  </si>
  <si>
    <t>Normal_Foward</t>
  </si>
  <si>
    <t>Turkish lira</t>
  </si>
  <si>
    <t>Turkey</t>
  </si>
  <si>
    <t>Naira</t>
  </si>
  <si>
    <t>Nigeria</t>
  </si>
  <si>
    <t>Swiss franc</t>
  </si>
  <si>
    <t>Switzerland</t>
  </si>
  <si>
    <t>Italy</t>
  </si>
  <si>
    <t>Normal_Mutual</t>
  </si>
  <si>
    <t>Germany</t>
  </si>
  <si>
    <t>Yen</t>
  </si>
  <si>
    <t>Japan</t>
  </si>
  <si>
    <t>Smurfing</t>
  </si>
  <si>
    <t>Austria</t>
  </si>
  <si>
    <t>Netherlands</t>
  </si>
  <si>
    <t>India</t>
  </si>
  <si>
    <t>Pakistan</t>
  </si>
  <si>
    <t>Normal_Plus_Mutual</t>
  </si>
  <si>
    <t>Moroccan dirham</t>
  </si>
  <si>
    <t>Morocco</t>
  </si>
  <si>
    <t>Normal_single_large</t>
  </si>
  <si>
    <t>Cash_Withdrawal</t>
  </si>
  <si>
    <t>Behavioural_Change_2</t>
  </si>
  <si>
    <t>Structuring</t>
  </si>
  <si>
    <t>Behavioural_Change_1</t>
  </si>
  <si>
    <t>Layered_Fan_In</t>
  </si>
  <si>
    <t>Layered_Fan_Out</t>
  </si>
  <si>
    <t>Currency_Check</t>
  </si>
  <si>
    <r>
      <t>Country_Risk_Rating</t>
    </r>
    <r>
      <rPr>
        <sz val="11"/>
        <color theme="1"/>
        <rFont val="Calibri"/>
        <family val="2"/>
        <scheme val="minor"/>
      </rPr>
      <t>.</t>
    </r>
  </si>
  <si>
    <t>Country</t>
  </si>
  <si>
    <t>Risk Score</t>
  </si>
  <si>
    <t>Low Risk</t>
  </si>
  <si>
    <t>High Risk</t>
  </si>
  <si>
    <t>Medium Risk</t>
  </si>
  <si>
    <t>Row Labels</t>
  </si>
  <si>
    <t>Grand Total</t>
  </si>
  <si>
    <t>Sum of Amount</t>
  </si>
  <si>
    <t>Count of Sender_account</t>
  </si>
  <si>
    <t>Country_Risk_Rating.</t>
  </si>
  <si>
    <t>Column Labels</t>
  </si>
  <si>
    <t>(All)</t>
  </si>
  <si>
    <t>Count of Is_laundering</t>
  </si>
  <si>
    <t>10</t>
  </si>
  <si>
    <t>11</t>
  </si>
  <si>
    <t>12</t>
  </si>
  <si>
    <t>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</si>
</sst>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C09]#,##0.00"/>
    <numFmt numFmtId="165" formatCode="[$-F400]h:mm:ss\ AM/PM"/>
  </numFmts>
  <fonts count="6">
    <font>
      <sz val="11"/>
      <color theme="1"/>
      <name val="Calibri"/>
      <family val="2"/>
      <scheme val="minor"/>
    </font>
    <font>
      <b/>
      <sz val="10"/>
      <color theme="1"/>
      <name val="Arial Unicode MS"/>
    </font>
    <font>
      <sz val="11"/>
      <color theme="1"/>
      <name val="Calibri"/>
      <family val="2"/>
      <scheme val="minor"/>
    </font>
    <font>
      <b/>
      <sz val="11"/>
      <color theme="0"/>
      <name val="Calibri"/>
      <family val="2"/>
      <scheme val="minor"/>
    </font>
    <font>
      <b/>
      <sz val="11"/>
      <color theme="1"/>
      <name val="Calibri"/>
      <family val="2"/>
      <scheme val="minor"/>
    </font>
    <font>
      <sz val="11"/>
      <color theme="5" tint="0.59999389629810485"/>
      <name val="Calibri"/>
      <family val="2"/>
      <scheme val="minor"/>
    </font>
  </fonts>
  <fills count="9">
    <fill>
      <patternFill patternType="none"/>
    </fill>
    <fill>
      <patternFill patternType="gray125"/>
    </fill>
    <fill>
      <patternFill patternType="solid">
        <fgColor theme="5" tint="0.39997558519241921"/>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5" tint="0.79998168889431442"/>
        <bgColor theme="5" tint="0.79998168889431442"/>
      </patternFill>
    </fill>
    <fill>
      <patternFill patternType="solid">
        <fgColor theme="5" tint="-0.499984740745262"/>
        <bgColor theme="5" tint="-0.499984740745262"/>
      </patternFill>
    </fill>
    <fill>
      <patternFill patternType="solid">
        <fgColor theme="5" tint="0.59999389629810485"/>
        <bgColor theme="5" tint="0.5999938962981048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22">
    <xf numFmtId="0" fontId="0" fillId="0" borderId="0" xfId="0"/>
    <xf numFmtId="0" fontId="0" fillId="0" borderId="0" xfId="0" applyAlignment="1">
      <alignment horizontal="center"/>
    </xf>
    <xf numFmtId="21" fontId="0" fillId="0" borderId="0" xfId="0" applyNumberFormat="1" applyAlignment="1">
      <alignment horizontal="center"/>
    </xf>
    <xf numFmtId="14" fontId="0" fillId="0" borderId="0" xfId="0" applyNumberFormat="1" applyAlignment="1">
      <alignment horizontal="center"/>
    </xf>
    <xf numFmtId="0" fontId="0" fillId="2" borderId="0" xfId="0" applyFill="1"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5" fillId="3" borderId="0" xfId="0" applyFont="1" applyFill="1"/>
    <xf numFmtId="0" fontId="5" fillId="4" borderId="0" xfId="0" applyFont="1" applyFill="1"/>
    <xf numFmtId="0" fontId="5" fillId="5" borderId="0" xfId="0" applyFont="1" applyFill="1"/>
    <xf numFmtId="0" fontId="0" fillId="0" borderId="1" xfId="0" pivotButton="1" applyBorder="1"/>
    <xf numFmtId="0" fontId="0" fillId="0" borderId="1" xfId="0" applyBorder="1"/>
    <xf numFmtId="14" fontId="0" fillId="0" borderId="1" xfId="0" applyNumberFormat="1" applyBorder="1"/>
    <xf numFmtId="0" fontId="3" fillId="7" borderId="1" xfId="0" applyFont="1" applyFill="1" applyBorder="1" applyAlignment="1">
      <alignment horizontal="center"/>
    </xf>
    <xf numFmtId="14" fontId="4" fillId="6" borderId="1" xfId="0" applyNumberFormat="1" applyFont="1" applyFill="1" applyBorder="1" applyAlignment="1">
      <alignment horizontal="center"/>
    </xf>
    <xf numFmtId="0" fontId="4" fillId="8" borderId="1" xfId="0" applyFont="1" applyFill="1" applyBorder="1" applyAlignment="1">
      <alignment horizontal="center"/>
    </xf>
    <xf numFmtId="0" fontId="0" fillId="8" borderId="1" xfId="0" applyFill="1" applyBorder="1" applyAlignment="1">
      <alignment horizontal="center"/>
    </xf>
    <xf numFmtId="43" fontId="0" fillId="8" borderId="1" xfId="1" applyFont="1" applyFill="1" applyBorder="1" applyAlignment="1">
      <alignment horizontal="center"/>
    </xf>
    <xf numFmtId="164" fontId="0" fillId="0" borderId="0" xfId="0" applyNumberFormat="1"/>
    <xf numFmtId="0" fontId="0" fillId="0" borderId="1" xfId="0" applyBorder="1" applyAlignment="1">
      <alignment horizontal="left"/>
    </xf>
    <xf numFmtId="165" fontId="0" fillId="0" borderId="0" xfId="0" applyNumberFormat="1" applyAlignment="1">
      <alignment horizontal="left"/>
    </xf>
  </cellXfs>
  <cellStyles count="2">
    <cellStyle name="Comma" xfId="1" builtinId="3"/>
    <cellStyle name="Normal" xfId="0" builtinId="0"/>
  </cellStyles>
  <dxfs count="20">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6"/>
        </bottom>
        <vertical/>
        <horizontal/>
      </border>
    </dxf>
    <dxf>
      <font>
        <sz val="8"/>
        <color theme="1"/>
      </font>
      <fill>
        <patternFill>
          <bgColor theme="4" tint="-0.499984740745262"/>
        </patternFill>
      </fill>
      <border diagonalUp="0" diagonalDown="0">
        <left/>
        <right/>
        <top/>
        <bottom/>
        <vertical/>
        <horizontal/>
      </border>
    </dxf>
  </dxfs>
  <tableStyles count="1" defaultTableStyle="TableStyleMedium2" defaultPivotStyle="PivotStyleLight16">
    <tableStyle name="My style" pivot="0" table="0" count="10" xr9:uid="{FFA12317-C0F5-4C3D-95A5-16A788F37726}">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[money laundring project.xlsx]Sheet2!PivotTable1</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Sheet2!$B$3</c:f>
              <c:strCache>
                <c:ptCount val="1"/>
                <c:pt idx="0">
                  <c:v>Sum of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09C-4FCF-9FEB-DE9DD3F9D4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609C-4FCF-9FEB-DE9DD3F9D4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09C-4FCF-9FEB-DE9DD3F9D47E}"/>
              </c:ext>
            </c:extLst>
          </c:dPt>
          <c:cat>
            <c:strRef>
              <c:f>Sheet2!$A$4:$A$7</c:f>
              <c:strCache>
                <c:ptCount val="3"/>
                <c:pt idx="0">
                  <c:v>High Risk</c:v>
                </c:pt>
                <c:pt idx="1">
                  <c:v>Low Risk</c:v>
                </c:pt>
                <c:pt idx="2">
                  <c:v>Medium Risk</c:v>
                </c:pt>
              </c:strCache>
            </c:strRef>
          </c:cat>
          <c:val>
            <c:numRef>
              <c:f>Sheet2!$B$4:$B$7</c:f>
              <c:numCache>
                <c:formatCode>General</c:formatCode>
                <c:ptCount val="3"/>
                <c:pt idx="0">
                  <c:v>226466.48000000004</c:v>
                </c:pt>
                <c:pt idx="1">
                  <c:v>39206059.709999979</c:v>
                </c:pt>
                <c:pt idx="2">
                  <c:v>232067.29726981538</c:v>
                </c:pt>
              </c:numCache>
            </c:numRef>
          </c:val>
          <c:extLst>
            <c:ext xmlns:c16="http://schemas.microsoft.com/office/drawing/2014/chart" uri="{C3380CC4-5D6E-409C-BE32-E72D297353CC}">
              <c16:uniqueId val="{00000000-609C-4FCF-9FEB-DE9DD3F9D47E}"/>
            </c:ext>
          </c:extLst>
        </c:ser>
        <c:ser>
          <c:idx val="1"/>
          <c:order val="1"/>
          <c:tx>
            <c:strRef>
              <c:f>Sheet2!$C$3</c:f>
              <c:strCache>
                <c:ptCount val="1"/>
                <c:pt idx="0">
                  <c:v>Count of Sender_account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17F-4932-886D-8CC7E3C8ADB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17F-4932-886D-8CC7E3C8ADB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17F-4932-886D-8CC7E3C8ADBA}"/>
              </c:ext>
            </c:extLst>
          </c:dPt>
          <c:cat>
            <c:strRef>
              <c:f>Sheet2!$A$4:$A$7</c:f>
              <c:strCache>
                <c:ptCount val="3"/>
                <c:pt idx="0">
                  <c:v>High Risk</c:v>
                </c:pt>
                <c:pt idx="1">
                  <c:v>Low Risk</c:v>
                </c:pt>
                <c:pt idx="2">
                  <c:v>Medium Risk</c:v>
                </c:pt>
              </c:strCache>
            </c:strRef>
          </c:cat>
          <c:val>
            <c:numRef>
              <c:f>Sheet2!$C$4:$C$7</c:f>
              <c:numCache>
                <c:formatCode>General</c:formatCode>
                <c:ptCount val="3"/>
                <c:pt idx="0">
                  <c:v>30</c:v>
                </c:pt>
                <c:pt idx="1">
                  <c:v>4949</c:v>
                </c:pt>
                <c:pt idx="2">
                  <c:v>20</c:v>
                </c:pt>
              </c:numCache>
            </c:numRef>
          </c:val>
          <c:extLst>
            <c:ext xmlns:c16="http://schemas.microsoft.com/office/drawing/2014/chart" uri="{C3380CC4-5D6E-409C-BE32-E72D297353CC}">
              <c16:uniqueId val="{00000001-609C-4FCF-9FEB-DE9DD3F9D4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[money laundring project.xlsx]Sheet3!PivotTable2</c:name>
    <c:fmtId val="0"/>
  </c:pivotSource>
  <c:chart>
    <c:autoTitleDeleted val="1"/>
    <c:pivotFmts>
      <c:pivotFmt>
        <c:idx val="0"/>
        <c:spPr>
          <a:solidFill>
            <a:schemeClr val="accent6">
              <a:lumMod val="60000"/>
              <a:lumOff val="40000"/>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gradFill>
          <a:gsLst>
            <a:gs pos="28000">
              <a:schemeClr val="accent2">
                <a:lumMod val="20000"/>
                <a:lumOff val="80000"/>
              </a:schemeClr>
            </a:gs>
            <a:gs pos="100000">
              <a:schemeClr val="accent2">
                <a:lumMod val="40000"/>
                <a:lumOff val="60000"/>
              </a:schemeClr>
            </a:gs>
            <a:gs pos="99000">
              <a:schemeClr val="accent2">
                <a:lumMod val="75000"/>
              </a:schemeClr>
            </a:gs>
          </a:gsLst>
          <a:lin ang="16200000" scaled="1"/>
        </a:gradFill>
        <a:ln>
          <a:noFill/>
        </a:ln>
        <a:effectLst/>
        <a:sp3d/>
      </c:spPr>
    </c:sideWall>
    <c:backWall>
      <c:thickness val="0"/>
      <c:spPr>
        <a:gradFill>
          <a:gsLst>
            <a:gs pos="28000">
              <a:schemeClr val="accent2">
                <a:lumMod val="20000"/>
                <a:lumOff val="80000"/>
              </a:schemeClr>
            </a:gs>
            <a:gs pos="100000">
              <a:schemeClr val="accent2">
                <a:lumMod val="40000"/>
                <a:lumOff val="60000"/>
              </a:schemeClr>
            </a:gs>
            <a:gs pos="99000">
              <a:schemeClr val="accent2">
                <a:lumMod val="75000"/>
              </a:schemeClr>
            </a:gs>
          </a:gsLst>
          <a:lin ang="16200000" scaled="1"/>
        </a:gradFill>
        <a:ln>
          <a:noFill/>
        </a:ln>
        <a:effectLst/>
        <a:sp3d/>
      </c:spPr>
    </c:backWall>
    <c:plotArea>
      <c:layout>
        <c:manualLayout>
          <c:layoutTarget val="inner"/>
          <c:xMode val="edge"/>
          <c:yMode val="edge"/>
          <c:x val="0.25750302846759537"/>
          <c:y val="9.1875143123888031E-2"/>
          <c:w val="0.57266071909280569"/>
          <c:h val="0.77748383801018162"/>
        </c:manualLayout>
      </c:layout>
      <c:bar3DChart>
        <c:barDir val="bar"/>
        <c:grouping val="clustered"/>
        <c:varyColors val="0"/>
        <c:ser>
          <c:idx val="0"/>
          <c:order val="0"/>
          <c:tx>
            <c:strRef>
              <c:f>Sheet3!$B$3</c:f>
              <c:strCache>
                <c:ptCount val="1"/>
                <c:pt idx="0">
                  <c:v>Total</c:v>
                </c:pt>
              </c:strCache>
            </c:strRef>
          </c:tx>
          <c:spPr>
            <a:solidFill>
              <a:schemeClr val="accent6">
                <a:lumMod val="60000"/>
                <a:lumOff val="40000"/>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Sheet3!$A$4:$A$20</c:f>
              <c:strCache>
                <c:ptCount val="16"/>
                <c:pt idx="0">
                  <c:v>Albania</c:v>
                </c:pt>
                <c:pt idx="1">
                  <c:v>Austria</c:v>
                </c:pt>
                <c:pt idx="2">
                  <c:v>France</c:v>
                </c:pt>
                <c:pt idx="3">
                  <c:v>Germany</c:v>
                </c:pt>
                <c:pt idx="4">
                  <c:v>India</c:v>
                </c:pt>
                <c:pt idx="5">
                  <c:v>Italy</c:v>
                </c:pt>
                <c:pt idx="6">
                  <c:v>Japan</c:v>
                </c:pt>
                <c:pt idx="7">
                  <c:v>Mexico</c:v>
                </c:pt>
                <c:pt idx="8">
                  <c:v>Morocco</c:v>
                </c:pt>
                <c:pt idx="9">
                  <c:v>Nigeria</c:v>
                </c:pt>
                <c:pt idx="10">
                  <c:v>Pakistan</c:v>
                </c:pt>
                <c:pt idx="11">
                  <c:v>Spain</c:v>
                </c:pt>
                <c:pt idx="12">
                  <c:v>Switzerland</c:v>
                </c:pt>
                <c:pt idx="13">
                  <c:v>Turkey</c:v>
                </c:pt>
                <c:pt idx="14">
                  <c:v>UAE</c:v>
                </c:pt>
                <c:pt idx="15">
                  <c:v>UK</c:v>
                </c:pt>
              </c:strCache>
            </c:strRef>
          </c:cat>
          <c:val>
            <c:numRef>
              <c:f>Sheet3!$B$4:$B$20</c:f>
              <c:numCache>
                <c:formatCode>General</c:formatCode>
                <c:ptCount val="16"/>
                <c:pt idx="0">
                  <c:v>33040.78</c:v>
                </c:pt>
                <c:pt idx="1">
                  <c:v>11484.960000000001</c:v>
                </c:pt>
                <c:pt idx="2">
                  <c:v>94863.02</c:v>
                </c:pt>
                <c:pt idx="3">
                  <c:v>87087.3</c:v>
                </c:pt>
                <c:pt idx="4">
                  <c:v>5863.41</c:v>
                </c:pt>
                <c:pt idx="5">
                  <c:v>28759.570000000003</c:v>
                </c:pt>
                <c:pt idx="6">
                  <c:v>125796.2172698154</c:v>
                </c:pt>
                <c:pt idx="7">
                  <c:v>63847.420000000006</c:v>
                </c:pt>
                <c:pt idx="8">
                  <c:v>35594.99</c:v>
                </c:pt>
                <c:pt idx="9">
                  <c:v>41423.72</c:v>
                </c:pt>
                <c:pt idx="10">
                  <c:v>74093.59</c:v>
                </c:pt>
                <c:pt idx="11">
                  <c:v>276331.48000000004</c:v>
                </c:pt>
                <c:pt idx="12">
                  <c:v>2884.67</c:v>
                </c:pt>
                <c:pt idx="13">
                  <c:v>14060.97</c:v>
                </c:pt>
                <c:pt idx="14">
                  <c:v>64812.68</c:v>
                </c:pt>
                <c:pt idx="15">
                  <c:v>38704648.710000016</c:v>
                </c:pt>
              </c:numCache>
            </c:numRef>
          </c:val>
          <c:extLst>
            <c:ext xmlns:c16="http://schemas.microsoft.com/office/drawing/2014/chart" uri="{C3380CC4-5D6E-409C-BE32-E72D297353CC}">
              <c16:uniqueId val="{00000000-2747-47AE-9E63-900CF1637F3A}"/>
            </c:ext>
          </c:extLst>
        </c:ser>
        <c:dLbls>
          <c:showLegendKey val="0"/>
          <c:showVal val="0"/>
          <c:showCatName val="0"/>
          <c:showSerName val="0"/>
          <c:showPercent val="0"/>
          <c:showBubbleSize val="0"/>
        </c:dLbls>
        <c:gapWidth val="65"/>
        <c:shape val="box"/>
        <c:axId val="1976032159"/>
        <c:axId val="1976034559"/>
        <c:axId val="0"/>
      </c:bar3DChart>
      <c:catAx>
        <c:axId val="19760321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6034559"/>
        <c:crosses val="autoZero"/>
        <c:auto val="1"/>
        <c:lblAlgn val="ctr"/>
        <c:lblOffset val="100"/>
        <c:noMultiLvlLbl val="0"/>
      </c:catAx>
      <c:valAx>
        <c:axId val="197603455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6032159"/>
        <c:crosses val="autoZero"/>
        <c:crossBetween val="between"/>
      </c:valAx>
      <c:spPr>
        <a:noFill/>
        <a:ln>
          <a:noFill/>
        </a:ln>
        <a:effectLst/>
      </c:spPr>
    </c:plotArea>
    <c:legend>
      <c:legendPos val="r"/>
      <c:layout>
        <c:manualLayout>
          <c:xMode val="edge"/>
          <c:yMode val="edge"/>
          <c:x val="0.88806973046638404"/>
          <c:y val="0.55354330708661414"/>
          <c:w val="9.5904628507974959E-2"/>
          <c:h val="7.438531592946853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8000">
          <a:schemeClr val="accent2">
            <a:lumMod val="20000"/>
            <a:lumOff val="80000"/>
          </a:schemeClr>
        </a:gs>
        <a:gs pos="100000">
          <a:schemeClr val="accent2">
            <a:lumMod val="40000"/>
            <a:lumOff val="60000"/>
          </a:schemeClr>
        </a:gs>
        <a:gs pos="99000">
          <a:schemeClr val="accent2">
            <a:lumMod val="75000"/>
          </a:schemeClr>
        </a:gs>
      </a:gsLst>
      <a:lin ang="162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[money laundring project.xlsx]Sheet4!PivotTable3</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Sheet4!$B$3:$B$4</c:f>
              <c:strCache>
                <c:ptCount val="1"/>
                <c:pt idx="0">
                  <c:v>High Risk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Sheet4!$A$5:$A$12</c:f>
              <c:strCache>
                <c:ptCount val="7"/>
                <c:pt idx="0">
                  <c:v>ACH</c:v>
                </c:pt>
                <c:pt idx="1">
                  <c:v>Cash Deposit</c:v>
                </c:pt>
                <c:pt idx="2">
                  <c:v>Cash Withdrawal</c:v>
                </c:pt>
                <c:pt idx="3">
                  <c:v>Cheque</c:v>
                </c:pt>
                <c:pt idx="4">
                  <c:v>Credit card</c:v>
                </c:pt>
                <c:pt idx="5">
                  <c:v>Cross-border</c:v>
                </c:pt>
                <c:pt idx="6">
                  <c:v>Debit card</c:v>
                </c:pt>
              </c:strCache>
            </c:strRef>
          </c:cat>
          <c:val>
            <c:numRef>
              <c:f>Sheet4!$B$5:$B$12</c:f>
              <c:numCache>
                <c:formatCode>General</c:formatCode>
                <c:ptCount val="7"/>
                <c:pt idx="5">
                  <c:v>225733.80000000002</c:v>
                </c:pt>
                <c:pt idx="6">
                  <c:v>732.68</c:v>
                </c:pt>
              </c:numCache>
            </c:numRef>
          </c:val>
          <c:extLst>
            <c:ext xmlns:c16="http://schemas.microsoft.com/office/drawing/2014/chart" uri="{C3380CC4-5D6E-409C-BE32-E72D297353CC}">
              <c16:uniqueId val="{00000000-C3C6-4317-AC43-0F1B1A7154C4}"/>
            </c:ext>
          </c:extLst>
        </c:ser>
        <c:ser>
          <c:idx val="1"/>
          <c:order val="1"/>
          <c:tx>
            <c:strRef>
              <c:f>Sheet4!$C$3:$C$4</c:f>
              <c:strCache>
                <c:ptCount val="1"/>
                <c:pt idx="0">
                  <c:v>Low Risk</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Sheet4!$A$5:$A$12</c:f>
              <c:strCache>
                <c:ptCount val="7"/>
                <c:pt idx="0">
                  <c:v>ACH</c:v>
                </c:pt>
                <c:pt idx="1">
                  <c:v>Cash Deposit</c:v>
                </c:pt>
                <c:pt idx="2">
                  <c:v>Cash Withdrawal</c:v>
                </c:pt>
                <c:pt idx="3">
                  <c:v>Cheque</c:v>
                </c:pt>
                <c:pt idx="4">
                  <c:v>Credit card</c:v>
                </c:pt>
                <c:pt idx="5">
                  <c:v>Cross-border</c:v>
                </c:pt>
                <c:pt idx="6">
                  <c:v>Debit card</c:v>
                </c:pt>
              </c:strCache>
            </c:strRef>
          </c:cat>
          <c:val>
            <c:numRef>
              <c:f>Sheet4!$C$5:$C$12</c:f>
              <c:numCache>
                <c:formatCode>General</c:formatCode>
                <c:ptCount val="7"/>
                <c:pt idx="0">
                  <c:v>8516153.6799999923</c:v>
                </c:pt>
                <c:pt idx="1">
                  <c:v>637909.51</c:v>
                </c:pt>
                <c:pt idx="2">
                  <c:v>20609.079999999998</c:v>
                </c:pt>
                <c:pt idx="3">
                  <c:v>8520028.1199999992</c:v>
                </c:pt>
                <c:pt idx="4">
                  <c:v>8616312.0800000001</c:v>
                </c:pt>
                <c:pt idx="5">
                  <c:v>4145548.820000004</c:v>
                </c:pt>
                <c:pt idx="6">
                  <c:v>8749498.4199999869</c:v>
                </c:pt>
              </c:numCache>
            </c:numRef>
          </c:val>
          <c:extLst>
            <c:ext xmlns:c16="http://schemas.microsoft.com/office/drawing/2014/chart" uri="{C3380CC4-5D6E-409C-BE32-E72D297353CC}">
              <c16:uniqueId val="{0000000A-B504-42E4-99E6-7BACC100E8C2}"/>
            </c:ext>
          </c:extLst>
        </c:ser>
        <c:ser>
          <c:idx val="2"/>
          <c:order val="2"/>
          <c:tx>
            <c:strRef>
              <c:f>Sheet4!$D$3:$D$4</c:f>
              <c:strCache>
                <c:ptCount val="1"/>
                <c:pt idx="0">
                  <c:v>Medium Risk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Sheet4!$A$5:$A$12</c:f>
              <c:strCache>
                <c:ptCount val="7"/>
                <c:pt idx="0">
                  <c:v>ACH</c:v>
                </c:pt>
                <c:pt idx="1">
                  <c:v>Cash Deposit</c:v>
                </c:pt>
                <c:pt idx="2">
                  <c:v>Cash Withdrawal</c:v>
                </c:pt>
                <c:pt idx="3">
                  <c:v>Cheque</c:v>
                </c:pt>
                <c:pt idx="4">
                  <c:v>Credit card</c:v>
                </c:pt>
                <c:pt idx="5">
                  <c:v>Cross-border</c:v>
                </c:pt>
                <c:pt idx="6">
                  <c:v>Debit card</c:v>
                </c:pt>
              </c:strCache>
            </c:strRef>
          </c:cat>
          <c:val>
            <c:numRef>
              <c:f>Sheet4!$D$5:$D$12</c:f>
              <c:numCache>
                <c:formatCode>General</c:formatCode>
                <c:ptCount val="7"/>
                <c:pt idx="5">
                  <c:v>232067.29726981538</c:v>
                </c:pt>
              </c:numCache>
            </c:numRef>
          </c:val>
          <c:extLst>
            <c:ext xmlns:c16="http://schemas.microsoft.com/office/drawing/2014/chart" uri="{C3380CC4-5D6E-409C-BE32-E72D297353CC}">
              <c16:uniqueId val="{0000000B-B504-42E4-99E6-7BACC100E8C2}"/>
            </c:ext>
          </c:extLst>
        </c:ser>
        <c:dLbls>
          <c:showLegendKey val="0"/>
          <c:showVal val="0"/>
          <c:showCatName val="0"/>
          <c:showSerName val="0"/>
          <c:showPercent val="0"/>
          <c:showBubbleSize val="0"/>
        </c:dLbls>
        <c:gapWidth val="150"/>
        <c:overlap val="100"/>
        <c:axId val="2047450175"/>
        <c:axId val="2047446335"/>
      </c:barChart>
      <c:catAx>
        <c:axId val="2047450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446335"/>
        <c:crosses val="autoZero"/>
        <c:auto val="1"/>
        <c:lblAlgn val="ctr"/>
        <c:lblOffset val="100"/>
        <c:noMultiLvlLbl val="0"/>
      </c:catAx>
      <c:valAx>
        <c:axId val="2047446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45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000">
          <a:schemeClr val="accent4">
            <a:lumMod val="67000"/>
          </a:schemeClr>
        </a:gs>
        <a:gs pos="36000">
          <a:schemeClr val="accent4">
            <a:lumMod val="97000"/>
            <a:lumOff val="3000"/>
          </a:schemeClr>
        </a:gs>
        <a:gs pos="83000">
          <a:schemeClr val="accent4">
            <a:lumMod val="60000"/>
            <a:lumOff val="40000"/>
          </a:schemeClr>
        </a:gs>
      </a:gsLst>
      <a:lin ang="162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[money laundring project.xlsx]Sheet11!PivotTable7</c:name>
    <c:fmtId val="7"/>
  </c:pivotSource>
  <c:chart>
    <c:autoTitleDeleted val="1"/>
    <c:pivotFmts>
      <c:pivotFmt>
        <c:idx val="0"/>
        <c:spPr>
          <a:ln w="73025" cap="rnd" cmpd="sng">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73025" cap="rnd" cmpd="sng">
              <a:solidFill>
                <a:srgbClr val="FF0000"/>
              </a:solidFill>
              <a:round/>
            </a:ln>
            <a:effectLst/>
          </c:spPr>
          <c:marker>
            <c:symbol val="circle"/>
            <c:size val="5"/>
            <c:spPr>
              <a:solidFill>
                <a:schemeClr val="accent1"/>
              </a:solidFill>
              <a:ln w="9525">
                <a:solidFill>
                  <a:schemeClr val="accent1"/>
                </a:solidFill>
              </a:ln>
              <a:effectLst/>
            </c:spPr>
          </c:marker>
          <c:cat>
            <c:strRef>
              <c:f>Sheet11!$A$4:$A$8</c:f>
              <c:strCache>
                <c:ptCount val="4"/>
                <c:pt idx="0">
                  <c:v>10</c:v>
                </c:pt>
                <c:pt idx="1">
                  <c:v>11</c:v>
                </c:pt>
                <c:pt idx="2">
                  <c:v>12</c:v>
                </c:pt>
                <c:pt idx="3">
                  <c:v>13</c:v>
                </c:pt>
              </c:strCache>
            </c:strRef>
          </c:cat>
          <c:val>
            <c:numRef>
              <c:f>Sheet11!$B$4:$B$8</c:f>
              <c:numCache>
                <c:formatCode>General</c:formatCode>
                <c:ptCount val="4"/>
                <c:pt idx="0">
                  <c:v>651</c:v>
                </c:pt>
                <c:pt idx="1">
                  <c:v>1674</c:v>
                </c:pt>
                <c:pt idx="2">
                  <c:v>1521</c:v>
                </c:pt>
                <c:pt idx="3">
                  <c:v>1153</c:v>
                </c:pt>
              </c:numCache>
            </c:numRef>
          </c:val>
          <c:smooth val="0"/>
          <c:extLst>
            <c:ext xmlns:c16="http://schemas.microsoft.com/office/drawing/2014/chart" uri="{C3380CC4-5D6E-409C-BE32-E72D297353CC}">
              <c16:uniqueId val="{00000000-C3CE-4AEF-A8C4-6DC5EC486A1B}"/>
            </c:ext>
          </c:extLst>
        </c:ser>
        <c:dLbls>
          <c:showLegendKey val="0"/>
          <c:showVal val="0"/>
          <c:showCatName val="0"/>
          <c:showSerName val="0"/>
          <c:showPercent val="0"/>
          <c:showBubbleSize val="0"/>
        </c:dLbls>
        <c:marker val="1"/>
        <c:smooth val="0"/>
        <c:axId val="1467608608"/>
        <c:axId val="1467604288"/>
      </c:lineChart>
      <c:catAx>
        <c:axId val="146760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04288"/>
        <c:crosses val="autoZero"/>
        <c:auto val="1"/>
        <c:lblAlgn val="ctr"/>
        <c:lblOffset val="100"/>
        <c:noMultiLvlLbl val="0"/>
      </c:catAx>
      <c:valAx>
        <c:axId val="146760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0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2">
            <a:lumMod val="75000"/>
          </a:schemeClr>
        </a:gs>
        <a:gs pos="48000">
          <a:schemeClr val="accent6">
            <a:lumMod val="20000"/>
            <a:lumOff val="80000"/>
          </a:schemeClr>
        </a:gs>
        <a:gs pos="100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[money laundring project.xlsx]Sheet2!PivotTable1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Risk_Type</a:t>
            </a:r>
            <a:endParaRPr lang="en-IN"/>
          </a:p>
        </c:rich>
      </c:tx>
      <c:layout>
        <c:manualLayout>
          <c:xMode val="edge"/>
          <c:yMode val="edge"/>
          <c:x val="0.21930895001761144"/>
          <c:y val="5.28169014084507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solidFill>
            <a:schemeClr val="accent2"/>
          </a:solidFill>
          <a:ln>
            <a:noFill/>
          </a:ln>
          <a:effectLst>
            <a:outerShdw blurRad="57150" dist="19050" dir="5400000" algn="ctr" rotWithShape="0">
              <a:srgbClr val="000000">
                <a:alpha val="63000"/>
              </a:srgbClr>
            </a:outerShdw>
          </a:effectLst>
        </c:spPr>
      </c:pivotFmt>
      <c:pivotFmt>
        <c:idx val="16"/>
        <c:spPr>
          <a:solidFill>
            <a:schemeClr val="bg2">
              <a:lumMod val="90000"/>
            </a:schemeClr>
          </a:soli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615229914442514"/>
          <c:y val="0.26845172082362945"/>
          <c:w val="0.41340201792957698"/>
          <c:h val="0.67250609958966401"/>
        </c:manualLayout>
      </c:layout>
      <c:doughnutChart>
        <c:varyColors val="1"/>
        <c:ser>
          <c:idx val="0"/>
          <c:order val="0"/>
          <c:tx>
            <c:strRef>
              <c:f>Sheet2!$B$3</c:f>
              <c:strCache>
                <c:ptCount val="1"/>
                <c:pt idx="0">
                  <c:v>Sum of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E2B-4D9E-9544-9F0DB0957CE9}"/>
              </c:ext>
            </c:extLst>
          </c:dPt>
          <c:dPt>
            <c:idx val="1"/>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E2B-4D9E-9544-9F0DB0957CE9}"/>
              </c:ext>
            </c:extLst>
          </c:dPt>
          <c:dPt>
            <c:idx val="2"/>
            <c:bubble3D val="0"/>
            <c:spPr>
              <a:solidFill>
                <a:schemeClr val="bg2">
                  <a:lumMod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E2B-4D9E-9544-9F0DB0957CE9}"/>
              </c:ext>
            </c:extLst>
          </c:dPt>
          <c:cat>
            <c:strRef>
              <c:f>Sheet2!$A$4:$A$7</c:f>
              <c:strCache>
                <c:ptCount val="3"/>
                <c:pt idx="0">
                  <c:v>High Risk</c:v>
                </c:pt>
                <c:pt idx="1">
                  <c:v>Low Risk</c:v>
                </c:pt>
                <c:pt idx="2">
                  <c:v>Medium Risk</c:v>
                </c:pt>
              </c:strCache>
            </c:strRef>
          </c:cat>
          <c:val>
            <c:numRef>
              <c:f>Sheet2!$B$4:$B$7</c:f>
              <c:numCache>
                <c:formatCode>General</c:formatCode>
                <c:ptCount val="3"/>
                <c:pt idx="0">
                  <c:v>226466.48000000004</c:v>
                </c:pt>
                <c:pt idx="1">
                  <c:v>39206059.709999979</c:v>
                </c:pt>
                <c:pt idx="2">
                  <c:v>232067.29726981538</c:v>
                </c:pt>
              </c:numCache>
            </c:numRef>
          </c:val>
          <c:extLst>
            <c:ext xmlns:c16="http://schemas.microsoft.com/office/drawing/2014/chart" uri="{C3380CC4-5D6E-409C-BE32-E72D297353CC}">
              <c16:uniqueId val="{00000006-2E2B-4D9E-9544-9F0DB0957CE9}"/>
            </c:ext>
          </c:extLst>
        </c:ser>
        <c:ser>
          <c:idx val="1"/>
          <c:order val="1"/>
          <c:tx>
            <c:strRef>
              <c:f>Sheet2!$C$3</c:f>
              <c:strCache>
                <c:ptCount val="1"/>
                <c:pt idx="0">
                  <c:v>Count of Sender_account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E2B-4D9E-9544-9F0DB0957C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2E2B-4D9E-9544-9F0DB0957C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2E2B-4D9E-9544-9F0DB0957CE9}"/>
              </c:ext>
            </c:extLst>
          </c:dPt>
          <c:cat>
            <c:strRef>
              <c:f>Sheet2!$A$4:$A$7</c:f>
              <c:strCache>
                <c:ptCount val="3"/>
                <c:pt idx="0">
                  <c:v>High Risk</c:v>
                </c:pt>
                <c:pt idx="1">
                  <c:v>Low Risk</c:v>
                </c:pt>
                <c:pt idx="2">
                  <c:v>Medium Risk</c:v>
                </c:pt>
              </c:strCache>
            </c:strRef>
          </c:cat>
          <c:val>
            <c:numRef>
              <c:f>Sheet2!$C$4:$C$7</c:f>
              <c:numCache>
                <c:formatCode>General</c:formatCode>
                <c:ptCount val="3"/>
                <c:pt idx="0">
                  <c:v>30</c:v>
                </c:pt>
                <c:pt idx="1">
                  <c:v>4949</c:v>
                </c:pt>
                <c:pt idx="2">
                  <c:v>20</c:v>
                </c:pt>
              </c:numCache>
            </c:numRef>
          </c:val>
          <c:extLst>
            <c:ext xmlns:c16="http://schemas.microsoft.com/office/drawing/2014/chart" uri="{C3380CC4-5D6E-409C-BE32-E72D297353CC}">
              <c16:uniqueId val="{0000000D-2E2B-4D9E-9544-9F0DB0957C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8000">
          <a:schemeClr val="tx2">
            <a:lumMod val="60000"/>
            <a:lumOff val="40000"/>
          </a:schemeClr>
        </a:gs>
        <a:gs pos="100000">
          <a:schemeClr val="accent2">
            <a:lumMod val="40000"/>
            <a:lumOff val="60000"/>
          </a:schemeClr>
        </a:gs>
        <a:gs pos="99000">
          <a:schemeClr val="tx2">
            <a:lumMod val="40000"/>
            <a:lumOff val="60000"/>
          </a:schemeClr>
        </a:gs>
      </a:gsLst>
      <a:lin ang="162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[money laundring project.xlsx]Sheet4!PivotTable3</c:name>
    <c:fmtId val="1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Payment_Risk</a:t>
            </a:r>
            <a:endParaRPr lang="en-IN"/>
          </a:p>
        </c:rich>
      </c:tx>
      <c:layout>
        <c:manualLayout>
          <c:xMode val="edge"/>
          <c:yMode val="edge"/>
          <c:x val="0.31433409533485734"/>
          <c:y val="2.6123301985370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64613744913765"/>
          <c:y val="7.6252570339535586E-2"/>
          <c:w val="0.5889486075476521"/>
          <c:h val="0.59170483591511847"/>
        </c:manualLayout>
      </c:layout>
      <c:barChart>
        <c:barDir val="col"/>
        <c:grouping val="stacked"/>
        <c:varyColors val="0"/>
        <c:ser>
          <c:idx val="0"/>
          <c:order val="0"/>
          <c:tx>
            <c:strRef>
              <c:f>Sheet4!$B$3:$B$4</c:f>
              <c:strCache>
                <c:ptCount val="1"/>
                <c:pt idx="0">
                  <c:v>High Risk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Sheet4!$A$5:$A$12</c:f>
              <c:strCache>
                <c:ptCount val="7"/>
                <c:pt idx="0">
                  <c:v>ACH</c:v>
                </c:pt>
                <c:pt idx="1">
                  <c:v>Cash Deposit</c:v>
                </c:pt>
                <c:pt idx="2">
                  <c:v>Cash Withdrawal</c:v>
                </c:pt>
                <c:pt idx="3">
                  <c:v>Cheque</c:v>
                </c:pt>
                <c:pt idx="4">
                  <c:v>Credit card</c:v>
                </c:pt>
                <c:pt idx="5">
                  <c:v>Cross-border</c:v>
                </c:pt>
                <c:pt idx="6">
                  <c:v>Debit card</c:v>
                </c:pt>
              </c:strCache>
            </c:strRef>
          </c:cat>
          <c:val>
            <c:numRef>
              <c:f>Sheet4!$B$5:$B$12</c:f>
              <c:numCache>
                <c:formatCode>General</c:formatCode>
                <c:ptCount val="7"/>
                <c:pt idx="5">
                  <c:v>225733.80000000002</c:v>
                </c:pt>
                <c:pt idx="6">
                  <c:v>732.68</c:v>
                </c:pt>
              </c:numCache>
            </c:numRef>
          </c:val>
          <c:extLst>
            <c:ext xmlns:c16="http://schemas.microsoft.com/office/drawing/2014/chart" uri="{C3380CC4-5D6E-409C-BE32-E72D297353CC}">
              <c16:uniqueId val="{00000000-034A-4866-8BCB-925E4824F1CD}"/>
            </c:ext>
          </c:extLst>
        </c:ser>
        <c:ser>
          <c:idx val="1"/>
          <c:order val="1"/>
          <c:tx>
            <c:strRef>
              <c:f>Sheet4!$C$3:$C$4</c:f>
              <c:strCache>
                <c:ptCount val="1"/>
                <c:pt idx="0">
                  <c:v>Low Risk</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Sheet4!$A$5:$A$12</c:f>
              <c:strCache>
                <c:ptCount val="7"/>
                <c:pt idx="0">
                  <c:v>ACH</c:v>
                </c:pt>
                <c:pt idx="1">
                  <c:v>Cash Deposit</c:v>
                </c:pt>
                <c:pt idx="2">
                  <c:v>Cash Withdrawal</c:v>
                </c:pt>
                <c:pt idx="3">
                  <c:v>Cheque</c:v>
                </c:pt>
                <c:pt idx="4">
                  <c:v>Credit card</c:v>
                </c:pt>
                <c:pt idx="5">
                  <c:v>Cross-border</c:v>
                </c:pt>
                <c:pt idx="6">
                  <c:v>Debit card</c:v>
                </c:pt>
              </c:strCache>
            </c:strRef>
          </c:cat>
          <c:val>
            <c:numRef>
              <c:f>Sheet4!$C$5:$C$12</c:f>
              <c:numCache>
                <c:formatCode>General</c:formatCode>
                <c:ptCount val="7"/>
                <c:pt idx="0">
                  <c:v>8516153.6799999923</c:v>
                </c:pt>
                <c:pt idx="1">
                  <c:v>637909.51</c:v>
                </c:pt>
                <c:pt idx="2">
                  <c:v>20609.079999999998</c:v>
                </c:pt>
                <c:pt idx="3">
                  <c:v>8520028.1199999992</c:v>
                </c:pt>
                <c:pt idx="4">
                  <c:v>8616312.0800000001</c:v>
                </c:pt>
                <c:pt idx="5">
                  <c:v>4145548.820000004</c:v>
                </c:pt>
                <c:pt idx="6">
                  <c:v>8749498.4199999869</c:v>
                </c:pt>
              </c:numCache>
            </c:numRef>
          </c:val>
          <c:extLst>
            <c:ext xmlns:c16="http://schemas.microsoft.com/office/drawing/2014/chart" uri="{C3380CC4-5D6E-409C-BE32-E72D297353CC}">
              <c16:uniqueId val="{0000000B-E710-4A6F-9C47-164623277FC5}"/>
            </c:ext>
          </c:extLst>
        </c:ser>
        <c:ser>
          <c:idx val="2"/>
          <c:order val="2"/>
          <c:tx>
            <c:strRef>
              <c:f>Sheet4!$D$3:$D$4</c:f>
              <c:strCache>
                <c:ptCount val="1"/>
                <c:pt idx="0">
                  <c:v>Medium Risk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Sheet4!$A$5:$A$12</c:f>
              <c:strCache>
                <c:ptCount val="7"/>
                <c:pt idx="0">
                  <c:v>ACH</c:v>
                </c:pt>
                <c:pt idx="1">
                  <c:v>Cash Deposit</c:v>
                </c:pt>
                <c:pt idx="2">
                  <c:v>Cash Withdrawal</c:v>
                </c:pt>
                <c:pt idx="3">
                  <c:v>Cheque</c:v>
                </c:pt>
                <c:pt idx="4">
                  <c:v>Credit card</c:v>
                </c:pt>
                <c:pt idx="5">
                  <c:v>Cross-border</c:v>
                </c:pt>
                <c:pt idx="6">
                  <c:v>Debit card</c:v>
                </c:pt>
              </c:strCache>
            </c:strRef>
          </c:cat>
          <c:val>
            <c:numRef>
              <c:f>Sheet4!$D$5:$D$12</c:f>
              <c:numCache>
                <c:formatCode>General</c:formatCode>
                <c:ptCount val="7"/>
                <c:pt idx="5">
                  <c:v>232067.29726981538</c:v>
                </c:pt>
              </c:numCache>
            </c:numRef>
          </c:val>
          <c:extLst>
            <c:ext xmlns:c16="http://schemas.microsoft.com/office/drawing/2014/chart" uri="{C3380CC4-5D6E-409C-BE32-E72D297353CC}">
              <c16:uniqueId val="{0000000C-E710-4A6F-9C47-164623277FC5}"/>
            </c:ext>
          </c:extLst>
        </c:ser>
        <c:dLbls>
          <c:showLegendKey val="0"/>
          <c:showVal val="0"/>
          <c:showCatName val="0"/>
          <c:showSerName val="0"/>
          <c:showPercent val="0"/>
          <c:showBubbleSize val="0"/>
        </c:dLbls>
        <c:gapWidth val="150"/>
        <c:overlap val="100"/>
        <c:axId val="2047450175"/>
        <c:axId val="2047446335"/>
      </c:barChart>
      <c:catAx>
        <c:axId val="2047450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7446335"/>
        <c:crosses val="autoZero"/>
        <c:auto val="1"/>
        <c:lblAlgn val="ctr"/>
        <c:lblOffset val="100"/>
        <c:noMultiLvlLbl val="0"/>
      </c:catAx>
      <c:valAx>
        <c:axId val="2047446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745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000">
          <a:schemeClr val="accent4">
            <a:lumMod val="67000"/>
          </a:schemeClr>
        </a:gs>
        <a:gs pos="36000">
          <a:schemeClr val="accent4">
            <a:lumMod val="97000"/>
            <a:lumOff val="3000"/>
          </a:schemeClr>
        </a:gs>
        <a:gs pos="83000">
          <a:schemeClr val="accent4">
            <a:lumMod val="60000"/>
            <a:lumOff val="40000"/>
          </a:schemeClr>
        </a:gs>
      </a:gsLst>
      <a:lin ang="16200000" scaled="1"/>
      <a:tileRect/>
    </a:gra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[money laundring project.xlsx]Sheet3!PivotTable2</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Country_Analysis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lumMod val="60000"/>
              <a:lumOff val="40000"/>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gradFill>
          <a:gsLst>
            <a:gs pos="28000">
              <a:schemeClr val="accent2">
                <a:lumMod val="20000"/>
                <a:lumOff val="80000"/>
              </a:schemeClr>
            </a:gs>
            <a:gs pos="100000">
              <a:schemeClr val="accent2">
                <a:lumMod val="40000"/>
                <a:lumOff val="60000"/>
              </a:schemeClr>
            </a:gs>
            <a:gs pos="99000">
              <a:schemeClr val="accent2">
                <a:lumMod val="75000"/>
              </a:schemeClr>
            </a:gs>
          </a:gsLst>
          <a:lin ang="16200000" scaled="1"/>
        </a:gradFill>
        <a:ln>
          <a:noFill/>
        </a:ln>
        <a:effectLst/>
        <a:sp3d/>
      </c:spPr>
    </c:sideWall>
    <c:backWall>
      <c:thickness val="0"/>
      <c:spPr>
        <a:gradFill>
          <a:gsLst>
            <a:gs pos="28000">
              <a:schemeClr val="accent2">
                <a:lumMod val="20000"/>
                <a:lumOff val="80000"/>
              </a:schemeClr>
            </a:gs>
            <a:gs pos="100000">
              <a:schemeClr val="accent2">
                <a:lumMod val="40000"/>
                <a:lumOff val="60000"/>
              </a:schemeClr>
            </a:gs>
            <a:gs pos="99000">
              <a:schemeClr val="accent2">
                <a:lumMod val="75000"/>
              </a:schemeClr>
            </a:gs>
          </a:gsLst>
          <a:lin ang="16200000" scaled="1"/>
        </a:gradFill>
        <a:ln>
          <a:noFill/>
        </a:ln>
        <a:effectLst/>
        <a:sp3d/>
      </c:spPr>
    </c:backWall>
    <c:plotArea>
      <c:layout>
        <c:manualLayout>
          <c:layoutTarget val="inner"/>
          <c:xMode val="edge"/>
          <c:yMode val="edge"/>
          <c:x val="0.26344477662217358"/>
          <c:y val="0.2070264853256979"/>
          <c:w val="0.53106820871989946"/>
          <c:h val="0.68051395848246232"/>
        </c:manualLayout>
      </c:layout>
      <c:bar3DChart>
        <c:barDir val="bar"/>
        <c:grouping val="clustered"/>
        <c:varyColors val="0"/>
        <c:ser>
          <c:idx val="0"/>
          <c:order val="0"/>
          <c:tx>
            <c:strRef>
              <c:f>Sheet3!$B$3</c:f>
              <c:strCache>
                <c:ptCount val="1"/>
                <c:pt idx="0">
                  <c:v>Total</c:v>
                </c:pt>
              </c:strCache>
            </c:strRef>
          </c:tx>
          <c:spPr>
            <a:solidFill>
              <a:schemeClr val="accent6">
                <a:lumMod val="60000"/>
                <a:lumOff val="40000"/>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Sheet3!$A$4:$A$20</c:f>
              <c:strCache>
                <c:ptCount val="16"/>
                <c:pt idx="0">
                  <c:v>Albania</c:v>
                </c:pt>
                <c:pt idx="1">
                  <c:v>Austria</c:v>
                </c:pt>
                <c:pt idx="2">
                  <c:v>France</c:v>
                </c:pt>
                <c:pt idx="3">
                  <c:v>Germany</c:v>
                </c:pt>
                <c:pt idx="4">
                  <c:v>India</c:v>
                </c:pt>
                <c:pt idx="5">
                  <c:v>Italy</c:v>
                </c:pt>
                <c:pt idx="6">
                  <c:v>Japan</c:v>
                </c:pt>
                <c:pt idx="7">
                  <c:v>Mexico</c:v>
                </c:pt>
                <c:pt idx="8">
                  <c:v>Morocco</c:v>
                </c:pt>
                <c:pt idx="9">
                  <c:v>Nigeria</c:v>
                </c:pt>
                <c:pt idx="10">
                  <c:v>Pakistan</c:v>
                </c:pt>
                <c:pt idx="11">
                  <c:v>Spain</c:v>
                </c:pt>
                <c:pt idx="12">
                  <c:v>Switzerland</c:v>
                </c:pt>
                <c:pt idx="13">
                  <c:v>Turkey</c:v>
                </c:pt>
                <c:pt idx="14">
                  <c:v>UAE</c:v>
                </c:pt>
                <c:pt idx="15">
                  <c:v>UK</c:v>
                </c:pt>
              </c:strCache>
            </c:strRef>
          </c:cat>
          <c:val>
            <c:numRef>
              <c:f>Sheet3!$B$4:$B$20</c:f>
              <c:numCache>
                <c:formatCode>General</c:formatCode>
                <c:ptCount val="16"/>
                <c:pt idx="0">
                  <c:v>33040.78</c:v>
                </c:pt>
                <c:pt idx="1">
                  <c:v>11484.960000000001</c:v>
                </c:pt>
                <c:pt idx="2">
                  <c:v>94863.02</c:v>
                </c:pt>
                <c:pt idx="3">
                  <c:v>87087.3</c:v>
                </c:pt>
                <c:pt idx="4">
                  <c:v>5863.41</c:v>
                </c:pt>
                <c:pt idx="5">
                  <c:v>28759.570000000003</c:v>
                </c:pt>
                <c:pt idx="6">
                  <c:v>125796.2172698154</c:v>
                </c:pt>
                <c:pt idx="7">
                  <c:v>63847.420000000006</c:v>
                </c:pt>
                <c:pt idx="8">
                  <c:v>35594.99</c:v>
                </c:pt>
                <c:pt idx="9">
                  <c:v>41423.72</c:v>
                </c:pt>
                <c:pt idx="10">
                  <c:v>74093.59</c:v>
                </c:pt>
                <c:pt idx="11">
                  <c:v>276331.48000000004</c:v>
                </c:pt>
                <c:pt idx="12">
                  <c:v>2884.67</c:v>
                </c:pt>
                <c:pt idx="13">
                  <c:v>14060.97</c:v>
                </c:pt>
                <c:pt idx="14">
                  <c:v>64812.68</c:v>
                </c:pt>
                <c:pt idx="15">
                  <c:v>38704648.710000016</c:v>
                </c:pt>
              </c:numCache>
            </c:numRef>
          </c:val>
          <c:extLst>
            <c:ext xmlns:c16="http://schemas.microsoft.com/office/drawing/2014/chart" uri="{C3380CC4-5D6E-409C-BE32-E72D297353CC}">
              <c16:uniqueId val="{00000000-6404-4740-98C4-489A9553CD39}"/>
            </c:ext>
          </c:extLst>
        </c:ser>
        <c:dLbls>
          <c:showLegendKey val="0"/>
          <c:showVal val="0"/>
          <c:showCatName val="0"/>
          <c:showSerName val="0"/>
          <c:showPercent val="0"/>
          <c:showBubbleSize val="0"/>
        </c:dLbls>
        <c:gapWidth val="65"/>
        <c:shape val="box"/>
        <c:axId val="1976032159"/>
        <c:axId val="1976034559"/>
        <c:axId val="0"/>
      </c:bar3DChart>
      <c:catAx>
        <c:axId val="19760321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6034559"/>
        <c:crosses val="autoZero"/>
        <c:auto val="1"/>
        <c:lblAlgn val="ctr"/>
        <c:lblOffset val="100"/>
        <c:noMultiLvlLbl val="0"/>
      </c:catAx>
      <c:valAx>
        <c:axId val="197603455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76032159"/>
        <c:crosses val="autoZero"/>
        <c:crossBetween val="between"/>
      </c:valAx>
      <c:spPr>
        <a:noFill/>
        <a:ln>
          <a:noFill/>
        </a:ln>
        <a:effectLst/>
      </c:spPr>
    </c:plotArea>
    <c:legend>
      <c:legendPos val="r"/>
      <c:layout>
        <c:manualLayout>
          <c:xMode val="edge"/>
          <c:yMode val="edge"/>
          <c:x val="0.88806973046638404"/>
          <c:y val="0.55354330708661414"/>
          <c:w val="9.5904628507974959E-2"/>
          <c:h val="7.438531592946853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8000">
          <a:schemeClr val="accent2">
            <a:lumMod val="20000"/>
            <a:lumOff val="80000"/>
          </a:schemeClr>
        </a:gs>
        <a:gs pos="100000">
          <a:schemeClr val="accent2">
            <a:lumMod val="40000"/>
            <a:lumOff val="60000"/>
          </a:schemeClr>
        </a:gs>
        <a:gs pos="99000">
          <a:schemeClr val="accent2">
            <a:lumMod val="75000"/>
          </a:schemeClr>
        </a:gs>
      </a:gsLst>
      <a:lin ang="162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[money laundring project.xlsx]Sheet11!PivotTable7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Time_Analysis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73025" cap="rnd" cmpd="sng">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73025" cap="rnd" cmpd="sng">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73025" cap="rnd" cmpd="sng">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77248184213661"/>
          <c:y val="0.14165051798431735"/>
          <c:w val="0.65496277785636081"/>
          <c:h val="0.71758616806562536"/>
        </c:manualLayout>
      </c:layout>
      <c:lineChart>
        <c:grouping val="standard"/>
        <c:varyColors val="0"/>
        <c:ser>
          <c:idx val="0"/>
          <c:order val="0"/>
          <c:tx>
            <c:strRef>
              <c:f>Sheet11!$B$3</c:f>
              <c:strCache>
                <c:ptCount val="1"/>
                <c:pt idx="0">
                  <c:v>Total</c:v>
                </c:pt>
              </c:strCache>
            </c:strRef>
          </c:tx>
          <c:spPr>
            <a:ln w="73025" cap="rnd" cmpd="sng">
              <a:solidFill>
                <a:srgbClr val="FF0000"/>
              </a:solidFill>
              <a:round/>
            </a:ln>
            <a:effectLst/>
          </c:spPr>
          <c:marker>
            <c:symbol val="circle"/>
            <c:size val="5"/>
            <c:spPr>
              <a:solidFill>
                <a:schemeClr val="accent1"/>
              </a:solidFill>
              <a:ln w="9525">
                <a:solidFill>
                  <a:schemeClr val="accent1"/>
                </a:solidFill>
              </a:ln>
              <a:effectLst/>
            </c:spPr>
          </c:marker>
          <c:cat>
            <c:strRef>
              <c:f>Sheet11!$A$4:$A$8</c:f>
              <c:strCache>
                <c:ptCount val="4"/>
                <c:pt idx="0">
                  <c:v>10</c:v>
                </c:pt>
                <c:pt idx="1">
                  <c:v>11</c:v>
                </c:pt>
                <c:pt idx="2">
                  <c:v>12</c:v>
                </c:pt>
                <c:pt idx="3">
                  <c:v>13</c:v>
                </c:pt>
              </c:strCache>
            </c:strRef>
          </c:cat>
          <c:val>
            <c:numRef>
              <c:f>Sheet11!$B$4:$B$8</c:f>
              <c:numCache>
                <c:formatCode>General</c:formatCode>
                <c:ptCount val="4"/>
                <c:pt idx="0">
                  <c:v>651</c:v>
                </c:pt>
                <c:pt idx="1">
                  <c:v>1674</c:v>
                </c:pt>
                <c:pt idx="2">
                  <c:v>1521</c:v>
                </c:pt>
                <c:pt idx="3">
                  <c:v>1153</c:v>
                </c:pt>
              </c:numCache>
            </c:numRef>
          </c:val>
          <c:smooth val="0"/>
          <c:extLst>
            <c:ext xmlns:c16="http://schemas.microsoft.com/office/drawing/2014/chart" uri="{C3380CC4-5D6E-409C-BE32-E72D297353CC}">
              <c16:uniqueId val="{00000000-3865-433F-A190-BF42EA40D40C}"/>
            </c:ext>
          </c:extLst>
        </c:ser>
        <c:dLbls>
          <c:showLegendKey val="0"/>
          <c:showVal val="0"/>
          <c:showCatName val="0"/>
          <c:showSerName val="0"/>
          <c:showPercent val="0"/>
          <c:showBubbleSize val="0"/>
        </c:dLbls>
        <c:marker val="1"/>
        <c:smooth val="0"/>
        <c:axId val="1467608608"/>
        <c:axId val="1467604288"/>
      </c:lineChart>
      <c:catAx>
        <c:axId val="146760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solidFill>
                      <a:srgbClr val="7030A0"/>
                    </a:solidFill>
                  </a:rPr>
                  <a:t>Transaction Time </a:t>
                </a:r>
                <a:endParaRPr lang="en-IN">
                  <a:solidFill>
                    <a:srgbClr val="7030A0"/>
                  </a:solidFill>
                </a:endParaRPr>
              </a:p>
            </c:rich>
          </c:tx>
          <c:layout>
            <c:manualLayout>
              <c:xMode val="edge"/>
              <c:yMode val="edge"/>
              <c:x val="0.40627539900707677"/>
              <c:y val="0.916055469701801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04288"/>
        <c:crosses val="autoZero"/>
        <c:auto val="1"/>
        <c:lblAlgn val="ctr"/>
        <c:lblOffset val="100"/>
        <c:noMultiLvlLbl val="0"/>
      </c:catAx>
      <c:valAx>
        <c:axId val="146760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60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2">
            <a:lumMod val="75000"/>
          </a:schemeClr>
        </a:gs>
        <a:gs pos="48000">
          <a:schemeClr val="accent6">
            <a:lumMod val="20000"/>
            <a:lumOff val="80000"/>
          </a:schemeClr>
        </a:gs>
        <a:gs pos="100000">
          <a:schemeClr val="accent4">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6.xml"/><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19" Type="http://schemas.openxmlformats.org/officeDocument/2006/relationships/image" Target="../media/image15.png"/><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4</xdr:col>
      <xdr:colOff>38100</xdr:colOff>
      <xdr:row>5</xdr:row>
      <xdr:rowOff>95250</xdr:rowOff>
    </xdr:from>
    <xdr:to>
      <xdr:col>11</xdr:col>
      <xdr:colOff>342900</xdr:colOff>
      <xdr:row>20</xdr:row>
      <xdr:rowOff>95250</xdr:rowOff>
    </xdr:to>
    <xdr:graphicFrame macro="">
      <xdr:nvGraphicFramePr>
        <xdr:cNvPr id="4" name="Chart 3">
          <a:extLst>
            <a:ext uri="{FF2B5EF4-FFF2-40B4-BE49-F238E27FC236}">
              <a16:creationId xmlns:a16="http://schemas.microsoft.com/office/drawing/2014/main" id="{C4AFC832-3CF2-9BA4-B5F4-902CF885C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579120</xdr:colOff>
      <xdr:row>6</xdr:row>
      <xdr:rowOff>26670</xdr:rowOff>
    </xdr:from>
    <xdr:to>
      <xdr:col>11</xdr:col>
      <xdr:colOff>457200</xdr:colOff>
      <xdr:row>21</xdr:row>
      <xdr:rowOff>121920</xdr:rowOff>
    </xdr:to>
    <xdr:graphicFrame macro="">
      <xdr:nvGraphicFramePr>
        <xdr:cNvPr id="2" name="Chart 1">
          <a:extLst>
            <a:ext uri="{FF2B5EF4-FFF2-40B4-BE49-F238E27FC236}">
              <a16:creationId xmlns:a16="http://schemas.microsoft.com/office/drawing/2014/main" id="{1D34DC05-B672-0693-9E36-79D4874DC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289560</xdr:colOff>
      <xdr:row>8</xdr:row>
      <xdr:rowOff>64770</xdr:rowOff>
    </xdr:from>
    <xdr:to>
      <xdr:col>12</xdr:col>
      <xdr:colOff>594360</xdr:colOff>
      <xdr:row>23</xdr:row>
      <xdr:rowOff>64770</xdr:rowOff>
    </xdr:to>
    <xdr:graphicFrame macro="">
      <xdr:nvGraphicFramePr>
        <xdr:cNvPr id="3" name="Chart 2">
          <a:extLst>
            <a:ext uri="{FF2B5EF4-FFF2-40B4-BE49-F238E27FC236}">
              <a16:creationId xmlns:a16="http://schemas.microsoft.com/office/drawing/2014/main" id="{6885880A-0467-A013-7182-2813281B4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297180</xdr:colOff>
      <xdr:row>4</xdr:row>
      <xdr:rowOff>125730</xdr:rowOff>
    </xdr:from>
    <xdr:to>
      <xdr:col>11</xdr:col>
      <xdr:colOff>480060</xdr:colOff>
      <xdr:row>18</xdr:row>
      <xdr:rowOff>167640</xdr:rowOff>
    </xdr:to>
    <xdr:graphicFrame macro="">
      <xdr:nvGraphicFramePr>
        <xdr:cNvPr id="8" name="Chart 7">
          <a:extLst>
            <a:ext uri="{FF2B5EF4-FFF2-40B4-BE49-F238E27FC236}">
              <a16:creationId xmlns:a16="http://schemas.microsoft.com/office/drawing/2014/main" id="{55FD01D8-0A04-B602-5FAC-3252BD3B5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266700</xdr:colOff>
      <xdr:row>0</xdr:row>
      <xdr:rowOff>114300</xdr:rowOff>
    </xdr:from>
    <xdr:to>
      <xdr:col>14</xdr:col>
      <xdr:colOff>0</xdr:colOff>
      <xdr:row>3</xdr:row>
      <xdr:rowOff>152400</xdr:rowOff>
    </xdr:to>
    <xdr:sp macro="" textlink="">
      <xdr:nvSpPr>
        <xdr:cNvPr id="2" name="Rectangle: Rounded Corners 1">
          <a:extLst>
            <a:ext uri="{FF2B5EF4-FFF2-40B4-BE49-F238E27FC236}">
              <a16:creationId xmlns:a16="http://schemas.microsoft.com/office/drawing/2014/main" id="{1278D1F0-20EF-515C-4905-6954991CF672}"/>
            </a:ext>
          </a:extLst>
        </xdr:cNvPr>
        <xdr:cNvSpPr/>
      </xdr:nvSpPr>
      <xdr:spPr>
        <a:xfrm>
          <a:off x="266700" y="114300"/>
          <a:ext cx="8267700" cy="586740"/>
        </a:xfrm>
        <a:prstGeom prst="round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t>    </a:t>
          </a:r>
          <a:r>
            <a:rPr lang="en-IN" sz="2400">
              <a:latin typeface="+mn-lt"/>
            </a:rPr>
            <a:t>ANTI-MONEY LAUNDERING (AML) TRANSACTION ANALYSIS </a:t>
          </a:r>
        </a:p>
      </xdr:txBody>
    </xdr:sp>
    <xdr:clientData/>
  </xdr:twoCellAnchor>
  <xdr:twoCellAnchor>
    <xdr:from>
      <xdr:col>17</xdr:col>
      <xdr:colOff>396240</xdr:colOff>
      <xdr:row>0</xdr:row>
      <xdr:rowOff>22860</xdr:rowOff>
    </xdr:from>
    <xdr:to>
      <xdr:col>18</xdr:col>
      <xdr:colOff>274320</xdr:colOff>
      <xdr:row>3</xdr:row>
      <xdr:rowOff>91440</xdr:rowOff>
    </xdr:to>
    <xdr:sp macro="" textlink="Sheet2!C4">
      <xdr:nvSpPr>
        <xdr:cNvPr id="5" name="Flowchart: Alternate Process 4">
          <a:extLst>
            <a:ext uri="{FF2B5EF4-FFF2-40B4-BE49-F238E27FC236}">
              <a16:creationId xmlns:a16="http://schemas.microsoft.com/office/drawing/2014/main" id="{4F8927CD-2E05-4BD6-914C-88144C2F7081}"/>
            </a:ext>
          </a:extLst>
        </xdr:cNvPr>
        <xdr:cNvSpPr/>
      </xdr:nvSpPr>
      <xdr:spPr>
        <a:xfrm>
          <a:off x="11399520" y="22860"/>
          <a:ext cx="1234440" cy="617220"/>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High</a:t>
          </a:r>
          <a:r>
            <a:rPr lang="en-US" sz="1100" b="0" i="0" u="none" strike="noStrike" baseline="0">
              <a:solidFill>
                <a:srgbClr val="000000"/>
              </a:solidFill>
              <a:latin typeface="Calibri"/>
              <a:ea typeface="Calibri"/>
              <a:cs typeface="Calibri"/>
            </a:rPr>
            <a:t> Risk Count </a:t>
          </a:r>
          <a:endParaRPr lang="en-US" sz="1100" b="0" i="0" u="none" strike="noStrike">
            <a:solidFill>
              <a:srgbClr val="000000"/>
            </a:solidFill>
            <a:latin typeface="Calibri"/>
            <a:ea typeface="Calibri"/>
            <a:cs typeface="Calibri"/>
          </a:endParaRPr>
        </a:p>
        <a:p>
          <a:pPr algn="l"/>
          <a:r>
            <a:rPr lang="en-US" sz="1100" b="0" i="0" u="none" strike="noStrike">
              <a:solidFill>
                <a:srgbClr val="000000"/>
              </a:solidFill>
              <a:latin typeface="Calibri"/>
              <a:ea typeface="Calibri"/>
              <a:cs typeface="Calibri"/>
            </a:rPr>
            <a:t>            </a:t>
          </a:r>
          <a:fld id="{F1EF274C-DDD0-4614-B72E-4B85417DFF67}" type="TxLink">
            <a:rPr lang="en-US" sz="1100" b="0" i="0" u="none" strike="noStrike">
              <a:solidFill>
                <a:srgbClr val="000000"/>
              </a:solidFill>
              <a:latin typeface="Calibri"/>
              <a:ea typeface="Calibri"/>
              <a:cs typeface="Calibri"/>
            </a:rPr>
            <a:pPr algn="l"/>
            <a:t>30</a:t>
          </a:fld>
          <a:endParaRPr lang="en-US" sz="1100"/>
        </a:p>
      </xdr:txBody>
    </xdr:sp>
    <xdr:clientData/>
  </xdr:twoCellAnchor>
  <xdr:twoCellAnchor>
    <xdr:from>
      <xdr:col>18</xdr:col>
      <xdr:colOff>403860</xdr:colOff>
      <xdr:row>0</xdr:row>
      <xdr:rowOff>38100</xdr:rowOff>
    </xdr:from>
    <xdr:to>
      <xdr:col>20</xdr:col>
      <xdr:colOff>83820</xdr:colOff>
      <xdr:row>3</xdr:row>
      <xdr:rowOff>99060</xdr:rowOff>
    </xdr:to>
    <xdr:sp macro="" textlink="Sheet2!B4">
      <xdr:nvSpPr>
        <xdr:cNvPr id="6" name="Flowchart: Alternate Process 5">
          <a:extLst>
            <a:ext uri="{FF2B5EF4-FFF2-40B4-BE49-F238E27FC236}">
              <a16:creationId xmlns:a16="http://schemas.microsoft.com/office/drawing/2014/main" id="{8571CADD-7ED2-48BF-90B8-EDB6A2D627C1}"/>
            </a:ext>
          </a:extLst>
        </xdr:cNvPr>
        <xdr:cNvSpPr/>
      </xdr:nvSpPr>
      <xdr:spPr>
        <a:xfrm>
          <a:off x="12763500" y="38100"/>
          <a:ext cx="1341120" cy="609600"/>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1000" b="0" i="0" u="none" strike="noStrike">
              <a:solidFill>
                <a:srgbClr val="000000"/>
              </a:solidFill>
              <a:latin typeface="Calibri"/>
              <a:ea typeface="Calibri"/>
              <a:cs typeface="Calibri"/>
            </a:rPr>
            <a:t>High Risk Amount</a:t>
          </a:r>
        </a:p>
        <a:p>
          <a:pPr algn="l"/>
          <a:fld id="{EEFB4471-7096-405F-AFD1-CFD789D4F902}" type="TxLink">
            <a:rPr lang="en-US" sz="1100" b="0" i="0" u="none" strike="noStrike">
              <a:solidFill>
                <a:srgbClr val="000000"/>
              </a:solidFill>
              <a:latin typeface="Calibri"/>
              <a:ea typeface="Calibri"/>
              <a:cs typeface="Calibri"/>
            </a:rPr>
            <a:pPr algn="l"/>
            <a:t>226466.48</a:t>
          </a:fld>
          <a:endParaRPr lang="en-IN" sz="1050">
            <a:solidFill>
              <a:schemeClr val="tx1"/>
            </a:solidFill>
          </a:endParaRPr>
        </a:p>
      </xdr:txBody>
    </xdr:sp>
    <xdr:clientData/>
  </xdr:twoCellAnchor>
  <xdr:twoCellAnchor>
    <xdr:from>
      <xdr:col>14</xdr:col>
      <xdr:colOff>76200</xdr:colOff>
      <xdr:row>0</xdr:row>
      <xdr:rowOff>45720</xdr:rowOff>
    </xdr:from>
    <xdr:to>
      <xdr:col>15</xdr:col>
      <xdr:colOff>739140</xdr:colOff>
      <xdr:row>3</xdr:row>
      <xdr:rowOff>22860</xdr:rowOff>
    </xdr:to>
    <xdr:sp macro="" textlink="Sheet2!B7">
      <xdr:nvSpPr>
        <xdr:cNvPr id="11" name="Flowchart: Alternate Process 10">
          <a:extLst>
            <a:ext uri="{FF2B5EF4-FFF2-40B4-BE49-F238E27FC236}">
              <a16:creationId xmlns:a16="http://schemas.microsoft.com/office/drawing/2014/main" id="{0FA51A0D-7644-46E6-8DB9-6524342D5939}"/>
            </a:ext>
          </a:extLst>
        </xdr:cNvPr>
        <xdr:cNvSpPr/>
      </xdr:nvSpPr>
      <xdr:spPr>
        <a:xfrm>
          <a:off x="8610600" y="45720"/>
          <a:ext cx="1272540" cy="525780"/>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Amount</a:t>
          </a:r>
          <a:endParaRPr lang="en-US" sz="1100" b="0" i="0" u="none" strike="noStrike">
            <a:solidFill>
              <a:srgbClr val="000000"/>
            </a:solidFill>
            <a:latin typeface="Calibri"/>
            <a:ea typeface="Calibri"/>
            <a:cs typeface="Calibri"/>
          </a:endParaRPr>
        </a:p>
        <a:p>
          <a:pPr algn="l"/>
          <a:fld id="{A48B470D-403E-47D1-8191-B2F9EFD41B69}" type="TxLink">
            <a:rPr lang="en-US" sz="1100" b="0" i="0" u="none" strike="noStrike">
              <a:solidFill>
                <a:srgbClr val="000000"/>
              </a:solidFill>
              <a:latin typeface="Calibri"/>
              <a:ea typeface="Calibri"/>
              <a:cs typeface="Calibri"/>
            </a:rPr>
            <a:pPr algn="l"/>
            <a:t>39664593.49</a:t>
          </a:fld>
          <a:endParaRPr lang="en-IN" sz="1000">
            <a:solidFill>
              <a:schemeClr val="tx1"/>
            </a:solidFill>
          </a:endParaRPr>
        </a:p>
      </xdr:txBody>
    </xdr:sp>
    <xdr:clientData/>
  </xdr:twoCellAnchor>
  <xdr:twoCellAnchor>
    <xdr:from>
      <xdr:col>16</xdr:col>
      <xdr:colOff>22860</xdr:colOff>
      <xdr:row>0</xdr:row>
      <xdr:rowOff>22860</xdr:rowOff>
    </xdr:from>
    <xdr:to>
      <xdr:col>17</xdr:col>
      <xdr:colOff>327660</xdr:colOff>
      <xdr:row>3</xdr:row>
      <xdr:rowOff>83820</xdr:rowOff>
    </xdr:to>
    <xdr:sp macro="" textlink="Sheet2!C7">
      <xdr:nvSpPr>
        <xdr:cNvPr id="13" name="Flowchart: Alternate Process 12">
          <a:extLst>
            <a:ext uri="{FF2B5EF4-FFF2-40B4-BE49-F238E27FC236}">
              <a16:creationId xmlns:a16="http://schemas.microsoft.com/office/drawing/2014/main" id="{2C9B530A-E9AB-4C18-8B76-527F9BFB9BE9}"/>
            </a:ext>
          </a:extLst>
        </xdr:cNvPr>
        <xdr:cNvSpPr/>
      </xdr:nvSpPr>
      <xdr:spPr>
        <a:xfrm>
          <a:off x="10050780" y="22860"/>
          <a:ext cx="1280160" cy="609600"/>
        </a:xfrm>
        <a:prstGeom prst="flowChartAlternateProcess">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1000" b="0" i="0" u="none" strike="noStrike">
              <a:solidFill>
                <a:srgbClr val="000000"/>
              </a:solidFill>
              <a:latin typeface="Calibri"/>
              <a:ea typeface="Calibri"/>
              <a:cs typeface="Calibri"/>
            </a:rPr>
            <a:t>Total Transaction</a:t>
          </a:r>
        </a:p>
        <a:p>
          <a:pPr algn="l"/>
          <a:r>
            <a:rPr lang="en-US" sz="1100" b="0" i="0" u="none" strike="noStrike">
              <a:solidFill>
                <a:srgbClr val="000000"/>
              </a:solidFill>
              <a:latin typeface="Calibri"/>
              <a:ea typeface="Calibri"/>
              <a:cs typeface="Calibri"/>
            </a:rPr>
            <a:t>        </a:t>
          </a:r>
          <a:fld id="{A3076FFD-832F-4626-93F4-307F350C43E0}" type="TxLink">
            <a:rPr lang="en-US" sz="1100" b="0" i="0" u="none" strike="noStrike">
              <a:solidFill>
                <a:srgbClr val="000000"/>
              </a:solidFill>
              <a:latin typeface="Calibri"/>
              <a:ea typeface="Calibri"/>
              <a:cs typeface="Calibri"/>
            </a:rPr>
            <a:pPr algn="l"/>
            <a:t>4999</a:t>
          </a:fld>
          <a:endParaRPr lang="en-IN" sz="1050">
            <a:solidFill>
              <a:schemeClr val="tx1"/>
            </a:solidFill>
          </a:endParaRPr>
        </a:p>
      </xdr:txBody>
    </xdr:sp>
    <xdr:clientData/>
  </xdr:twoCellAnchor>
  <xdr:twoCellAnchor>
    <xdr:from>
      <xdr:col>9</xdr:col>
      <xdr:colOff>38100</xdr:colOff>
      <xdr:row>4</xdr:row>
      <xdr:rowOff>30480</xdr:rowOff>
    </xdr:from>
    <xdr:to>
      <xdr:col>14</xdr:col>
      <xdr:colOff>510540</xdr:colOff>
      <xdr:row>16</xdr:row>
      <xdr:rowOff>0</xdr:rowOff>
    </xdr:to>
    <xdr:graphicFrame macro="">
      <xdr:nvGraphicFramePr>
        <xdr:cNvPr id="8" name="Chart 7">
          <a:extLst>
            <a:ext uri="{FF2B5EF4-FFF2-40B4-BE49-F238E27FC236}">
              <a16:creationId xmlns:a16="http://schemas.microsoft.com/office/drawing/2014/main" id="{66FA0D50-420E-46BE-A152-D8F2A2C03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xdr:row>
      <xdr:rowOff>60960</xdr:rowOff>
    </xdr:from>
    <xdr:to>
      <xdr:col>1</xdr:col>
      <xdr:colOff>594360</xdr:colOff>
      <xdr:row>24</xdr:row>
      <xdr:rowOff>22860</xdr:rowOff>
    </xdr:to>
    <mc:AlternateContent xmlns:mc="http://schemas.openxmlformats.org/markup-compatibility/2006" xmlns:a14="http://schemas.microsoft.com/office/drawing/2010/main">
      <mc:Choice Requires="a14">
        <xdr:graphicFrame macro="">
          <xdr:nvGraphicFramePr>
            <xdr:cNvPr id="12" name="Payment_type">
              <a:extLst>
                <a:ext uri="{FF2B5EF4-FFF2-40B4-BE49-F238E27FC236}">
                  <a16:creationId xmlns:a16="http://schemas.microsoft.com/office/drawing/2014/main" id="{0FB63F0B-928E-9F2C-07CC-533EF1EC7ED6}"/>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0" y="2072640"/>
              <a:ext cx="1203960" cy="2339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68580</xdr:rowOff>
    </xdr:from>
    <xdr:to>
      <xdr:col>1</xdr:col>
      <xdr:colOff>541020</xdr:colOff>
      <xdr:row>11</xdr:row>
      <xdr:rowOff>38100</xdr:rowOff>
    </xdr:to>
    <mc:AlternateContent xmlns:mc="http://schemas.openxmlformats.org/markup-compatibility/2006" xmlns:a14="http://schemas.microsoft.com/office/drawing/2010/main">
      <mc:Choice Requires="a14">
        <xdr:graphicFrame macro="">
          <xdr:nvGraphicFramePr>
            <xdr:cNvPr id="14" name="Country_Risk_Rating.">
              <a:extLst>
                <a:ext uri="{FF2B5EF4-FFF2-40B4-BE49-F238E27FC236}">
                  <a16:creationId xmlns:a16="http://schemas.microsoft.com/office/drawing/2014/main" id="{2E5572F2-D0FA-0D0A-620B-071C531DD6B7}"/>
                </a:ext>
              </a:extLst>
            </xdr:cNvPr>
            <xdr:cNvGraphicFramePr/>
          </xdr:nvGraphicFramePr>
          <xdr:xfrm>
            <a:off x="0" y="0"/>
            <a:ext cx="0" cy="0"/>
          </xdr:xfrm>
          <a:graphic>
            <a:graphicData uri="http://schemas.microsoft.com/office/drawing/2010/slicer">
              <sle:slicer xmlns:sle="http://schemas.microsoft.com/office/drawing/2010/slicer" name="Country_Risk_Rating."/>
            </a:graphicData>
          </a:graphic>
        </xdr:graphicFrame>
      </mc:Choice>
      <mc:Fallback xmlns="">
        <xdr:sp macro="" textlink="">
          <xdr:nvSpPr>
            <xdr:cNvPr id="0" name=""/>
            <xdr:cNvSpPr>
              <a:spLocks noTextEdit="1"/>
            </xdr:cNvSpPr>
          </xdr:nvSpPr>
          <xdr:spPr>
            <a:xfrm>
              <a:off x="0" y="800100"/>
              <a:ext cx="115062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594360</xdr:colOff>
      <xdr:row>4</xdr:row>
      <xdr:rowOff>15240</xdr:rowOff>
    </xdr:from>
    <xdr:to>
      <xdr:col>19</xdr:col>
      <xdr:colOff>22860</xdr:colOff>
      <xdr:row>6</xdr:row>
      <xdr:rowOff>0</xdr:rowOff>
    </xdr:to>
    <xdr:sp macro="" textlink="">
      <xdr:nvSpPr>
        <xdr:cNvPr id="17" name="Rectangle 16">
          <a:extLst>
            <a:ext uri="{FF2B5EF4-FFF2-40B4-BE49-F238E27FC236}">
              <a16:creationId xmlns:a16="http://schemas.microsoft.com/office/drawing/2014/main" id="{B97A9CB9-6396-7BB4-F9FA-E7A4A9337A24}"/>
            </a:ext>
          </a:extLst>
        </xdr:cNvPr>
        <xdr:cNvSpPr/>
      </xdr:nvSpPr>
      <xdr:spPr>
        <a:xfrm>
          <a:off x="9128760" y="746760"/>
          <a:ext cx="4305300" cy="350520"/>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800"/>
            <a:t>            Suspected Activity Alerts</a:t>
          </a:r>
          <a:endParaRPr lang="en-IN" sz="1800">
            <a:solidFill>
              <a:schemeClr val="bg1"/>
            </a:solidFill>
          </a:endParaRPr>
        </a:p>
      </xdr:txBody>
    </xdr:sp>
    <xdr:clientData/>
  </xdr:twoCellAnchor>
  <xdr:twoCellAnchor>
    <xdr:from>
      <xdr:col>1</xdr:col>
      <xdr:colOff>556260</xdr:colOff>
      <xdr:row>16</xdr:row>
      <xdr:rowOff>68580</xdr:rowOff>
    </xdr:from>
    <xdr:to>
      <xdr:col>8</xdr:col>
      <xdr:colOff>304800</xdr:colOff>
      <xdr:row>29</xdr:row>
      <xdr:rowOff>121920</xdr:rowOff>
    </xdr:to>
    <xdr:graphicFrame macro="">
      <xdr:nvGraphicFramePr>
        <xdr:cNvPr id="7" name="Chart 6">
          <a:extLst>
            <a:ext uri="{FF2B5EF4-FFF2-40B4-BE49-F238E27FC236}">
              <a16:creationId xmlns:a16="http://schemas.microsoft.com/office/drawing/2014/main" id="{267BDD60-2234-4EEE-8B88-B1CFC5984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586740</xdr:colOff>
      <xdr:row>4</xdr:row>
      <xdr:rowOff>68580</xdr:rowOff>
    </xdr:from>
    <xdr:to>
      <xdr:col>8</xdr:col>
      <xdr:colOff>594360</xdr:colOff>
      <xdr:row>15</xdr:row>
      <xdr:rowOff>152400</xdr:rowOff>
    </xdr:to>
    <xdr:graphicFrame macro="">
      <xdr:nvGraphicFramePr>
        <xdr:cNvPr id="9" name="Chart 8">
          <a:extLst>
            <a:ext uri="{FF2B5EF4-FFF2-40B4-BE49-F238E27FC236}">
              <a16:creationId xmlns:a16="http://schemas.microsoft.com/office/drawing/2014/main" id="{E9D90B4E-FD01-4EFD-9ABE-614572556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822960</xdr:colOff>
      <xdr:row>22</xdr:row>
      <xdr:rowOff>121920</xdr:rowOff>
    </xdr:from>
    <xdr:to>
      <xdr:col>18</xdr:col>
      <xdr:colOff>464820</xdr:colOff>
      <xdr:row>28</xdr:row>
      <xdr:rowOff>99060</xdr:rowOff>
    </xdr:to>
    <xdr:sp macro="" textlink="Sheet7!A4">
      <xdr:nvSpPr>
        <xdr:cNvPr id="15" name="Flowchart: Process 14">
          <a:extLst>
            <a:ext uri="{FF2B5EF4-FFF2-40B4-BE49-F238E27FC236}">
              <a16:creationId xmlns:a16="http://schemas.microsoft.com/office/drawing/2014/main" id="{8F2B7E26-C0DF-83F4-33CD-103258FCB0B5}"/>
            </a:ext>
          </a:extLst>
        </xdr:cNvPr>
        <xdr:cNvSpPr/>
      </xdr:nvSpPr>
      <xdr:spPr>
        <a:xfrm>
          <a:off x="10850880" y="4145280"/>
          <a:ext cx="1973580" cy="1074420"/>
        </a:xfrm>
        <a:prstGeom prst="flowChartProcess">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       </a:t>
          </a:r>
        </a:p>
        <a:p>
          <a:pPr algn="l"/>
          <a:r>
            <a:rPr lang="en-US" sz="1600" b="0" i="0" u="none" strike="noStrike">
              <a:solidFill>
                <a:srgbClr val="000000"/>
              </a:solidFill>
              <a:latin typeface="Calibri"/>
              <a:ea typeface="Calibri"/>
              <a:cs typeface="Calibri"/>
            </a:rPr>
            <a:t>     Highest</a:t>
          </a:r>
          <a:r>
            <a:rPr lang="en-US" sz="1600" b="0" i="0" u="none" strike="noStrike" baseline="0">
              <a:solidFill>
                <a:srgbClr val="000000"/>
              </a:solidFill>
              <a:latin typeface="Calibri"/>
              <a:ea typeface="Calibri"/>
              <a:cs typeface="Calibri"/>
            </a:rPr>
            <a:t> Alert</a:t>
          </a:r>
          <a:endParaRPr lang="en-US" sz="1600" b="0" i="0" u="none" strike="noStrike">
            <a:solidFill>
              <a:srgbClr val="000000"/>
            </a:solidFill>
            <a:latin typeface="Calibri"/>
            <a:ea typeface="Calibri"/>
            <a:cs typeface="Calibri"/>
          </a:endParaRPr>
        </a:p>
        <a:p>
          <a:pPr algn="l"/>
          <a:r>
            <a:rPr lang="en-US" sz="1600" b="0" i="0" u="none" strike="noStrike" baseline="0">
              <a:solidFill>
                <a:srgbClr val="000000"/>
              </a:solidFill>
              <a:latin typeface="Calibri"/>
              <a:ea typeface="Calibri"/>
              <a:cs typeface="Calibri"/>
            </a:rPr>
            <a:t>                </a:t>
          </a:r>
          <a:fld id="{19C09FA7-5AFB-4818-945E-95C37F2A4AE9}" type="TxLink">
            <a:rPr lang="en-US" sz="1600" b="0" i="0" u="none" strike="noStrike">
              <a:solidFill>
                <a:srgbClr val="000000"/>
              </a:solidFill>
              <a:latin typeface="Calibri"/>
              <a:ea typeface="Calibri"/>
              <a:cs typeface="Calibri"/>
            </a:rPr>
            <a:pPr algn="l"/>
            <a:t>9</a:t>
          </a:fld>
          <a:endParaRPr lang="en-IN" sz="1600"/>
        </a:p>
      </xdr:txBody>
    </xdr:sp>
    <xdr:clientData/>
  </xdr:twoCellAnchor>
  <xdr:twoCellAnchor>
    <xdr:from>
      <xdr:col>17</xdr:col>
      <xdr:colOff>624840</xdr:colOff>
      <xdr:row>16</xdr:row>
      <xdr:rowOff>144780</xdr:rowOff>
    </xdr:from>
    <xdr:to>
      <xdr:col>19</xdr:col>
      <xdr:colOff>320040</xdr:colOff>
      <xdr:row>22</xdr:row>
      <xdr:rowOff>30480</xdr:rowOff>
    </xdr:to>
    <xdr:sp macro="" textlink="Sheet8!A4">
      <xdr:nvSpPr>
        <xdr:cNvPr id="18" name="Flowchart: Process 17">
          <a:extLst>
            <a:ext uri="{FF2B5EF4-FFF2-40B4-BE49-F238E27FC236}">
              <a16:creationId xmlns:a16="http://schemas.microsoft.com/office/drawing/2014/main" id="{61CF2552-F184-122E-8F6E-1C48080F7F9A}"/>
            </a:ext>
          </a:extLst>
        </xdr:cNvPr>
        <xdr:cNvSpPr/>
      </xdr:nvSpPr>
      <xdr:spPr>
        <a:xfrm>
          <a:off x="11628120" y="3070860"/>
          <a:ext cx="2103120" cy="982980"/>
        </a:xfrm>
        <a:prstGeom prst="flowChartProcess">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400" b="0" i="0" u="none" strike="noStrike">
              <a:solidFill>
                <a:srgbClr val="000000"/>
              </a:solidFill>
              <a:latin typeface="Calibri"/>
              <a:ea typeface="Calibri"/>
              <a:cs typeface="Calibri"/>
            </a:rPr>
            <a:t>High Risk Payement Mode</a:t>
          </a:r>
          <a:r>
            <a:rPr lang="en-US" sz="1400" b="0" i="0" u="none" strike="noStrike" baseline="0">
              <a:solidFill>
                <a:srgbClr val="000000"/>
              </a:solidFill>
              <a:latin typeface="Calibri"/>
              <a:ea typeface="Calibri"/>
              <a:cs typeface="Calibri"/>
            </a:rPr>
            <a:t>            </a:t>
          </a:r>
        </a:p>
        <a:p>
          <a:pPr algn="l"/>
          <a:r>
            <a:rPr lang="en-US" sz="1400" b="0" i="0" u="none" strike="noStrike" baseline="0">
              <a:solidFill>
                <a:srgbClr val="000000"/>
              </a:solidFill>
              <a:latin typeface="Calibri"/>
              <a:ea typeface="Calibri"/>
              <a:cs typeface="Calibri"/>
            </a:rPr>
            <a:t>            </a:t>
          </a:r>
          <a:fld id="{13B8C8E7-E05B-4F31-AEBF-72A946342FAE}" type="TxLink">
            <a:rPr lang="en-US" sz="1400" b="0" i="0" u="none" strike="noStrike">
              <a:solidFill>
                <a:srgbClr val="000000"/>
              </a:solidFill>
              <a:latin typeface="Calibri"/>
              <a:ea typeface="Calibri"/>
              <a:cs typeface="Calibri"/>
            </a:rPr>
            <a:pPr algn="l"/>
            <a:t>Cross-border</a:t>
          </a:fld>
          <a:endParaRPr lang="en-IN" sz="1400"/>
        </a:p>
      </xdr:txBody>
    </xdr:sp>
    <xdr:clientData/>
  </xdr:twoCellAnchor>
  <xdr:twoCellAnchor>
    <xdr:from>
      <xdr:col>15</xdr:col>
      <xdr:colOff>137160</xdr:colOff>
      <xdr:row>16</xdr:row>
      <xdr:rowOff>137160</xdr:rowOff>
    </xdr:from>
    <xdr:to>
      <xdr:col>17</xdr:col>
      <xdr:colOff>571500</xdr:colOff>
      <xdr:row>22</xdr:row>
      <xdr:rowOff>45720</xdr:rowOff>
    </xdr:to>
    <xdr:sp macro="" textlink="Sheet9!A4">
      <xdr:nvSpPr>
        <xdr:cNvPr id="20" name="Flowchart: Process 19">
          <a:extLst>
            <a:ext uri="{FF2B5EF4-FFF2-40B4-BE49-F238E27FC236}">
              <a16:creationId xmlns:a16="http://schemas.microsoft.com/office/drawing/2014/main" id="{83AA55F3-3C2E-6A89-A9CE-9BB8970F5D31}"/>
            </a:ext>
          </a:extLst>
        </xdr:cNvPr>
        <xdr:cNvSpPr/>
      </xdr:nvSpPr>
      <xdr:spPr>
        <a:xfrm>
          <a:off x="9281160" y="3063240"/>
          <a:ext cx="2293620" cy="1005840"/>
        </a:xfrm>
        <a:prstGeom prst="flowChartProcess">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600" b="0" i="0" u="none" strike="noStrike" baseline="0">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     Risk</a:t>
          </a:r>
          <a:r>
            <a:rPr lang="en-US" sz="1600" b="0" i="0" u="none" strike="noStrike" baseline="0">
              <a:solidFill>
                <a:srgbClr val="000000"/>
              </a:solidFill>
              <a:latin typeface="Calibri"/>
              <a:ea typeface="Calibri"/>
              <a:cs typeface="Calibri"/>
            </a:rPr>
            <a:t> Value </a:t>
          </a:r>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           </a:t>
          </a:r>
          <a:r>
            <a:rPr lang="en-US" sz="1600" b="0" i="0" u="none" strike="noStrike" baseline="0">
              <a:solidFill>
                <a:srgbClr val="000000"/>
              </a:solidFill>
              <a:latin typeface="Calibri"/>
              <a:ea typeface="Calibri"/>
              <a:cs typeface="Calibri"/>
            </a:rPr>
            <a:t>     </a:t>
          </a:r>
          <a:fld id="{761494FE-76AF-4B55-88B9-198CC9B5A8F9}" type="TxLink">
            <a:rPr lang="en-US" sz="1600" b="0" i="0" u="none" strike="noStrike">
              <a:solidFill>
                <a:srgbClr val="000000"/>
              </a:solidFill>
              <a:latin typeface="Calibri"/>
              <a:ea typeface="Calibri"/>
              <a:cs typeface="Calibri"/>
            </a:rPr>
            <a:pPr algn="l"/>
            <a:t>$52,440.41</a:t>
          </a:fld>
          <a:endParaRPr lang="en-IN" sz="1600"/>
        </a:p>
      </xdr:txBody>
    </xdr:sp>
    <xdr:clientData/>
  </xdr:twoCellAnchor>
  <xdr:twoCellAnchor>
    <xdr:from>
      <xdr:col>8</xdr:col>
      <xdr:colOff>403860</xdr:colOff>
      <xdr:row>16</xdr:row>
      <xdr:rowOff>68580</xdr:rowOff>
    </xdr:from>
    <xdr:to>
      <xdr:col>15</xdr:col>
      <xdr:colOff>0</xdr:colOff>
      <xdr:row>29</xdr:row>
      <xdr:rowOff>137160</xdr:rowOff>
    </xdr:to>
    <xdr:graphicFrame macro="">
      <xdr:nvGraphicFramePr>
        <xdr:cNvPr id="21" name="Chart 20">
          <a:extLst>
            <a:ext uri="{FF2B5EF4-FFF2-40B4-BE49-F238E27FC236}">
              <a16:creationId xmlns:a16="http://schemas.microsoft.com/office/drawing/2014/main" id="{2A43A0D7-5FC3-495E-8140-16584D721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350520</xdr:colOff>
      <xdr:row>0</xdr:row>
      <xdr:rowOff>144780</xdr:rowOff>
    </xdr:from>
    <xdr:to>
      <xdr:col>15</xdr:col>
      <xdr:colOff>716280</xdr:colOff>
      <xdr:row>2</xdr:row>
      <xdr:rowOff>144780</xdr:rowOff>
    </xdr:to>
    <xdr:pic>
      <xdr:nvPicPr>
        <xdr:cNvPr id="23" name="Graphic 22" descr="Coins with solid fill">
          <a:extLst>
            <a:ext uri="{FF2B5EF4-FFF2-40B4-BE49-F238E27FC236}">
              <a16:creationId xmlns:a16="http://schemas.microsoft.com/office/drawing/2014/main" id="{70888FA1-038E-40D7-A5D6-8573804E27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494520" y="144780"/>
          <a:ext cx="365760" cy="365760"/>
        </a:xfrm>
        <a:prstGeom prst="rect">
          <a:avLst/>
        </a:prstGeom>
      </xdr:spPr>
    </xdr:pic>
    <xdr:clientData/>
  </xdr:twoCellAnchor>
  <xdr:twoCellAnchor editAs="oneCell">
    <xdr:from>
      <xdr:col>16</xdr:col>
      <xdr:colOff>746760</xdr:colOff>
      <xdr:row>1</xdr:row>
      <xdr:rowOff>68580</xdr:rowOff>
    </xdr:from>
    <xdr:to>
      <xdr:col>17</xdr:col>
      <xdr:colOff>22860</xdr:colOff>
      <xdr:row>2</xdr:row>
      <xdr:rowOff>137160</xdr:rowOff>
    </xdr:to>
    <xdr:pic>
      <xdr:nvPicPr>
        <xdr:cNvPr id="25" name="Graphic 24" descr="Transfer with solid fill">
          <a:extLst>
            <a:ext uri="{FF2B5EF4-FFF2-40B4-BE49-F238E27FC236}">
              <a16:creationId xmlns:a16="http://schemas.microsoft.com/office/drawing/2014/main" id="{32A83A3E-D78E-737D-C18E-01C446F00B8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774680" y="251460"/>
          <a:ext cx="251460" cy="251460"/>
        </a:xfrm>
        <a:prstGeom prst="rect">
          <a:avLst/>
        </a:prstGeom>
      </xdr:spPr>
    </xdr:pic>
    <xdr:clientData/>
  </xdr:twoCellAnchor>
  <xdr:twoCellAnchor editAs="oneCell">
    <xdr:from>
      <xdr:col>17</xdr:col>
      <xdr:colOff>1066800</xdr:colOff>
      <xdr:row>1</xdr:row>
      <xdr:rowOff>68580</xdr:rowOff>
    </xdr:from>
    <xdr:to>
      <xdr:col>18</xdr:col>
      <xdr:colOff>175260</xdr:colOff>
      <xdr:row>3</xdr:row>
      <xdr:rowOff>83820</xdr:rowOff>
    </xdr:to>
    <xdr:pic>
      <xdr:nvPicPr>
        <xdr:cNvPr id="27" name="Graphic 26" descr="Warning with solid fill">
          <a:extLst>
            <a:ext uri="{FF2B5EF4-FFF2-40B4-BE49-F238E27FC236}">
              <a16:creationId xmlns:a16="http://schemas.microsoft.com/office/drawing/2014/main" id="{D4AD9846-7045-63E3-DD0D-4810C65017E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070080" y="251460"/>
          <a:ext cx="464820" cy="381000"/>
        </a:xfrm>
        <a:prstGeom prst="rect">
          <a:avLst/>
        </a:prstGeom>
      </xdr:spPr>
    </xdr:pic>
    <xdr:clientData/>
  </xdr:twoCellAnchor>
  <xdr:twoCellAnchor editAs="oneCell">
    <xdr:from>
      <xdr:col>19</xdr:col>
      <xdr:colOff>160020</xdr:colOff>
      <xdr:row>1</xdr:row>
      <xdr:rowOff>60960</xdr:rowOff>
    </xdr:from>
    <xdr:to>
      <xdr:col>19</xdr:col>
      <xdr:colOff>518160</xdr:colOff>
      <xdr:row>3</xdr:row>
      <xdr:rowOff>53340</xdr:rowOff>
    </xdr:to>
    <xdr:pic>
      <xdr:nvPicPr>
        <xdr:cNvPr id="29" name="Graphic 28" descr="Money with solid fill">
          <a:extLst>
            <a:ext uri="{FF2B5EF4-FFF2-40B4-BE49-F238E27FC236}">
              <a16:creationId xmlns:a16="http://schemas.microsoft.com/office/drawing/2014/main" id="{9F15010A-FCC2-7E05-0B5D-C210436BE13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571220" y="243840"/>
          <a:ext cx="358140" cy="358140"/>
        </a:xfrm>
        <a:prstGeom prst="rect">
          <a:avLst/>
        </a:prstGeom>
      </xdr:spPr>
    </xdr:pic>
    <xdr:clientData/>
  </xdr:twoCellAnchor>
  <xdr:twoCellAnchor editAs="oneCell">
    <xdr:from>
      <xdr:col>15</xdr:col>
      <xdr:colOff>365760</xdr:colOff>
      <xdr:row>17</xdr:row>
      <xdr:rowOff>60960</xdr:rowOff>
    </xdr:from>
    <xdr:to>
      <xdr:col>15</xdr:col>
      <xdr:colOff>807720</xdr:colOff>
      <xdr:row>19</xdr:row>
      <xdr:rowOff>137160</xdr:rowOff>
    </xdr:to>
    <xdr:pic>
      <xdr:nvPicPr>
        <xdr:cNvPr id="31" name="Graphic 30" descr="No sign with solid fill">
          <a:extLst>
            <a:ext uri="{FF2B5EF4-FFF2-40B4-BE49-F238E27FC236}">
              <a16:creationId xmlns:a16="http://schemas.microsoft.com/office/drawing/2014/main" id="{735D75FB-4563-65F2-C9A4-04D4A2ACDA7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509760" y="3169920"/>
          <a:ext cx="441960" cy="441960"/>
        </a:xfrm>
        <a:prstGeom prst="rect">
          <a:avLst/>
        </a:prstGeom>
      </xdr:spPr>
    </xdr:pic>
    <xdr:clientData/>
  </xdr:twoCellAnchor>
  <xdr:twoCellAnchor editAs="oneCell">
    <xdr:from>
      <xdr:col>17</xdr:col>
      <xdr:colOff>746760</xdr:colOff>
      <xdr:row>18</xdr:row>
      <xdr:rowOff>114300</xdr:rowOff>
    </xdr:from>
    <xdr:to>
      <xdr:col>17</xdr:col>
      <xdr:colOff>1165860</xdr:colOff>
      <xdr:row>21</xdr:row>
      <xdr:rowOff>53340</xdr:rowOff>
    </xdr:to>
    <xdr:pic>
      <xdr:nvPicPr>
        <xdr:cNvPr id="33" name="Graphic 32" descr="Earth globe: Africa and Europe with solid fill">
          <a:extLst>
            <a:ext uri="{FF2B5EF4-FFF2-40B4-BE49-F238E27FC236}">
              <a16:creationId xmlns:a16="http://schemas.microsoft.com/office/drawing/2014/main" id="{51FC4C0F-56A0-5D01-17C2-2FD17E2E31B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750040" y="3406140"/>
          <a:ext cx="419100" cy="487680"/>
        </a:xfrm>
        <a:prstGeom prst="rect">
          <a:avLst/>
        </a:prstGeom>
      </xdr:spPr>
    </xdr:pic>
    <xdr:clientData/>
  </xdr:twoCellAnchor>
  <xdr:twoCellAnchor editAs="oneCell">
    <xdr:from>
      <xdr:col>15</xdr:col>
      <xdr:colOff>350520</xdr:colOff>
      <xdr:row>22</xdr:row>
      <xdr:rowOff>45720</xdr:rowOff>
    </xdr:from>
    <xdr:to>
      <xdr:col>16</xdr:col>
      <xdr:colOff>464820</xdr:colOff>
      <xdr:row>28</xdr:row>
      <xdr:rowOff>38100</xdr:rowOff>
    </xdr:to>
    <xdr:pic>
      <xdr:nvPicPr>
        <xdr:cNvPr id="37" name="Graphic 36" descr="Bank with solid fill">
          <a:extLst>
            <a:ext uri="{FF2B5EF4-FFF2-40B4-BE49-F238E27FC236}">
              <a16:creationId xmlns:a16="http://schemas.microsoft.com/office/drawing/2014/main" id="{C0FD36D9-3080-19FA-170C-5B3FF70DAA3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494520" y="4069080"/>
          <a:ext cx="998220" cy="1089660"/>
        </a:xfrm>
        <a:prstGeom prst="rect">
          <a:avLst/>
        </a:prstGeom>
      </xdr:spPr>
    </xdr:pic>
    <xdr:clientData/>
  </xdr:twoCellAnchor>
  <xdr:twoCellAnchor editAs="oneCell">
    <xdr:from>
      <xdr:col>17</xdr:col>
      <xdr:colOff>990600</xdr:colOff>
      <xdr:row>25</xdr:row>
      <xdr:rowOff>137160</xdr:rowOff>
    </xdr:from>
    <xdr:to>
      <xdr:col>18</xdr:col>
      <xdr:colOff>45720</xdr:colOff>
      <xdr:row>28</xdr:row>
      <xdr:rowOff>0</xdr:rowOff>
    </xdr:to>
    <xdr:pic>
      <xdr:nvPicPr>
        <xdr:cNvPr id="39" name="Graphic 38" descr="Hourglass Finished with solid fill">
          <a:extLst>
            <a:ext uri="{FF2B5EF4-FFF2-40B4-BE49-F238E27FC236}">
              <a16:creationId xmlns:a16="http://schemas.microsoft.com/office/drawing/2014/main" id="{AD8F87B0-8666-99A4-97D4-99611E5736D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993880" y="4709160"/>
          <a:ext cx="411480" cy="411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ng Patil" refreshedDate="46103.682311111108" createdVersion="8" refreshedVersion="8" minRefreshableVersion="3" recordCount="4999" xr:uid="{DA4C5045-493B-4AA1-841C-2670E9F99874}">
  <cacheSource type="worksheet">
    <worksheetSource ref="A1:N5000" sheet="Sheet1"/>
  </cacheSource>
  <cacheFields count="17">
    <cacheField name="Time" numFmtId="21">
      <sharedItems containsSemiMixedTypes="0" containsNonDate="0" containsDate="1" containsString="0" minDate="1899-12-30T10:35:19" maxDate="1899-12-30T13:42:23" count="4046">
        <d v="1899-12-30T10:35:19"/>
        <d v="1899-12-30T10:35:20"/>
        <d v="1899-12-30T10:35:21"/>
        <d v="1899-12-30T10:35:23"/>
        <d v="1899-12-30T10:35:26"/>
        <d v="1899-12-30T10:35:29"/>
        <d v="1899-12-30T10:35:31"/>
        <d v="1899-12-30T10:35:34"/>
        <d v="1899-12-30T10:35:37"/>
        <d v="1899-12-30T10:35:38"/>
        <d v="1899-12-30T10:35:41"/>
        <d v="1899-12-30T10:35:43"/>
        <d v="1899-12-30T10:35:44"/>
        <d v="1899-12-30T10:35:46"/>
        <d v="1899-12-30T10:35:50"/>
        <d v="1899-12-30T10:35:53"/>
        <d v="1899-12-30T10:35:54"/>
        <d v="1899-12-30T10:35:55"/>
        <d v="1899-12-30T10:36:00"/>
        <d v="1899-12-30T10:36:01"/>
        <d v="1899-12-30T10:36:04"/>
        <d v="1899-12-30T10:36:05"/>
        <d v="1899-12-30T10:36:07"/>
        <d v="1899-12-30T10:36:08"/>
        <d v="1899-12-30T10:36:09"/>
        <d v="1899-12-30T10:36:13"/>
        <d v="1899-12-30T10:36:14"/>
        <d v="1899-12-30T10:36:15"/>
        <d v="1899-12-30T10:36:18"/>
        <d v="1899-12-30T10:36:23"/>
        <d v="1899-12-30T10:36:31"/>
        <d v="1899-12-30T10:36:34"/>
        <d v="1899-12-30T10:36:35"/>
        <d v="1899-12-30T10:36:36"/>
        <d v="1899-12-30T10:36:37"/>
        <d v="1899-12-30T10:36:45"/>
        <d v="1899-12-30T10:36:48"/>
        <d v="1899-12-30T10:36:55"/>
        <d v="1899-12-30T10:36:57"/>
        <d v="1899-12-30T10:36:59"/>
        <d v="1899-12-30T10:37:05"/>
        <d v="1899-12-30T10:37:07"/>
        <d v="1899-12-30T10:37:08"/>
        <d v="1899-12-30T10:37:10"/>
        <d v="1899-12-30T10:37:15"/>
        <d v="1899-12-30T10:37:18"/>
        <d v="1899-12-30T10:37:19"/>
        <d v="1899-12-30T10:37:21"/>
        <d v="1899-12-30T10:37:23"/>
        <d v="1899-12-30T10:37:27"/>
        <d v="1899-12-30T10:37:29"/>
        <d v="1899-12-30T10:37:30"/>
        <d v="1899-12-30T10:37:35"/>
        <d v="1899-12-30T10:37:41"/>
        <d v="1899-12-30T10:37:42"/>
        <d v="1899-12-30T10:37:45"/>
        <d v="1899-12-30T10:37:49"/>
        <d v="1899-12-30T10:37:50"/>
        <d v="1899-12-30T10:37:56"/>
        <d v="1899-12-30T10:38:01"/>
        <d v="1899-12-30T10:38:02"/>
        <d v="1899-12-30T10:38:04"/>
        <d v="1899-12-30T10:38:07"/>
        <d v="1899-12-30T10:38:09"/>
        <d v="1899-12-30T10:38:13"/>
        <d v="1899-12-30T10:38:16"/>
        <d v="1899-12-30T10:38:19"/>
        <d v="1899-12-30T10:38:20"/>
        <d v="1899-12-30T10:38:24"/>
        <d v="1899-12-30T10:38:25"/>
        <d v="1899-12-30T10:38:28"/>
        <d v="1899-12-30T10:38:29"/>
        <d v="1899-12-30T10:38:31"/>
        <d v="1899-12-30T10:38:36"/>
        <d v="1899-12-30T10:38:41"/>
        <d v="1899-12-30T10:38:46"/>
        <d v="1899-12-30T10:38:47"/>
        <d v="1899-12-30T10:38:50"/>
        <d v="1899-12-30T10:38:53"/>
        <d v="1899-12-30T10:38:58"/>
        <d v="1899-12-30T10:39:00"/>
        <d v="1899-12-30T10:39:01"/>
        <d v="1899-12-30T10:39:02"/>
        <d v="1899-12-30T10:39:07"/>
        <d v="1899-12-30T10:39:10"/>
        <d v="1899-12-30T10:39:12"/>
        <d v="1899-12-30T10:39:16"/>
        <d v="1899-12-30T10:39:25"/>
        <d v="1899-12-30T10:39:26"/>
        <d v="1899-12-30T10:39:27"/>
        <d v="1899-12-30T10:39:33"/>
        <d v="1899-12-30T10:39:35"/>
        <d v="1899-12-30T10:39:37"/>
        <d v="1899-12-30T10:39:40"/>
        <d v="1899-12-30T10:39:48"/>
        <d v="1899-12-30T10:39:50"/>
        <d v="1899-12-30T10:39:53"/>
        <d v="1899-12-30T10:39:59"/>
        <d v="1899-12-30T10:40:01"/>
        <d v="1899-12-30T10:40:02"/>
        <d v="1899-12-30T10:40:04"/>
        <d v="1899-12-30T10:40:05"/>
        <d v="1899-12-30T10:40:08"/>
        <d v="1899-12-30T10:40:10"/>
        <d v="1899-12-30T10:40:11"/>
        <d v="1899-12-30T10:40:13"/>
        <d v="1899-12-30T10:40:15"/>
        <d v="1899-12-30T10:40:17"/>
        <d v="1899-12-30T10:40:19"/>
        <d v="1899-12-30T10:40:20"/>
        <d v="1899-12-30T10:40:22"/>
        <d v="1899-12-30T10:40:24"/>
        <d v="1899-12-30T10:40:25"/>
        <d v="1899-12-30T10:40:26"/>
        <d v="1899-12-30T10:40:31"/>
        <d v="1899-12-30T10:40:32"/>
        <d v="1899-12-30T10:40:34"/>
        <d v="1899-12-30T10:40:35"/>
        <d v="1899-12-30T10:40:36"/>
        <d v="1899-12-30T10:40:38"/>
        <d v="1899-12-30T10:40:42"/>
        <d v="1899-12-30T10:40:46"/>
        <d v="1899-12-30T10:40:48"/>
        <d v="1899-12-30T10:40:49"/>
        <d v="1899-12-30T10:40:54"/>
        <d v="1899-12-30T10:40:56"/>
        <d v="1899-12-30T10:40:57"/>
        <d v="1899-12-30T10:40:58"/>
        <d v="1899-12-30T10:41:00"/>
        <d v="1899-12-30T10:41:03"/>
        <d v="1899-12-30T10:41:04"/>
        <d v="1899-12-30T10:41:06"/>
        <d v="1899-12-30T10:41:15"/>
        <d v="1899-12-30T10:41:16"/>
        <d v="1899-12-30T10:41:17"/>
        <d v="1899-12-30T10:41:19"/>
        <d v="1899-12-30T10:41:20"/>
        <d v="1899-12-30T10:41:21"/>
        <d v="1899-12-30T10:41:23"/>
        <d v="1899-12-30T10:41:24"/>
        <d v="1899-12-30T10:41:26"/>
        <d v="1899-12-30T10:41:31"/>
        <d v="1899-12-30T10:41:33"/>
        <d v="1899-12-30T10:41:36"/>
        <d v="1899-12-30T10:41:37"/>
        <d v="1899-12-30T10:41:40"/>
        <d v="1899-12-30T10:41:41"/>
        <d v="1899-12-30T10:41:42"/>
        <d v="1899-12-30T10:41:43"/>
        <d v="1899-12-30T10:41:45"/>
        <d v="1899-12-30T10:41:48"/>
        <d v="1899-12-30T10:41:50"/>
        <d v="1899-12-30T10:41:53"/>
        <d v="1899-12-30T10:41:55"/>
        <d v="1899-12-30T10:41:58"/>
        <d v="1899-12-30T10:42:00"/>
        <d v="1899-12-30T10:42:01"/>
        <d v="1899-12-30T10:42:03"/>
        <d v="1899-12-30T10:42:04"/>
        <d v="1899-12-30T10:42:06"/>
        <d v="1899-12-30T10:42:08"/>
        <d v="1899-12-30T10:42:10"/>
        <d v="1899-12-30T10:42:13"/>
        <d v="1899-12-30T10:42:14"/>
        <d v="1899-12-30T10:42:16"/>
        <d v="1899-12-30T10:42:17"/>
        <d v="1899-12-30T10:42:18"/>
        <d v="1899-12-30T10:42:21"/>
        <d v="1899-12-30T10:42:23"/>
        <d v="1899-12-30T10:42:26"/>
        <d v="1899-12-30T10:42:29"/>
        <d v="1899-12-30T10:42:32"/>
        <d v="1899-12-30T10:42:33"/>
        <d v="1899-12-30T10:42:34"/>
        <d v="1899-12-30T10:42:36"/>
        <d v="1899-12-30T10:42:37"/>
        <d v="1899-12-30T10:42:41"/>
        <d v="1899-12-30T10:42:44"/>
        <d v="1899-12-30T10:42:45"/>
        <d v="1899-12-30T10:42:47"/>
        <d v="1899-12-30T10:42:51"/>
        <d v="1899-12-30T10:42:55"/>
        <d v="1899-12-30T10:43:01"/>
        <d v="1899-12-30T10:43:04"/>
        <d v="1899-12-30T10:43:07"/>
        <d v="1899-12-30T10:43:09"/>
        <d v="1899-12-30T10:43:11"/>
        <d v="1899-12-30T10:43:12"/>
        <d v="1899-12-30T10:43:15"/>
        <d v="1899-12-30T10:43:17"/>
        <d v="1899-12-30T10:43:26"/>
        <d v="1899-12-30T10:43:31"/>
        <d v="1899-12-30T10:43:34"/>
        <d v="1899-12-30T10:43:35"/>
        <d v="1899-12-30T10:43:36"/>
        <d v="1899-12-30T10:43:39"/>
        <d v="1899-12-30T10:43:40"/>
        <d v="1899-12-30T10:43:42"/>
        <d v="1899-12-30T10:43:44"/>
        <d v="1899-12-30T10:43:52"/>
        <d v="1899-12-30T10:43:53"/>
        <d v="1899-12-30T10:43:58"/>
        <d v="1899-12-30T10:43:59"/>
        <d v="1899-12-30T10:44:01"/>
        <d v="1899-12-30T10:44:03"/>
        <d v="1899-12-30T10:44:08"/>
        <d v="1899-12-30T10:44:11"/>
        <d v="1899-12-30T10:44:16"/>
        <d v="1899-12-30T10:44:17"/>
        <d v="1899-12-30T10:44:23"/>
        <d v="1899-12-30T10:44:24"/>
        <d v="1899-12-30T10:44:25"/>
        <d v="1899-12-30T10:44:27"/>
        <d v="1899-12-30T10:44:34"/>
        <d v="1899-12-30T10:44:38"/>
        <d v="1899-12-30T10:44:39"/>
        <d v="1899-12-30T10:44:41"/>
        <d v="1899-12-30T10:44:46"/>
        <d v="1899-12-30T10:44:47"/>
        <d v="1899-12-30T10:44:48"/>
        <d v="1899-12-30T10:44:55"/>
        <d v="1899-12-30T10:44:56"/>
        <d v="1899-12-30T10:44:57"/>
        <d v="1899-12-30T10:44:58"/>
        <d v="1899-12-30T10:45:03"/>
        <d v="1899-12-30T10:45:05"/>
        <d v="1899-12-30T10:45:09"/>
        <d v="1899-12-30T10:45:23"/>
        <d v="1899-12-30T10:45:24"/>
        <d v="1899-12-30T10:45:27"/>
        <d v="1899-12-30T10:45:29"/>
        <d v="1899-12-30T10:45:30"/>
        <d v="1899-12-30T10:45:34"/>
        <d v="1899-12-30T10:45:41"/>
        <d v="1899-12-30T10:45:45"/>
        <d v="1899-12-30T10:45:46"/>
        <d v="1899-12-30T10:45:49"/>
        <d v="1899-12-30T10:45:52"/>
        <d v="1899-12-30T10:45:56"/>
        <d v="1899-12-30T10:45:58"/>
        <d v="1899-12-30T10:46:10"/>
        <d v="1899-12-30T10:46:13"/>
        <d v="1899-12-30T10:46:17"/>
        <d v="1899-12-30T10:46:19"/>
        <d v="1899-12-30T10:46:24"/>
        <d v="1899-12-30T10:46:26"/>
        <d v="1899-12-30T10:46:28"/>
        <d v="1899-12-30T10:46:31"/>
        <d v="1899-12-30T10:46:33"/>
        <d v="1899-12-30T10:46:34"/>
        <d v="1899-12-30T10:46:37"/>
        <d v="1899-12-30T10:46:39"/>
        <d v="1899-12-30T10:46:40"/>
        <d v="1899-12-30T10:46:45"/>
        <d v="1899-12-30T10:46:48"/>
        <d v="1899-12-30T10:46:52"/>
        <d v="1899-12-30T10:46:53"/>
        <d v="1899-12-30T10:46:54"/>
        <d v="1899-12-30T10:46:56"/>
        <d v="1899-12-30T10:46:57"/>
        <d v="1899-12-30T10:46:58"/>
        <d v="1899-12-30T10:47:05"/>
        <d v="1899-12-30T10:47:07"/>
        <d v="1899-12-30T10:47:08"/>
        <d v="1899-12-30T10:47:10"/>
        <d v="1899-12-30T10:47:13"/>
        <d v="1899-12-30T10:47:14"/>
        <d v="1899-12-30T10:47:17"/>
        <d v="1899-12-30T10:47:25"/>
        <d v="1899-12-30T10:47:27"/>
        <d v="1899-12-30T10:47:29"/>
        <d v="1899-12-30T10:47:33"/>
        <d v="1899-12-30T10:47:34"/>
        <d v="1899-12-30T10:47:35"/>
        <d v="1899-12-30T10:47:36"/>
        <d v="1899-12-30T10:47:37"/>
        <d v="1899-12-30T10:47:38"/>
        <d v="1899-12-30T10:47:41"/>
        <d v="1899-12-30T10:47:42"/>
        <d v="1899-12-30T10:47:44"/>
        <d v="1899-12-30T10:47:48"/>
        <d v="1899-12-30T10:47:49"/>
        <d v="1899-12-30T10:47:50"/>
        <d v="1899-12-30T10:47:53"/>
        <d v="1899-12-30T10:47:57"/>
        <d v="1899-12-30T10:48:01"/>
        <d v="1899-12-30T10:48:02"/>
        <d v="1899-12-30T10:48:08"/>
        <d v="1899-12-30T10:48:15"/>
        <d v="1899-12-30T10:48:18"/>
        <d v="1899-12-30T10:48:21"/>
        <d v="1899-12-30T10:48:22"/>
        <d v="1899-12-30T10:48:23"/>
        <d v="1899-12-30T10:48:25"/>
        <d v="1899-12-30T10:48:32"/>
        <d v="1899-12-30T10:48:33"/>
        <d v="1899-12-30T10:48:35"/>
        <d v="1899-12-30T10:48:37"/>
        <d v="1899-12-30T10:48:38"/>
        <d v="1899-12-30T10:48:39"/>
        <d v="1899-12-30T10:48:42"/>
        <d v="1899-12-30T10:48:44"/>
        <d v="1899-12-30T10:48:45"/>
        <d v="1899-12-30T10:48:49"/>
        <d v="1899-12-30T10:48:54"/>
        <d v="1899-12-30T10:48:58"/>
        <d v="1899-12-30T10:48:59"/>
        <d v="1899-12-30T10:49:00"/>
        <d v="1899-12-30T10:49:01"/>
        <d v="1899-12-30T10:49:02"/>
        <d v="1899-12-30T10:49:04"/>
        <d v="1899-12-30T10:49:08"/>
        <d v="1899-12-30T10:49:09"/>
        <d v="1899-12-30T10:49:15"/>
        <d v="1899-12-30T10:49:18"/>
        <d v="1899-12-30T10:49:19"/>
        <d v="1899-12-30T10:49:20"/>
        <d v="1899-12-30T10:49:21"/>
        <d v="1899-12-30T10:49:23"/>
        <d v="1899-12-30T10:49:24"/>
        <d v="1899-12-30T10:49:26"/>
        <d v="1899-12-30T10:49:35"/>
        <d v="1899-12-30T10:49:39"/>
        <d v="1899-12-30T10:49:43"/>
        <d v="1899-12-30T10:49:44"/>
        <d v="1899-12-30T10:49:47"/>
        <d v="1899-12-30T10:49:49"/>
        <d v="1899-12-30T10:49:52"/>
        <d v="1899-12-30T10:49:53"/>
        <d v="1899-12-30T10:49:56"/>
        <d v="1899-12-30T10:50:01"/>
        <d v="1899-12-30T10:50:04"/>
        <d v="1899-12-30T10:50:13"/>
        <d v="1899-12-30T10:50:14"/>
        <d v="1899-12-30T10:50:23"/>
        <d v="1899-12-30T10:50:24"/>
        <d v="1899-12-30T10:50:26"/>
        <d v="1899-12-30T10:50:27"/>
        <d v="1899-12-30T10:50:28"/>
        <d v="1899-12-30T10:50:31"/>
        <d v="1899-12-30T10:50:34"/>
        <d v="1899-12-30T10:50:42"/>
        <d v="1899-12-30T10:50:43"/>
        <d v="1899-12-30T10:50:46"/>
        <d v="1899-12-30T10:50:53"/>
        <d v="1899-12-30T10:50:56"/>
        <d v="1899-12-30T10:50:57"/>
        <d v="1899-12-30T10:50:58"/>
        <d v="1899-12-30T10:51:02"/>
        <d v="1899-12-30T10:51:05"/>
        <d v="1899-12-30T10:51:06"/>
        <d v="1899-12-30T10:51:07"/>
        <d v="1899-12-30T10:51:13"/>
        <d v="1899-12-30T10:51:14"/>
        <d v="1899-12-30T10:51:16"/>
        <d v="1899-12-30T10:51:18"/>
        <d v="1899-12-30T10:51:20"/>
        <d v="1899-12-30T10:51:23"/>
        <d v="1899-12-30T10:51:24"/>
        <d v="1899-12-30T10:51:26"/>
        <d v="1899-12-30T10:51:27"/>
        <d v="1899-12-30T10:51:29"/>
        <d v="1899-12-30T10:51:30"/>
        <d v="1899-12-30T10:51:31"/>
        <d v="1899-12-30T10:51:33"/>
        <d v="1899-12-30T10:51:34"/>
        <d v="1899-12-30T10:51:35"/>
        <d v="1899-12-30T10:51:46"/>
        <d v="1899-12-30T10:51:48"/>
        <d v="1899-12-30T10:51:50"/>
        <d v="1899-12-30T10:51:55"/>
        <d v="1899-12-30T10:52:01"/>
        <d v="1899-12-30T10:52:02"/>
        <d v="1899-12-30T10:52:05"/>
        <d v="1899-12-30T10:52:08"/>
        <d v="1899-12-30T10:52:09"/>
        <d v="1899-12-30T10:52:11"/>
        <d v="1899-12-30T10:52:13"/>
        <d v="1899-12-30T10:52:16"/>
        <d v="1899-12-30T10:52:19"/>
        <d v="1899-12-30T10:52:20"/>
        <d v="1899-12-30T10:52:22"/>
        <d v="1899-12-30T10:52:36"/>
        <d v="1899-12-30T10:52:40"/>
        <d v="1899-12-30T10:52:41"/>
        <d v="1899-12-30T10:52:44"/>
        <d v="1899-12-30T10:52:49"/>
        <d v="1899-12-30T10:53:03"/>
        <d v="1899-12-30T10:53:04"/>
        <d v="1899-12-30T10:53:05"/>
        <d v="1899-12-30T10:53:08"/>
        <d v="1899-12-30T10:53:09"/>
        <d v="1899-12-30T10:53:13"/>
        <d v="1899-12-30T10:53:22"/>
        <d v="1899-12-30T10:53:24"/>
        <d v="1899-12-30T10:53:26"/>
        <d v="1899-12-30T10:53:30"/>
        <d v="1899-12-30T10:53:34"/>
        <d v="1899-12-30T10:53:35"/>
        <d v="1899-12-30T10:53:36"/>
        <d v="1899-12-30T10:53:37"/>
        <d v="1899-12-30T10:53:39"/>
        <d v="1899-12-30T10:53:40"/>
        <d v="1899-12-30T10:53:43"/>
        <d v="1899-12-30T10:53:44"/>
        <d v="1899-12-30T10:53:47"/>
        <d v="1899-12-30T10:53:49"/>
        <d v="1899-12-30T10:53:54"/>
        <d v="1899-12-30T10:53:56"/>
        <d v="1899-12-30T10:54:01"/>
        <d v="1899-12-30T10:54:02"/>
        <d v="1899-12-30T10:54:04"/>
        <d v="1899-12-30T10:54:05"/>
        <d v="1899-12-30T10:54:06"/>
        <d v="1899-12-30T10:54:10"/>
        <d v="1899-12-30T10:54:12"/>
        <d v="1899-12-30T10:54:13"/>
        <d v="1899-12-30T10:54:15"/>
        <d v="1899-12-30T10:54:18"/>
        <d v="1899-12-30T10:54:21"/>
        <d v="1899-12-30T10:54:22"/>
        <d v="1899-12-30T10:54:23"/>
        <d v="1899-12-30T10:54:28"/>
        <d v="1899-12-30T10:54:29"/>
        <d v="1899-12-30T10:54:32"/>
        <d v="1899-12-30T10:54:34"/>
        <d v="1899-12-30T10:54:35"/>
        <d v="1899-12-30T10:54:38"/>
        <d v="1899-12-30T10:54:39"/>
        <d v="1899-12-30T10:54:42"/>
        <d v="1899-12-30T10:54:45"/>
        <d v="1899-12-30T10:54:46"/>
        <d v="1899-12-30T10:54:55"/>
        <d v="1899-12-30T10:54:56"/>
        <d v="1899-12-30T10:55:00"/>
        <d v="1899-12-30T10:55:03"/>
        <d v="1899-12-30T10:55:04"/>
        <d v="1899-12-30T10:55:06"/>
        <d v="1899-12-30T10:55:07"/>
        <d v="1899-12-30T10:55:10"/>
        <d v="1899-12-30T10:55:11"/>
        <d v="1899-12-30T10:55:12"/>
        <d v="1899-12-30T10:55:16"/>
        <d v="1899-12-30T10:55:30"/>
        <d v="1899-12-30T10:55:31"/>
        <d v="1899-12-30T10:55:40"/>
        <d v="1899-12-30T10:55:41"/>
        <d v="1899-12-30T10:55:44"/>
        <d v="1899-12-30T10:55:47"/>
        <d v="1899-12-30T10:55:49"/>
        <d v="1899-12-30T10:55:50"/>
        <d v="1899-12-30T10:55:52"/>
        <d v="1899-12-30T10:55:54"/>
        <d v="1899-12-30T10:55:56"/>
        <d v="1899-12-30T10:56:03"/>
        <d v="1899-12-30T10:56:04"/>
        <d v="1899-12-30T10:56:11"/>
        <d v="1899-12-30T10:56:18"/>
        <d v="1899-12-30T10:56:22"/>
        <d v="1899-12-30T10:56:23"/>
        <d v="1899-12-30T10:56:24"/>
        <d v="1899-12-30T10:56:26"/>
        <d v="1899-12-30T10:56:33"/>
        <d v="1899-12-30T10:56:35"/>
        <d v="1899-12-30T10:56:37"/>
        <d v="1899-12-30T10:56:44"/>
        <d v="1899-12-30T10:56:45"/>
        <d v="1899-12-30T10:56:48"/>
        <d v="1899-12-30T10:56:51"/>
        <d v="1899-12-30T10:56:52"/>
        <d v="1899-12-30T10:56:55"/>
        <d v="1899-12-30T10:57:00"/>
        <d v="1899-12-30T10:57:04"/>
        <d v="1899-12-30T10:57:05"/>
        <d v="1899-12-30T10:57:07"/>
        <d v="1899-12-30T10:57:08"/>
        <d v="1899-12-30T10:57:11"/>
        <d v="1899-12-30T10:57:14"/>
        <d v="1899-12-30T10:57:15"/>
        <d v="1899-12-30T10:57:17"/>
        <d v="1899-12-30T10:57:18"/>
        <d v="1899-12-30T10:57:19"/>
        <d v="1899-12-30T10:57:28"/>
        <d v="1899-12-30T10:57:31"/>
        <d v="1899-12-30T10:57:33"/>
        <d v="1899-12-30T10:57:35"/>
        <d v="1899-12-30T10:57:38"/>
        <d v="1899-12-30T10:57:45"/>
        <d v="1899-12-30T10:57:48"/>
        <d v="1899-12-30T10:57:49"/>
        <d v="1899-12-30T10:57:53"/>
        <d v="1899-12-30T10:57:58"/>
        <d v="1899-12-30T10:57:59"/>
        <d v="1899-12-30T10:58:02"/>
        <d v="1899-12-30T10:58:03"/>
        <d v="1899-12-30T10:58:16"/>
        <d v="1899-12-30T10:58:22"/>
        <d v="1899-12-30T10:58:25"/>
        <d v="1899-12-30T10:58:26"/>
        <d v="1899-12-30T10:58:29"/>
        <d v="1899-12-30T10:58:37"/>
        <d v="1899-12-30T10:58:39"/>
        <d v="1899-12-30T10:58:40"/>
        <d v="1899-12-30T10:58:42"/>
        <d v="1899-12-30T10:58:44"/>
        <d v="1899-12-30T10:58:46"/>
        <d v="1899-12-30T10:58:48"/>
        <d v="1899-12-30T10:58:50"/>
        <d v="1899-12-30T10:58:54"/>
        <d v="1899-12-30T10:58:59"/>
        <d v="1899-12-30T10:59:03"/>
        <d v="1899-12-30T10:59:04"/>
        <d v="1899-12-30T10:59:07"/>
        <d v="1899-12-30T10:59:11"/>
        <d v="1899-12-30T10:59:13"/>
        <d v="1899-12-30T10:59:15"/>
        <d v="1899-12-30T10:59:21"/>
        <d v="1899-12-30T10:59:28"/>
        <d v="1899-12-30T10:59:30"/>
        <d v="1899-12-30T10:59:31"/>
        <d v="1899-12-30T10:59:33"/>
        <d v="1899-12-30T10:59:34"/>
        <d v="1899-12-30T10:59:36"/>
        <d v="1899-12-30T10:59:38"/>
        <d v="1899-12-30T10:59:42"/>
        <d v="1899-12-30T10:59:48"/>
        <d v="1899-12-30T10:59:51"/>
        <d v="1899-12-30T10:59:54"/>
        <d v="1899-12-30T10:59:55"/>
        <d v="1899-12-30T10:59:59"/>
        <d v="1899-12-30T11:00:01"/>
        <d v="1899-12-30T11:00:03"/>
        <d v="1899-12-30T11:00:05"/>
        <d v="1899-12-30T11:00:06"/>
        <d v="1899-12-30T11:00:07"/>
        <d v="1899-12-30T11:00:10"/>
        <d v="1899-12-30T11:00:12"/>
        <d v="1899-12-30T11:00:19"/>
        <d v="1899-12-30T11:00:22"/>
        <d v="1899-12-30T11:00:23"/>
        <d v="1899-12-30T11:00:24"/>
        <d v="1899-12-30T11:00:25"/>
        <d v="1899-12-30T11:00:28"/>
        <d v="1899-12-30T11:00:29"/>
        <d v="1899-12-30T11:00:37"/>
        <d v="1899-12-30T11:00:40"/>
        <d v="1899-12-30T11:00:41"/>
        <d v="1899-12-30T11:00:42"/>
        <d v="1899-12-30T11:00:47"/>
        <d v="1899-12-30T11:00:50"/>
        <d v="1899-12-30T11:00:55"/>
        <d v="1899-12-30T11:00:56"/>
        <d v="1899-12-30T11:00:59"/>
        <d v="1899-12-30T11:01:03"/>
        <d v="1899-12-30T11:01:05"/>
        <d v="1899-12-30T11:01:11"/>
        <d v="1899-12-30T11:01:14"/>
        <d v="1899-12-30T11:01:15"/>
        <d v="1899-12-30T11:01:16"/>
        <d v="1899-12-30T11:01:17"/>
        <d v="1899-12-30T11:01:19"/>
        <d v="1899-12-30T11:01:20"/>
        <d v="1899-12-30T11:01:21"/>
        <d v="1899-12-30T11:01:23"/>
        <d v="1899-12-30T11:01:24"/>
        <d v="1899-12-30T11:01:31"/>
        <d v="1899-12-30T11:01:32"/>
        <d v="1899-12-30T11:01:33"/>
        <d v="1899-12-30T11:01:39"/>
        <d v="1899-12-30T11:01:41"/>
        <d v="1899-12-30T11:01:44"/>
        <d v="1899-12-30T11:01:46"/>
        <d v="1899-12-30T11:01:47"/>
        <d v="1899-12-30T11:01:48"/>
        <d v="1899-12-30T11:01:50"/>
        <d v="1899-12-30T11:01:51"/>
        <d v="1899-12-30T11:01:52"/>
        <d v="1899-12-30T11:01:55"/>
        <d v="1899-12-30T11:01:57"/>
        <d v="1899-12-30T11:01:58"/>
        <d v="1899-12-30T11:01:59"/>
        <d v="1899-12-30T11:02:01"/>
        <d v="1899-12-30T11:02:02"/>
        <d v="1899-12-30T11:02:04"/>
        <d v="1899-12-30T11:02:12"/>
        <d v="1899-12-30T11:02:15"/>
        <d v="1899-12-30T11:02:17"/>
        <d v="1899-12-30T11:02:20"/>
        <d v="1899-12-30T11:02:22"/>
        <d v="1899-12-30T11:02:23"/>
        <d v="1899-12-30T11:02:25"/>
        <d v="1899-12-30T11:02:28"/>
        <d v="1899-12-30T11:02:30"/>
        <d v="1899-12-30T11:02:35"/>
        <d v="1899-12-30T11:02:37"/>
        <d v="1899-12-30T11:02:38"/>
        <d v="1899-12-30T11:02:44"/>
        <d v="1899-12-30T11:02:46"/>
        <d v="1899-12-30T11:02:49"/>
        <d v="1899-12-30T11:02:50"/>
        <d v="1899-12-30T11:02:54"/>
        <d v="1899-12-30T11:02:56"/>
        <d v="1899-12-30T11:02:58"/>
        <d v="1899-12-30T11:03:00"/>
        <d v="1899-12-30T11:03:03"/>
        <d v="1899-12-30T11:03:04"/>
        <d v="1899-12-30T11:03:07"/>
        <d v="1899-12-30T11:03:08"/>
        <d v="1899-12-30T11:03:09"/>
        <d v="1899-12-30T11:03:10"/>
        <d v="1899-12-30T11:03:11"/>
        <d v="1899-12-30T11:03:20"/>
        <d v="1899-12-30T11:03:21"/>
        <d v="1899-12-30T11:03:24"/>
        <d v="1899-12-30T11:03:25"/>
        <d v="1899-12-30T11:03:27"/>
        <d v="1899-12-30T11:03:28"/>
        <d v="1899-12-30T11:03:33"/>
        <d v="1899-12-30T11:03:39"/>
        <d v="1899-12-30T11:03:41"/>
        <d v="1899-12-30T11:03:43"/>
        <d v="1899-12-30T11:03:44"/>
        <d v="1899-12-30T11:03:51"/>
        <d v="1899-12-30T11:03:55"/>
        <d v="1899-12-30T11:03:56"/>
        <d v="1899-12-30T11:03:57"/>
        <d v="1899-12-30T11:03:58"/>
        <d v="1899-12-30T11:04:00"/>
        <d v="1899-12-30T11:04:01"/>
        <d v="1899-12-30T11:04:02"/>
        <d v="1899-12-30T11:04:08"/>
        <d v="1899-12-30T11:04:09"/>
        <d v="1899-12-30T11:04:11"/>
        <d v="1899-12-30T11:04:13"/>
        <d v="1899-12-30T11:04:16"/>
        <d v="1899-12-30T11:04:17"/>
        <d v="1899-12-30T11:04:18"/>
        <d v="1899-12-30T11:04:21"/>
        <d v="1899-12-30T11:04:23"/>
        <d v="1899-12-30T11:04:25"/>
        <d v="1899-12-30T11:04:26"/>
        <d v="1899-12-30T11:04:27"/>
        <d v="1899-12-30T11:04:28"/>
        <d v="1899-12-30T11:04:31"/>
        <d v="1899-12-30T11:04:36"/>
        <d v="1899-12-30T11:04:39"/>
        <d v="1899-12-30T11:04:45"/>
        <d v="1899-12-30T11:04:47"/>
        <d v="1899-12-30T11:04:53"/>
        <d v="1899-12-30T11:05:00"/>
        <d v="1899-12-30T11:05:01"/>
        <d v="1899-12-30T11:05:08"/>
        <d v="1899-12-30T11:05:10"/>
        <d v="1899-12-30T11:05:11"/>
        <d v="1899-12-30T11:05:13"/>
        <d v="1899-12-30T11:05:14"/>
        <d v="1899-12-30T11:05:25"/>
        <d v="1899-12-30T11:05:29"/>
        <d v="1899-12-30T11:05:30"/>
        <d v="1899-12-30T11:05:32"/>
        <d v="1899-12-30T11:05:35"/>
        <d v="1899-12-30T11:05:42"/>
        <d v="1899-12-30T11:05:44"/>
        <d v="1899-12-30T11:05:45"/>
        <d v="1899-12-30T11:05:48"/>
        <d v="1899-12-30T11:05:49"/>
        <d v="1899-12-30T11:05:51"/>
        <d v="1899-12-30T11:05:53"/>
        <d v="1899-12-30T11:05:54"/>
        <d v="1899-12-30T11:05:55"/>
        <d v="1899-12-30T11:05:56"/>
        <d v="1899-12-30T11:05:57"/>
        <d v="1899-12-30T11:06:01"/>
        <d v="1899-12-30T11:06:03"/>
        <d v="1899-12-30T11:06:04"/>
        <d v="1899-12-30T11:06:06"/>
        <d v="1899-12-30T11:06:07"/>
        <d v="1899-12-30T11:06:08"/>
        <d v="1899-12-30T11:06:09"/>
        <d v="1899-12-30T11:06:12"/>
        <d v="1899-12-30T11:06:14"/>
        <d v="1899-12-30T11:06:15"/>
        <d v="1899-12-30T11:06:19"/>
        <d v="1899-12-30T11:06:21"/>
        <d v="1899-12-30T11:06:25"/>
        <d v="1899-12-30T11:06:31"/>
        <d v="1899-12-30T11:06:36"/>
        <d v="1899-12-30T11:06:37"/>
        <d v="1899-12-30T11:06:40"/>
        <d v="1899-12-30T11:06:41"/>
        <d v="1899-12-30T11:06:42"/>
        <d v="1899-12-30T11:06:43"/>
        <d v="1899-12-30T11:06:48"/>
        <d v="1899-12-30T11:06:49"/>
        <d v="1899-12-30T11:06:53"/>
        <d v="1899-12-30T11:06:57"/>
        <d v="1899-12-30T11:06:58"/>
        <d v="1899-12-30T11:07:01"/>
        <d v="1899-12-30T11:07:02"/>
        <d v="1899-12-30T11:07:03"/>
        <d v="1899-12-30T11:07:06"/>
        <d v="1899-12-30T11:07:08"/>
        <d v="1899-12-30T11:07:09"/>
        <d v="1899-12-30T11:07:10"/>
        <d v="1899-12-30T11:07:15"/>
        <d v="1899-12-30T11:07:18"/>
        <d v="1899-12-30T11:07:19"/>
        <d v="1899-12-30T11:07:20"/>
        <d v="1899-12-30T11:07:22"/>
        <d v="1899-12-30T11:07:25"/>
        <d v="1899-12-30T11:07:26"/>
        <d v="1899-12-30T11:07:32"/>
        <d v="1899-12-30T11:07:33"/>
        <d v="1899-12-30T11:07:34"/>
        <d v="1899-12-30T11:07:36"/>
        <d v="1899-12-30T11:07:37"/>
        <d v="1899-12-30T11:07:38"/>
        <d v="1899-12-30T11:07:42"/>
        <d v="1899-12-30T11:07:44"/>
        <d v="1899-12-30T11:07:45"/>
        <d v="1899-12-30T11:07:47"/>
        <d v="1899-12-30T11:07:50"/>
        <d v="1899-12-30T11:07:54"/>
        <d v="1899-12-30T11:07:56"/>
        <d v="1899-12-30T11:08:00"/>
        <d v="1899-12-30T11:08:01"/>
        <d v="1899-12-30T11:08:03"/>
        <d v="1899-12-30T11:08:04"/>
        <d v="1899-12-30T11:08:09"/>
        <d v="1899-12-30T11:08:10"/>
        <d v="1899-12-30T11:08:12"/>
        <d v="1899-12-30T11:08:13"/>
        <d v="1899-12-30T11:08:24"/>
        <d v="1899-12-30T11:08:27"/>
        <d v="1899-12-30T11:08:29"/>
        <d v="1899-12-30T11:08:31"/>
        <d v="1899-12-30T11:08:32"/>
        <d v="1899-12-30T11:08:39"/>
        <d v="1899-12-30T11:08:40"/>
        <d v="1899-12-30T11:08:42"/>
        <d v="1899-12-30T11:08:44"/>
        <d v="1899-12-30T11:08:53"/>
        <d v="1899-12-30T11:08:54"/>
        <d v="1899-12-30T11:08:57"/>
        <d v="1899-12-30T11:08:58"/>
        <d v="1899-12-30T11:08:59"/>
        <d v="1899-12-30T11:09:00"/>
        <d v="1899-12-30T11:09:02"/>
        <d v="1899-12-30T11:09:07"/>
        <d v="1899-12-30T11:09:10"/>
        <d v="1899-12-30T11:09:11"/>
        <d v="1899-12-30T11:09:12"/>
        <d v="1899-12-30T11:09:16"/>
        <d v="1899-12-30T11:09:20"/>
        <d v="1899-12-30T11:09:26"/>
        <d v="1899-12-30T11:09:27"/>
        <d v="1899-12-30T11:09:30"/>
        <d v="1899-12-30T11:09:33"/>
        <d v="1899-12-30T11:09:34"/>
        <d v="1899-12-30T11:09:35"/>
        <d v="1899-12-30T11:09:37"/>
        <d v="1899-12-30T11:09:38"/>
        <d v="1899-12-30T11:09:43"/>
        <d v="1899-12-30T11:09:45"/>
        <d v="1899-12-30T11:09:48"/>
        <d v="1899-12-30T11:09:49"/>
        <d v="1899-12-30T11:09:52"/>
        <d v="1899-12-30T11:09:54"/>
        <d v="1899-12-30T11:09:56"/>
        <d v="1899-12-30T11:10:01"/>
        <d v="1899-12-30T11:10:03"/>
        <d v="1899-12-30T11:10:04"/>
        <d v="1899-12-30T11:10:05"/>
        <d v="1899-12-30T11:10:06"/>
        <d v="1899-12-30T11:10:07"/>
        <d v="1899-12-30T11:10:09"/>
        <d v="1899-12-30T11:10:10"/>
        <d v="1899-12-30T11:10:11"/>
        <d v="1899-12-30T11:10:13"/>
        <d v="1899-12-30T11:10:24"/>
        <d v="1899-12-30T11:10:25"/>
        <d v="1899-12-30T11:10:26"/>
        <d v="1899-12-30T11:10:27"/>
        <d v="1899-12-30T11:10:32"/>
        <d v="1899-12-30T11:10:33"/>
        <d v="1899-12-30T11:10:37"/>
        <d v="1899-12-30T11:10:40"/>
        <d v="1899-12-30T11:10:41"/>
        <d v="1899-12-30T11:10:44"/>
        <d v="1899-12-30T11:10:45"/>
        <d v="1899-12-30T11:10:46"/>
        <d v="1899-12-30T11:10:50"/>
        <d v="1899-12-30T11:10:53"/>
        <d v="1899-12-30T11:10:55"/>
        <d v="1899-12-30T11:10:57"/>
        <d v="1899-12-30T11:11:00"/>
        <d v="1899-12-30T11:11:02"/>
        <d v="1899-12-30T11:11:03"/>
        <d v="1899-12-30T11:11:04"/>
        <d v="1899-12-30T11:11:06"/>
        <d v="1899-12-30T11:11:09"/>
        <d v="1899-12-30T11:11:16"/>
        <d v="1899-12-30T11:11:19"/>
        <d v="1899-12-30T11:11:27"/>
        <d v="1899-12-30T11:11:28"/>
        <d v="1899-12-30T11:11:29"/>
        <d v="1899-12-30T11:11:30"/>
        <d v="1899-12-30T11:11:31"/>
        <d v="1899-12-30T11:11:34"/>
        <d v="1899-12-30T11:11:36"/>
        <d v="1899-12-30T11:11:37"/>
        <d v="1899-12-30T11:11:38"/>
        <d v="1899-12-30T11:11:41"/>
        <d v="1899-12-30T11:11:42"/>
        <d v="1899-12-30T11:11:43"/>
        <d v="1899-12-30T11:11:47"/>
        <d v="1899-12-30T11:11:48"/>
        <d v="1899-12-30T11:11:49"/>
        <d v="1899-12-30T11:11:52"/>
        <d v="1899-12-30T11:11:56"/>
        <d v="1899-12-30T11:11:59"/>
        <d v="1899-12-30T11:12:03"/>
        <d v="1899-12-30T11:12:07"/>
        <d v="1899-12-30T11:12:12"/>
        <d v="1899-12-30T11:12:13"/>
        <d v="1899-12-30T11:12:15"/>
        <d v="1899-12-30T11:12:28"/>
        <d v="1899-12-30T11:12:29"/>
        <d v="1899-12-30T11:12:30"/>
        <d v="1899-12-30T11:12:38"/>
        <d v="1899-12-30T11:12:39"/>
        <d v="1899-12-30T11:12:42"/>
        <d v="1899-12-30T11:12:51"/>
        <d v="1899-12-30T11:12:52"/>
        <d v="1899-12-30T11:12:56"/>
        <d v="1899-12-30T11:12:58"/>
        <d v="1899-12-30T11:13:00"/>
        <d v="1899-12-30T11:13:01"/>
        <d v="1899-12-30T11:13:02"/>
        <d v="1899-12-30T11:13:03"/>
        <d v="1899-12-30T11:13:04"/>
        <d v="1899-12-30T11:13:06"/>
        <d v="1899-12-30T11:13:08"/>
        <d v="1899-12-30T11:13:09"/>
        <d v="1899-12-30T11:13:14"/>
        <d v="1899-12-30T11:13:16"/>
        <d v="1899-12-30T11:13:18"/>
        <d v="1899-12-30T11:13:22"/>
        <d v="1899-12-30T11:13:23"/>
        <d v="1899-12-30T11:13:24"/>
        <d v="1899-12-30T11:13:25"/>
        <d v="1899-12-30T11:13:30"/>
        <d v="1899-12-30T11:13:33"/>
        <d v="1899-12-30T11:13:34"/>
        <d v="1899-12-30T11:13:37"/>
        <d v="1899-12-30T11:13:38"/>
        <d v="1899-12-30T11:13:43"/>
        <d v="1899-12-30T11:13:46"/>
        <d v="1899-12-30T11:13:47"/>
        <d v="1899-12-30T11:13:50"/>
        <d v="1899-12-30T11:13:53"/>
        <d v="1899-12-30T11:13:55"/>
        <d v="1899-12-30T11:13:56"/>
        <d v="1899-12-30T11:13:57"/>
        <d v="1899-12-30T11:13:58"/>
        <d v="1899-12-30T11:13:59"/>
        <d v="1899-12-30T11:14:01"/>
        <d v="1899-12-30T11:14:03"/>
        <d v="1899-12-30T11:14:07"/>
        <d v="1899-12-30T11:14:08"/>
        <d v="1899-12-30T11:14:09"/>
        <d v="1899-12-30T11:14:10"/>
        <d v="1899-12-30T11:14:12"/>
        <d v="1899-12-30T11:14:14"/>
        <d v="1899-12-30T11:14:15"/>
        <d v="1899-12-30T11:14:16"/>
        <d v="1899-12-30T11:14:18"/>
        <d v="1899-12-30T11:14:30"/>
        <d v="1899-12-30T11:14:34"/>
        <d v="1899-12-30T11:14:39"/>
        <d v="1899-12-30T11:14:41"/>
        <d v="1899-12-30T11:14:44"/>
        <d v="1899-12-30T11:14:45"/>
        <d v="1899-12-30T11:14:46"/>
        <d v="1899-12-30T11:14:47"/>
        <d v="1899-12-30T11:14:50"/>
        <d v="1899-12-30T11:14:51"/>
        <d v="1899-12-30T11:14:53"/>
        <d v="1899-12-30T11:14:54"/>
        <d v="1899-12-30T11:14:56"/>
        <d v="1899-12-30T11:14:58"/>
        <d v="1899-12-30T11:14:59"/>
        <d v="1899-12-30T11:15:03"/>
        <d v="1899-12-30T11:15:05"/>
        <d v="1899-12-30T11:15:06"/>
        <d v="1899-12-30T11:15:07"/>
        <d v="1899-12-30T11:15:08"/>
        <d v="1899-12-30T11:15:10"/>
        <d v="1899-12-30T11:15:13"/>
        <d v="1899-12-30T11:15:19"/>
        <d v="1899-12-30T11:15:21"/>
        <d v="1899-12-30T11:15:28"/>
        <d v="1899-12-30T11:15:39"/>
        <d v="1899-12-30T11:15:45"/>
        <d v="1899-12-30T11:15:46"/>
        <d v="1899-12-30T11:15:49"/>
        <d v="1899-12-30T11:15:51"/>
        <d v="1899-12-30T11:15:52"/>
        <d v="1899-12-30T11:15:56"/>
        <d v="1899-12-30T11:15:58"/>
        <d v="1899-12-30T11:16:00"/>
        <d v="1899-12-30T11:16:02"/>
        <d v="1899-12-30T11:16:06"/>
        <d v="1899-12-30T11:16:09"/>
        <d v="1899-12-30T11:16:11"/>
        <d v="1899-12-30T11:16:14"/>
        <d v="1899-12-30T11:16:17"/>
        <d v="1899-12-30T11:16:22"/>
        <d v="1899-12-30T11:16:30"/>
        <d v="1899-12-30T11:16:32"/>
        <d v="1899-12-30T11:16:34"/>
        <d v="1899-12-30T11:16:39"/>
        <d v="1899-12-30T11:16:42"/>
        <d v="1899-12-30T11:16:44"/>
        <d v="1899-12-30T11:16:45"/>
        <d v="1899-12-30T11:16:48"/>
        <d v="1899-12-30T11:16:49"/>
        <d v="1899-12-30T11:16:51"/>
        <d v="1899-12-30T11:16:57"/>
        <d v="1899-12-30T11:16:58"/>
        <d v="1899-12-30T11:17:06"/>
        <d v="1899-12-30T11:17:08"/>
        <d v="1899-12-30T11:17:09"/>
        <d v="1899-12-30T11:17:19"/>
        <d v="1899-12-30T11:17:21"/>
        <d v="1899-12-30T11:17:26"/>
        <d v="1899-12-30T11:17:36"/>
        <d v="1899-12-30T11:17:40"/>
        <d v="1899-12-30T11:17:42"/>
        <d v="1899-12-30T11:17:45"/>
        <d v="1899-12-30T11:17:46"/>
        <d v="1899-12-30T11:17:47"/>
        <d v="1899-12-30T11:17:49"/>
        <d v="1899-12-30T11:17:51"/>
        <d v="1899-12-30T11:17:54"/>
        <d v="1899-12-30T11:18:00"/>
        <d v="1899-12-30T11:18:04"/>
        <d v="1899-12-30T11:18:06"/>
        <d v="1899-12-30T11:18:09"/>
        <d v="1899-12-30T11:18:10"/>
        <d v="1899-12-30T11:18:11"/>
        <d v="1899-12-30T11:18:12"/>
        <d v="1899-12-30T11:18:13"/>
        <d v="1899-12-30T11:18:14"/>
        <d v="1899-12-30T11:18:17"/>
        <d v="1899-12-30T11:18:18"/>
        <d v="1899-12-30T11:18:19"/>
        <d v="1899-12-30T11:18:23"/>
        <d v="1899-12-30T11:18:29"/>
        <d v="1899-12-30T11:18:31"/>
        <d v="1899-12-30T11:18:33"/>
        <d v="1899-12-30T11:18:34"/>
        <d v="1899-12-30T11:18:43"/>
        <d v="1899-12-30T11:18:47"/>
        <d v="1899-12-30T11:18:49"/>
        <d v="1899-12-30T11:18:50"/>
        <d v="1899-12-30T11:18:51"/>
        <d v="1899-12-30T11:18:54"/>
        <d v="1899-12-30T11:18:55"/>
        <d v="1899-12-30T11:18:56"/>
        <d v="1899-12-30T11:18:57"/>
        <d v="1899-12-30T11:18:58"/>
        <d v="1899-12-30T11:19:03"/>
        <d v="1899-12-30T11:19:04"/>
        <d v="1899-12-30T11:19:06"/>
        <d v="1899-12-30T11:19:09"/>
        <d v="1899-12-30T11:19:11"/>
        <d v="1899-12-30T11:19:12"/>
        <d v="1899-12-30T11:19:13"/>
        <d v="1899-12-30T11:19:14"/>
        <d v="1899-12-30T11:19:15"/>
        <d v="1899-12-30T11:19:17"/>
        <d v="1899-12-30T11:19:21"/>
        <d v="1899-12-30T11:19:22"/>
        <d v="1899-12-30T11:19:24"/>
        <d v="1899-12-30T11:19:27"/>
        <d v="1899-12-30T11:19:28"/>
        <d v="1899-12-30T11:19:31"/>
        <d v="1899-12-30T11:19:32"/>
        <d v="1899-12-30T11:19:34"/>
        <d v="1899-12-30T11:19:35"/>
        <d v="1899-12-30T11:19:39"/>
        <d v="1899-12-30T11:19:42"/>
        <d v="1899-12-30T11:19:43"/>
        <d v="1899-12-30T11:19:44"/>
        <d v="1899-12-30T11:19:45"/>
        <d v="1899-12-30T11:19:46"/>
        <d v="1899-12-30T11:19:52"/>
        <d v="1899-12-30T11:19:54"/>
        <d v="1899-12-30T11:19:56"/>
        <d v="1899-12-30T11:20:01"/>
        <d v="1899-12-30T11:20:04"/>
        <d v="1899-12-30T11:20:07"/>
        <d v="1899-12-30T11:20:09"/>
        <d v="1899-12-30T11:20:10"/>
        <d v="1899-12-30T11:20:11"/>
        <d v="1899-12-30T11:20:12"/>
        <d v="1899-12-30T11:20:14"/>
        <d v="1899-12-30T11:20:17"/>
        <d v="1899-12-30T11:20:18"/>
        <d v="1899-12-30T11:20:19"/>
        <d v="1899-12-30T11:20:23"/>
        <d v="1899-12-30T11:20:24"/>
        <d v="1899-12-30T11:20:25"/>
        <d v="1899-12-30T11:20:28"/>
        <d v="1899-12-30T11:20:29"/>
        <d v="1899-12-30T11:20:32"/>
        <d v="1899-12-30T11:20:33"/>
        <d v="1899-12-30T11:20:34"/>
        <d v="1899-12-30T11:20:37"/>
        <d v="1899-12-30T11:20:43"/>
        <d v="1899-12-30T11:20:47"/>
        <d v="1899-12-30T11:20:48"/>
        <d v="1899-12-30T11:20:49"/>
        <d v="1899-12-30T11:20:50"/>
        <d v="1899-12-30T11:20:52"/>
        <d v="1899-12-30T11:20:55"/>
        <d v="1899-12-30T11:20:59"/>
        <d v="1899-12-30T11:21:00"/>
        <d v="1899-12-30T11:21:04"/>
        <d v="1899-12-30T11:21:07"/>
        <d v="1899-12-30T11:21:10"/>
        <d v="1899-12-30T11:21:18"/>
        <d v="1899-12-30T11:21:19"/>
        <d v="1899-12-30T11:21:21"/>
        <d v="1899-12-30T11:21:22"/>
        <d v="1899-12-30T11:21:24"/>
        <d v="1899-12-30T11:21:25"/>
        <d v="1899-12-30T11:21:32"/>
        <d v="1899-12-30T11:21:34"/>
        <d v="1899-12-30T11:21:36"/>
        <d v="1899-12-30T11:21:43"/>
        <d v="1899-12-30T11:21:46"/>
        <d v="1899-12-30T11:21:50"/>
        <d v="1899-12-30T11:21:52"/>
        <d v="1899-12-30T11:21:54"/>
        <d v="1899-12-30T11:21:56"/>
        <d v="1899-12-30T11:21:57"/>
        <d v="1899-12-30T11:22:00"/>
        <d v="1899-12-30T11:22:11"/>
        <d v="1899-12-30T11:22:12"/>
        <d v="1899-12-30T11:22:13"/>
        <d v="1899-12-30T11:22:14"/>
        <d v="1899-12-30T11:22:15"/>
        <d v="1899-12-30T11:22:16"/>
        <d v="1899-12-30T11:22:22"/>
        <d v="1899-12-30T11:22:24"/>
        <d v="1899-12-30T11:22:26"/>
        <d v="1899-12-30T11:22:33"/>
        <d v="1899-12-30T11:22:40"/>
        <d v="1899-12-30T11:22:43"/>
        <d v="1899-12-30T11:22:45"/>
        <d v="1899-12-30T11:22:49"/>
        <d v="1899-12-30T11:22:51"/>
        <d v="1899-12-30T11:22:55"/>
        <d v="1899-12-30T11:22:57"/>
        <d v="1899-12-30T11:23:02"/>
        <d v="1899-12-30T11:23:04"/>
        <d v="1899-12-30T11:23:06"/>
        <d v="1899-12-30T11:23:12"/>
        <d v="1899-12-30T11:23:14"/>
        <d v="1899-12-30T11:23:16"/>
        <d v="1899-12-30T11:23:20"/>
        <d v="1899-12-30T11:23:22"/>
        <d v="1899-12-30T11:23:24"/>
        <d v="1899-12-30T11:23:25"/>
        <d v="1899-12-30T11:23:26"/>
        <d v="1899-12-30T11:23:36"/>
        <d v="1899-12-30T11:23:37"/>
        <d v="1899-12-30T11:23:38"/>
        <d v="1899-12-30T11:23:44"/>
        <d v="1899-12-30T11:23:45"/>
        <d v="1899-12-30T11:23:48"/>
        <d v="1899-12-30T11:23:50"/>
        <d v="1899-12-30T11:23:54"/>
        <d v="1899-12-30T11:23:58"/>
        <d v="1899-12-30T11:23:59"/>
        <d v="1899-12-30T11:24:06"/>
        <d v="1899-12-30T11:24:09"/>
        <d v="1899-12-30T11:24:10"/>
        <d v="1899-12-30T11:24:11"/>
        <d v="1899-12-30T11:24:13"/>
        <d v="1899-12-30T11:24:15"/>
        <d v="1899-12-30T11:24:18"/>
        <d v="1899-12-30T11:24:22"/>
        <d v="1899-12-30T11:24:26"/>
        <d v="1899-12-30T11:24:30"/>
        <d v="1899-12-30T11:24:33"/>
        <d v="1899-12-30T11:24:34"/>
        <d v="1899-12-30T11:24:36"/>
        <d v="1899-12-30T11:24:38"/>
        <d v="1899-12-30T11:24:41"/>
        <d v="1899-12-30T11:24:43"/>
        <d v="1899-12-30T11:24:48"/>
        <d v="1899-12-30T11:24:49"/>
        <d v="1899-12-30T11:24:50"/>
        <d v="1899-12-30T11:24:58"/>
        <d v="1899-12-30T11:24:59"/>
        <d v="1899-12-30T11:25:00"/>
        <d v="1899-12-30T11:25:03"/>
        <d v="1899-12-30T11:25:08"/>
        <d v="1899-12-30T11:25:13"/>
        <d v="1899-12-30T11:25:15"/>
        <d v="1899-12-30T11:25:16"/>
        <d v="1899-12-30T11:25:18"/>
        <d v="1899-12-30T11:25:19"/>
        <d v="1899-12-30T11:25:22"/>
        <d v="1899-12-30T11:25:30"/>
        <d v="1899-12-30T11:25:34"/>
        <d v="1899-12-30T11:25:36"/>
        <d v="1899-12-30T11:25:37"/>
        <d v="1899-12-30T11:25:42"/>
        <d v="1899-12-30T11:25:46"/>
        <d v="1899-12-30T11:25:56"/>
        <d v="1899-12-30T11:25:57"/>
        <d v="1899-12-30T11:26:05"/>
        <d v="1899-12-30T11:26:06"/>
        <d v="1899-12-30T11:26:08"/>
        <d v="1899-12-30T11:26:09"/>
        <d v="1899-12-30T11:26:14"/>
        <d v="1899-12-30T11:26:15"/>
        <d v="1899-12-30T11:26:16"/>
        <d v="1899-12-30T11:26:18"/>
        <d v="1899-12-30T11:26:19"/>
        <d v="1899-12-30T11:26:20"/>
        <d v="1899-12-30T11:26:24"/>
        <d v="1899-12-30T11:26:25"/>
        <d v="1899-12-30T11:26:28"/>
        <d v="1899-12-30T11:26:30"/>
        <d v="1899-12-30T11:26:32"/>
        <d v="1899-12-30T11:26:34"/>
        <d v="1899-12-30T11:26:37"/>
        <d v="1899-12-30T11:26:38"/>
        <d v="1899-12-30T11:26:41"/>
        <d v="1899-12-30T11:26:44"/>
        <d v="1899-12-30T11:26:47"/>
        <d v="1899-12-30T11:26:48"/>
        <d v="1899-12-30T11:26:55"/>
        <d v="1899-12-30T11:26:58"/>
        <d v="1899-12-30T11:27:02"/>
        <d v="1899-12-30T11:27:05"/>
        <d v="1899-12-30T11:27:07"/>
        <d v="1899-12-30T11:27:11"/>
        <d v="1899-12-30T11:27:15"/>
        <d v="1899-12-30T11:27:16"/>
        <d v="1899-12-30T11:27:17"/>
        <d v="1899-12-30T11:27:18"/>
        <d v="1899-12-30T11:27:19"/>
        <d v="1899-12-30T11:27:21"/>
        <d v="1899-12-30T11:27:24"/>
        <d v="1899-12-30T11:27:27"/>
        <d v="1899-12-30T11:27:29"/>
        <d v="1899-12-30T11:27:30"/>
        <d v="1899-12-30T11:27:31"/>
        <d v="1899-12-30T11:27:33"/>
        <d v="1899-12-30T11:27:34"/>
        <d v="1899-12-30T11:27:38"/>
        <d v="1899-12-30T11:27:40"/>
        <d v="1899-12-30T11:27:43"/>
        <d v="1899-12-30T11:27:47"/>
        <d v="1899-12-30T11:27:49"/>
        <d v="1899-12-30T11:27:58"/>
        <d v="1899-12-30T11:27:59"/>
        <d v="1899-12-30T11:28:02"/>
        <d v="1899-12-30T11:28:11"/>
        <d v="1899-12-30T11:28:15"/>
        <d v="1899-12-30T11:28:16"/>
        <d v="1899-12-30T11:28:18"/>
        <d v="1899-12-30T11:28:19"/>
        <d v="1899-12-30T11:28:20"/>
        <d v="1899-12-30T11:28:21"/>
        <d v="1899-12-30T11:28:22"/>
        <d v="1899-12-30T11:28:23"/>
        <d v="1899-12-30T11:28:29"/>
        <d v="1899-12-30T11:28:31"/>
        <d v="1899-12-30T11:28:38"/>
        <d v="1899-12-30T11:28:41"/>
        <d v="1899-12-30T11:28:42"/>
        <d v="1899-12-30T11:28:43"/>
        <d v="1899-12-30T11:28:48"/>
        <d v="1899-12-30T11:28:51"/>
        <d v="1899-12-30T11:28:55"/>
        <d v="1899-12-30T11:28:56"/>
        <d v="1899-12-30T11:28:59"/>
        <d v="1899-12-30T11:29:01"/>
        <d v="1899-12-30T11:29:04"/>
        <d v="1899-12-30T11:29:05"/>
        <d v="1899-12-30T11:29:06"/>
        <d v="1899-12-30T11:29:09"/>
        <d v="1899-12-30T11:29:10"/>
        <d v="1899-12-30T11:29:12"/>
        <d v="1899-12-30T11:29:13"/>
        <d v="1899-12-30T11:29:16"/>
        <d v="1899-12-30T11:29:18"/>
        <d v="1899-12-30T11:29:20"/>
        <d v="1899-12-30T11:29:22"/>
        <d v="1899-12-30T11:29:24"/>
        <d v="1899-12-30T11:29:32"/>
        <d v="1899-12-30T11:29:34"/>
        <d v="1899-12-30T11:29:36"/>
        <d v="1899-12-30T11:29:41"/>
        <d v="1899-12-30T11:29:45"/>
        <d v="1899-12-30T11:29:47"/>
        <d v="1899-12-30T11:29:52"/>
        <d v="1899-12-30T11:29:53"/>
        <d v="1899-12-30T11:29:54"/>
        <d v="1899-12-30T11:29:57"/>
        <d v="1899-12-30T11:30:02"/>
        <d v="1899-12-30T11:30:04"/>
        <d v="1899-12-30T11:30:05"/>
        <d v="1899-12-30T11:30:06"/>
        <d v="1899-12-30T11:30:10"/>
        <d v="1899-12-30T11:30:12"/>
        <d v="1899-12-30T11:30:16"/>
        <d v="1899-12-30T11:30:17"/>
        <d v="1899-12-30T11:30:24"/>
        <d v="1899-12-30T11:30:26"/>
        <d v="1899-12-30T11:30:34"/>
        <d v="1899-12-30T11:30:35"/>
        <d v="1899-12-30T11:30:38"/>
        <d v="1899-12-30T11:30:39"/>
        <d v="1899-12-30T11:30:42"/>
        <d v="1899-12-30T11:30:43"/>
        <d v="1899-12-30T11:30:44"/>
        <d v="1899-12-30T11:30:46"/>
        <d v="1899-12-30T11:30:51"/>
        <d v="1899-12-30T11:30:52"/>
        <d v="1899-12-30T11:30:53"/>
        <d v="1899-12-30T11:31:00"/>
        <d v="1899-12-30T11:31:01"/>
        <d v="1899-12-30T11:31:06"/>
        <d v="1899-12-30T11:31:11"/>
        <d v="1899-12-30T11:31:14"/>
        <d v="1899-12-30T11:31:16"/>
        <d v="1899-12-30T11:31:17"/>
        <d v="1899-12-30T11:31:20"/>
        <d v="1899-12-30T11:31:21"/>
        <d v="1899-12-30T11:31:23"/>
        <d v="1899-12-30T11:31:28"/>
        <d v="1899-12-30T11:31:31"/>
        <d v="1899-12-30T11:31:39"/>
        <d v="1899-12-30T11:31:40"/>
        <d v="1899-12-30T11:31:47"/>
        <d v="1899-12-30T11:31:48"/>
        <d v="1899-12-30T11:31:59"/>
        <d v="1899-12-30T11:32:08"/>
        <d v="1899-12-30T11:32:10"/>
        <d v="1899-12-30T11:32:11"/>
        <d v="1899-12-30T11:32:13"/>
        <d v="1899-12-30T11:32:14"/>
        <d v="1899-12-30T11:32:20"/>
        <d v="1899-12-30T11:32:22"/>
        <d v="1899-12-30T11:32:25"/>
        <d v="1899-12-30T11:32:26"/>
        <d v="1899-12-30T11:32:32"/>
        <d v="1899-12-30T11:32:34"/>
        <d v="1899-12-30T11:32:36"/>
        <d v="1899-12-30T11:32:40"/>
        <d v="1899-12-30T11:32:42"/>
        <d v="1899-12-30T11:32:45"/>
        <d v="1899-12-30T11:32:46"/>
        <d v="1899-12-30T11:32:47"/>
        <d v="1899-12-30T11:32:48"/>
        <d v="1899-12-30T11:32:52"/>
        <d v="1899-12-30T11:32:53"/>
        <d v="1899-12-30T11:33:02"/>
        <d v="1899-12-30T11:33:04"/>
        <d v="1899-12-30T11:33:06"/>
        <d v="1899-12-30T11:33:08"/>
        <d v="1899-12-30T11:33:09"/>
        <d v="1899-12-30T11:33:12"/>
        <d v="1899-12-30T11:33:15"/>
        <d v="1899-12-30T11:33:18"/>
        <d v="1899-12-30T11:33:22"/>
        <d v="1899-12-30T11:33:23"/>
        <d v="1899-12-30T11:33:25"/>
        <d v="1899-12-30T11:33:27"/>
        <d v="1899-12-30T11:33:32"/>
        <d v="1899-12-30T11:33:34"/>
        <d v="1899-12-30T11:33:37"/>
        <d v="1899-12-30T11:33:42"/>
        <d v="1899-12-30T11:33:45"/>
        <d v="1899-12-30T11:33:46"/>
        <d v="1899-12-30T11:33:47"/>
        <d v="1899-12-30T11:33:48"/>
        <d v="1899-12-30T11:33:50"/>
        <d v="1899-12-30T11:33:51"/>
        <d v="1899-12-30T11:33:52"/>
        <d v="1899-12-30T11:33:53"/>
        <d v="1899-12-30T11:33:55"/>
        <d v="1899-12-30T11:33:58"/>
        <d v="1899-12-30T11:34:00"/>
        <d v="1899-12-30T11:34:01"/>
        <d v="1899-12-30T11:34:03"/>
        <d v="1899-12-30T11:34:04"/>
        <d v="1899-12-30T11:34:07"/>
        <d v="1899-12-30T11:34:09"/>
        <d v="1899-12-30T11:34:22"/>
        <d v="1899-12-30T11:34:25"/>
        <d v="1899-12-30T11:34:28"/>
        <d v="1899-12-30T11:34:33"/>
        <d v="1899-12-30T11:34:46"/>
        <d v="1899-12-30T11:34:48"/>
        <d v="1899-12-30T11:34:50"/>
        <d v="1899-12-30T11:34:54"/>
        <d v="1899-12-30T11:34:56"/>
        <d v="1899-12-30T11:34:58"/>
        <d v="1899-12-30T11:35:00"/>
        <d v="1899-12-30T11:35:05"/>
        <d v="1899-12-30T11:35:07"/>
        <d v="1899-12-30T11:35:08"/>
        <d v="1899-12-30T11:35:13"/>
        <d v="1899-12-30T11:35:16"/>
        <d v="1899-12-30T11:35:18"/>
        <d v="1899-12-30T11:35:20"/>
        <d v="1899-12-30T11:35:21"/>
        <d v="1899-12-30T11:35:22"/>
        <d v="1899-12-30T11:35:23"/>
        <d v="1899-12-30T11:35:26"/>
        <d v="1899-12-30T11:35:27"/>
        <d v="1899-12-30T11:35:29"/>
        <d v="1899-12-30T11:35:30"/>
        <d v="1899-12-30T11:35:31"/>
        <d v="1899-12-30T11:35:36"/>
        <d v="1899-12-30T11:35:39"/>
        <d v="1899-12-30T11:35:42"/>
        <d v="1899-12-30T11:35:43"/>
        <d v="1899-12-30T11:35:44"/>
        <d v="1899-12-30T11:35:46"/>
        <d v="1899-12-30T11:35:48"/>
        <d v="1899-12-30T11:35:50"/>
        <d v="1899-12-30T11:35:52"/>
        <d v="1899-12-30T11:35:53"/>
        <d v="1899-12-30T11:35:55"/>
        <d v="1899-12-30T11:35:56"/>
        <d v="1899-12-30T11:35:58"/>
        <d v="1899-12-30T11:36:05"/>
        <d v="1899-12-30T11:36:06"/>
        <d v="1899-12-30T11:36:07"/>
        <d v="1899-12-30T11:36:09"/>
        <d v="1899-12-30T11:36:10"/>
        <d v="1899-12-30T11:36:13"/>
        <d v="1899-12-30T11:36:18"/>
        <d v="1899-12-30T11:36:20"/>
        <d v="1899-12-30T11:36:22"/>
        <d v="1899-12-30T11:36:23"/>
        <d v="1899-12-30T11:36:27"/>
        <d v="1899-12-30T11:36:28"/>
        <d v="1899-12-30T11:36:29"/>
        <d v="1899-12-30T11:36:32"/>
        <d v="1899-12-30T11:36:34"/>
        <d v="1899-12-30T11:36:37"/>
        <d v="1899-12-30T11:36:39"/>
        <d v="1899-12-30T11:36:40"/>
        <d v="1899-12-30T11:36:41"/>
        <d v="1899-12-30T11:36:42"/>
        <d v="1899-12-30T11:36:44"/>
        <d v="1899-12-30T11:36:51"/>
        <d v="1899-12-30T11:36:52"/>
        <d v="1899-12-30T11:36:55"/>
        <d v="1899-12-30T11:36:57"/>
        <d v="1899-12-30T11:37:05"/>
        <d v="1899-12-30T11:37:12"/>
        <d v="1899-12-30T11:37:13"/>
        <d v="1899-12-30T11:37:15"/>
        <d v="1899-12-30T11:37:20"/>
        <d v="1899-12-30T11:37:25"/>
        <d v="1899-12-30T11:37:32"/>
        <d v="1899-12-30T11:37:34"/>
        <d v="1899-12-30T11:37:38"/>
        <d v="1899-12-30T11:37:39"/>
        <d v="1899-12-30T11:37:43"/>
        <d v="1899-12-30T11:37:45"/>
        <d v="1899-12-30T11:37:47"/>
        <d v="1899-12-30T11:37:56"/>
        <d v="1899-12-30T11:37:57"/>
        <d v="1899-12-30T11:37:58"/>
        <d v="1899-12-30T11:38:02"/>
        <d v="1899-12-30T11:38:05"/>
        <d v="1899-12-30T11:38:06"/>
        <d v="1899-12-30T11:38:09"/>
        <d v="1899-12-30T11:38:12"/>
        <d v="1899-12-30T11:38:13"/>
        <d v="1899-12-30T11:38:14"/>
        <d v="1899-12-30T11:38:16"/>
        <d v="1899-12-30T11:38:24"/>
        <d v="1899-12-30T11:38:30"/>
        <d v="1899-12-30T11:38:32"/>
        <d v="1899-12-30T11:38:38"/>
        <d v="1899-12-30T11:38:39"/>
        <d v="1899-12-30T11:38:42"/>
        <d v="1899-12-30T11:38:44"/>
        <d v="1899-12-30T11:38:47"/>
        <d v="1899-12-30T11:38:49"/>
        <d v="1899-12-30T11:38:54"/>
        <d v="1899-12-30T11:38:55"/>
        <d v="1899-12-30T11:38:59"/>
        <d v="1899-12-30T11:39:01"/>
        <d v="1899-12-30T11:39:08"/>
        <d v="1899-12-30T11:39:10"/>
        <d v="1899-12-30T11:39:14"/>
        <d v="1899-12-30T11:39:15"/>
        <d v="1899-12-30T11:39:17"/>
        <d v="1899-12-30T11:39:20"/>
        <d v="1899-12-30T11:39:22"/>
        <d v="1899-12-30T11:39:24"/>
        <d v="1899-12-30T11:39:28"/>
        <d v="1899-12-30T11:39:31"/>
        <d v="1899-12-30T11:39:32"/>
        <d v="1899-12-30T11:39:34"/>
        <d v="1899-12-30T11:39:37"/>
        <d v="1899-12-30T11:39:39"/>
        <d v="1899-12-30T11:39:42"/>
        <d v="1899-12-30T11:39:43"/>
        <d v="1899-12-30T11:39:44"/>
        <d v="1899-12-30T11:39:45"/>
        <d v="1899-12-30T11:39:46"/>
        <d v="1899-12-30T11:39:47"/>
        <d v="1899-12-30T11:39:48"/>
        <d v="1899-12-30T11:39:53"/>
        <d v="1899-12-30T11:39:59"/>
        <d v="1899-12-30T11:40:02"/>
        <d v="1899-12-30T11:40:03"/>
        <d v="1899-12-30T11:40:04"/>
        <d v="1899-12-30T11:40:06"/>
        <d v="1899-12-30T11:40:09"/>
        <d v="1899-12-30T11:40:10"/>
        <d v="1899-12-30T11:40:11"/>
        <d v="1899-12-30T11:40:12"/>
        <d v="1899-12-30T11:40:13"/>
        <d v="1899-12-30T11:40:14"/>
        <d v="1899-12-30T11:40:16"/>
        <d v="1899-12-30T11:40:18"/>
        <d v="1899-12-30T11:40:19"/>
        <d v="1899-12-30T11:40:23"/>
        <d v="1899-12-30T11:40:25"/>
        <d v="1899-12-30T11:40:26"/>
        <d v="1899-12-30T11:40:28"/>
        <d v="1899-12-30T11:40:31"/>
        <d v="1899-12-30T11:40:34"/>
        <d v="1899-12-30T11:40:37"/>
        <d v="1899-12-30T11:40:40"/>
        <d v="1899-12-30T11:40:41"/>
        <d v="1899-12-30T11:40:46"/>
        <d v="1899-12-30T11:40:51"/>
        <d v="1899-12-30T11:40:54"/>
        <d v="1899-12-30T11:40:55"/>
        <d v="1899-12-30T11:40:57"/>
        <d v="1899-12-30T11:41:06"/>
        <d v="1899-12-30T11:41:08"/>
        <d v="1899-12-30T11:41:10"/>
        <d v="1899-12-30T11:41:12"/>
        <d v="1899-12-30T11:41:20"/>
        <d v="1899-12-30T11:41:21"/>
        <d v="1899-12-30T11:41:24"/>
        <d v="1899-12-30T11:41:28"/>
        <d v="1899-12-30T11:41:30"/>
        <d v="1899-12-30T11:41:31"/>
        <d v="1899-12-30T11:41:33"/>
        <d v="1899-12-30T11:41:34"/>
        <d v="1899-12-30T11:41:36"/>
        <d v="1899-12-30T11:41:39"/>
        <d v="1899-12-30T11:41:42"/>
        <d v="1899-12-30T11:41:43"/>
        <d v="1899-12-30T11:41:45"/>
        <d v="1899-12-30T11:41:47"/>
        <d v="1899-12-30T11:41:48"/>
        <d v="1899-12-30T11:41:52"/>
        <d v="1899-12-30T11:41:54"/>
        <d v="1899-12-30T11:41:57"/>
        <d v="1899-12-30T11:42:01"/>
        <d v="1899-12-30T11:42:04"/>
        <d v="1899-12-30T11:42:05"/>
        <d v="1899-12-30T11:42:06"/>
        <d v="1899-12-30T11:42:09"/>
        <d v="1899-12-30T11:42:11"/>
        <d v="1899-12-30T11:42:13"/>
        <d v="1899-12-30T11:42:14"/>
        <d v="1899-12-30T11:42:17"/>
        <d v="1899-12-30T11:42:19"/>
        <d v="1899-12-30T11:42:21"/>
        <d v="1899-12-30T11:42:31"/>
        <d v="1899-12-30T11:42:32"/>
        <d v="1899-12-30T11:42:33"/>
        <d v="1899-12-30T11:42:35"/>
        <d v="1899-12-30T11:42:36"/>
        <d v="1899-12-30T11:42:40"/>
        <d v="1899-12-30T11:42:41"/>
        <d v="1899-12-30T11:42:46"/>
        <d v="1899-12-30T11:42:47"/>
        <d v="1899-12-30T11:42:49"/>
        <d v="1899-12-30T11:42:50"/>
        <d v="1899-12-30T11:42:51"/>
        <d v="1899-12-30T11:42:54"/>
        <d v="1899-12-30T11:42:59"/>
        <d v="1899-12-30T11:43:00"/>
        <d v="1899-12-30T11:43:04"/>
        <d v="1899-12-30T11:43:05"/>
        <d v="1899-12-30T11:43:07"/>
        <d v="1899-12-30T11:43:13"/>
        <d v="1899-12-30T11:43:16"/>
        <d v="1899-12-30T11:43:18"/>
        <d v="1899-12-30T11:43:27"/>
        <d v="1899-12-30T11:43:28"/>
        <d v="1899-12-30T11:43:29"/>
        <d v="1899-12-30T11:43:36"/>
        <d v="1899-12-30T11:43:39"/>
        <d v="1899-12-30T11:43:41"/>
        <d v="1899-12-30T11:43:46"/>
        <d v="1899-12-30T11:43:47"/>
        <d v="1899-12-30T11:43:48"/>
        <d v="1899-12-30T11:43:49"/>
        <d v="1899-12-30T11:43:51"/>
        <d v="1899-12-30T11:43:52"/>
        <d v="1899-12-30T11:43:53"/>
        <d v="1899-12-30T11:43:57"/>
        <d v="1899-12-30T11:43:58"/>
        <d v="1899-12-30T11:44:05"/>
        <d v="1899-12-30T11:44:07"/>
        <d v="1899-12-30T11:44:08"/>
        <d v="1899-12-30T11:44:11"/>
        <d v="1899-12-30T11:44:14"/>
        <d v="1899-12-30T11:44:17"/>
        <d v="1899-12-30T11:44:24"/>
        <d v="1899-12-30T11:44:26"/>
        <d v="1899-12-30T11:44:27"/>
        <d v="1899-12-30T11:44:28"/>
        <d v="1899-12-30T11:44:31"/>
        <d v="1899-12-30T11:44:33"/>
        <d v="1899-12-30T11:44:37"/>
        <d v="1899-12-30T11:44:39"/>
        <d v="1899-12-30T11:44:40"/>
        <d v="1899-12-30T11:44:43"/>
        <d v="1899-12-30T11:44:44"/>
        <d v="1899-12-30T11:44:45"/>
        <d v="1899-12-30T11:44:50"/>
        <d v="1899-12-30T11:44:51"/>
        <d v="1899-12-30T11:44:52"/>
        <d v="1899-12-30T11:44:53"/>
        <d v="1899-12-30T11:44:54"/>
        <d v="1899-12-30T11:45:00"/>
        <d v="1899-12-30T11:45:05"/>
        <d v="1899-12-30T11:45:06"/>
        <d v="1899-12-30T11:45:10"/>
        <d v="1899-12-30T11:45:14"/>
        <d v="1899-12-30T11:45:20"/>
        <d v="1899-12-30T11:45:21"/>
        <d v="1899-12-30T11:45:22"/>
        <d v="1899-12-30T11:45:25"/>
        <d v="1899-12-30T11:45:29"/>
        <d v="1899-12-30T11:45:32"/>
        <d v="1899-12-30T11:45:34"/>
        <d v="1899-12-30T11:45:37"/>
        <d v="1899-12-30T11:45:40"/>
        <d v="1899-12-30T11:45:41"/>
        <d v="1899-12-30T11:45:42"/>
        <d v="1899-12-30T11:45:45"/>
        <d v="1899-12-30T11:45:48"/>
        <d v="1899-12-30T11:45:50"/>
        <d v="1899-12-30T11:45:53"/>
        <d v="1899-12-30T11:45:54"/>
        <d v="1899-12-30T11:45:57"/>
        <d v="1899-12-30T11:45:59"/>
        <d v="1899-12-30T11:46:08"/>
        <d v="1899-12-30T11:46:11"/>
        <d v="1899-12-30T11:46:20"/>
        <d v="1899-12-30T11:46:27"/>
        <d v="1899-12-30T11:46:29"/>
        <d v="1899-12-30T11:46:32"/>
        <d v="1899-12-30T11:46:33"/>
        <d v="1899-12-30T11:46:35"/>
        <d v="1899-12-30T11:46:38"/>
        <d v="1899-12-30T11:46:49"/>
        <d v="1899-12-30T11:46:58"/>
        <d v="1899-12-30T11:47:01"/>
        <d v="1899-12-30T11:47:13"/>
        <d v="1899-12-30T11:47:14"/>
        <d v="1899-12-30T11:47:15"/>
        <d v="1899-12-30T11:47:18"/>
        <d v="1899-12-30T11:47:23"/>
        <d v="1899-12-30T11:47:25"/>
        <d v="1899-12-30T11:47:26"/>
        <d v="1899-12-30T11:47:33"/>
        <d v="1899-12-30T11:47:34"/>
        <d v="1899-12-30T11:47:43"/>
        <d v="1899-12-30T11:47:44"/>
        <d v="1899-12-30T11:47:45"/>
        <d v="1899-12-30T11:47:49"/>
        <d v="1899-12-30T11:47:53"/>
        <d v="1899-12-30T11:47:54"/>
        <d v="1899-12-30T11:47:56"/>
        <d v="1899-12-30T11:47:57"/>
        <d v="1899-12-30T11:47:59"/>
        <d v="1899-12-30T11:48:02"/>
        <d v="1899-12-30T11:48:06"/>
        <d v="1899-12-30T11:48:08"/>
        <d v="1899-12-30T11:48:11"/>
        <d v="1899-12-30T11:48:12"/>
        <d v="1899-12-30T11:48:13"/>
        <d v="1899-12-30T11:48:15"/>
        <d v="1899-12-30T11:48:17"/>
        <d v="1899-12-30T11:48:18"/>
        <d v="1899-12-30T11:48:23"/>
        <d v="1899-12-30T11:48:27"/>
        <d v="1899-12-30T11:48:28"/>
        <d v="1899-12-30T11:48:29"/>
        <d v="1899-12-30T11:48:30"/>
        <d v="1899-12-30T11:48:34"/>
        <d v="1899-12-30T11:48:35"/>
        <d v="1899-12-30T11:48:41"/>
        <d v="1899-12-30T11:48:47"/>
        <d v="1899-12-30T11:48:51"/>
        <d v="1899-12-30T11:48:52"/>
        <d v="1899-12-30T11:48:55"/>
        <d v="1899-12-30T11:48:56"/>
        <d v="1899-12-30T11:48:58"/>
        <d v="1899-12-30T11:49:00"/>
        <d v="1899-12-30T11:49:01"/>
        <d v="1899-12-30T11:49:03"/>
        <d v="1899-12-30T11:49:07"/>
        <d v="1899-12-30T11:49:10"/>
        <d v="1899-12-30T11:49:12"/>
        <d v="1899-12-30T11:49:14"/>
        <d v="1899-12-30T11:49:15"/>
        <d v="1899-12-30T11:49:21"/>
        <d v="1899-12-30T11:49:37"/>
        <d v="1899-12-30T11:49:38"/>
        <d v="1899-12-30T11:49:44"/>
        <d v="1899-12-30T11:49:45"/>
        <d v="1899-12-30T11:49:48"/>
        <d v="1899-12-30T11:49:50"/>
        <d v="1899-12-30T11:49:51"/>
        <d v="1899-12-30T11:49:59"/>
        <d v="1899-12-30T11:50:03"/>
        <d v="1899-12-30T11:50:08"/>
        <d v="1899-12-30T11:50:10"/>
        <d v="1899-12-30T11:50:13"/>
        <d v="1899-12-30T11:50:23"/>
        <d v="1899-12-30T11:50:27"/>
        <d v="1899-12-30T11:50:33"/>
        <d v="1899-12-30T11:50:34"/>
        <d v="1899-12-30T11:50:36"/>
        <d v="1899-12-30T11:50:38"/>
        <d v="1899-12-30T11:50:39"/>
        <d v="1899-12-30T11:50:40"/>
        <d v="1899-12-30T11:50:42"/>
        <d v="1899-12-30T11:50:43"/>
        <d v="1899-12-30T11:50:45"/>
        <d v="1899-12-30T11:50:48"/>
        <d v="1899-12-30T11:50:50"/>
        <d v="1899-12-30T11:50:51"/>
        <d v="1899-12-30T11:50:56"/>
        <d v="1899-12-30T11:50:59"/>
        <d v="1899-12-30T11:51:03"/>
        <d v="1899-12-30T11:51:05"/>
        <d v="1899-12-30T11:51:06"/>
        <d v="1899-12-30T11:51:10"/>
        <d v="1899-12-30T11:51:11"/>
        <d v="1899-12-30T11:51:12"/>
        <d v="1899-12-30T11:51:13"/>
        <d v="1899-12-30T11:51:18"/>
        <d v="1899-12-30T11:51:22"/>
        <d v="1899-12-30T11:51:23"/>
        <d v="1899-12-30T11:51:26"/>
        <d v="1899-12-30T11:51:27"/>
        <d v="1899-12-30T11:51:29"/>
        <d v="1899-12-30T11:51:32"/>
        <d v="1899-12-30T11:51:35"/>
        <d v="1899-12-30T11:51:39"/>
        <d v="1899-12-30T11:51:41"/>
        <d v="1899-12-30T11:51:44"/>
        <d v="1899-12-30T11:51:45"/>
        <d v="1899-12-30T11:51:49"/>
        <d v="1899-12-30T11:51:50"/>
        <d v="1899-12-30T11:51:53"/>
        <d v="1899-12-30T11:51:56"/>
        <d v="1899-12-30T11:51:59"/>
        <d v="1899-12-30T11:52:04"/>
        <d v="1899-12-30T11:52:05"/>
        <d v="1899-12-30T11:52:06"/>
        <d v="1899-12-30T11:52:09"/>
        <d v="1899-12-30T11:52:10"/>
        <d v="1899-12-30T11:52:11"/>
        <d v="1899-12-30T11:52:13"/>
        <d v="1899-12-30T11:52:15"/>
        <d v="1899-12-30T11:52:16"/>
        <d v="1899-12-30T11:52:19"/>
        <d v="1899-12-30T11:52:22"/>
        <d v="1899-12-30T11:52:23"/>
        <d v="1899-12-30T11:52:25"/>
        <d v="1899-12-30T11:52:26"/>
        <d v="1899-12-30T11:52:32"/>
        <d v="1899-12-30T11:52:35"/>
        <d v="1899-12-30T11:52:36"/>
        <d v="1899-12-30T11:52:38"/>
        <d v="1899-12-30T11:52:40"/>
        <d v="1899-12-30T11:52:42"/>
        <d v="1899-12-30T11:52:46"/>
        <d v="1899-12-30T11:52:47"/>
        <d v="1899-12-30T11:52:52"/>
        <d v="1899-12-30T11:52:56"/>
        <d v="1899-12-30T11:53:00"/>
        <d v="1899-12-30T11:53:01"/>
        <d v="1899-12-30T11:53:02"/>
        <d v="1899-12-30T11:53:03"/>
        <d v="1899-12-30T11:53:07"/>
        <d v="1899-12-30T11:53:08"/>
        <d v="1899-12-30T11:53:10"/>
        <d v="1899-12-30T11:53:11"/>
        <d v="1899-12-30T11:53:13"/>
        <d v="1899-12-30T11:53:19"/>
        <d v="1899-12-30T11:53:20"/>
        <d v="1899-12-30T11:53:21"/>
        <d v="1899-12-30T11:53:23"/>
        <d v="1899-12-30T11:53:27"/>
        <d v="1899-12-30T11:53:30"/>
        <d v="1899-12-30T11:53:34"/>
        <d v="1899-12-30T11:53:40"/>
        <d v="1899-12-30T11:53:43"/>
        <d v="1899-12-30T11:53:44"/>
        <d v="1899-12-30T11:53:45"/>
        <d v="1899-12-30T11:53:46"/>
        <d v="1899-12-30T11:53:47"/>
        <d v="1899-12-30T11:53:52"/>
        <d v="1899-12-30T11:53:55"/>
        <d v="1899-12-30T11:53:59"/>
        <d v="1899-12-30T11:54:00"/>
        <d v="1899-12-30T11:54:01"/>
        <d v="1899-12-30T11:54:03"/>
        <d v="1899-12-30T11:54:04"/>
        <d v="1899-12-30T11:54:08"/>
        <d v="1899-12-30T11:54:10"/>
        <d v="1899-12-30T11:54:12"/>
        <d v="1899-12-30T11:54:16"/>
        <d v="1899-12-30T11:54:17"/>
        <d v="1899-12-30T11:54:18"/>
        <d v="1899-12-30T11:54:20"/>
        <d v="1899-12-30T11:54:21"/>
        <d v="1899-12-30T11:54:22"/>
        <d v="1899-12-30T11:54:23"/>
        <d v="1899-12-30T11:54:24"/>
        <d v="1899-12-30T11:54:25"/>
        <d v="1899-12-30T11:54:27"/>
        <d v="1899-12-30T11:54:31"/>
        <d v="1899-12-30T11:54:33"/>
        <d v="1899-12-30T11:54:35"/>
        <d v="1899-12-30T11:54:36"/>
        <d v="1899-12-30T11:54:37"/>
        <d v="1899-12-30T11:54:39"/>
        <d v="1899-12-30T11:54:43"/>
        <d v="1899-12-30T11:54:44"/>
        <d v="1899-12-30T11:54:48"/>
        <d v="1899-12-30T11:54:50"/>
        <d v="1899-12-30T11:54:53"/>
        <d v="1899-12-30T11:54:54"/>
        <d v="1899-12-30T11:54:55"/>
        <d v="1899-12-30T11:54:57"/>
        <d v="1899-12-30T11:55:00"/>
        <d v="1899-12-30T11:55:02"/>
        <d v="1899-12-30T11:55:03"/>
        <d v="1899-12-30T11:55:05"/>
        <d v="1899-12-30T11:55:06"/>
        <d v="1899-12-30T11:55:07"/>
        <d v="1899-12-30T11:55:08"/>
        <d v="1899-12-30T11:55:10"/>
        <d v="1899-12-30T11:55:12"/>
        <d v="1899-12-30T11:55:13"/>
        <d v="1899-12-30T11:55:15"/>
        <d v="1899-12-30T11:55:21"/>
        <d v="1899-12-30T11:55:24"/>
        <d v="1899-12-30T11:55:25"/>
        <d v="1899-12-30T11:55:27"/>
        <d v="1899-12-30T11:55:30"/>
        <d v="1899-12-30T11:55:32"/>
        <d v="1899-12-30T11:55:34"/>
        <d v="1899-12-30T11:55:36"/>
        <d v="1899-12-30T11:55:38"/>
        <d v="1899-12-30T11:55:40"/>
        <d v="1899-12-30T11:55:43"/>
        <d v="1899-12-30T11:55:44"/>
        <d v="1899-12-30T11:55:45"/>
        <d v="1899-12-30T11:55:48"/>
        <d v="1899-12-30T11:55:53"/>
        <d v="1899-12-30T11:55:57"/>
        <d v="1899-12-30T11:56:00"/>
        <d v="1899-12-30T11:56:03"/>
        <d v="1899-12-30T11:56:04"/>
        <d v="1899-12-30T11:56:08"/>
        <d v="1899-12-30T11:56:09"/>
        <d v="1899-12-30T11:56:10"/>
        <d v="1899-12-30T11:56:13"/>
        <d v="1899-12-30T11:56:20"/>
        <d v="1899-12-30T11:56:23"/>
        <d v="1899-12-30T11:56:26"/>
        <d v="1899-12-30T11:56:28"/>
        <d v="1899-12-30T11:56:33"/>
        <d v="1899-12-30T11:56:37"/>
        <d v="1899-12-30T11:56:39"/>
        <d v="1899-12-30T11:56:41"/>
        <d v="1899-12-30T11:56:42"/>
        <d v="1899-12-30T11:56:49"/>
        <d v="1899-12-30T11:56:53"/>
        <d v="1899-12-30T11:56:57"/>
        <d v="1899-12-30T11:57:11"/>
        <d v="1899-12-30T11:57:15"/>
        <d v="1899-12-30T11:57:17"/>
        <d v="1899-12-30T11:57:18"/>
        <d v="1899-12-30T11:57:21"/>
        <d v="1899-12-30T11:57:24"/>
        <d v="1899-12-30T11:57:25"/>
        <d v="1899-12-30T11:57:35"/>
        <d v="1899-12-30T11:57:38"/>
        <d v="1899-12-30T11:57:40"/>
        <d v="1899-12-30T11:57:41"/>
        <d v="1899-12-30T11:57:43"/>
        <d v="1899-12-30T11:57:46"/>
        <d v="1899-12-30T11:57:48"/>
        <d v="1899-12-30T11:57:52"/>
        <d v="1899-12-30T11:57:57"/>
        <d v="1899-12-30T11:57:59"/>
        <d v="1899-12-30T11:58:07"/>
        <d v="1899-12-30T11:58:09"/>
        <d v="1899-12-30T11:58:12"/>
        <d v="1899-12-30T11:58:21"/>
        <d v="1899-12-30T11:58:24"/>
        <d v="1899-12-30T11:58:27"/>
        <d v="1899-12-30T11:58:28"/>
        <d v="1899-12-30T11:58:32"/>
        <d v="1899-12-30T11:58:33"/>
        <d v="1899-12-30T11:58:36"/>
        <d v="1899-12-30T11:58:39"/>
        <d v="1899-12-30T11:58:40"/>
        <d v="1899-12-30T11:58:41"/>
        <d v="1899-12-30T11:58:42"/>
        <d v="1899-12-30T11:58:45"/>
        <d v="1899-12-30T11:58:48"/>
        <d v="1899-12-30T11:58:49"/>
        <d v="1899-12-30T11:58:55"/>
        <d v="1899-12-30T11:59:00"/>
        <d v="1899-12-30T11:59:02"/>
        <d v="1899-12-30T11:59:11"/>
        <d v="1899-12-30T11:59:13"/>
        <d v="1899-12-30T11:59:21"/>
        <d v="1899-12-30T11:59:22"/>
        <d v="1899-12-30T11:59:27"/>
        <d v="1899-12-30T11:59:28"/>
        <d v="1899-12-30T11:59:35"/>
        <d v="1899-12-30T11:59:39"/>
        <d v="1899-12-30T11:59:42"/>
        <d v="1899-12-30T11:59:45"/>
        <d v="1899-12-30T11:59:47"/>
        <d v="1899-12-30T11:59:48"/>
        <d v="1899-12-30T11:59:49"/>
        <d v="1899-12-30T11:59:51"/>
        <d v="1899-12-30T11:59:53"/>
        <d v="1899-12-30T11:59:58"/>
        <d v="1899-12-30T12:00:05"/>
        <d v="1899-12-30T12:00:06"/>
        <d v="1899-12-30T12:00:07"/>
        <d v="1899-12-30T12:00:09"/>
        <d v="1899-12-30T12:00:16"/>
        <d v="1899-12-30T12:00:19"/>
        <d v="1899-12-30T12:00:23"/>
        <d v="1899-12-30T12:00:24"/>
        <d v="1899-12-30T12:00:26"/>
        <d v="1899-12-30T12:00:27"/>
        <d v="1899-12-30T12:00:31"/>
        <d v="1899-12-30T12:00:35"/>
        <d v="1899-12-30T12:00:36"/>
        <d v="1899-12-30T12:00:38"/>
        <d v="1899-12-30T12:00:39"/>
        <d v="1899-12-30T12:00:40"/>
        <d v="1899-12-30T12:00:41"/>
        <d v="1899-12-30T12:00:44"/>
        <d v="1899-12-30T12:00:49"/>
        <d v="1899-12-30T12:00:53"/>
        <d v="1899-12-30T12:00:54"/>
        <d v="1899-12-30T12:00:55"/>
        <d v="1899-12-30T12:00:58"/>
        <d v="1899-12-30T12:01:00"/>
        <d v="1899-12-30T12:01:02"/>
        <d v="1899-12-30T12:01:07"/>
        <d v="1899-12-30T12:01:14"/>
        <d v="1899-12-30T12:01:17"/>
        <d v="1899-12-30T12:01:25"/>
        <d v="1899-12-30T12:01:26"/>
        <d v="1899-12-30T12:01:34"/>
        <d v="1899-12-30T12:01:37"/>
        <d v="1899-12-30T12:01:38"/>
        <d v="1899-12-30T12:01:40"/>
        <d v="1899-12-30T12:01:41"/>
        <d v="1899-12-30T12:01:47"/>
        <d v="1899-12-30T12:01:48"/>
        <d v="1899-12-30T12:01:56"/>
        <d v="1899-12-30T12:01:57"/>
        <d v="1899-12-30T12:01:59"/>
        <d v="1899-12-30T12:02:00"/>
        <d v="1899-12-30T12:02:03"/>
        <d v="1899-12-30T12:02:10"/>
        <d v="1899-12-30T12:02:21"/>
        <d v="1899-12-30T12:02:24"/>
        <d v="1899-12-30T12:02:26"/>
        <d v="1899-12-30T12:02:31"/>
        <d v="1899-12-30T12:02:34"/>
        <d v="1899-12-30T12:02:40"/>
        <d v="1899-12-30T12:02:43"/>
        <d v="1899-12-30T12:02:46"/>
        <d v="1899-12-30T12:02:49"/>
        <d v="1899-12-30T12:02:51"/>
        <d v="1899-12-30T12:02:53"/>
        <d v="1899-12-30T12:02:54"/>
        <d v="1899-12-30T12:02:55"/>
        <d v="1899-12-30T12:02:56"/>
        <d v="1899-12-30T12:02:57"/>
        <d v="1899-12-30T12:02:58"/>
        <d v="1899-12-30T12:03:02"/>
        <d v="1899-12-30T12:03:04"/>
        <d v="1899-12-30T12:03:12"/>
        <d v="1899-12-30T12:03:16"/>
        <d v="1899-12-30T12:03:20"/>
        <d v="1899-12-30T12:03:25"/>
        <d v="1899-12-30T12:03:29"/>
        <d v="1899-12-30T12:03:33"/>
        <d v="1899-12-30T12:03:34"/>
        <d v="1899-12-30T12:03:35"/>
        <d v="1899-12-30T12:03:40"/>
        <d v="1899-12-30T12:03:42"/>
        <d v="1899-12-30T12:03:43"/>
        <d v="1899-12-30T12:03:44"/>
        <d v="1899-12-30T12:03:45"/>
        <d v="1899-12-30T12:03:47"/>
        <d v="1899-12-30T12:03:49"/>
        <d v="1899-12-30T12:03:50"/>
        <d v="1899-12-30T12:03:58"/>
        <d v="1899-12-30T12:03:59"/>
        <d v="1899-12-30T12:04:02"/>
        <d v="1899-12-30T12:04:05"/>
        <d v="1899-12-30T12:04:15"/>
        <d v="1899-12-30T12:04:18"/>
        <d v="1899-12-30T12:04:21"/>
        <d v="1899-12-30T12:04:22"/>
        <d v="1899-12-30T12:04:25"/>
        <d v="1899-12-30T12:04:27"/>
        <d v="1899-12-30T12:04:31"/>
        <d v="1899-12-30T12:04:33"/>
        <d v="1899-12-30T12:04:34"/>
        <d v="1899-12-30T12:04:35"/>
        <d v="1899-12-30T12:04:36"/>
        <d v="1899-12-30T12:04:38"/>
        <d v="1899-12-30T12:04:43"/>
        <d v="1899-12-30T12:04:45"/>
        <d v="1899-12-30T12:04:47"/>
        <d v="1899-12-30T12:04:48"/>
        <d v="1899-12-30T12:04:51"/>
        <d v="1899-12-30T12:04:53"/>
        <d v="1899-12-30T12:04:57"/>
        <d v="1899-12-30T12:05:04"/>
        <d v="1899-12-30T12:05:05"/>
        <d v="1899-12-30T12:05:06"/>
        <d v="1899-12-30T12:05:19"/>
        <d v="1899-12-30T12:05:22"/>
        <d v="1899-12-30T12:05:25"/>
        <d v="1899-12-30T12:05:26"/>
        <d v="1899-12-30T12:05:27"/>
        <d v="1899-12-30T12:05:36"/>
        <d v="1899-12-30T12:05:41"/>
        <d v="1899-12-30T12:05:50"/>
        <d v="1899-12-30T12:05:51"/>
        <d v="1899-12-30T12:05:53"/>
        <d v="1899-12-30T12:05:57"/>
        <d v="1899-12-30T12:06:10"/>
        <d v="1899-12-30T12:06:11"/>
        <d v="1899-12-30T12:06:12"/>
        <d v="1899-12-30T12:06:14"/>
        <d v="1899-12-30T12:06:22"/>
        <d v="1899-12-30T12:06:24"/>
        <d v="1899-12-30T12:06:25"/>
        <d v="1899-12-30T12:06:26"/>
        <d v="1899-12-30T12:06:29"/>
        <d v="1899-12-30T12:06:31"/>
        <d v="1899-12-30T12:06:32"/>
        <d v="1899-12-30T12:06:39"/>
        <d v="1899-12-30T12:06:40"/>
        <d v="1899-12-30T12:06:41"/>
        <d v="1899-12-30T12:06:43"/>
        <d v="1899-12-30T12:06:47"/>
        <d v="1899-12-30T12:06:49"/>
        <d v="1899-12-30T12:06:54"/>
        <d v="1899-12-30T12:06:55"/>
        <d v="1899-12-30T12:06:57"/>
        <d v="1899-12-30T12:06:58"/>
        <d v="1899-12-30T12:07:02"/>
        <d v="1899-12-30T12:07:03"/>
        <d v="1899-12-30T12:07:05"/>
        <d v="1899-12-30T12:07:06"/>
        <d v="1899-12-30T12:07:10"/>
        <d v="1899-12-30T12:07:15"/>
        <d v="1899-12-30T12:07:19"/>
        <d v="1899-12-30T12:07:21"/>
        <d v="1899-12-30T12:07:22"/>
        <d v="1899-12-30T12:07:25"/>
        <d v="1899-12-30T12:07:28"/>
        <d v="1899-12-30T12:07:31"/>
        <d v="1899-12-30T12:07:32"/>
        <d v="1899-12-30T12:07:33"/>
        <d v="1899-12-30T12:07:35"/>
        <d v="1899-12-30T12:07:36"/>
        <d v="1899-12-30T12:07:39"/>
        <d v="1899-12-30T12:07:42"/>
        <d v="1899-12-30T12:07:43"/>
        <d v="1899-12-30T12:07:52"/>
        <d v="1899-12-30T12:07:56"/>
        <d v="1899-12-30T12:07:57"/>
        <d v="1899-12-30T12:08:01"/>
        <d v="1899-12-30T12:08:02"/>
        <d v="1899-12-30T12:08:07"/>
        <d v="1899-12-30T12:08:08"/>
        <d v="1899-12-30T12:08:11"/>
        <d v="1899-12-30T12:08:17"/>
        <d v="1899-12-30T12:08:18"/>
        <d v="1899-12-30T12:08:19"/>
        <d v="1899-12-30T12:08:20"/>
        <d v="1899-12-30T12:08:21"/>
        <d v="1899-12-30T12:08:26"/>
        <d v="1899-12-30T12:08:28"/>
        <d v="1899-12-30T12:08:30"/>
        <d v="1899-12-30T12:08:32"/>
        <d v="1899-12-30T12:08:33"/>
        <d v="1899-12-30T12:08:34"/>
        <d v="1899-12-30T12:08:35"/>
        <d v="1899-12-30T12:08:41"/>
        <d v="1899-12-30T12:08:43"/>
        <d v="1899-12-30T12:08:45"/>
        <d v="1899-12-30T12:08:51"/>
        <d v="1899-12-30T12:08:52"/>
        <d v="1899-12-30T12:08:53"/>
        <d v="1899-12-30T12:08:54"/>
        <d v="1899-12-30T12:08:55"/>
        <d v="1899-12-30T12:08:59"/>
        <d v="1899-12-30T12:09:00"/>
        <d v="1899-12-30T12:09:01"/>
        <d v="1899-12-30T12:09:02"/>
        <d v="1899-12-30T12:09:03"/>
        <d v="1899-12-30T12:09:07"/>
        <d v="1899-12-30T12:09:10"/>
        <d v="1899-12-30T12:09:15"/>
        <d v="1899-12-30T12:09:17"/>
        <d v="1899-12-30T12:09:25"/>
        <d v="1899-12-30T12:09:26"/>
        <d v="1899-12-30T12:09:27"/>
        <d v="1899-12-30T12:09:28"/>
        <d v="1899-12-30T12:09:29"/>
        <d v="1899-12-30T12:09:38"/>
        <d v="1899-12-30T12:09:40"/>
        <d v="1899-12-30T12:09:41"/>
        <d v="1899-12-30T12:09:46"/>
        <d v="1899-12-30T12:09:55"/>
        <d v="1899-12-30T12:10:08"/>
        <d v="1899-12-30T12:10:09"/>
        <d v="1899-12-30T12:10:10"/>
        <d v="1899-12-30T12:10:12"/>
        <d v="1899-12-30T12:10:15"/>
        <d v="1899-12-30T12:10:24"/>
        <d v="1899-12-30T12:10:26"/>
        <d v="1899-12-30T12:10:29"/>
        <d v="1899-12-30T12:10:30"/>
        <d v="1899-12-30T12:10:31"/>
        <d v="1899-12-30T12:10:35"/>
        <d v="1899-12-30T12:10:37"/>
        <d v="1899-12-30T12:10:39"/>
        <d v="1899-12-30T12:10:41"/>
        <d v="1899-12-30T12:10:42"/>
        <d v="1899-12-30T12:10:48"/>
        <d v="1899-12-30T12:10:50"/>
        <d v="1899-12-30T12:10:52"/>
        <d v="1899-12-30T12:10:53"/>
        <d v="1899-12-30T12:10:57"/>
        <d v="1899-12-30T12:10:58"/>
        <d v="1899-12-30T12:11:00"/>
        <d v="1899-12-30T12:11:04"/>
        <d v="1899-12-30T12:11:05"/>
        <d v="1899-12-30T12:11:12"/>
        <d v="1899-12-30T12:11:13"/>
        <d v="1899-12-30T12:11:17"/>
        <d v="1899-12-30T12:11:21"/>
        <d v="1899-12-30T12:11:23"/>
        <d v="1899-12-30T12:11:24"/>
        <d v="1899-12-30T12:11:25"/>
        <d v="1899-12-30T12:11:27"/>
        <d v="1899-12-30T12:11:28"/>
        <d v="1899-12-30T12:11:32"/>
        <d v="1899-12-30T12:11:34"/>
        <d v="1899-12-30T12:11:35"/>
        <d v="1899-12-30T12:11:37"/>
        <d v="1899-12-30T12:11:39"/>
        <d v="1899-12-30T12:11:40"/>
        <d v="1899-12-30T12:11:44"/>
        <d v="1899-12-30T12:11:46"/>
        <d v="1899-12-30T12:11:50"/>
        <d v="1899-12-30T12:11:53"/>
        <d v="1899-12-30T12:11:55"/>
        <d v="1899-12-30T12:11:56"/>
        <d v="1899-12-30T12:11:57"/>
        <d v="1899-12-30T12:11:59"/>
        <d v="1899-12-30T12:12:00"/>
        <d v="1899-12-30T12:12:02"/>
        <d v="1899-12-30T12:12:04"/>
        <d v="1899-12-30T12:12:11"/>
        <d v="1899-12-30T12:12:14"/>
        <d v="1899-12-30T12:12:15"/>
        <d v="1899-12-30T12:12:16"/>
        <d v="1899-12-30T12:12:22"/>
        <d v="1899-12-30T12:12:25"/>
        <d v="1899-12-30T12:12:27"/>
        <d v="1899-12-30T12:12:28"/>
        <d v="1899-12-30T12:12:29"/>
        <d v="1899-12-30T12:12:30"/>
        <d v="1899-12-30T12:12:31"/>
        <d v="1899-12-30T12:12:34"/>
        <d v="1899-12-30T12:12:37"/>
        <d v="1899-12-30T12:12:39"/>
        <d v="1899-12-30T12:12:40"/>
        <d v="1899-12-30T12:12:41"/>
        <d v="1899-12-30T12:12:53"/>
        <d v="1899-12-30T12:12:55"/>
        <d v="1899-12-30T12:12:56"/>
        <d v="1899-12-30T12:12:57"/>
        <d v="1899-12-30T12:12:59"/>
        <d v="1899-12-30T12:13:00"/>
        <d v="1899-12-30T12:13:04"/>
        <d v="1899-12-30T12:13:14"/>
        <d v="1899-12-30T12:13:18"/>
        <d v="1899-12-30T12:13:20"/>
        <d v="1899-12-30T12:13:25"/>
        <d v="1899-12-30T12:13:29"/>
        <d v="1899-12-30T12:13:35"/>
        <d v="1899-12-30T12:13:37"/>
        <d v="1899-12-30T12:13:39"/>
        <d v="1899-12-30T12:13:42"/>
        <d v="1899-12-30T12:13:46"/>
        <d v="1899-12-30T12:13:47"/>
        <d v="1899-12-30T12:13:48"/>
        <d v="1899-12-30T12:13:49"/>
        <d v="1899-12-30T12:13:50"/>
        <d v="1899-12-30T12:13:54"/>
        <d v="1899-12-30T12:13:57"/>
        <d v="1899-12-30T12:13:59"/>
        <d v="1899-12-30T12:14:01"/>
        <d v="1899-12-30T12:14:02"/>
        <d v="1899-12-30T12:14:06"/>
        <d v="1899-12-30T12:14:07"/>
        <d v="1899-12-30T12:14:13"/>
        <d v="1899-12-30T12:14:17"/>
        <d v="1899-12-30T12:14:21"/>
        <d v="1899-12-30T12:14:25"/>
        <d v="1899-12-30T12:14:26"/>
        <d v="1899-12-30T12:14:40"/>
        <d v="1899-12-30T12:14:47"/>
        <d v="1899-12-30T12:14:48"/>
        <d v="1899-12-30T12:14:52"/>
        <d v="1899-12-30T12:14:53"/>
        <d v="1899-12-30T12:14:54"/>
        <d v="1899-12-30T12:14:55"/>
        <d v="1899-12-30T12:15:00"/>
        <d v="1899-12-30T12:15:04"/>
        <d v="1899-12-30T12:15:05"/>
        <d v="1899-12-30T12:15:08"/>
        <d v="1899-12-30T12:15:15"/>
        <d v="1899-12-30T12:15:16"/>
        <d v="1899-12-30T12:15:19"/>
        <d v="1899-12-30T12:15:21"/>
        <d v="1899-12-30T12:15:22"/>
        <d v="1899-12-30T12:15:28"/>
        <d v="1899-12-30T12:15:31"/>
        <d v="1899-12-30T12:15:34"/>
        <d v="1899-12-30T12:15:38"/>
        <d v="1899-12-30T12:15:42"/>
        <d v="1899-12-30T12:15:44"/>
        <d v="1899-12-30T12:15:47"/>
        <d v="1899-12-30T12:15:50"/>
        <d v="1899-12-30T12:15:55"/>
        <d v="1899-12-30T12:15:58"/>
        <d v="1899-12-30T12:16:01"/>
        <d v="1899-12-30T12:16:03"/>
        <d v="1899-12-30T12:16:04"/>
        <d v="1899-12-30T12:16:06"/>
        <d v="1899-12-30T12:16:10"/>
        <d v="1899-12-30T12:16:13"/>
        <d v="1899-12-30T12:16:20"/>
        <d v="1899-12-30T12:16:24"/>
        <d v="1899-12-30T12:16:25"/>
        <d v="1899-12-30T12:16:32"/>
        <d v="1899-12-30T12:16:33"/>
        <d v="1899-12-30T12:16:47"/>
        <d v="1899-12-30T12:16:50"/>
        <d v="1899-12-30T12:16:55"/>
        <d v="1899-12-30T12:16:59"/>
        <d v="1899-12-30T12:17:01"/>
        <d v="1899-12-30T12:17:04"/>
        <d v="1899-12-30T12:17:06"/>
        <d v="1899-12-30T12:17:08"/>
        <d v="1899-12-30T12:17:13"/>
        <d v="1899-12-30T12:17:15"/>
        <d v="1899-12-30T12:17:16"/>
        <d v="1899-12-30T12:17:17"/>
        <d v="1899-12-30T12:17:18"/>
        <d v="1899-12-30T12:17:20"/>
        <d v="1899-12-30T12:17:25"/>
        <d v="1899-12-30T12:17:27"/>
        <d v="1899-12-30T12:17:28"/>
        <d v="1899-12-30T12:17:30"/>
        <d v="1899-12-30T12:17:34"/>
        <d v="1899-12-30T12:17:36"/>
        <d v="1899-12-30T12:17:41"/>
        <d v="1899-12-30T12:17:43"/>
        <d v="1899-12-30T12:17:44"/>
        <d v="1899-12-30T12:17:46"/>
        <d v="1899-12-30T12:17:49"/>
        <d v="1899-12-30T12:17:51"/>
        <d v="1899-12-30T12:17:52"/>
        <d v="1899-12-30T12:17:56"/>
        <d v="1899-12-30T12:17:59"/>
        <d v="1899-12-30T12:18:00"/>
        <d v="1899-12-30T12:18:05"/>
        <d v="1899-12-30T12:18:06"/>
        <d v="1899-12-30T12:18:07"/>
        <d v="1899-12-30T12:18:09"/>
        <d v="1899-12-30T12:18:10"/>
        <d v="1899-12-30T12:18:13"/>
        <d v="1899-12-30T12:18:15"/>
        <d v="1899-12-30T12:18:17"/>
        <d v="1899-12-30T12:18:18"/>
        <d v="1899-12-30T12:18:28"/>
        <d v="1899-12-30T12:18:29"/>
        <d v="1899-12-30T12:18:30"/>
        <d v="1899-12-30T12:18:31"/>
        <d v="1899-12-30T12:18:32"/>
        <d v="1899-12-30T12:18:34"/>
        <d v="1899-12-30T12:18:35"/>
        <d v="1899-12-30T12:18:45"/>
        <d v="1899-12-30T12:18:49"/>
        <d v="1899-12-30T12:18:55"/>
        <d v="1899-12-30T12:19:01"/>
        <d v="1899-12-30T12:19:07"/>
        <d v="1899-12-30T12:19:09"/>
        <d v="1899-12-30T12:19:17"/>
        <d v="1899-12-30T12:19:18"/>
        <d v="1899-12-30T12:19:19"/>
        <d v="1899-12-30T12:19:20"/>
        <d v="1899-12-30T12:19:23"/>
        <d v="1899-12-30T12:19:24"/>
        <d v="1899-12-30T12:19:27"/>
        <d v="1899-12-30T12:19:28"/>
        <d v="1899-12-30T12:19:31"/>
        <d v="1899-12-30T12:19:32"/>
        <d v="1899-12-30T12:19:38"/>
        <d v="1899-12-30T12:19:40"/>
        <d v="1899-12-30T12:19:41"/>
        <d v="1899-12-30T12:19:43"/>
        <d v="1899-12-30T12:19:46"/>
        <d v="1899-12-30T12:19:51"/>
        <d v="1899-12-30T12:19:52"/>
        <d v="1899-12-30T12:19:55"/>
        <d v="1899-12-30T12:19:58"/>
        <d v="1899-12-30T12:20:06"/>
        <d v="1899-12-30T12:20:17"/>
        <d v="1899-12-30T12:20:23"/>
        <d v="1899-12-30T12:20:24"/>
        <d v="1899-12-30T12:20:25"/>
        <d v="1899-12-30T12:20:27"/>
        <d v="1899-12-30T12:20:29"/>
        <d v="1899-12-30T12:20:30"/>
        <d v="1899-12-30T12:20:32"/>
        <d v="1899-12-30T12:20:33"/>
        <d v="1899-12-30T12:20:34"/>
        <d v="1899-12-30T12:20:37"/>
        <d v="1899-12-30T12:20:38"/>
        <d v="1899-12-30T12:20:42"/>
        <d v="1899-12-30T12:20:44"/>
        <d v="1899-12-30T12:20:52"/>
        <d v="1899-12-30T12:20:55"/>
        <d v="1899-12-30T12:20:58"/>
        <d v="1899-12-30T12:20:59"/>
        <d v="1899-12-30T12:21:02"/>
        <d v="1899-12-30T12:21:08"/>
        <d v="1899-12-30T12:21:12"/>
        <d v="1899-12-30T12:21:13"/>
        <d v="1899-12-30T12:21:21"/>
        <d v="1899-12-30T12:21:24"/>
        <d v="1899-12-30T12:21:27"/>
        <d v="1899-12-30T12:21:31"/>
        <d v="1899-12-30T12:21:35"/>
        <d v="1899-12-30T12:21:36"/>
        <d v="1899-12-30T12:21:38"/>
        <d v="1899-12-30T12:21:39"/>
        <d v="1899-12-30T12:21:41"/>
        <d v="1899-12-30T12:21:45"/>
        <d v="1899-12-30T12:21:46"/>
        <d v="1899-12-30T12:21:49"/>
        <d v="1899-12-30T12:21:50"/>
        <d v="1899-12-30T12:21:53"/>
        <d v="1899-12-30T12:21:55"/>
        <d v="1899-12-30T12:21:56"/>
        <d v="1899-12-30T12:21:58"/>
        <d v="1899-12-30T12:22:01"/>
        <d v="1899-12-30T12:22:02"/>
        <d v="1899-12-30T12:22:04"/>
        <d v="1899-12-30T12:22:10"/>
        <d v="1899-12-30T12:22:12"/>
        <d v="1899-12-30T12:22:14"/>
        <d v="1899-12-30T12:22:15"/>
        <d v="1899-12-30T12:22:16"/>
        <d v="1899-12-30T12:22:19"/>
        <d v="1899-12-30T12:22:26"/>
        <d v="1899-12-30T12:22:27"/>
        <d v="1899-12-30T12:22:29"/>
        <d v="1899-12-30T12:22:32"/>
        <d v="1899-12-30T12:22:41"/>
        <d v="1899-12-30T12:22:43"/>
        <d v="1899-12-30T12:22:45"/>
        <d v="1899-12-30T12:22:46"/>
        <d v="1899-12-30T12:22:49"/>
        <d v="1899-12-30T12:22:50"/>
        <d v="1899-12-30T12:22:52"/>
        <d v="1899-12-30T12:23:01"/>
        <d v="1899-12-30T12:23:02"/>
        <d v="1899-12-30T12:23:04"/>
        <d v="1899-12-30T12:23:10"/>
        <d v="1899-12-30T12:23:16"/>
        <d v="1899-12-30T12:23:17"/>
        <d v="1899-12-30T12:23:19"/>
        <d v="1899-12-30T12:23:25"/>
        <d v="1899-12-30T12:23:26"/>
        <d v="1899-12-30T12:23:29"/>
        <d v="1899-12-30T12:23:30"/>
        <d v="1899-12-30T12:23:34"/>
        <d v="1899-12-30T12:23:35"/>
        <d v="1899-12-30T12:23:37"/>
        <d v="1899-12-30T12:23:38"/>
        <d v="1899-12-30T12:23:42"/>
        <d v="1899-12-30T12:23:43"/>
        <d v="1899-12-30T12:23:44"/>
        <d v="1899-12-30T12:23:46"/>
        <d v="1899-12-30T12:23:48"/>
        <d v="1899-12-30T12:23:49"/>
        <d v="1899-12-30T12:23:59"/>
        <d v="1899-12-30T12:24:03"/>
        <d v="1899-12-30T12:24:04"/>
        <d v="1899-12-30T12:24:09"/>
        <d v="1899-12-30T12:24:10"/>
        <d v="1899-12-30T12:24:11"/>
        <d v="1899-12-30T12:24:13"/>
        <d v="1899-12-30T12:24:14"/>
        <d v="1899-12-30T12:24:20"/>
        <d v="1899-12-30T12:24:21"/>
        <d v="1899-12-30T12:24:27"/>
        <d v="1899-12-30T12:24:29"/>
        <d v="1899-12-30T12:24:30"/>
        <d v="1899-12-30T12:24:31"/>
        <d v="1899-12-30T12:24:33"/>
        <d v="1899-12-30T12:24:36"/>
        <d v="1899-12-30T12:24:41"/>
        <d v="1899-12-30T12:24:43"/>
        <d v="1899-12-30T12:24:46"/>
        <d v="1899-12-30T12:24:48"/>
        <d v="1899-12-30T12:24:49"/>
        <d v="1899-12-30T12:24:50"/>
        <d v="1899-12-30T12:24:51"/>
        <d v="1899-12-30T12:24:53"/>
        <d v="1899-12-30T12:24:56"/>
        <d v="1899-12-30T12:24:57"/>
        <d v="1899-12-30T12:24:58"/>
        <d v="1899-12-30T12:24:59"/>
        <d v="1899-12-30T12:25:07"/>
        <d v="1899-12-30T12:25:08"/>
        <d v="1899-12-30T12:25:09"/>
        <d v="1899-12-30T12:25:10"/>
        <d v="1899-12-30T12:25:13"/>
        <d v="1899-12-30T12:25:16"/>
        <d v="1899-12-30T12:25:24"/>
        <d v="1899-12-30T12:25:25"/>
        <d v="1899-12-30T12:25:28"/>
        <d v="1899-12-30T12:25:31"/>
        <d v="1899-12-30T12:25:32"/>
        <d v="1899-12-30T12:25:33"/>
        <d v="1899-12-30T12:25:40"/>
        <d v="1899-12-30T12:25:44"/>
        <d v="1899-12-30T12:25:49"/>
        <d v="1899-12-30T12:25:56"/>
        <d v="1899-12-30T12:25:57"/>
        <d v="1899-12-30T12:25:58"/>
        <d v="1899-12-30T12:25:59"/>
        <d v="1899-12-30T12:26:02"/>
        <d v="1899-12-30T12:26:03"/>
        <d v="1899-12-30T12:26:16"/>
        <d v="1899-12-30T12:26:18"/>
        <d v="1899-12-30T12:26:21"/>
        <d v="1899-12-30T12:26:24"/>
        <d v="1899-12-30T12:26:25"/>
        <d v="1899-12-30T12:26:31"/>
        <d v="1899-12-30T12:26:32"/>
        <d v="1899-12-30T12:26:34"/>
        <d v="1899-12-30T12:26:35"/>
        <d v="1899-12-30T12:26:38"/>
        <d v="1899-12-30T12:26:42"/>
        <d v="1899-12-30T12:26:43"/>
        <d v="1899-12-30T12:26:46"/>
        <d v="1899-12-30T12:26:49"/>
        <d v="1899-12-30T12:26:50"/>
        <d v="1899-12-30T12:26:52"/>
        <d v="1899-12-30T12:26:56"/>
        <d v="1899-12-30T12:26:58"/>
        <d v="1899-12-30T12:26:59"/>
        <d v="1899-12-30T12:27:01"/>
        <d v="1899-12-30T12:27:05"/>
        <d v="1899-12-30T12:27:08"/>
        <d v="1899-12-30T12:27:09"/>
        <d v="1899-12-30T12:27:11"/>
        <d v="1899-12-30T12:27:15"/>
        <d v="1899-12-30T12:27:18"/>
        <d v="1899-12-30T12:27:21"/>
        <d v="1899-12-30T12:27:26"/>
        <d v="1899-12-30T12:27:27"/>
        <d v="1899-12-30T12:27:29"/>
        <d v="1899-12-30T12:27:31"/>
        <d v="1899-12-30T12:27:33"/>
        <d v="1899-12-30T12:27:38"/>
        <d v="1899-12-30T12:27:40"/>
        <d v="1899-12-30T12:27:42"/>
        <d v="1899-12-30T12:27:44"/>
        <d v="1899-12-30T12:27:51"/>
        <d v="1899-12-30T12:27:52"/>
        <d v="1899-12-30T12:28:00"/>
        <d v="1899-12-30T12:28:01"/>
        <d v="1899-12-30T12:28:02"/>
        <d v="1899-12-30T12:28:03"/>
        <d v="1899-12-30T12:28:04"/>
        <d v="1899-12-30T12:28:05"/>
        <d v="1899-12-30T12:28:07"/>
        <d v="1899-12-30T12:28:20"/>
        <d v="1899-12-30T12:28:21"/>
        <d v="1899-12-30T12:28:22"/>
        <d v="1899-12-30T12:28:23"/>
        <d v="1899-12-30T12:28:26"/>
        <d v="1899-12-30T12:28:27"/>
        <d v="1899-12-30T12:28:28"/>
        <d v="1899-12-30T12:28:30"/>
        <d v="1899-12-30T12:28:32"/>
        <d v="1899-12-30T12:28:36"/>
        <d v="1899-12-30T12:28:42"/>
        <d v="1899-12-30T12:28:44"/>
        <d v="1899-12-30T12:28:48"/>
        <d v="1899-12-30T12:28:51"/>
        <d v="1899-12-30T12:28:52"/>
        <d v="1899-12-30T12:28:55"/>
        <d v="1899-12-30T12:28:57"/>
        <d v="1899-12-30T12:28:58"/>
        <d v="1899-12-30T12:29:00"/>
        <d v="1899-12-30T12:29:01"/>
        <d v="1899-12-30T12:29:02"/>
        <d v="1899-12-30T12:29:05"/>
        <d v="1899-12-30T12:29:09"/>
        <d v="1899-12-30T12:29:11"/>
        <d v="1899-12-30T12:29:13"/>
        <d v="1899-12-30T12:29:14"/>
        <d v="1899-12-30T12:29:18"/>
        <d v="1899-12-30T12:29:23"/>
        <d v="1899-12-30T12:29:24"/>
        <d v="1899-12-30T12:29:26"/>
        <d v="1899-12-30T12:29:29"/>
        <d v="1899-12-30T12:29:31"/>
        <d v="1899-12-30T12:29:35"/>
        <d v="1899-12-30T12:29:46"/>
        <d v="1899-12-30T12:29:47"/>
        <d v="1899-12-30T12:29:51"/>
        <d v="1899-12-30T12:29:52"/>
        <d v="1899-12-30T12:29:53"/>
        <d v="1899-12-30T12:29:55"/>
        <d v="1899-12-30T12:29:56"/>
        <d v="1899-12-30T12:29:59"/>
        <d v="1899-12-30T12:30:01"/>
        <d v="1899-12-30T12:30:05"/>
        <d v="1899-12-30T12:30:17"/>
        <d v="1899-12-30T12:30:21"/>
        <d v="1899-12-30T12:30:22"/>
        <d v="1899-12-30T12:30:27"/>
        <d v="1899-12-30T12:30:28"/>
        <d v="1899-12-30T12:30:31"/>
        <d v="1899-12-30T12:30:32"/>
        <d v="1899-12-30T12:30:34"/>
        <d v="1899-12-30T12:30:36"/>
        <d v="1899-12-30T12:30:45"/>
        <d v="1899-12-30T12:30:48"/>
        <d v="1899-12-30T12:30:51"/>
        <d v="1899-12-30T12:30:55"/>
        <d v="1899-12-30T12:30:57"/>
        <d v="1899-12-30T12:30:59"/>
        <d v="1899-12-30T12:31:02"/>
        <d v="1899-12-30T12:31:03"/>
        <d v="1899-12-30T12:31:05"/>
        <d v="1899-12-30T12:31:08"/>
        <d v="1899-12-30T12:31:11"/>
        <d v="1899-12-30T12:31:14"/>
        <d v="1899-12-30T12:31:15"/>
        <d v="1899-12-30T12:31:20"/>
        <d v="1899-12-30T12:31:22"/>
        <d v="1899-12-30T12:31:23"/>
        <d v="1899-12-30T12:31:26"/>
        <d v="1899-12-30T12:31:28"/>
        <d v="1899-12-30T12:31:45"/>
        <d v="1899-12-30T12:31:49"/>
        <d v="1899-12-30T12:31:50"/>
        <d v="1899-12-30T12:31:52"/>
        <d v="1899-12-30T12:31:53"/>
        <d v="1899-12-30T12:31:55"/>
        <d v="1899-12-30T12:31:56"/>
        <d v="1899-12-30T12:31:59"/>
        <d v="1899-12-30T12:32:04"/>
        <d v="1899-12-30T12:32:06"/>
        <d v="1899-12-30T12:32:11"/>
        <d v="1899-12-30T12:32:13"/>
        <d v="1899-12-30T12:32:14"/>
        <d v="1899-12-30T12:32:17"/>
        <d v="1899-12-30T12:32:18"/>
        <d v="1899-12-30T12:32:19"/>
        <d v="1899-12-30T12:32:22"/>
        <d v="1899-12-30T12:32:25"/>
        <d v="1899-12-30T12:32:29"/>
        <d v="1899-12-30T12:32:31"/>
        <d v="1899-12-30T12:32:32"/>
        <d v="1899-12-30T12:32:34"/>
        <d v="1899-12-30T12:32:36"/>
        <d v="1899-12-30T12:32:38"/>
        <d v="1899-12-30T12:32:39"/>
        <d v="1899-12-30T12:32:44"/>
        <d v="1899-12-30T12:32:48"/>
        <d v="1899-12-30T12:32:50"/>
        <d v="1899-12-30T12:32:51"/>
        <d v="1899-12-30T12:32:53"/>
        <d v="1899-12-30T12:32:56"/>
        <d v="1899-12-30T12:33:01"/>
        <d v="1899-12-30T12:33:02"/>
        <d v="1899-12-30T12:33:06"/>
        <d v="1899-12-30T12:33:08"/>
        <d v="1899-12-30T12:33:09"/>
        <d v="1899-12-30T12:33:10"/>
        <d v="1899-12-30T12:33:11"/>
        <d v="1899-12-30T12:33:14"/>
        <d v="1899-12-30T12:33:18"/>
        <d v="1899-12-30T12:33:20"/>
        <d v="1899-12-30T12:33:21"/>
        <d v="1899-12-30T12:33:22"/>
        <d v="1899-12-30T12:33:23"/>
        <d v="1899-12-30T12:33:29"/>
        <d v="1899-12-30T12:33:30"/>
        <d v="1899-12-30T12:33:33"/>
        <d v="1899-12-30T12:33:35"/>
        <d v="1899-12-30T12:33:36"/>
        <d v="1899-12-30T12:33:38"/>
        <d v="1899-12-30T12:33:46"/>
        <d v="1899-12-30T12:33:51"/>
        <d v="1899-12-30T12:34:01"/>
        <d v="1899-12-30T12:34:02"/>
        <d v="1899-12-30T12:34:03"/>
        <d v="1899-12-30T12:34:05"/>
        <d v="1899-12-30T12:34:06"/>
        <d v="1899-12-30T12:34:08"/>
        <d v="1899-12-30T12:34:17"/>
        <d v="1899-12-30T12:34:33"/>
        <d v="1899-12-30T12:34:34"/>
        <d v="1899-12-30T12:34:35"/>
        <d v="1899-12-30T12:34:38"/>
        <d v="1899-12-30T12:34:41"/>
        <d v="1899-12-30T12:34:46"/>
        <d v="1899-12-30T12:34:47"/>
        <d v="1899-12-30T12:34:50"/>
        <d v="1899-12-30T12:34:58"/>
        <d v="1899-12-30T12:35:00"/>
        <d v="1899-12-30T12:35:01"/>
        <d v="1899-12-30T12:35:02"/>
        <d v="1899-12-30T12:35:04"/>
        <d v="1899-12-30T12:35:05"/>
        <d v="1899-12-30T12:35:10"/>
        <d v="1899-12-30T12:35:13"/>
        <d v="1899-12-30T12:35:19"/>
        <d v="1899-12-30T12:35:21"/>
        <d v="1899-12-30T12:35:23"/>
        <d v="1899-12-30T12:35:28"/>
        <d v="1899-12-30T12:35:30"/>
        <d v="1899-12-30T12:35:31"/>
        <d v="1899-12-30T12:35:32"/>
        <d v="1899-12-30T12:35:33"/>
        <d v="1899-12-30T12:35:36"/>
        <d v="1899-12-30T12:35:47"/>
        <d v="1899-12-30T12:35:48"/>
        <d v="1899-12-30T12:35:51"/>
        <d v="1899-12-30T12:35:52"/>
        <d v="1899-12-30T12:35:55"/>
        <d v="1899-12-30T12:35:56"/>
        <d v="1899-12-30T12:35:57"/>
        <d v="1899-12-30T12:35:59"/>
        <d v="1899-12-30T12:36:00"/>
        <d v="1899-12-30T12:36:02"/>
        <d v="1899-12-30T12:36:05"/>
        <d v="1899-12-30T12:36:08"/>
        <d v="1899-12-30T12:36:10"/>
        <d v="1899-12-30T12:36:12"/>
        <d v="1899-12-30T12:36:16"/>
        <d v="1899-12-30T12:36:18"/>
        <d v="1899-12-30T12:36:23"/>
        <d v="1899-12-30T12:36:28"/>
        <d v="1899-12-30T12:36:36"/>
        <d v="1899-12-30T12:36:37"/>
        <d v="1899-12-30T12:36:38"/>
        <d v="1899-12-30T12:36:41"/>
        <d v="1899-12-30T12:36:48"/>
        <d v="1899-12-30T12:36:49"/>
        <d v="1899-12-30T12:36:52"/>
        <d v="1899-12-30T12:36:54"/>
        <d v="1899-12-30T12:36:59"/>
        <d v="1899-12-30T12:37:08"/>
        <d v="1899-12-30T12:37:15"/>
        <d v="1899-12-30T12:37:18"/>
        <d v="1899-12-30T12:37:24"/>
        <d v="1899-12-30T12:37:31"/>
        <d v="1899-12-30T12:37:37"/>
        <d v="1899-12-30T12:37:40"/>
        <d v="1899-12-30T12:37:41"/>
        <d v="1899-12-30T12:37:42"/>
        <d v="1899-12-30T12:37:47"/>
        <d v="1899-12-30T12:37:48"/>
        <d v="1899-12-30T12:37:54"/>
        <d v="1899-12-30T12:37:56"/>
        <d v="1899-12-30T12:37:58"/>
        <d v="1899-12-30T12:38:00"/>
        <d v="1899-12-30T12:38:04"/>
        <d v="1899-12-30T12:38:07"/>
        <d v="1899-12-30T12:38:12"/>
        <d v="1899-12-30T12:38:13"/>
        <d v="1899-12-30T12:38:14"/>
        <d v="1899-12-30T12:38:20"/>
        <d v="1899-12-30T12:38:30"/>
        <d v="1899-12-30T12:38:32"/>
        <d v="1899-12-30T12:38:35"/>
        <d v="1899-12-30T12:38:37"/>
        <d v="1899-12-30T12:38:43"/>
        <d v="1899-12-30T12:38:45"/>
        <d v="1899-12-30T12:38:51"/>
        <d v="1899-12-30T12:38:57"/>
        <d v="1899-12-30T12:39:01"/>
        <d v="1899-12-30T12:39:02"/>
        <d v="1899-12-30T12:39:03"/>
        <d v="1899-12-30T12:39:06"/>
        <d v="1899-12-30T12:39:07"/>
        <d v="1899-12-30T12:39:08"/>
        <d v="1899-12-30T12:39:09"/>
        <d v="1899-12-30T12:39:12"/>
        <d v="1899-12-30T12:39:13"/>
        <d v="1899-12-30T12:39:15"/>
        <d v="1899-12-30T12:39:20"/>
        <d v="1899-12-30T12:39:27"/>
        <d v="1899-12-30T12:39:28"/>
        <d v="1899-12-30T12:39:31"/>
        <d v="1899-12-30T12:39:34"/>
        <d v="1899-12-30T12:39:40"/>
        <d v="1899-12-30T12:39:42"/>
        <d v="1899-12-30T12:39:43"/>
        <d v="1899-12-30T12:39:45"/>
        <d v="1899-12-30T12:39:49"/>
        <d v="1899-12-30T12:39:51"/>
        <d v="1899-12-30T12:39:52"/>
        <d v="1899-12-30T12:39:55"/>
        <d v="1899-12-30T12:39:57"/>
        <d v="1899-12-30T12:40:01"/>
        <d v="1899-12-30T12:40:03"/>
        <d v="1899-12-30T12:40:05"/>
        <d v="1899-12-30T12:40:07"/>
        <d v="1899-12-30T12:40:08"/>
        <d v="1899-12-30T12:40:13"/>
        <d v="1899-12-30T12:40:15"/>
        <d v="1899-12-30T12:40:18"/>
        <d v="1899-12-30T12:40:20"/>
        <d v="1899-12-30T12:40:23"/>
        <d v="1899-12-30T12:40:26"/>
        <d v="1899-12-30T12:40:27"/>
        <d v="1899-12-30T12:40:28"/>
        <d v="1899-12-30T12:40:32"/>
        <d v="1899-12-30T12:40:35"/>
        <d v="1899-12-30T12:40:36"/>
        <d v="1899-12-30T12:40:37"/>
        <d v="1899-12-30T12:40:41"/>
        <d v="1899-12-30T12:40:44"/>
        <d v="1899-12-30T12:40:45"/>
        <d v="1899-12-30T12:40:54"/>
        <d v="1899-12-30T12:40:55"/>
        <d v="1899-12-30T12:40:56"/>
        <d v="1899-12-30T12:40:58"/>
        <d v="1899-12-30T12:40:59"/>
        <d v="1899-12-30T12:41:03"/>
        <d v="1899-12-30T12:41:09"/>
        <d v="1899-12-30T12:41:12"/>
        <d v="1899-12-30T12:41:16"/>
        <d v="1899-12-30T12:41:22"/>
        <d v="1899-12-30T12:41:23"/>
        <d v="1899-12-30T12:41:31"/>
        <d v="1899-12-30T12:41:35"/>
        <d v="1899-12-30T12:41:39"/>
        <d v="1899-12-30T12:41:41"/>
        <d v="1899-12-30T12:41:43"/>
        <d v="1899-12-30T12:41:46"/>
        <d v="1899-12-30T12:41:49"/>
        <d v="1899-12-30T12:41:50"/>
        <d v="1899-12-30T12:41:51"/>
        <d v="1899-12-30T12:41:53"/>
        <d v="1899-12-30T12:41:55"/>
        <d v="1899-12-30T12:41:56"/>
        <d v="1899-12-30T12:41:58"/>
        <d v="1899-12-30T12:42:02"/>
        <d v="1899-12-30T12:42:04"/>
        <d v="1899-12-30T12:42:05"/>
        <d v="1899-12-30T12:42:07"/>
        <d v="1899-12-30T12:42:08"/>
        <d v="1899-12-30T12:42:11"/>
        <d v="1899-12-30T12:42:13"/>
        <d v="1899-12-30T12:42:17"/>
        <d v="1899-12-30T12:42:18"/>
        <d v="1899-12-30T12:42:23"/>
        <d v="1899-12-30T12:42:26"/>
        <d v="1899-12-30T12:42:33"/>
        <d v="1899-12-30T12:42:39"/>
        <d v="1899-12-30T12:42:41"/>
        <d v="1899-12-30T12:42:44"/>
        <d v="1899-12-30T12:42:50"/>
        <d v="1899-12-30T12:42:53"/>
        <d v="1899-12-30T12:42:57"/>
        <d v="1899-12-30T12:42:58"/>
        <d v="1899-12-30T12:42:59"/>
        <d v="1899-12-30T12:43:14"/>
        <d v="1899-12-30T12:43:16"/>
        <d v="1899-12-30T12:43:24"/>
        <d v="1899-12-30T12:43:25"/>
        <d v="1899-12-30T12:43:41"/>
        <d v="1899-12-30T12:43:43"/>
        <d v="1899-12-30T12:43:47"/>
        <d v="1899-12-30T12:43:48"/>
        <d v="1899-12-30T12:43:53"/>
        <d v="1899-12-30T12:43:55"/>
        <d v="1899-12-30T12:44:01"/>
        <d v="1899-12-30T12:44:02"/>
        <d v="1899-12-30T12:44:03"/>
        <d v="1899-12-30T12:44:04"/>
        <d v="1899-12-30T12:44:05"/>
        <d v="1899-12-30T12:44:06"/>
        <d v="1899-12-30T12:44:07"/>
        <d v="1899-12-30T12:44:08"/>
        <d v="1899-12-30T12:44:11"/>
        <d v="1899-12-30T12:44:12"/>
        <d v="1899-12-30T12:44:13"/>
        <d v="1899-12-30T12:44:17"/>
        <d v="1899-12-30T12:44:19"/>
        <d v="1899-12-30T12:44:20"/>
        <d v="1899-12-30T12:44:21"/>
        <d v="1899-12-30T12:44:24"/>
        <d v="1899-12-30T12:44:27"/>
        <d v="1899-12-30T12:44:32"/>
        <d v="1899-12-30T12:44:34"/>
        <d v="1899-12-30T12:44:37"/>
        <d v="1899-12-30T12:44:38"/>
        <d v="1899-12-30T12:44:39"/>
        <d v="1899-12-30T12:44:41"/>
        <d v="1899-12-30T12:44:46"/>
        <d v="1899-12-30T12:44:48"/>
        <d v="1899-12-30T12:44:50"/>
        <d v="1899-12-30T12:44:51"/>
        <d v="1899-12-30T12:44:53"/>
        <d v="1899-12-30T12:44:58"/>
        <d v="1899-12-30T12:45:00"/>
        <d v="1899-12-30T12:45:02"/>
        <d v="1899-12-30T12:45:03"/>
        <d v="1899-12-30T12:45:04"/>
        <d v="1899-12-30T12:45:08"/>
        <d v="1899-12-30T12:45:11"/>
        <d v="1899-12-30T12:45:12"/>
        <d v="1899-12-30T12:45:22"/>
        <d v="1899-12-30T12:45:23"/>
        <d v="1899-12-30T12:45:24"/>
        <d v="1899-12-30T12:45:27"/>
        <d v="1899-12-30T12:45:29"/>
        <d v="1899-12-30T12:45:31"/>
        <d v="1899-12-30T12:45:33"/>
        <d v="1899-12-30T12:45:38"/>
        <d v="1899-12-30T12:45:43"/>
        <d v="1899-12-30T12:45:45"/>
        <d v="1899-12-30T12:45:54"/>
        <d v="1899-12-30T12:45:58"/>
        <d v="1899-12-30T12:46:05"/>
        <d v="1899-12-30T12:46:06"/>
        <d v="1899-12-30T12:46:09"/>
        <d v="1899-12-30T12:46:10"/>
        <d v="1899-12-30T12:46:12"/>
        <d v="1899-12-30T12:46:14"/>
        <d v="1899-12-30T12:46:16"/>
        <d v="1899-12-30T12:46:18"/>
        <d v="1899-12-30T12:46:23"/>
        <d v="1899-12-30T12:46:24"/>
        <d v="1899-12-30T12:46:25"/>
        <d v="1899-12-30T12:46:26"/>
        <d v="1899-12-30T12:46:29"/>
        <d v="1899-12-30T12:46:38"/>
        <d v="1899-12-30T12:46:39"/>
        <d v="1899-12-30T12:46:41"/>
        <d v="1899-12-30T12:46:48"/>
        <d v="1899-12-30T12:46:52"/>
        <d v="1899-12-30T12:46:54"/>
        <d v="1899-12-30T12:46:59"/>
        <d v="1899-12-30T12:47:00"/>
        <d v="1899-12-30T12:47:01"/>
        <d v="1899-12-30T12:47:03"/>
        <d v="1899-12-30T12:47:06"/>
        <d v="1899-12-30T12:47:10"/>
        <d v="1899-12-30T12:47:14"/>
        <d v="1899-12-30T12:47:18"/>
        <d v="1899-12-30T12:47:23"/>
        <d v="1899-12-30T12:47:28"/>
        <d v="1899-12-30T12:47:29"/>
        <d v="1899-12-30T12:47:32"/>
        <d v="1899-12-30T12:47:34"/>
        <d v="1899-12-30T12:47:36"/>
        <d v="1899-12-30T12:47:38"/>
        <d v="1899-12-30T12:47:42"/>
        <d v="1899-12-30T12:47:47"/>
        <d v="1899-12-30T12:47:48"/>
        <d v="1899-12-30T12:47:49"/>
        <d v="1899-12-30T12:47:50"/>
        <d v="1899-12-30T12:47:51"/>
        <d v="1899-12-30T12:47:53"/>
        <d v="1899-12-30T12:47:54"/>
        <d v="1899-12-30T12:47:57"/>
        <d v="1899-12-30T12:47:58"/>
        <d v="1899-12-30T12:48:08"/>
        <d v="1899-12-30T12:48:09"/>
        <d v="1899-12-30T12:48:14"/>
        <d v="1899-12-30T12:48:17"/>
        <d v="1899-12-30T12:48:18"/>
        <d v="1899-12-30T12:48:19"/>
        <d v="1899-12-30T12:48:21"/>
        <d v="1899-12-30T12:48:28"/>
        <d v="1899-12-30T12:48:29"/>
        <d v="1899-12-30T12:48:30"/>
        <d v="1899-12-30T12:48:41"/>
        <d v="1899-12-30T12:48:47"/>
        <d v="1899-12-30T12:48:50"/>
        <d v="1899-12-30T12:48:51"/>
        <d v="1899-12-30T12:48:53"/>
        <d v="1899-12-30T12:48:54"/>
        <d v="1899-12-30T12:48:55"/>
        <d v="1899-12-30T12:49:01"/>
        <d v="1899-12-30T12:49:04"/>
        <d v="1899-12-30T12:49:05"/>
        <d v="1899-12-30T12:49:06"/>
        <d v="1899-12-30T12:49:07"/>
        <d v="1899-12-30T12:49:08"/>
        <d v="1899-12-30T12:49:10"/>
        <d v="1899-12-30T12:49:11"/>
        <d v="1899-12-30T12:49:14"/>
        <d v="1899-12-30T12:49:15"/>
        <d v="1899-12-30T12:49:18"/>
        <d v="1899-12-30T12:49:38"/>
        <d v="1899-12-30T12:49:40"/>
        <d v="1899-12-30T12:49:41"/>
        <d v="1899-12-30T12:49:43"/>
        <d v="1899-12-30T12:49:46"/>
        <d v="1899-12-30T12:49:49"/>
        <d v="1899-12-30T12:49:50"/>
        <d v="1899-12-30T12:49:53"/>
        <d v="1899-12-30T12:49:57"/>
        <d v="1899-12-30T12:49:58"/>
        <d v="1899-12-30T12:50:00"/>
        <d v="1899-12-30T12:50:01"/>
        <d v="1899-12-30T12:50:02"/>
        <d v="1899-12-30T12:50:03"/>
        <d v="1899-12-30T12:50:05"/>
        <d v="1899-12-30T12:50:07"/>
        <d v="1899-12-30T12:50:13"/>
        <d v="1899-12-30T12:50:16"/>
        <d v="1899-12-30T12:50:17"/>
        <d v="1899-12-30T12:50:21"/>
        <d v="1899-12-30T12:50:23"/>
        <d v="1899-12-30T12:50:26"/>
        <d v="1899-12-30T12:50:28"/>
        <d v="1899-12-30T12:50:29"/>
        <d v="1899-12-30T12:50:31"/>
        <d v="1899-12-30T12:50:32"/>
        <d v="1899-12-30T12:50:35"/>
        <d v="1899-12-30T12:50:39"/>
        <d v="1899-12-30T12:50:41"/>
        <d v="1899-12-30T12:50:42"/>
        <d v="1899-12-30T12:50:45"/>
        <d v="1899-12-30T12:50:48"/>
        <d v="1899-12-30T12:50:52"/>
        <d v="1899-12-30T12:50:53"/>
        <d v="1899-12-30T12:50:54"/>
        <d v="1899-12-30T12:50:55"/>
        <d v="1899-12-30T12:51:00"/>
        <d v="1899-12-30T12:51:01"/>
        <d v="1899-12-30T12:51:05"/>
        <d v="1899-12-30T12:51:17"/>
        <d v="1899-12-30T12:51:19"/>
        <d v="1899-12-30T12:51:20"/>
        <d v="1899-12-30T12:51:22"/>
        <d v="1899-12-30T12:51:24"/>
        <d v="1899-12-30T12:51:25"/>
        <d v="1899-12-30T12:51:27"/>
        <d v="1899-12-30T12:51:33"/>
        <d v="1899-12-30T12:51:35"/>
        <d v="1899-12-30T12:51:38"/>
        <d v="1899-12-30T12:51:39"/>
        <d v="1899-12-30T12:51:44"/>
        <d v="1899-12-30T12:51:46"/>
        <d v="1899-12-30T12:51:49"/>
        <d v="1899-12-30T12:51:54"/>
        <d v="1899-12-30T12:51:59"/>
        <d v="1899-12-30T12:52:04"/>
        <d v="1899-12-30T12:52:11"/>
        <d v="1899-12-30T12:52:14"/>
        <d v="1899-12-30T12:52:21"/>
        <d v="1899-12-30T12:52:22"/>
        <d v="1899-12-30T12:52:28"/>
        <d v="1899-12-30T12:52:30"/>
        <d v="1899-12-30T12:52:34"/>
        <d v="1899-12-30T12:52:35"/>
        <d v="1899-12-30T12:52:37"/>
        <d v="1899-12-30T12:52:41"/>
        <d v="1899-12-30T12:52:42"/>
        <d v="1899-12-30T12:52:44"/>
        <d v="1899-12-30T12:52:47"/>
        <d v="1899-12-30T12:52:50"/>
        <d v="1899-12-30T12:52:52"/>
        <d v="1899-12-30T12:52:58"/>
        <d v="1899-12-30T12:52:59"/>
        <d v="1899-12-30T12:53:04"/>
        <d v="1899-12-30T12:53:10"/>
        <d v="1899-12-30T12:53:11"/>
        <d v="1899-12-30T12:53:13"/>
        <d v="1899-12-30T12:53:17"/>
        <d v="1899-12-30T12:53:18"/>
        <d v="1899-12-30T12:53:19"/>
        <d v="1899-12-30T12:53:23"/>
        <d v="1899-12-30T12:53:26"/>
        <d v="1899-12-30T12:53:27"/>
        <d v="1899-12-30T12:53:28"/>
        <d v="1899-12-30T12:53:33"/>
        <d v="1899-12-30T12:53:37"/>
        <d v="1899-12-30T12:53:40"/>
        <d v="1899-12-30T12:53:47"/>
        <d v="1899-12-30T12:53:50"/>
        <d v="1899-12-30T12:53:52"/>
        <d v="1899-12-30T12:53:53"/>
        <d v="1899-12-30T12:53:55"/>
        <d v="1899-12-30T12:54:00"/>
        <d v="1899-12-30T12:54:01"/>
        <d v="1899-12-30T12:54:08"/>
        <d v="1899-12-30T12:54:12"/>
        <d v="1899-12-30T12:54:14"/>
        <d v="1899-12-30T12:54:17"/>
        <d v="1899-12-30T12:54:20"/>
        <d v="1899-12-30T12:54:26"/>
        <d v="1899-12-30T12:54:27"/>
        <d v="1899-12-30T12:54:28"/>
        <d v="1899-12-30T12:54:34"/>
        <d v="1899-12-30T12:54:38"/>
        <d v="1899-12-30T12:54:39"/>
        <d v="1899-12-30T12:54:40"/>
        <d v="1899-12-30T12:54:41"/>
        <d v="1899-12-30T12:54:43"/>
        <d v="1899-12-30T12:54:49"/>
        <d v="1899-12-30T12:54:50"/>
        <d v="1899-12-30T12:54:51"/>
        <d v="1899-12-30T12:54:52"/>
        <d v="1899-12-30T12:54:54"/>
        <d v="1899-12-30T12:54:57"/>
        <d v="1899-12-30T12:55:00"/>
        <d v="1899-12-30T12:55:02"/>
        <d v="1899-12-30T12:55:04"/>
        <d v="1899-12-30T12:55:05"/>
        <d v="1899-12-30T12:55:07"/>
        <d v="1899-12-30T12:55:09"/>
        <d v="1899-12-30T12:55:11"/>
        <d v="1899-12-30T12:55:14"/>
        <d v="1899-12-30T12:55:18"/>
        <d v="1899-12-30T12:55:19"/>
        <d v="1899-12-30T12:55:25"/>
        <d v="1899-12-30T12:55:30"/>
        <d v="1899-12-30T12:55:34"/>
        <d v="1899-12-30T12:55:37"/>
        <d v="1899-12-30T12:55:39"/>
        <d v="1899-12-30T12:55:40"/>
        <d v="1899-12-30T12:55:46"/>
        <d v="1899-12-30T12:55:49"/>
        <d v="1899-12-30T12:55:50"/>
        <d v="1899-12-30T12:55:51"/>
        <d v="1899-12-30T12:55:53"/>
        <d v="1899-12-30T12:55:54"/>
        <d v="1899-12-30T12:55:58"/>
        <d v="1899-12-30T12:55:59"/>
        <d v="1899-12-30T12:56:01"/>
        <d v="1899-12-30T12:56:02"/>
        <d v="1899-12-30T12:56:03"/>
        <d v="1899-12-30T12:56:04"/>
        <d v="1899-12-30T12:56:08"/>
        <d v="1899-12-30T12:56:14"/>
        <d v="1899-12-30T12:56:18"/>
        <d v="1899-12-30T12:56:23"/>
        <d v="1899-12-30T12:56:24"/>
        <d v="1899-12-30T12:56:25"/>
        <d v="1899-12-30T12:56:27"/>
        <d v="1899-12-30T12:56:29"/>
        <d v="1899-12-30T12:56:32"/>
        <d v="1899-12-30T12:56:35"/>
        <d v="1899-12-30T12:56:37"/>
        <d v="1899-12-30T12:56:38"/>
        <d v="1899-12-30T12:56:42"/>
        <d v="1899-12-30T12:56:44"/>
        <d v="1899-12-30T12:56:45"/>
        <d v="1899-12-30T12:56:48"/>
        <d v="1899-12-30T12:56:50"/>
        <d v="1899-12-30T12:56:51"/>
        <d v="1899-12-30T12:56:53"/>
        <d v="1899-12-30T12:56:54"/>
        <d v="1899-12-30T12:57:01"/>
        <d v="1899-12-30T12:57:03"/>
        <d v="1899-12-30T12:57:05"/>
        <d v="1899-12-30T12:57:06"/>
        <d v="1899-12-30T12:57:07"/>
        <d v="1899-12-30T12:57:13"/>
        <d v="1899-12-30T12:57:20"/>
        <d v="1899-12-30T12:57:23"/>
        <d v="1899-12-30T12:57:24"/>
        <d v="1899-12-30T12:57:29"/>
        <d v="1899-12-30T12:57:35"/>
        <d v="1899-12-30T12:57:36"/>
        <d v="1899-12-30T12:57:37"/>
        <d v="1899-12-30T12:57:39"/>
        <d v="1899-12-30T12:57:40"/>
        <d v="1899-12-30T12:57:42"/>
        <d v="1899-12-30T12:57:45"/>
        <d v="1899-12-30T12:57:46"/>
        <d v="1899-12-30T12:57:48"/>
        <d v="1899-12-30T12:57:52"/>
        <d v="1899-12-30T12:57:54"/>
        <d v="1899-12-30T12:57:56"/>
        <d v="1899-12-30T12:57:57"/>
        <d v="1899-12-30T12:57:58"/>
        <d v="1899-12-30T12:57:59"/>
        <d v="1899-12-30T12:58:00"/>
        <d v="1899-12-30T12:58:01"/>
        <d v="1899-12-30T12:58:05"/>
        <d v="1899-12-30T12:58:09"/>
        <d v="1899-12-30T12:58:14"/>
        <d v="1899-12-30T12:58:15"/>
        <d v="1899-12-30T12:58:16"/>
        <d v="1899-12-30T12:58:17"/>
        <d v="1899-12-30T12:58:20"/>
        <d v="1899-12-30T12:58:25"/>
        <d v="1899-12-30T12:58:29"/>
        <d v="1899-12-30T12:58:33"/>
        <d v="1899-12-30T12:58:36"/>
        <d v="1899-12-30T12:58:39"/>
        <d v="1899-12-30T12:58:41"/>
        <d v="1899-12-30T12:58:42"/>
        <d v="1899-12-30T12:58:45"/>
        <d v="1899-12-30T12:58:49"/>
        <d v="1899-12-30T12:58:51"/>
        <d v="1899-12-30T12:58:52"/>
        <d v="1899-12-30T12:58:53"/>
        <d v="1899-12-30T12:58:55"/>
        <d v="1899-12-30T12:58:56"/>
        <d v="1899-12-30T12:58:58"/>
        <d v="1899-12-30T12:59:01"/>
        <d v="1899-12-30T12:59:02"/>
        <d v="1899-12-30T12:59:06"/>
        <d v="1899-12-30T12:59:11"/>
        <d v="1899-12-30T12:59:14"/>
        <d v="1899-12-30T12:59:24"/>
        <d v="1899-12-30T12:59:25"/>
        <d v="1899-12-30T12:59:29"/>
        <d v="1899-12-30T12:59:30"/>
        <d v="1899-12-30T12:59:31"/>
        <d v="1899-12-30T12:59:36"/>
        <d v="1899-12-30T12:59:39"/>
        <d v="1899-12-30T12:59:46"/>
        <d v="1899-12-30T12:59:47"/>
        <d v="1899-12-30T12:59:48"/>
        <d v="1899-12-30T12:59:50"/>
        <d v="1899-12-30T12:59:51"/>
        <d v="1899-12-30T12:59:52"/>
        <d v="1899-12-30T12:59:53"/>
        <d v="1899-12-30T12:59:54"/>
        <d v="1899-12-30T12:59:55"/>
        <d v="1899-12-30T12:59:58"/>
        <d v="1899-12-30T12:59:59"/>
        <d v="1899-12-30T13:00:02"/>
        <d v="1899-12-30T13:00:05"/>
        <d v="1899-12-30T13:00:06"/>
        <d v="1899-12-30T13:00:07"/>
        <d v="1899-12-30T13:00:16"/>
        <d v="1899-12-30T13:00:22"/>
        <d v="1899-12-30T13:00:23"/>
        <d v="1899-12-30T13:00:24"/>
        <d v="1899-12-30T13:00:40"/>
        <d v="1899-12-30T13:00:42"/>
        <d v="1899-12-30T13:00:48"/>
        <d v="1899-12-30T13:00:49"/>
        <d v="1899-12-30T13:00:52"/>
        <d v="1899-12-30T13:00:57"/>
        <d v="1899-12-30T13:01:00"/>
        <d v="1899-12-30T13:01:02"/>
        <d v="1899-12-30T13:01:03"/>
        <d v="1899-12-30T13:01:06"/>
        <d v="1899-12-30T13:01:09"/>
        <d v="1899-12-30T13:01:12"/>
        <d v="1899-12-30T13:01:13"/>
        <d v="1899-12-30T13:01:16"/>
        <d v="1899-12-30T13:01:21"/>
        <d v="1899-12-30T13:01:23"/>
        <d v="1899-12-30T13:01:24"/>
        <d v="1899-12-30T13:01:25"/>
        <d v="1899-12-30T13:01:39"/>
        <d v="1899-12-30T13:01:44"/>
        <d v="1899-12-30T13:01:49"/>
        <d v="1899-12-30T13:01:50"/>
        <d v="1899-12-30T13:01:51"/>
        <d v="1899-12-30T13:01:54"/>
        <d v="1899-12-30T13:01:55"/>
        <d v="1899-12-30T13:01:56"/>
        <d v="1899-12-30T13:01:57"/>
        <d v="1899-12-30T13:01:58"/>
        <d v="1899-12-30T13:01:59"/>
        <d v="1899-12-30T13:02:02"/>
        <d v="1899-12-30T13:02:09"/>
        <d v="1899-12-30T13:02:10"/>
        <d v="1899-12-30T13:02:11"/>
        <d v="1899-12-30T13:02:16"/>
        <d v="1899-12-30T13:02:19"/>
        <d v="1899-12-30T13:02:22"/>
        <d v="1899-12-30T13:02:23"/>
        <d v="1899-12-30T13:02:30"/>
        <d v="1899-12-30T13:02:31"/>
        <d v="1899-12-30T13:02:32"/>
        <d v="1899-12-30T13:02:40"/>
        <d v="1899-12-30T13:02:41"/>
        <d v="1899-12-30T13:02:42"/>
        <d v="1899-12-30T13:02:44"/>
        <d v="1899-12-30T13:02:46"/>
        <d v="1899-12-30T13:02:47"/>
        <d v="1899-12-30T13:02:48"/>
        <d v="1899-12-30T13:02:49"/>
        <d v="1899-12-30T13:02:51"/>
        <d v="1899-12-30T13:02:52"/>
        <d v="1899-12-30T13:02:53"/>
        <d v="1899-12-30T13:02:54"/>
        <d v="1899-12-30T13:02:55"/>
        <d v="1899-12-30T13:02:56"/>
        <d v="1899-12-30T13:02:57"/>
        <d v="1899-12-30T13:02:59"/>
        <d v="1899-12-30T13:03:02"/>
        <d v="1899-12-30T13:03:04"/>
        <d v="1899-12-30T13:03:05"/>
        <d v="1899-12-30T13:03:06"/>
        <d v="1899-12-30T13:03:07"/>
        <d v="1899-12-30T13:03:08"/>
        <d v="1899-12-30T13:03:09"/>
        <d v="1899-12-30T13:03:15"/>
        <d v="1899-12-30T13:03:16"/>
        <d v="1899-12-30T13:03:19"/>
        <d v="1899-12-30T13:03:20"/>
        <d v="1899-12-30T13:03:21"/>
        <d v="1899-12-30T13:03:24"/>
        <d v="1899-12-30T13:03:25"/>
        <d v="1899-12-30T13:03:32"/>
        <d v="1899-12-30T13:03:37"/>
        <d v="1899-12-30T13:03:38"/>
        <d v="1899-12-30T13:03:41"/>
        <d v="1899-12-30T13:03:44"/>
        <d v="1899-12-30T13:03:47"/>
        <d v="1899-12-30T13:03:50"/>
        <d v="1899-12-30T13:03:53"/>
        <d v="1899-12-30T13:03:55"/>
        <d v="1899-12-30T13:03:56"/>
        <d v="1899-12-30T13:03:58"/>
        <d v="1899-12-30T13:04:03"/>
        <d v="1899-12-30T13:04:09"/>
        <d v="1899-12-30T13:04:10"/>
        <d v="1899-12-30T13:04:14"/>
        <d v="1899-12-30T13:04:15"/>
        <d v="1899-12-30T13:04:21"/>
        <d v="1899-12-30T13:04:23"/>
        <d v="1899-12-30T13:04:24"/>
        <d v="1899-12-30T13:04:26"/>
        <d v="1899-12-30T13:04:27"/>
        <d v="1899-12-30T13:04:29"/>
        <d v="1899-12-30T13:04:32"/>
        <d v="1899-12-30T13:04:34"/>
        <d v="1899-12-30T13:04:36"/>
        <d v="1899-12-30T13:04:38"/>
        <d v="1899-12-30T13:04:40"/>
        <d v="1899-12-30T13:04:42"/>
        <d v="1899-12-30T13:04:44"/>
        <d v="1899-12-30T13:04:47"/>
        <d v="1899-12-30T13:04:48"/>
        <d v="1899-12-30T13:04:51"/>
        <d v="1899-12-30T13:04:54"/>
        <d v="1899-12-30T13:04:56"/>
        <d v="1899-12-30T13:04:58"/>
        <d v="1899-12-30T13:04:59"/>
        <d v="1899-12-30T13:05:00"/>
        <d v="1899-12-30T13:05:02"/>
        <d v="1899-12-30T13:05:05"/>
        <d v="1899-12-30T13:05:08"/>
        <d v="1899-12-30T13:05:09"/>
        <d v="1899-12-30T13:05:10"/>
        <d v="1899-12-30T13:05:17"/>
        <d v="1899-12-30T13:05:23"/>
        <d v="1899-12-30T13:05:27"/>
        <d v="1899-12-30T13:05:28"/>
        <d v="1899-12-30T13:05:31"/>
        <d v="1899-12-30T13:05:33"/>
        <d v="1899-12-30T13:05:37"/>
        <d v="1899-12-30T13:05:39"/>
        <d v="1899-12-30T13:05:41"/>
        <d v="1899-12-30T13:05:42"/>
        <d v="1899-12-30T13:05:44"/>
        <d v="1899-12-30T13:05:50"/>
        <d v="1899-12-30T13:05:51"/>
        <d v="1899-12-30T13:05:52"/>
        <d v="1899-12-30T13:05:56"/>
        <d v="1899-12-30T13:05:58"/>
        <d v="1899-12-30T13:06:00"/>
        <d v="1899-12-30T13:06:01"/>
        <d v="1899-12-30T13:06:05"/>
        <d v="1899-12-30T13:06:08"/>
        <d v="1899-12-30T13:06:13"/>
        <d v="1899-12-30T13:06:14"/>
        <d v="1899-12-30T13:06:16"/>
        <d v="1899-12-30T13:06:17"/>
        <d v="1899-12-30T13:06:21"/>
        <d v="1899-12-30T13:06:22"/>
        <d v="1899-12-30T13:06:24"/>
        <d v="1899-12-30T13:06:26"/>
        <d v="1899-12-30T13:06:28"/>
        <d v="1899-12-30T13:06:30"/>
        <d v="1899-12-30T13:06:31"/>
        <d v="1899-12-30T13:06:34"/>
        <d v="1899-12-30T13:06:38"/>
        <d v="1899-12-30T13:06:39"/>
        <d v="1899-12-30T13:06:41"/>
        <d v="1899-12-30T13:06:42"/>
        <d v="1899-12-30T13:06:44"/>
        <d v="1899-12-30T13:06:45"/>
        <d v="1899-12-30T13:06:47"/>
        <d v="1899-12-30T13:06:50"/>
        <d v="1899-12-30T13:06:53"/>
        <d v="1899-12-30T13:06:54"/>
        <d v="1899-12-30T13:06:57"/>
        <d v="1899-12-30T13:06:58"/>
        <d v="1899-12-30T13:06:59"/>
        <d v="1899-12-30T13:07:02"/>
        <d v="1899-12-30T13:07:03"/>
        <d v="1899-12-30T13:07:04"/>
        <d v="1899-12-30T13:07:10"/>
        <d v="1899-12-30T13:07:12"/>
        <d v="1899-12-30T13:07:13"/>
        <d v="1899-12-30T13:07:15"/>
        <d v="1899-12-30T13:07:18"/>
        <d v="1899-12-30T13:07:24"/>
        <d v="1899-12-30T13:07:30"/>
        <d v="1899-12-30T13:07:32"/>
        <d v="1899-12-30T13:07:33"/>
        <d v="1899-12-30T13:07:36"/>
        <d v="1899-12-30T13:07:37"/>
        <d v="1899-12-30T13:07:45"/>
        <d v="1899-12-30T13:07:47"/>
        <d v="1899-12-30T13:07:49"/>
        <d v="1899-12-30T13:08:13"/>
        <d v="1899-12-30T13:08:21"/>
        <d v="1899-12-30T13:08:25"/>
        <d v="1899-12-30T13:08:27"/>
        <d v="1899-12-30T13:08:37"/>
        <d v="1899-12-30T13:08:39"/>
        <d v="1899-12-30T13:08:41"/>
        <d v="1899-12-30T13:08:42"/>
        <d v="1899-12-30T13:08:45"/>
        <d v="1899-12-30T13:08:47"/>
        <d v="1899-12-30T13:08:50"/>
        <d v="1899-12-30T13:08:53"/>
        <d v="1899-12-30T13:09:02"/>
        <d v="1899-12-30T13:09:03"/>
        <d v="1899-12-30T13:09:04"/>
        <d v="1899-12-30T13:09:05"/>
        <d v="1899-12-30T13:09:06"/>
        <d v="1899-12-30T13:09:08"/>
        <d v="1899-12-30T13:09:10"/>
        <d v="1899-12-30T13:09:12"/>
        <d v="1899-12-30T13:09:15"/>
        <d v="1899-12-30T13:09:18"/>
        <d v="1899-12-30T13:09:21"/>
        <d v="1899-12-30T13:09:24"/>
        <d v="1899-12-30T13:09:25"/>
        <d v="1899-12-30T13:09:26"/>
        <d v="1899-12-30T13:09:33"/>
        <d v="1899-12-30T13:09:39"/>
        <d v="1899-12-30T13:09:41"/>
        <d v="1899-12-30T13:09:42"/>
        <d v="1899-12-30T13:09:44"/>
        <d v="1899-12-30T13:09:46"/>
        <d v="1899-12-30T13:09:47"/>
        <d v="1899-12-30T13:09:49"/>
        <d v="1899-12-30T13:09:52"/>
        <d v="1899-12-30T13:09:53"/>
        <d v="1899-12-30T13:09:54"/>
        <d v="1899-12-30T13:10:00"/>
        <d v="1899-12-30T13:10:06"/>
        <d v="1899-12-30T13:10:12"/>
        <d v="1899-12-30T13:10:14"/>
        <d v="1899-12-30T13:10:16"/>
        <d v="1899-12-30T13:10:17"/>
        <d v="1899-12-30T13:10:20"/>
        <d v="1899-12-30T13:10:21"/>
        <d v="1899-12-30T13:10:23"/>
        <d v="1899-12-30T13:10:28"/>
        <d v="1899-12-30T13:10:31"/>
        <d v="1899-12-30T13:10:36"/>
        <d v="1899-12-30T13:10:37"/>
        <d v="1899-12-30T13:10:41"/>
        <d v="1899-12-30T13:10:45"/>
        <d v="1899-12-30T13:10:48"/>
        <d v="1899-12-30T13:10:50"/>
        <d v="1899-12-30T13:10:51"/>
        <d v="1899-12-30T13:10:54"/>
        <d v="1899-12-30T13:10:58"/>
        <d v="1899-12-30T13:11:06"/>
        <d v="1899-12-30T13:11:08"/>
        <d v="1899-12-30T13:11:09"/>
        <d v="1899-12-30T13:11:10"/>
        <d v="1899-12-30T13:11:13"/>
        <d v="1899-12-30T13:11:14"/>
        <d v="1899-12-30T13:11:16"/>
        <d v="1899-12-30T13:11:17"/>
        <d v="1899-12-30T13:11:19"/>
        <d v="1899-12-30T13:11:21"/>
        <d v="1899-12-30T13:11:27"/>
        <d v="1899-12-30T13:11:28"/>
        <d v="1899-12-30T13:11:32"/>
        <d v="1899-12-30T13:11:34"/>
        <d v="1899-12-30T13:11:39"/>
        <d v="1899-12-30T13:11:41"/>
        <d v="1899-12-30T13:11:44"/>
        <d v="1899-12-30T13:11:51"/>
        <d v="1899-12-30T13:11:54"/>
        <d v="1899-12-30T13:11:55"/>
        <d v="1899-12-30T13:11:57"/>
        <d v="1899-12-30T13:12:02"/>
        <d v="1899-12-30T13:12:03"/>
        <d v="1899-12-30T13:12:04"/>
        <d v="1899-12-30T13:12:06"/>
        <d v="1899-12-30T13:12:07"/>
        <d v="1899-12-30T13:12:11"/>
        <d v="1899-12-30T13:12:13"/>
        <d v="1899-12-30T13:12:14"/>
        <d v="1899-12-30T13:12:20"/>
        <d v="1899-12-30T13:12:21"/>
        <d v="1899-12-30T13:12:28"/>
        <d v="1899-12-30T13:12:29"/>
        <d v="1899-12-30T13:12:32"/>
        <d v="1899-12-30T13:12:35"/>
        <d v="1899-12-30T13:12:37"/>
        <d v="1899-12-30T13:12:38"/>
        <d v="1899-12-30T13:12:42"/>
        <d v="1899-12-30T13:12:43"/>
        <d v="1899-12-30T13:12:45"/>
        <d v="1899-12-30T13:12:51"/>
        <d v="1899-12-30T13:12:52"/>
        <d v="1899-12-30T13:12:54"/>
        <d v="1899-12-30T13:12:58"/>
        <d v="1899-12-30T13:13:09"/>
        <d v="1899-12-30T13:13:11"/>
        <d v="1899-12-30T13:13:13"/>
        <d v="1899-12-30T13:13:16"/>
        <d v="1899-12-30T13:13:17"/>
        <d v="1899-12-30T13:13:19"/>
        <d v="1899-12-30T13:13:30"/>
        <d v="1899-12-30T13:13:31"/>
        <d v="1899-12-30T13:13:33"/>
        <d v="1899-12-30T13:13:34"/>
        <d v="1899-12-30T13:13:36"/>
        <d v="1899-12-30T13:13:40"/>
        <d v="1899-12-30T13:13:42"/>
        <d v="1899-12-30T13:13:43"/>
        <d v="1899-12-30T13:13:44"/>
        <d v="1899-12-30T13:13:46"/>
        <d v="1899-12-30T13:13:48"/>
        <d v="1899-12-30T13:13:50"/>
        <d v="1899-12-30T13:13:52"/>
        <d v="1899-12-30T13:13:53"/>
        <d v="1899-12-30T13:13:55"/>
        <d v="1899-12-30T13:13:57"/>
        <d v="1899-12-30T13:13:58"/>
        <d v="1899-12-30T13:13:59"/>
        <d v="1899-12-30T13:14:00"/>
        <d v="1899-12-30T13:14:01"/>
        <d v="1899-12-30T13:14:09"/>
        <d v="1899-12-30T13:14:19"/>
        <d v="1899-12-30T13:14:23"/>
        <d v="1899-12-30T13:14:24"/>
        <d v="1899-12-30T13:14:28"/>
        <d v="1899-12-30T13:14:29"/>
        <d v="1899-12-30T13:14:33"/>
        <d v="1899-12-30T13:14:35"/>
        <d v="1899-12-30T13:14:37"/>
        <d v="1899-12-30T13:14:39"/>
        <d v="1899-12-30T13:14:41"/>
        <d v="1899-12-30T13:14:48"/>
        <d v="1899-12-30T13:14:56"/>
        <d v="1899-12-30T13:14:59"/>
        <d v="1899-12-30T13:15:03"/>
        <d v="1899-12-30T13:15:04"/>
        <d v="1899-12-30T13:15:10"/>
        <d v="1899-12-30T13:15:12"/>
        <d v="1899-12-30T13:15:14"/>
        <d v="1899-12-30T13:15:18"/>
        <d v="1899-12-30T13:15:21"/>
        <d v="1899-12-30T13:15:23"/>
        <d v="1899-12-30T13:15:27"/>
        <d v="1899-12-30T13:15:30"/>
        <d v="1899-12-30T13:15:31"/>
        <d v="1899-12-30T13:15:35"/>
        <d v="1899-12-30T13:15:36"/>
        <d v="1899-12-30T13:15:37"/>
        <d v="1899-12-30T13:15:39"/>
        <d v="1899-12-30T13:15:40"/>
        <d v="1899-12-30T13:15:42"/>
        <d v="1899-12-30T13:15:44"/>
        <d v="1899-12-30T13:15:46"/>
        <d v="1899-12-30T13:15:49"/>
        <d v="1899-12-30T13:15:55"/>
        <d v="1899-12-30T13:15:56"/>
        <d v="1899-12-30T13:15:59"/>
        <d v="1899-12-30T13:16:00"/>
        <d v="1899-12-30T13:16:04"/>
        <d v="1899-12-30T13:16:09"/>
        <d v="1899-12-30T13:16:11"/>
        <d v="1899-12-30T13:16:13"/>
        <d v="1899-12-30T13:16:17"/>
        <d v="1899-12-30T13:16:25"/>
        <d v="1899-12-30T13:16:29"/>
        <d v="1899-12-30T13:16:30"/>
        <d v="1899-12-30T13:16:31"/>
        <d v="1899-12-30T13:16:33"/>
        <d v="1899-12-30T13:16:34"/>
        <d v="1899-12-30T13:16:35"/>
        <d v="1899-12-30T13:16:39"/>
        <d v="1899-12-30T13:16:41"/>
        <d v="1899-12-30T13:16:44"/>
        <d v="1899-12-30T13:16:47"/>
        <d v="1899-12-30T13:16:51"/>
        <d v="1899-12-30T13:16:56"/>
        <d v="1899-12-30T13:16:59"/>
        <d v="1899-12-30T13:17:00"/>
        <d v="1899-12-30T13:17:02"/>
        <d v="1899-12-30T13:17:08"/>
        <d v="1899-12-30T13:17:11"/>
        <d v="1899-12-30T13:17:16"/>
        <d v="1899-12-30T13:17:27"/>
        <d v="1899-12-30T13:17:28"/>
        <d v="1899-12-30T13:17:37"/>
        <d v="1899-12-30T13:17:39"/>
        <d v="1899-12-30T13:17:40"/>
        <d v="1899-12-30T13:17:42"/>
        <d v="1899-12-30T13:17:43"/>
        <d v="1899-12-30T13:17:44"/>
        <d v="1899-12-30T13:17:45"/>
        <d v="1899-12-30T13:17:46"/>
        <d v="1899-12-30T13:17:47"/>
        <d v="1899-12-30T13:17:49"/>
        <d v="1899-12-30T13:17:51"/>
        <d v="1899-12-30T13:17:59"/>
        <d v="1899-12-30T13:18:00"/>
        <d v="1899-12-30T13:18:08"/>
        <d v="1899-12-30T13:18:12"/>
        <d v="1899-12-30T13:18:14"/>
        <d v="1899-12-30T13:18:15"/>
        <d v="1899-12-30T13:18:19"/>
        <d v="1899-12-30T13:18:20"/>
        <d v="1899-12-30T13:18:23"/>
        <d v="1899-12-30T13:18:26"/>
        <d v="1899-12-30T13:18:29"/>
        <d v="1899-12-30T13:18:30"/>
        <d v="1899-12-30T13:18:38"/>
        <d v="1899-12-30T13:18:48"/>
        <d v="1899-12-30T13:18:52"/>
        <d v="1899-12-30T13:18:53"/>
        <d v="1899-12-30T13:18:56"/>
        <d v="1899-12-30T13:19:03"/>
        <d v="1899-12-30T13:19:04"/>
        <d v="1899-12-30T13:19:06"/>
        <d v="1899-12-30T13:19:07"/>
        <d v="1899-12-30T13:19:11"/>
        <d v="1899-12-30T13:19:12"/>
        <d v="1899-12-30T13:19:15"/>
        <d v="1899-12-30T13:19:20"/>
        <d v="1899-12-30T13:19:22"/>
        <d v="1899-12-30T13:19:25"/>
        <d v="1899-12-30T13:19:26"/>
        <d v="1899-12-30T13:19:27"/>
        <d v="1899-12-30T13:19:29"/>
        <d v="1899-12-30T13:19:32"/>
        <d v="1899-12-30T13:19:33"/>
        <d v="1899-12-30T13:19:34"/>
        <d v="1899-12-30T13:19:36"/>
        <d v="1899-12-30T13:19:37"/>
        <d v="1899-12-30T13:19:41"/>
        <d v="1899-12-30T13:19:42"/>
        <d v="1899-12-30T13:19:43"/>
        <d v="1899-12-30T13:19:44"/>
        <d v="1899-12-30T13:19:47"/>
        <d v="1899-12-30T13:19:49"/>
        <d v="1899-12-30T13:19:55"/>
        <d v="1899-12-30T13:19:56"/>
        <d v="1899-12-30T13:19:59"/>
        <d v="1899-12-30T13:20:00"/>
        <d v="1899-12-30T13:20:01"/>
        <d v="1899-12-30T13:20:03"/>
        <d v="1899-12-30T13:20:06"/>
        <d v="1899-12-30T13:20:08"/>
        <d v="1899-12-30T13:20:12"/>
        <d v="1899-12-30T13:20:13"/>
        <d v="1899-12-30T13:20:14"/>
        <d v="1899-12-30T13:20:16"/>
        <d v="1899-12-30T13:20:22"/>
        <d v="1899-12-30T13:20:28"/>
        <d v="1899-12-30T13:20:30"/>
        <d v="1899-12-30T13:20:34"/>
        <d v="1899-12-30T13:20:38"/>
        <d v="1899-12-30T13:20:39"/>
        <d v="1899-12-30T13:20:41"/>
        <d v="1899-12-30T13:20:42"/>
        <d v="1899-12-30T13:20:44"/>
        <d v="1899-12-30T13:20:46"/>
        <d v="1899-12-30T13:20:48"/>
        <d v="1899-12-30T13:20:50"/>
        <d v="1899-12-30T13:20:52"/>
        <d v="1899-12-30T13:20:54"/>
        <d v="1899-12-30T13:20:59"/>
        <d v="1899-12-30T13:21:01"/>
        <d v="1899-12-30T13:21:02"/>
        <d v="1899-12-30T13:21:03"/>
        <d v="1899-12-30T13:21:06"/>
        <d v="1899-12-30T13:21:09"/>
        <d v="1899-12-30T13:21:11"/>
        <d v="1899-12-30T13:21:14"/>
        <d v="1899-12-30T13:21:16"/>
        <d v="1899-12-30T13:21:17"/>
        <d v="1899-12-30T13:21:22"/>
        <d v="1899-12-30T13:21:26"/>
        <d v="1899-12-30T13:21:28"/>
        <d v="1899-12-30T13:21:31"/>
        <d v="1899-12-30T13:21:33"/>
        <d v="1899-12-30T13:21:34"/>
        <d v="1899-12-30T13:21:38"/>
        <d v="1899-12-30T13:21:40"/>
        <d v="1899-12-30T13:21:41"/>
        <d v="1899-12-30T13:21:42"/>
        <d v="1899-12-30T13:21:43"/>
        <d v="1899-12-30T13:21:45"/>
        <d v="1899-12-30T13:21:47"/>
        <d v="1899-12-30T13:21:48"/>
        <d v="1899-12-30T13:21:49"/>
        <d v="1899-12-30T13:21:50"/>
        <d v="1899-12-30T13:21:51"/>
        <d v="1899-12-30T13:21:53"/>
        <d v="1899-12-30T13:21:55"/>
        <d v="1899-12-30T13:21:57"/>
        <d v="1899-12-30T13:21:58"/>
        <d v="1899-12-30T13:22:11"/>
        <d v="1899-12-30T13:22:12"/>
        <d v="1899-12-30T13:22:15"/>
        <d v="1899-12-30T13:22:17"/>
        <d v="1899-12-30T13:22:18"/>
        <d v="1899-12-30T13:22:19"/>
        <d v="1899-12-30T13:22:25"/>
        <d v="1899-12-30T13:22:28"/>
        <d v="1899-12-30T13:22:30"/>
        <d v="1899-12-30T13:22:33"/>
        <d v="1899-12-30T13:22:41"/>
        <d v="1899-12-30T13:22:43"/>
        <d v="1899-12-30T13:22:47"/>
        <d v="1899-12-30T13:22:49"/>
        <d v="1899-12-30T13:22:51"/>
        <d v="1899-12-30T13:22:53"/>
        <d v="1899-12-30T13:22:54"/>
        <d v="1899-12-30T13:22:56"/>
        <d v="1899-12-30T13:22:57"/>
        <d v="1899-12-30T13:23:00"/>
        <d v="1899-12-30T13:23:01"/>
        <d v="1899-12-30T13:23:03"/>
        <d v="1899-12-30T13:23:12"/>
        <d v="1899-12-30T13:23:13"/>
        <d v="1899-12-30T13:23:17"/>
        <d v="1899-12-30T13:23:19"/>
        <d v="1899-12-30T13:23:20"/>
        <d v="1899-12-30T13:23:22"/>
        <d v="1899-12-30T13:23:24"/>
        <d v="1899-12-30T13:23:25"/>
        <d v="1899-12-30T13:23:28"/>
        <d v="1899-12-30T13:23:31"/>
        <d v="1899-12-30T13:23:32"/>
        <d v="1899-12-30T13:23:33"/>
        <d v="1899-12-30T13:23:34"/>
        <d v="1899-12-30T13:23:36"/>
        <d v="1899-12-30T13:23:39"/>
        <d v="1899-12-30T13:23:40"/>
        <d v="1899-12-30T13:23:44"/>
        <d v="1899-12-30T13:23:47"/>
        <d v="1899-12-30T13:23:49"/>
        <d v="1899-12-30T13:23:51"/>
        <d v="1899-12-30T13:23:53"/>
        <d v="1899-12-30T13:24:00"/>
        <d v="1899-12-30T13:24:02"/>
        <d v="1899-12-30T13:24:03"/>
        <d v="1899-12-30T13:24:05"/>
        <d v="1899-12-30T13:24:06"/>
        <d v="1899-12-30T13:24:10"/>
        <d v="1899-12-30T13:24:11"/>
        <d v="1899-12-30T13:24:13"/>
        <d v="1899-12-30T13:24:17"/>
        <d v="1899-12-30T13:24:19"/>
        <d v="1899-12-30T13:24:20"/>
        <d v="1899-12-30T13:24:24"/>
        <d v="1899-12-30T13:24:31"/>
        <d v="1899-12-30T13:24:32"/>
        <d v="1899-12-30T13:24:34"/>
        <d v="1899-12-30T13:24:35"/>
        <d v="1899-12-30T13:24:39"/>
        <d v="1899-12-30T13:24:41"/>
        <d v="1899-12-30T13:24:43"/>
        <d v="1899-12-30T13:24:44"/>
        <d v="1899-12-30T13:24:49"/>
        <d v="1899-12-30T13:24:53"/>
        <d v="1899-12-30T13:24:54"/>
        <d v="1899-12-30T13:24:56"/>
        <d v="1899-12-30T13:24:59"/>
        <d v="1899-12-30T13:25:03"/>
        <d v="1899-12-30T13:25:06"/>
        <d v="1899-12-30T13:25:09"/>
        <d v="1899-12-30T13:25:14"/>
        <d v="1899-12-30T13:25:15"/>
        <d v="1899-12-30T13:25:16"/>
        <d v="1899-12-30T13:25:17"/>
        <d v="1899-12-30T13:25:20"/>
        <d v="1899-12-30T13:25:24"/>
        <d v="1899-12-30T13:25:27"/>
        <d v="1899-12-30T13:25:32"/>
        <d v="1899-12-30T13:25:33"/>
        <d v="1899-12-30T13:25:41"/>
        <d v="1899-12-30T13:25:45"/>
        <d v="1899-12-30T13:25:46"/>
        <d v="1899-12-30T13:25:47"/>
        <d v="1899-12-30T13:25:54"/>
        <d v="1899-12-30T13:26:07"/>
        <d v="1899-12-30T13:26:11"/>
        <d v="1899-12-30T13:26:13"/>
        <d v="1899-12-30T13:26:14"/>
        <d v="1899-12-30T13:26:17"/>
        <d v="1899-12-30T13:26:20"/>
        <d v="1899-12-30T13:26:25"/>
        <d v="1899-12-30T13:26:28"/>
        <d v="1899-12-30T13:26:29"/>
        <d v="1899-12-30T13:26:31"/>
        <d v="1899-12-30T13:26:34"/>
        <d v="1899-12-30T13:26:36"/>
        <d v="1899-12-30T13:26:40"/>
        <d v="1899-12-30T13:26:43"/>
        <d v="1899-12-30T13:26:44"/>
        <d v="1899-12-30T13:26:45"/>
        <d v="1899-12-30T13:26:47"/>
        <d v="1899-12-30T13:26:48"/>
        <d v="1899-12-30T13:26:52"/>
        <d v="1899-12-30T13:26:54"/>
        <d v="1899-12-30T13:26:57"/>
        <d v="1899-12-30T13:26:59"/>
        <d v="1899-12-30T13:27:00"/>
        <d v="1899-12-30T13:27:03"/>
        <d v="1899-12-30T13:27:04"/>
        <d v="1899-12-30T13:27:05"/>
        <d v="1899-12-30T13:27:07"/>
        <d v="1899-12-30T13:27:14"/>
        <d v="1899-12-30T13:27:17"/>
        <d v="1899-12-30T13:27:19"/>
        <d v="1899-12-30T13:27:21"/>
        <d v="1899-12-30T13:27:23"/>
        <d v="1899-12-30T13:27:29"/>
        <d v="1899-12-30T13:27:31"/>
        <d v="1899-12-30T13:27:33"/>
        <d v="1899-12-30T13:27:38"/>
        <d v="1899-12-30T13:27:39"/>
        <d v="1899-12-30T13:27:45"/>
        <d v="1899-12-30T13:27:47"/>
        <d v="1899-12-30T13:27:51"/>
        <d v="1899-12-30T13:27:55"/>
        <d v="1899-12-30T13:27:58"/>
        <d v="1899-12-30T13:27:59"/>
        <d v="1899-12-30T13:28:02"/>
        <d v="1899-12-30T13:28:04"/>
        <d v="1899-12-30T13:28:05"/>
        <d v="1899-12-30T13:28:08"/>
        <d v="1899-12-30T13:28:09"/>
        <d v="1899-12-30T13:28:12"/>
        <d v="1899-12-30T13:28:14"/>
        <d v="1899-12-30T13:28:15"/>
        <d v="1899-12-30T13:28:18"/>
        <d v="1899-12-30T13:28:19"/>
        <d v="1899-12-30T13:28:21"/>
        <d v="1899-12-30T13:28:22"/>
        <d v="1899-12-30T13:28:23"/>
        <d v="1899-12-30T13:28:25"/>
        <d v="1899-12-30T13:28:27"/>
        <d v="1899-12-30T13:28:29"/>
        <d v="1899-12-30T13:28:32"/>
        <d v="1899-12-30T13:28:33"/>
        <d v="1899-12-30T13:28:34"/>
        <d v="1899-12-30T13:28:40"/>
        <d v="1899-12-30T13:28:41"/>
        <d v="1899-12-30T13:28:43"/>
        <d v="1899-12-30T13:28:46"/>
        <d v="1899-12-30T13:28:48"/>
        <d v="1899-12-30T13:28:54"/>
        <d v="1899-12-30T13:28:56"/>
        <d v="1899-12-30T13:29:01"/>
        <d v="1899-12-30T13:29:04"/>
        <d v="1899-12-30T13:29:08"/>
        <d v="1899-12-30T13:29:09"/>
        <d v="1899-12-30T13:29:11"/>
        <d v="1899-12-30T13:29:12"/>
        <d v="1899-12-30T13:29:18"/>
        <d v="1899-12-30T13:29:19"/>
        <d v="1899-12-30T13:29:20"/>
        <d v="1899-12-30T13:29:21"/>
        <d v="1899-12-30T13:29:22"/>
        <d v="1899-12-30T13:29:23"/>
        <d v="1899-12-30T13:29:24"/>
        <d v="1899-12-30T13:29:28"/>
        <d v="1899-12-30T13:29:34"/>
        <d v="1899-12-30T13:29:38"/>
        <d v="1899-12-30T13:29:43"/>
        <d v="1899-12-30T13:29:45"/>
        <d v="1899-12-30T13:29:48"/>
        <d v="1899-12-30T13:29:49"/>
        <d v="1899-12-30T13:29:53"/>
        <d v="1899-12-30T13:29:55"/>
        <d v="1899-12-30T13:30:01"/>
        <d v="1899-12-30T13:30:03"/>
        <d v="1899-12-30T13:30:06"/>
        <d v="1899-12-30T13:30:08"/>
        <d v="1899-12-30T13:30:10"/>
        <d v="1899-12-30T13:30:12"/>
        <d v="1899-12-30T13:30:17"/>
        <d v="1899-12-30T13:30:18"/>
        <d v="1899-12-30T13:30:21"/>
        <d v="1899-12-30T13:30:22"/>
        <d v="1899-12-30T13:30:24"/>
        <d v="1899-12-30T13:30:26"/>
        <d v="1899-12-30T13:30:27"/>
        <d v="1899-12-30T13:30:29"/>
        <d v="1899-12-30T13:30:31"/>
        <d v="1899-12-30T13:30:32"/>
        <d v="1899-12-30T13:30:33"/>
        <d v="1899-12-30T13:30:38"/>
        <d v="1899-12-30T13:30:41"/>
        <d v="1899-12-30T13:30:42"/>
        <d v="1899-12-30T13:30:44"/>
        <d v="1899-12-30T13:30:48"/>
        <d v="1899-12-30T13:30:52"/>
        <d v="1899-12-30T13:30:57"/>
        <d v="1899-12-30T13:31:00"/>
        <d v="1899-12-30T13:31:04"/>
        <d v="1899-12-30T13:31:05"/>
        <d v="1899-12-30T13:31:06"/>
        <d v="1899-12-30T13:31:14"/>
        <d v="1899-12-30T13:31:15"/>
        <d v="1899-12-30T13:31:18"/>
        <d v="1899-12-30T13:31:19"/>
        <d v="1899-12-30T13:31:22"/>
        <d v="1899-12-30T13:31:23"/>
        <d v="1899-12-30T13:31:24"/>
        <d v="1899-12-30T13:31:28"/>
        <d v="1899-12-30T13:31:29"/>
        <d v="1899-12-30T13:31:31"/>
        <d v="1899-12-30T13:31:35"/>
        <d v="1899-12-30T13:31:37"/>
        <d v="1899-12-30T13:31:41"/>
        <d v="1899-12-30T13:31:49"/>
        <d v="1899-12-30T13:31:58"/>
        <d v="1899-12-30T13:32:03"/>
        <d v="1899-12-30T13:32:05"/>
        <d v="1899-12-30T13:32:12"/>
        <d v="1899-12-30T13:32:13"/>
        <d v="1899-12-30T13:32:14"/>
        <d v="1899-12-30T13:32:22"/>
        <d v="1899-12-30T13:32:24"/>
        <d v="1899-12-30T13:32:25"/>
        <d v="1899-12-30T13:32:26"/>
        <d v="1899-12-30T13:32:28"/>
        <d v="1899-12-30T13:32:29"/>
        <d v="1899-12-30T13:32:30"/>
        <d v="1899-12-30T13:32:31"/>
        <d v="1899-12-30T13:32:34"/>
        <d v="1899-12-30T13:32:36"/>
        <d v="1899-12-30T13:32:37"/>
        <d v="1899-12-30T13:32:41"/>
        <d v="1899-12-30T13:32:44"/>
        <d v="1899-12-30T13:32:45"/>
        <d v="1899-12-30T13:32:46"/>
        <d v="1899-12-30T13:32:48"/>
        <d v="1899-12-30T13:32:49"/>
        <d v="1899-12-30T13:32:50"/>
        <d v="1899-12-30T13:32:52"/>
        <d v="1899-12-30T13:32:56"/>
        <d v="1899-12-30T13:33:02"/>
        <d v="1899-12-30T13:33:04"/>
        <d v="1899-12-30T13:33:08"/>
        <d v="1899-12-30T13:33:09"/>
        <d v="1899-12-30T13:33:11"/>
        <d v="1899-12-30T13:33:19"/>
        <d v="1899-12-30T13:33:24"/>
        <d v="1899-12-30T13:33:32"/>
        <d v="1899-12-30T13:33:38"/>
        <d v="1899-12-30T13:33:40"/>
        <d v="1899-12-30T13:33:41"/>
        <d v="1899-12-30T13:33:47"/>
        <d v="1899-12-30T13:33:56"/>
        <d v="1899-12-30T13:33:59"/>
        <d v="1899-12-30T13:34:00"/>
        <d v="1899-12-30T13:34:03"/>
        <d v="1899-12-30T13:34:07"/>
        <d v="1899-12-30T13:34:10"/>
        <d v="1899-12-30T13:34:11"/>
        <d v="1899-12-30T13:34:12"/>
        <d v="1899-12-30T13:34:13"/>
        <d v="1899-12-30T13:34:16"/>
        <d v="1899-12-30T13:34:20"/>
        <d v="1899-12-30T13:34:32"/>
        <d v="1899-12-30T13:34:36"/>
        <d v="1899-12-30T13:34:38"/>
        <d v="1899-12-30T13:34:41"/>
        <d v="1899-12-30T13:34:42"/>
        <d v="1899-12-30T13:34:46"/>
        <d v="1899-12-30T13:34:49"/>
        <d v="1899-12-30T13:34:50"/>
        <d v="1899-12-30T13:34:53"/>
        <d v="1899-12-30T13:34:57"/>
        <d v="1899-12-30T13:35:00"/>
        <d v="1899-12-30T13:35:01"/>
        <d v="1899-12-30T13:35:03"/>
        <d v="1899-12-30T13:35:04"/>
        <d v="1899-12-30T13:35:06"/>
        <d v="1899-12-30T13:35:11"/>
        <d v="1899-12-30T13:35:17"/>
        <d v="1899-12-30T13:35:24"/>
        <d v="1899-12-30T13:35:26"/>
        <d v="1899-12-30T13:35:30"/>
        <d v="1899-12-30T13:35:35"/>
        <d v="1899-12-30T13:35:37"/>
        <d v="1899-12-30T13:35:38"/>
        <d v="1899-12-30T13:35:40"/>
        <d v="1899-12-30T13:35:42"/>
        <d v="1899-12-30T13:35:43"/>
        <d v="1899-12-30T13:35:47"/>
        <d v="1899-12-30T13:35:53"/>
        <d v="1899-12-30T13:35:56"/>
        <d v="1899-12-30T13:35:57"/>
        <d v="1899-12-30T13:35:58"/>
        <d v="1899-12-30T13:36:00"/>
        <d v="1899-12-30T13:36:01"/>
        <d v="1899-12-30T13:36:03"/>
        <d v="1899-12-30T13:36:06"/>
        <d v="1899-12-30T13:36:07"/>
        <d v="1899-12-30T13:36:08"/>
        <d v="1899-12-30T13:36:09"/>
        <d v="1899-12-30T13:36:10"/>
        <d v="1899-12-30T13:36:14"/>
        <d v="1899-12-30T13:36:15"/>
        <d v="1899-12-30T13:36:16"/>
        <d v="1899-12-30T13:36:20"/>
        <d v="1899-12-30T13:36:21"/>
        <d v="1899-12-30T13:36:23"/>
        <d v="1899-12-30T13:36:24"/>
        <d v="1899-12-30T13:36:25"/>
        <d v="1899-12-30T13:36:26"/>
        <d v="1899-12-30T13:36:30"/>
        <d v="1899-12-30T13:36:32"/>
        <d v="1899-12-30T13:36:33"/>
        <d v="1899-12-30T13:36:34"/>
        <d v="1899-12-30T13:36:35"/>
        <d v="1899-12-30T13:36:37"/>
        <d v="1899-12-30T13:36:38"/>
        <d v="1899-12-30T13:36:40"/>
        <d v="1899-12-30T13:36:41"/>
        <d v="1899-12-30T13:36:42"/>
        <d v="1899-12-30T13:36:44"/>
        <d v="1899-12-30T13:36:48"/>
        <d v="1899-12-30T13:36:50"/>
        <d v="1899-12-30T13:36:53"/>
        <d v="1899-12-30T13:36:54"/>
        <d v="1899-12-30T13:36:55"/>
        <d v="1899-12-30T13:36:56"/>
        <d v="1899-12-30T13:36:57"/>
        <d v="1899-12-30T13:37:00"/>
        <d v="1899-12-30T13:37:07"/>
        <d v="1899-12-30T13:37:09"/>
        <d v="1899-12-30T13:37:12"/>
        <d v="1899-12-30T13:37:13"/>
        <d v="1899-12-30T13:37:14"/>
        <d v="1899-12-30T13:37:15"/>
        <d v="1899-12-30T13:37:17"/>
        <d v="1899-12-30T13:37:20"/>
        <d v="1899-12-30T13:37:21"/>
        <d v="1899-12-30T13:37:23"/>
        <d v="1899-12-30T13:37:25"/>
        <d v="1899-12-30T13:37:29"/>
        <d v="1899-12-30T13:37:30"/>
        <d v="1899-12-30T13:37:33"/>
        <d v="1899-12-30T13:37:39"/>
        <d v="1899-12-30T13:37:41"/>
        <d v="1899-12-30T13:37:42"/>
        <d v="1899-12-30T13:37:48"/>
        <d v="1899-12-30T13:37:50"/>
        <d v="1899-12-30T13:37:54"/>
        <d v="1899-12-30T13:38:00"/>
        <d v="1899-12-30T13:38:02"/>
        <d v="1899-12-30T13:38:03"/>
        <d v="1899-12-30T13:38:04"/>
        <d v="1899-12-30T13:38:06"/>
        <d v="1899-12-30T13:38:10"/>
        <d v="1899-12-30T13:38:11"/>
        <d v="1899-12-30T13:38:16"/>
        <d v="1899-12-30T13:38:17"/>
        <d v="1899-12-30T13:38:22"/>
        <d v="1899-12-30T13:38:25"/>
        <d v="1899-12-30T13:38:30"/>
        <d v="1899-12-30T13:38:40"/>
        <d v="1899-12-30T13:38:41"/>
        <d v="1899-12-30T13:38:42"/>
        <d v="1899-12-30T13:38:43"/>
        <d v="1899-12-30T13:38:49"/>
        <d v="1899-12-30T13:38:53"/>
        <d v="1899-12-30T13:38:57"/>
        <d v="1899-12-30T13:38:59"/>
        <d v="1899-12-30T13:39:00"/>
        <d v="1899-12-30T13:39:03"/>
        <d v="1899-12-30T13:39:04"/>
        <d v="1899-12-30T13:39:06"/>
        <d v="1899-12-30T13:39:12"/>
        <d v="1899-12-30T13:39:15"/>
        <d v="1899-12-30T13:39:17"/>
        <d v="1899-12-30T13:39:19"/>
        <d v="1899-12-30T13:39:21"/>
        <d v="1899-12-30T13:39:23"/>
        <d v="1899-12-30T13:39:25"/>
        <d v="1899-12-30T13:39:29"/>
        <d v="1899-12-30T13:39:32"/>
        <d v="1899-12-30T13:39:40"/>
        <d v="1899-12-30T13:39:43"/>
        <d v="1899-12-30T13:39:44"/>
        <d v="1899-12-30T13:39:45"/>
        <d v="1899-12-30T13:39:50"/>
        <d v="1899-12-30T13:39:51"/>
        <d v="1899-12-30T13:39:58"/>
        <d v="1899-12-30T13:40:06"/>
        <d v="1899-12-30T13:40:11"/>
        <d v="1899-12-30T13:40:13"/>
        <d v="1899-12-30T13:40:19"/>
        <d v="1899-12-30T13:40:21"/>
        <d v="1899-12-30T13:40:25"/>
        <d v="1899-12-30T13:40:26"/>
        <d v="1899-12-30T13:40:27"/>
        <d v="1899-12-30T13:40:29"/>
        <d v="1899-12-30T13:40:32"/>
        <d v="1899-12-30T13:40:34"/>
        <d v="1899-12-30T13:40:40"/>
        <d v="1899-12-30T13:40:42"/>
        <d v="1899-12-30T13:40:44"/>
        <d v="1899-12-30T13:40:47"/>
        <d v="1899-12-30T13:40:48"/>
        <d v="1899-12-30T13:40:49"/>
        <d v="1899-12-30T13:40:50"/>
        <d v="1899-12-30T13:40:54"/>
        <d v="1899-12-30T13:40:58"/>
        <d v="1899-12-30T13:40:59"/>
        <d v="1899-12-30T13:41:02"/>
        <d v="1899-12-30T13:41:05"/>
        <d v="1899-12-30T13:41:09"/>
        <d v="1899-12-30T13:41:12"/>
        <d v="1899-12-30T13:41:13"/>
        <d v="1899-12-30T13:41:14"/>
        <d v="1899-12-30T13:41:17"/>
        <d v="1899-12-30T13:41:18"/>
        <d v="1899-12-30T13:41:22"/>
        <d v="1899-12-30T13:41:24"/>
        <d v="1899-12-30T13:41:26"/>
        <d v="1899-12-30T13:41:28"/>
        <d v="1899-12-30T13:41:31"/>
        <d v="1899-12-30T13:41:32"/>
        <d v="1899-12-30T13:41:34"/>
        <d v="1899-12-30T13:41:40"/>
        <d v="1899-12-30T13:41:41"/>
        <d v="1899-12-30T13:41:42"/>
        <d v="1899-12-30T13:41:45"/>
        <d v="1899-12-30T13:41:48"/>
        <d v="1899-12-30T13:41:52"/>
        <d v="1899-12-30T13:41:53"/>
        <d v="1899-12-30T13:41:57"/>
        <d v="1899-12-30T13:41:59"/>
        <d v="1899-12-30T13:42:01"/>
        <d v="1899-12-30T13:42:03"/>
        <d v="1899-12-30T13:42:04"/>
        <d v="1899-12-30T13:42:05"/>
        <d v="1899-12-30T13:42:09"/>
        <d v="1899-12-30T13:42:11"/>
        <d v="1899-12-30T13:42:12"/>
        <d v="1899-12-30T13:42:13"/>
        <d v="1899-12-30T13:42:14"/>
        <d v="1899-12-30T13:42:16"/>
        <d v="1899-12-30T13:42:17"/>
        <d v="1899-12-30T13:42:19"/>
        <d v="1899-12-30T13:42:21"/>
        <d v="1899-12-30T13:42:23"/>
      </sharedItems>
      <fieldGroup par="16"/>
    </cacheField>
    <cacheField name="Date" numFmtId="14">
      <sharedItems containsSemiMixedTypes="0" containsNonDate="0" containsDate="1" containsString="0" minDate="2022-10-07T00:00:00" maxDate="2022-10-08T00:00:00" count="1">
        <d v="2022-10-07T00:00:00"/>
      </sharedItems>
    </cacheField>
    <cacheField name="Sender_account" numFmtId="0">
      <sharedItems containsSemiMixedTypes="0" containsString="0" containsNumber="1" containsInteger="1" minValue="6665051" maxValue="9995637068" count="3113">
        <n v="8724731955"/>
        <n v="1491989064"/>
        <n v="287305149"/>
        <n v="5376652437"/>
        <n v="9614186178"/>
        <n v="8974559268"/>
        <n v="980191499"/>
        <n v="8057793308"/>
        <n v="6116657264"/>
        <n v="7421451752"/>
        <n v="5119661534"/>
        <n v="5606024775"/>
        <n v="1405792399"/>
        <n v="2188890133"/>
        <n v="6715177555"/>
        <n v="7017008854"/>
        <n v="2047410771"/>
        <n v="1470504995"/>
        <n v="4473647189"/>
        <n v="8184612956"/>
        <n v="3709430533"/>
        <n v="8331196922"/>
        <n v="7311441430"/>
        <n v="9139420948"/>
        <n v="6846270694"/>
        <n v="374414130"/>
        <n v="9239631224"/>
        <n v="2004133484"/>
        <n v="8723924487"/>
        <n v="6533102627"/>
        <n v="1203252958"/>
        <n v="4021161031"/>
        <n v="5126390175"/>
        <n v="1074336451"/>
        <n v="8389148416"/>
        <n v="3510078932"/>
        <n v="8204380961"/>
        <n v="936440682"/>
        <n v="8410434333"/>
        <n v="4082552798"/>
        <n v="7669236826"/>
        <n v="1008340236"/>
        <n v="1445991735"/>
        <n v="757928908"/>
        <n v="109525315"/>
        <n v="3696248769"/>
        <n v="5982914936"/>
        <n v="7541983570"/>
        <n v="6517611333"/>
        <n v="5896510161"/>
        <n v="7012967496"/>
        <n v="8952177221"/>
        <n v="3452368468"/>
        <n v="9119143782"/>
        <n v="35328673"/>
        <n v="3050015080"/>
        <n v="8365941229"/>
        <n v="6979398786"/>
        <n v="1877205049"/>
        <n v="2206902878"/>
        <n v="512171500"/>
        <n v="2797271466"/>
        <n v="3967122805"/>
        <n v="8456279067"/>
        <n v="7189128119"/>
        <n v="1294695860"/>
        <n v="8695107817"/>
        <n v="6949764034"/>
        <n v="7758268667"/>
        <n v="4036316426"/>
        <n v="6431038386"/>
        <n v="4339554565"/>
        <n v="1710329832"/>
        <n v="7402947955"/>
        <n v="2939856893"/>
        <n v="3168051873"/>
        <n v="4712930207"/>
        <n v="8188003704"/>
        <n v="6375216043"/>
        <n v="3139337800"/>
        <n v="3137540462"/>
        <n v="5021785800"/>
        <n v="1429354049"/>
        <n v="3486760473"/>
        <n v="5811321937"/>
        <n v="1074859180"/>
        <n v="6904668523"/>
        <n v="2422360624"/>
        <n v="2056215656"/>
        <n v="3345407297"/>
        <n v="4150879707"/>
        <n v="9746384104"/>
        <n v="6516739348"/>
        <n v="4808614002"/>
        <n v="1769527701"/>
        <n v="2434664247"/>
        <n v="3605396496"/>
        <n v="9093411280"/>
        <n v="7978501298"/>
        <n v="7207395469"/>
        <n v="8411678470"/>
        <n v="5531320907"/>
        <n v="715130861"/>
        <n v="8820389620"/>
        <n v="4773187916"/>
        <n v="9200802467"/>
        <n v="3582202830"/>
        <n v="5704632509"/>
        <n v="4834399445"/>
        <n v="7132630507"/>
        <n v="9734083970"/>
        <n v="2283755888"/>
        <n v="7166671719"/>
        <n v="6577066451"/>
        <n v="9334364016"/>
        <n v="5935592628"/>
        <n v="5931838828"/>
        <n v="6488884693"/>
        <n v="283212952"/>
        <n v="5102544036"/>
        <n v="6539698859"/>
        <n v="3033453299"/>
        <n v="3991935033"/>
        <n v="2740260267"/>
        <n v="7501327339"/>
        <n v="5648718332"/>
        <n v="3756980894"/>
        <n v="1817675963"/>
        <n v="8955442183"/>
        <n v="749315581"/>
        <n v="4755772092"/>
        <n v="3811561430"/>
        <n v="7470940363"/>
        <n v="1054167985"/>
        <n v="2865517114"/>
        <n v="691501298"/>
        <n v="9986667984"/>
        <n v="3776976361"/>
        <n v="8854146908"/>
        <n v="3711169500"/>
        <n v="6626359609"/>
        <n v="8770181801"/>
        <n v="5345734817"/>
        <n v="3373148945"/>
        <n v="6997024826"/>
        <n v="9402994493"/>
        <n v="5874369285"/>
        <n v="2644081947"/>
        <n v="5435316010"/>
        <n v="6057444675"/>
        <n v="6541552727"/>
        <n v="9125487514"/>
        <n v="7032135509"/>
        <n v="4431474237"/>
        <n v="3238526156"/>
        <n v="6970509335"/>
        <n v="1805171806"/>
        <n v="1382513766"/>
        <n v="3742406978"/>
        <n v="4390278719"/>
        <n v="5740702951"/>
        <n v="1378784400"/>
        <n v="4090925094"/>
        <n v="2365007895"/>
        <n v="1730350525"/>
        <n v="2199795388"/>
        <n v="3396853729"/>
        <n v="9649321106"/>
        <n v="5188677620"/>
        <n v="3243896688"/>
        <n v="9390718271"/>
        <n v="3808941319"/>
        <n v="8372035568"/>
        <n v="4438681315"/>
        <n v="9432190883"/>
        <n v="7998453354"/>
        <n v="7258656047"/>
        <n v="6592322340"/>
        <n v="4874746643"/>
        <n v="3712660061"/>
        <n v="7877782689"/>
        <n v="6596655355"/>
        <n v="5404023576"/>
        <n v="9098323112"/>
        <n v="4358383639"/>
        <n v="4548607254"/>
        <n v="7330940854"/>
        <n v="128336607"/>
        <n v="2466056232"/>
        <n v="4988967549"/>
        <n v="1319704443"/>
        <n v="1448960940"/>
        <n v="7837354873"/>
        <n v="6904169843"/>
        <n v="2225924818"/>
        <n v="1915450576"/>
        <n v="8047909179"/>
        <n v="7326442087"/>
        <n v="7018140784"/>
        <n v="7141448090"/>
        <n v="3386219618"/>
        <n v="6961460093"/>
        <n v="8341412096"/>
        <n v="4038415588"/>
        <n v="8957461886"/>
        <n v="367406203"/>
        <n v="2196677893"/>
        <n v="4577188719"/>
        <n v="7924551009"/>
        <n v="6404844146"/>
        <n v="6086421020"/>
        <n v="6742623852"/>
        <n v="9901680164"/>
        <n v="8494878354"/>
        <n v="4010009393"/>
        <n v="7394937898"/>
        <n v="4024921053"/>
        <n v="2595670415"/>
        <n v="8405472205"/>
        <n v="1092702536"/>
        <n v="8066286852"/>
        <n v="482255721"/>
        <n v="4680252319"/>
        <n v="9069885740"/>
        <n v="9629713976"/>
        <n v="1119631775"/>
        <n v="60718926"/>
        <n v="6476585772"/>
        <n v="9081133856"/>
        <n v="2659616433"/>
        <n v="9893340528"/>
        <n v="2131820112"/>
        <n v="4564291666"/>
        <n v="7143169330"/>
        <n v="9825818308"/>
        <n v="3646682811"/>
        <n v="5263982631"/>
        <n v="1358482520"/>
        <n v="3614082527"/>
        <n v="3741000234"/>
        <n v="1935297468"/>
        <n v="385482166"/>
        <n v="2597738775"/>
        <n v="4121324384"/>
        <n v="2852936829"/>
        <n v="5984193868"/>
        <n v="3658714253"/>
        <n v="3644256410"/>
        <n v="675669049"/>
        <n v="1713426884"/>
        <n v="3697901122"/>
        <n v="9226756684"/>
        <n v="4231385822"/>
        <n v="7027106126"/>
        <n v="2635590075"/>
        <n v="9534729015"/>
        <n v="2318701432"/>
        <n v="5869654043"/>
        <n v="8793643150"/>
        <n v="4345338937"/>
        <n v="9636503689"/>
        <n v="6020722321"/>
        <n v="4344759414"/>
        <n v="9895324562"/>
        <n v="4109732596"/>
        <n v="4307611300"/>
        <n v="9125822762"/>
        <n v="7659097346"/>
        <n v="6411045530"/>
        <n v="2325150545"/>
        <n v="96933227"/>
        <n v="7147226223"/>
        <n v="7401327478"/>
        <n v="4512711928"/>
        <n v="4045011140"/>
        <n v="5042064131"/>
        <n v="9665547827"/>
        <n v="4383404858"/>
        <n v="5959325606"/>
        <n v="4696164729"/>
        <n v="6679205752"/>
        <n v="8965293680"/>
        <n v="7155736136"/>
        <n v="1738940565"/>
        <n v="569955345"/>
        <n v="8503465200"/>
        <n v="799188600"/>
        <n v="4015906272"/>
        <n v="4543595075"/>
        <n v="8960679541"/>
        <n v="6534163745"/>
        <n v="6156339187"/>
        <n v="5185442451"/>
        <n v="665026751"/>
        <n v="1391897700"/>
        <n v="5577457719"/>
        <n v="9658628699"/>
        <n v="8677774943"/>
        <n v="3538111472"/>
        <n v="2261720358"/>
        <n v="846554893"/>
        <n v="2832385272"/>
        <n v="2058693095"/>
        <n v="8244937262"/>
        <n v="6508263183"/>
        <n v="561572520"/>
        <n v="6840221462"/>
        <n v="33346270"/>
        <n v="2978655617"/>
        <n v="6811975048"/>
        <n v="7738921363"/>
        <n v="9572437179"/>
        <n v="6653699393"/>
        <n v="3394889318"/>
        <n v="2045644966"/>
        <n v="2266586338"/>
        <n v="7408330845"/>
        <n v="6216316627"/>
        <n v="8250843541"/>
        <n v="6402393774"/>
        <n v="25762606"/>
        <n v="4512671582"/>
        <n v="4708741032"/>
        <n v="1754308893"/>
        <n v="1724782685"/>
        <n v="6726011110"/>
        <n v="822128135"/>
        <n v="642436468"/>
        <n v="9124329020"/>
        <n v="7986479831"/>
        <n v="1992777224"/>
        <n v="4915664814"/>
        <n v="264095857"/>
        <n v="2267057254"/>
        <n v="4277910354"/>
        <n v="3275257189"/>
        <n v="6743376113"/>
        <n v="6677092537"/>
        <n v="1830078831"/>
        <n v="8203229522"/>
        <n v="9987846938"/>
        <n v="8653336420"/>
        <n v="2350608357"/>
        <n v="6385147013"/>
        <n v="1304411851"/>
        <n v="578839168"/>
        <n v="8201605808"/>
        <n v="5006270568"/>
        <n v="5840073198"/>
        <n v="1498828609"/>
        <n v="1706196950"/>
        <n v="8130176208"/>
        <n v="3462885128"/>
        <n v="8587242371"/>
        <n v="3902806766"/>
        <n v="3299538255"/>
        <n v="3758118046"/>
        <n v="1532196553"/>
        <n v="4910906417"/>
        <n v="5027539859"/>
        <n v="7466302779"/>
        <n v="568683281"/>
        <n v="7739142501"/>
        <n v="8968592383"/>
        <n v="420570262"/>
        <n v="3162568567"/>
        <n v="7724710130"/>
        <n v="7383082878"/>
        <n v="8987848252"/>
        <n v="8938772134"/>
        <n v="868398142"/>
        <n v="6499777292"/>
        <n v="5799589640"/>
        <n v="4587184588"/>
        <n v="1313283747"/>
        <n v="4238032930"/>
        <n v="1422566926"/>
        <n v="6505314292"/>
        <n v="3884364796"/>
        <n v="9599009457"/>
        <n v="1367481057"/>
        <n v="9482437626"/>
        <n v="8052801346"/>
        <n v="2041162165"/>
        <n v="2588097391"/>
        <n v="1670948762"/>
        <n v="511037666"/>
        <n v="8769747914"/>
        <n v="1265983749"/>
        <n v="2687511294"/>
        <n v="1218186942"/>
        <n v="312690129"/>
        <n v="8099695854"/>
        <n v="9307113143"/>
        <n v="6127913747"/>
        <n v="2790502538"/>
        <n v="4875927489"/>
        <n v="426275085"/>
        <n v="6376077786"/>
        <n v="703647888"/>
        <n v="5618710275"/>
        <n v="5470113126"/>
        <n v="7570225629"/>
        <n v="7347470470"/>
        <n v="8728810272"/>
        <n v="1834379343"/>
        <n v="3767473978"/>
        <n v="963640486"/>
        <n v="3336234389"/>
        <n v="3259746649"/>
        <n v="7934406158"/>
        <n v="5762938423"/>
        <n v="3053114958"/>
        <n v="5385331795"/>
        <n v="9508689417"/>
        <n v="1558124827"/>
        <n v="1015091738"/>
        <n v="6002441648"/>
        <n v="5325117002"/>
        <n v="4009125662"/>
        <n v="1078784207"/>
        <n v="3034862757"/>
        <n v="6498497780"/>
        <n v="7643404209"/>
        <n v="1802636466"/>
        <n v="8003608688"/>
        <n v="3998168536"/>
        <n v="4353995266"/>
        <n v="8310701481"/>
        <n v="2552379760"/>
        <n v="5043306746"/>
        <n v="8004586995"/>
        <n v="6715159817"/>
        <n v="236763209"/>
        <n v="2552092407"/>
        <n v="1977915508"/>
        <n v="3855145219"/>
        <n v="8571933245"/>
        <n v="7262208276"/>
        <n v="3809194171"/>
        <n v="14539122"/>
        <n v="307230262"/>
        <n v="1526403963"/>
        <n v="5988394791"/>
        <n v="5979365359"/>
        <n v="9875276991"/>
        <n v="130653303"/>
        <n v="8572039029"/>
        <n v="5718331090"/>
        <n v="2401232223"/>
        <n v="659293582"/>
        <n v="7556064805"/>
        <n v="733430828"/>
        <n v="8185097615"/>
        <n v="2155777605"/>
        <n v="1168600456"/>
        <n v="1638295908"/>
        <n v="8887252144"/>
        <n v="5310672783"/>
        <n v="2359149347"/>
        <n v="1556161476"/>
        <n v="456975181"/>
        <n v="9791139953"/>
        <n v="1840293182"/>
        <n v="1861196280"/>
        <n v="4331970246"/>
        <n v="4703595147"/>
        <n v="6242298661"/>
        <n v="3286172355"/>
        <n v="566217385"/>
        <n v="1937509788"/>
        <n v="971196785"/>
        <n v="8523021855"/>
        <n v="8973622440"/>
        <n v="5549289588"/>
        <n v="1964713406"/>
        <n v="5333549678"/>
        <n v="2845318236"/>
        <n v="9946753541"/>
        <n v="9598349393"/>
        <n v="8587190699"/>
        <n v="2722337392"/>
        <n v="2428154426"/>
        <n v="5496292666"/>
        <n v="3279179893"/>
        <n v="9828143010"/>
        <n v="6495167395"/>
        <n v="4149011993"/>
        <n v="9176532232"/>
        <n v="6159416224"/>
        <n v="2889112657"/>
        <n v="6984051591"/>
        <n v="8892844282"/>
        <n v="5547656808"/>
        <n v="8898696157"/>
        <n v="6514776988"/>
        <n v="9352048807"/>
        <n v="8904195158"/>
        <n v="974027499"/>
        <n v="6817224080"/>
        <n v="4077353464"/>
        <n v="5997230390"/>
        <n v="2584559390"/>
        <n v="4882017214"/>
        <n v="6022992598"/>
        <n v="2299676190"/>
        <n v="6070936942"/>
        <n v="7500111256"/>
        <n v="4925047798"/>
        <n v="1139132462"/>
        <n v="1194906351"/>
        <n v="6331746318"/>
        <n v="5528300128"/>
        <n v="2498232404"/>
        <n v="3999777089"/>
        <n v="9793621885"/>
        <n v="3442706849"/>
        <n v="4304585899"/>
        <n v="2584489906"/>
        <n v="1030676446"/>
        <n v="7112155747"/>
        <n v="8967402463"/>
        <n v="8620546903"/>
        <n v="8159558514"/>
        <n v="7877700106"/>
        <n v="3135838003"/>
        <n v="7746906760"/>
        <n v="3883907165"/>
        <n v="8138206089"/>
        <n v="9525917254"/>
        <n v="4431695079"/>
        <n v="5675451055"/>
        <n v="5393610375"/>
        <n v="1843365823"/>
        <n v="6109062028"/>
        <n v="1522882325"/>
        <n v="5962619811"/>
        <n v="2609955485"/>
        <n v="27721201"/>
        <n v="9415324268"/>
        <n v="9007109501"/>
        <n v="9257385517"/>
        <n v="5354297720"/>
        <n v="9003006754"/>
        <n v="1988222610"/>
        <n v="4480073652"/>
        <n v="9396153063"/>
        <n v="2749285893"/>
        <n v="6494524357"/>
        <n v="544871928"/>
        <n v="4477003260"/>
        <n v="2514923246"/>
        <n v="1796432131"/>
        <n v="5801374323"/>
        <n v="7882533260"/>
        <n v="5762331797"/>
        <n v="2118817860"/>
        <n v="374656574"/>
        <n v="3293364553"/>
        <n v="1224339032"/>
        <n v="7179266246"/>
        <n v="8430816457"/>
        <n v="5468170213"/>
        <n v="3682462176"/>
        <n v="1661874371"/>
        <n v="6225074603"/>
        <n v="7321429671"/>
        <n v="3107015826"/>
        <n v="3567089560"/>
        <n v="604321999"/>
        <n v="8852871951"/>
        <n v="1645558162"/>
        <n v="2836869610"/>
        <n v="4974891726"/>
        <n v="7584000699"/>
        <n v="7674756610"/>
        <n v="2544092504"/>
        <n v="6173713420"/>
        <n v="1340109383"/>
        <n v="9195060952"/>
        <n v="2163495423"/>
        <n v="7529602915"/>
        <n v="1642448421"/>
        <n v="2101877453"/>
        <n v="5338301445"/>
        <n v="2407184317"/>
        <n v="1855785042"/>
        <n v="8126974238"/>
        <n v="7503193576"/>
        <n v="1435792489"/>
        <n v="5594636802"/>
        <n v="8813806690"/>
        <n v="8413340671"/>
        <n v="3306225869"/>
        <n v="2657142247"/>
        <n v="1369330563"/>
        <n v="156152202"/>
        <n v="8915239131"/>
        <n v="4723297015"/>
        <n v="1048749723"/>
        <n v="577171151"/>
        <n v="3609538292"/>
        <n v="8147726877"/>
        <n v="8169244844"/>
        <n v="3511049612"/>
        <n v="7494507251"/>
        <n v="6360797080"/>
        <n v="1137597187"/>
        <n v="1245737583"/>
        <n v="5444712556"/>
        <n v="3580819562"/>
        <n v="3262760251"/>
        <n v="9285607046"/>
        <n v="9880098011"/>
        <n v="8115376099"/>
        <n v="222127079"/>
        <n v="7352447338"/>
        <n v="1269968046"/>
        <n v="6212392715"/>
        <n v="6148992716"/>
        <n v="7746588679"/>
        <n v="5219335403"/>
        <n v="3432619033"/>
        <n v="5054961591"/>
        <n v="5595927322"/>
        <n v="4420837597"/>
        <n v="3030213922"/>
        <n v="6796513462"/>
        <n v="9811317821"/>
        <n v="2366204772"/>
        <n v="6238319034"/>
        <n v="2438139688"/>
        <n v="7226383929"/>
        <n v="8753052544"/>
        <n v="3440654296"/>
        <n v="7782575115"/>
        <n v="6819357730"/>
        <n v="8824227483"/>
        <n v="1182528804"/>
        <n v="2072269456"/>
        <n v="1150155424"/>
        <n v="6753493104"/>
        <n v="2981214459"/>
        <n v="4679947723"/>
        <n v="2320387917"/>
        <n v="8967605247"/>
        <n v="4223708607"/>
        <n v="3108280261"/>
        <n v="8226004617"/>
        <n v="9588577727"/>
        <n v="3658332196"/>
        <n v="9687980558"/>
        <n v="9393500566"/>
        <n v="687534291"/>
        <n v="4658015581"/>
        <n v="138146654"/>
        <n v="3615998000"/>
        <n v="9274437507"/>
        <n v="6070690189"/>
        <n v="5019450317"/>
        <n v="4684070958"/>
        <n v="5612269556"/>
        <n v="9392700144"/>
        <n v="6422599500"/>
        <n v="6738148173"/>
        <n v="9289636078"/>
        <n v="9046747337"/>
        <n v="5706877708"/>
        <n v="9187235128"/>
        <n v="3697918511"/>
        <n v="5185722813"/>
        <n v="6208213205"/>
        <n v="9136318143"/>
        <n v="9184102612"/>
        <n v="7067575476"/>
        <n v="5036433877"/>
        <n v="3497124400"/>
        <n v="4985237751"/>
        <n v="8867140111"/>
        <n v="6077900993"/>
        <n v="4325952441"/>
        <n v="4554217488"/>
        <n v="7358038261"/>
        <n v="4781585854"/>
        <n v="8132617827"/>
        <n v="3683639470"/>
        <n v="7385540908"/>
        <n v="9670851538"/>
        <n v="2148442816"/>
        <n v="65877661"/>
        <n v="4592601612"/>
        <n v="9207959583"/>
        <n v="4493197881"/>
        <n v="3072598521"/>
        <n v="9469442466"/>
        <n v="3266138487"/>
        <n v="8942092633"/>
        <n v="5611156657"/>
        <n v="6253425393"/>
        <n v="6781239823"/>
        <n v="161356780"/>
        <n v="2865033012"/>
        <n v="8039556217"/>
        <n v="9142095021"/>
        <n v="9261836642"/>
        <n v="2177044140"/>
        <n v="868568688"/>
        <n v="7613130988"/>
        <n v="5464175742"/>
        <n v="7590592049"/>
        <n v="6651217471"/>
        <n v="3636841696"/>
        <n v="6485870030"/>
        <n v="9711400591"/>
        <n v="3400999741"/>
        <n v="7222999901"/>
        <n v="2126868617"/>
        <n v="7107443050"/>
        <n v="2896584582"/>
        <n v="3011203127"/>
        <n v="2881514469"/>
        <n v="9628306211"/>
        <n v="2591149052"/>
        <n v="9003685740"/>
        <n v="5560320217"/>
        <n v="9481318728"/>
        <n v="2335777366"/>
        <n v="7161168317"/>
        <n v="5644780858"/>
        <n v="9371498931"/>
        <n v="7394568083"/>
        <n v="7507778325"/>
        <n v="2215405780"/>
        <n v="7551204703"/>
        <n v="5955159897"/>
        <n v="8318954772"/>
        <n v="9165074186"/>
        <n v="1929116626"/>
        <n v="5631378216"/>
        <n v="2241044938"/>
        <n v="198403508"/>
        <n v="478240506"/>
        <n v="7827679101"/>
        <n v="4336547198"/>
        <n v="7570914310"/>
        <n v="9302522864"/>
        <n v="3029183605"/>
        <n v="8487080282"/>
        <n v="3879485543"/>
        <n v="569631372"/>
        <n v="9836012215"/>
        <n v="3443340463"/>
        <n v="5589612608"/>
        <n v="9456514108"/>
        <n v="2731219454"/>
        <n v="8212330109"/>
        <n v="8986192248"/>
        <n v="9326182833"/>
        <n v="6511284387"/>
        <n v="6831196529"/>
        <n v="3282155790"/>
        <n v="4261959518"/>
        <n v="8694532419"/>
        <n v="3849206129"/>
        <n v="4357702926"/>
        <n v="8333589663"/>
        <n v="4622157955"/>
        <n v="7479901615"/>
        <n v="8197072010"/>
        <n v="2831014523"/>
        <n v="9243779950"/>
        <n v="1399204216"/>
        <n v="1220646142"/>
        <n v="8694680183"/>
        <n v="544852282"/>
        <n v="6141403326"/>
        <n v="1374242794"/>
        <n v="328384744"/>
        <n v="4305368854"/>
        <n v="1490260385"/>
        <n v="6972138581"/>
        <n v="6923804165"/>
        <n v="1953954268"/>
        <n v="8033812709"/>
        <n v="8197302577"/>
        <n v="4244137850"/>
        <n v="9520717225"/>
        <n v="4548707055"/>
        <n v="7671695099"/>
        <n v="2969955007"/>
        <n v="8775795941"/>
        <n v="2667904128"/>
        <n v="2040906068"/>
        <n v="1290703625"/>
        <n v="9460711215"/>
        <n v="5881364295"/>
        <n v="5498237402"/>
        <n v="8713878179"/>
        <n v="1025527300"/>
        <n v="3293686547"/>
        <n v="2446822729"/>
        <n v="3933129163"/>
        <n v="9021870555"/>
        <n v="3871712319"/>
        <n v="4584388496"/>
        <n v="815197860"/>
        <n v="907425485"/>
        <n v="4228895512"/>
        <n v="1998445733"/>
        <n v="2009014329"/>
        <n v="5399789604"/>
        <n v="5557880033"/>
        <n v="7160736915"/>
        <n v="2711608236"/>
        <n v="1779161997"/>
        <n v="2312005653"/>
        <n v="3098762122"/>
        <n v="6090011316"/>
        <n v="4834180279"/>
        <n v="2698592594"/>
        <n v="6126968725"/>
        <n v="127154492"/>
        <n v="3526097821"/>
        <n v="5848220020"/>
        <n v="4117345189"/>
        <n v="6401579612"/>
        <n v="5802257583"/>
        <n v="581151126"/>
        <n v="8591892399"/>
        <n v="6280994711"/>
        <n v="315360773"/>
        <n v="5751050781"/>
        <n v="7252414916"/>
        <n v="438735012"/>
        <n v="3930127189"/>
        <n v="7832023136"/>
        <n v="9848316613"/>
        <n v="2028959593"/>
        <n v="3146144627"/>
        <n v="2312860929"/>
        <n v="6877733892"/>
        <n v="6988928906"/>
        <n v="4535762652"/>
        <n v="6232885366"/>
        <n v="7526322785"/>
        <n v="3834666529"/>
        <n v="3529676195"/>
        <n v="2946146551"/>
        <n v="922815369"/>
        <n v="5074132271"/>
        <n v="1224012174"/>
        <n v="6124368301"/>
        <n v="8465013530"/>
        <n v="396140622"/>
        <n v="4139151352"/>
        <n v="9442180171"/>
        <n v="6413930803"/>
        <n v="166015829"/>
        <n v="5395048723"/>
        <n v="6834477393"/>
        <n v="4994594454"/>
        <n v="8519589873"/>
        <n v="3896145797"/>
        <n v="4059338874"/>
        <n v="852237169"/>
        <n v="4788624750"/>
        <n v="8121014003"/>
        <n v="4256692934"/>
        <n v="5264015348"/>
        <n v="2242627172"/>
        <n v="787064572"/>
        <n v="2484231014"/>
        <n v="7391973347"/>
        <n v="6630041445"/>
        <n v="3254720589"/>
        <n v="7497361323"/>
        <n v="1999169946"/>
        <n v="6598028529"/>
        <n v="4922814117"/>
        <n v="7036019108"/>
        <n v="4373080213"/>
        <n v="3407919855"/>
        <n v="4174231376"/>
        <n v="9508047658"/>
        <n v="2797998245"/>
        <n v="4724128387"/>
        <n v="2648217197"/>
        <n v="1408017543"/>
        <n v="6320582455"/>
        <n v="1368491162"/>
        <n v="4572902827"/>
        <n v="9938882588"/>
        <n v="712466523"/>
        <n v="2158196009"/>
        <n v="1225080541"/>
        <n v="2913996500"/>
        <n v="1041875273"/>
        <n v="4831893174"/>
        <n v="1716006167"/>
        <n v="4684563438"/>
        <n v="9343544605"/>
        <n v="2095405293"/>
        <n v="215465344"/>
        <n v="6482235799"/>
        <n v="8859134919"/>
        <n v="8705444631"/>
        <n v="6340007440"/>
        <n v="4600894500"/>
        <n v="2294025022"/>
        <n v="7060433286"/>
        <n v="9673864368"/>
        <n v="8394294350"/>
        <n v="1274645528"/>
        <n v="5449505444"/>
        <n v="4233653992"/>
        <n v="1108824956"/>
        <n v="6354136969"/>
        <n v="4496388351"/>
        <n v="673079006"/>
        <n v="8271828814"/>
        <n v="3977956775"/>
        <n v="9548148966"/>
        <n v="8257603427"/>
        <n v="3138958286"/>
        <n v="9277661052"/>
        <n v="7788310039"/>
        <n v="6764548823"/>
        <n v="3485414590"/>
        <n v="7965472676"/>
        <n v="3318565458"/>
        <n v="3193577264"/>
        <n v="9301628280"/>
        <n v="7592950832"/>
        <n v="4107570314"/>
        <n v="7298581095"/>
        <n v="1140797403"/>
        <n v="2972193348"/>
        <n v="3548585281"/>
        <n v="7762693859"/>
        <n v="3784990976"/>
        <n v="2304794217"/>
        <n v="7695306517"/>
        <n v="3885112922"/>
        <n v="3844359667"/>
        <n v="7319032742"/>
        <n v="8730244405"/>
        <n v="7002077089"/>
        <n v="2509831973"/>
        <n v="9158349760"/>
        <n v="9380648181"/>
        <n v="6916264887"/>
        <n v="3432179554"/>
        <n v="8998990372"/>
        <n v="6527752903"/>
        <n v="4344174806"/>
        <n v="2384413935"/>
        <n v="8434312153"/>
        <n v="8335225856"/>
        <n v="4488115730"/>
        <n v="2201489060"/>
        <n v="5452849099"/>
        <n v="5714926472"/>
        <n v="3529992395"/>
        <n v="9824280342"/>
        <n v="931922222"/>
        <n v="8022304418"/>
        <n v="6365431447"/>
        <n v="5224954510"/>
        <n v="8794766352"/>
        <n v="2104849384"/>
        <n v="4821439899"/>
        <n v="5992929221"/>
        <n v="369175348"/>
        <n v="1432278808"/>
        <n v="4758769703"/>
        <n v="5293429200"/>
        <n v="4812815165"/>
        <n v="6424834252"/>
        <n v="6401711429"/>
        <n v="255845645"/>
        <n v="7125011674"/>
        <n v="2601687073"/>
        <n v="1261815001"/>
        <n v="2550540287"/>
        <n v="8723479480"/>
        <n v="2293206956"/>
        <n v="7860334742"/>
        <n v="553769606"/>
        <n v="6476703638"/>
        <n v="853324983"/>
        <n v="2595228252"/>
        <n v="2470596478"/>
        <n v="3985941315"/>
        <n v="4678874499"/>
        <n v="4325749007"/>
        <n v="6562248766"/>
        <n v="5269615347"/>
        <n v="5520808053"/>
        <n v="1958294737"/>
        <n v="2806740273"/>
        <n v="5773237167"/>
        <n v="1404601227"/>
        <n v="7897042353"/>
        <n v="7862822926"/>
        <n v="3523180313"/>
        <n v="4420291115"/>
        <n v="5536806270"/>
        <n v="1419661241"/>
        <n v="3255044891"/>
        <n v="9075353483"/>
        <n v="3262475851"/>
        <n v="804196431"/>
        <n v="4044517635"/>
        <n v="9368669603"/>
        <n v="7576934528"/>
        <n v="1551228889"/>
        <n v="671335523"/>
        <n v="2966469026"/>
        <n v="814398102"/>
        <n v="8474309857"/>
        <n v="6456964355"/>
        <n v="8588054322"/>
        <n v="8268435765"/>
        <n v="8149641598"/>
        <n v="7184500613"/>
        <n v="7814060053"/>
        <n v="6591575750"/>
        <n v="2563576645"/>
        <n v="8019506199"/>
        <n v="8815281448"/>
        <n v="2032861182"/>
        <n v="8903537997"/>
        <n v="6205807605"/>
        <n v="6518030994"/>
        <n v="3556772030"/>
        <n v="5623172625"/>
        <n v="2020708263"/>
        <n v="728900305"/>
        <n v="6808288746"/>
        <n v="8384366919"/>
        <n v="3872905862"/>
        <n v="4055341799"/>
        <n v="2448237201"/>
        <n v="6421474785"/>
        <n v="6129524035"/>
        <n v="883898143"/>
        <n v="3915529544"/>
        <n v="2921941084"/>
        <n v="8273126721"/>
        <n v="8413737228"/>
        <n v="4995379766"/>
        <n v="3563438570"/>
        <n v="6083553514"/>
        <n v="3221380947"/>
        <n v="5045265825"/>
        <n v="8805937509"/>
        <n v="8353784441"/>
        <n v="1832920542"/>
        <n v="1690402085"/>
        <n v="708532822"/>
        <n v="8883997544"/>
        <n v="9535123317"/>
        <n v="6976962403"/>
        <n v="5534307473"/>
        <n v="1226944129"/>
        <n v="6760427237"/>
        <n v="637906602"/>
        <n v="5571652530"/>
        <n v="8566764671"/>
        <n v="2138042075"/>
        <n v="7037591332"/>
        <n v="8125949604"/>
        <n v="5691675777"/>
        <n v="8112335922"/>
        <n v="6852182033"/>
        <n v="9608035827"/>
        <n v="2497848161"/>
        <n v="2054223834"/>
        <n v="1803547457"/>
        <n v="6810330634"/>
        <n v="9551582617"/>
        <n v="7744210851"/>
        <n v="5588112676"/>
        <n v="149919846"/>
        <n v="6117648350"/>
        <n v="2077316155"/>
        <n v="1423145503"/>
        <n v="7367118749"/>
        <n v="3098347292"/>
        <n v="7178787182"/>
        <n v="4028253688"/>
        <n v="3952347143"/>
        <n v="1128073435"/>
        <n v="8253667499"/>
        <n v="1517051598"/>
        <n v="154398482"/>
        <n v="7634512819"/>
        <n v="2736512144"/>
        <n v="1075923045"/>
        <n v="6135642625"/>
        <n v="3520608804"/>
        <n v="7322845704"/>
        <n v="7146822509"/>
        <n v="4758294964"/>
        <n v="9229940625"/>
        <n v="9553458659"/>
        <n v="9017429976"/>
        <n v="3254068363"/>
        <n v="3544556379"/>
        <n v="4960458318"/>
        <n v="7215321471"/>
        <n v="1030692910"/>
        <n v="8899744848"/>
        <n v="7673084360"/>
        <n v="327609046"/>
        <n v="3325888911"/>
        <n v="5503043137"/>
        <n v="9332578322"/>
        <n v="5118433753"/>
        <n v="3688525533"/>
        <n v="9490679180"/>
        <n v="4188631133"/>
        <n v="4977123092"/>
        <n v="5424728274"/>
        <n v="2170161481"/>
        <n v="4108045080"/>
        <n v="4634060744"/>
        <n v="3801764994"/>
        <n v="40660973"/>
        <n v="7450078931"/>
        <n v="4877642201"/>
        <n v="7723120112"/>
        <n v="7574239075"/>
        <n v="9719585962"/>
        <n v="1833910002"/>
        <n v="7049199616"/>
        <n v="5805289983"/>
        <n v="1860276721"/>
        <n v="51578898"/>
        <n v="7638074935"/>
        <n v="4874671439"/>
        <n v="8047518157"/>
        <n v="9611218127"/>
        <n v="2659454323"/>
        <n v="6237397712"/>
        <n v="8074319158"/>
        <n v="5964933636"/>
        <n v="4237442148"/>
        <n v="6792247922"/>
        <n v="6720355251"/>
        <n v="6665051"/>
        <n v="6065315801"/>
        <n v="5525592322"/>
        <n v="6061326781"/>
        <n v="589467032"/>
        <n v="7235866084"/>
        <n v="13527377"/>
        <n v="8157264573"/>
        <n v="8770063774"/>
        <n v="8619636113"/>
        <n v="7970018365"/>
        <n v="1444168211"/>
        <n v="8136608171"/>
        <n v="8384582381"/>
        <n v="5753088795"/>
        <n v="4304409594"/>
        <n v="8452626567"/>
        <n v="4526673525"/>
        <n v="4409483858"/>
        <n v="1157640068"/>
        <n v="4781791357"/>
        <n v="9223045170"/>
        <n v="4164568754"/>
        <n v="9787411014"/>
        <n v="3027936543"/>
        <n v="7281801398"/>
        <n v="5764479195"/>
        <n v="8053683950"/>
        <n v="1376796548"/>
        <n v="1965297304"/>
        <n v="1162683951"/>
        <n v="3861925099"/>
        <n v="4064804943"/>
        <n v="9909574335"/>
        <n v="4118958070"/>
        <n v="2350628776"/>
        <n v="8961746793"/>
        <n v="8468057762"/>
        <n v="9055543964"/>
        <n v="2561938455"/>
        <n v="4735423572"/>
        <n v="3647307227"/>
        <n v="5366309224"/>
        <n v="3692650448"/>
        <n v="6971152180"/>
        <n v="6282070189"/>
        <n v="8823232130"/>
        <n v="3469159594"/>
        <n v="8753242686"/>
        <n v="9103659322"/>
        <n v="5024173895"/>
        <n v="2625399659"/>
        <n v="1226327777"/>
        <n v="9334990172"/>
        <n v="9179140007"/>
        <n v="3711717506"/>
        <n v="7798797588"/>
        <n v="4332882742"/>
        <n v="9474817546"/>
        <n v="4685818979"/>
        <n v="5748357482"/>
        <n v="8615470871"/>
        <n v="3941982399"/>
        <n v="2457436704"/>
        <n v="7472872279"/>
        <n v="7179627796"/>
        <n v="6747554875"/>
        <n v="2147527699"/>
        <n v="9879668061"/>
        <n v="525950594"/>
        <n v="9168588789"/>
        <n v="3432416988"/>
        <n v="9938221650"/>
        <n v="6447841775"/>
        <n v="4652896235"/>
        <n v="7468424181"/>
        <n v="8155316307"/>
        <n v="5844004044"/>
        <n v="5251674452"/>
        <n v="9369454215"/>
        <n v="2869675648"/>
        <n v="3499302975"/>
        <n v="6380185082"/>
        <n v="2403186083"/>
        <n v="8933023369"/>
        <n v="2351530109"/>
        <n v="3146137198"/>
        <n v="892793859"/>
        <n v="5019961553"/>
        <n v="9222757302"/>
        <n v="36476669"/>
        <n v="5790471849"/>
        <n v="1397358796"/>
        <n v="8143659093"/>
        <n v="9043937507"/>
        <n v="1552291084"/>
        <n v="6130835432"/>
        <n v="5293966138"/>
        <n v="1253215932"/>
        <n v="5955166219"/>
        <n v="2603494478"/>
        <n v="3007675845"/>
        <n v="2576623544"/>
        <n v="4838237223"/>
        <n v="6268108506"/>
        <n v="7711304271"/>
        <n v="1604485677"/>
        <n v="5262790133"/>
        <n v="6307900258"/>
        <n v="2450448709"/>
        <n v="9941194188"/>
        <n v="5464175275"/>
        <n v="3300785782"/>
        <n v="4975393053"/>
        <n v="283280424"/>
        <n v="1667716246"/>
        <n v="4804619152"/>
        <n v="6176317543"/>
        <n v="9921560807"/>
        <n v="2192295697"/>
        <n v="539802231"/>
        <n v="1584271198"/>
        <n v="1630883469"/>
        <n v="5016065737"/>
        <n v="7438507951"/>
        <n v="5028204460"/>
        <n v="4326633137"/>
        <n v="600224003"/>
        <n v="4777404343"/>
        <n v="2806625410"/>
        <n v="5576849137"/>
        <n v="3799080345"/>
        <n v="2582573162"/>
        <n v="4121839534"/>
        <n v="5027320484"/>
        <n v="9114804496"/>
        <n v="9971840652"/>
        <n v="5607311289"/>
        <n v="3659970814"/>
        <n v="1087195568"/>
        <n v="9390133059"/>
        <n v="8543292650"/>
        <n v="6566598426"/>
        <n v="4794239383"/>
        <n v="7849241516"/>
        <n v="3704842202"/>
        <n v="7144452110"/>
        <n v="5276618736"/>
        <n v="1758305731"/>
        <n v="7700588772"/>
        <n v="6176940453"/>
        <n v="9053053995"/>
        <n v="1601920823"/>
        <n v="7739934912"/>
        <n v="3090819765"/>
        <n v="8825384768"/>
        <n v="648385159"/>
        <n v="7333920669"/>
        <n v="9813599732"/>
        <n v="9045243923"/>
        <n v="5392755044"/>
        <n v="1591240989"/>
        <n v="9544431251"/>
        <n v="270412504"/>
        <n v="6907410080"/>
        <n v="4895071896"/>
        <n v="7472250515"/>
        <n v="6009985803"/>
        <n v="5906035370"/>
        <n v="8709432505"/>
        <n v="5169941082"/>
        <n v="2295019842"/>
        <n v="5038354427"/>
        <n v="602348327"/>
        <n v="4109275762"/>
        <n v="6123832547"/>
        <n v="4463810338"/>
        <n v="3851728451"/>
        <n v="5011473749"/>
        <n v="7048064365"/>
        <n v="6908837384"/>
        <n v="2826317502"/>
        <n v="3241181026"/>
        <n v="3360176026"/>
        <n v="2465841512"/>
        <n v="6717960462"/>
        <n v="4408502490"/>
        <n v="7423492101"/>
        <n v="5804227223"/>
        <n v="5851883842"/>
        <n v="8925130468"/>
        <n v="3332341727"/>
        <n v="4177861783"/>
        <n v="2477803987"/>
        <n v="6650635027"/>
        <n v="2576272240"/>
        <n v="2815753333"/>
        <n v="825443157"/>
        <n v="4448768599"/>
        <n v="6601689732"/>
        <n v="1049218260"/>
        <n v="4084230362"/>
        <n v="5510973979"/>
        <n v="5457154781"/>
        <n v="224895015"/>
        <n v="7169908381"/>
        <n v="3358870725"/>
        <n v="4774715518"/>
        <n v="6803873546"/>
        <n v="9190069817"/>
        <n v="267264610"/>
        <n v="2997580898"/>
        <n v="8173030967"/>
        <n v="9287589980"/>
        <n v="8993724984"/>
        <n v="8009250915"/>
        <n v="7504051506"/>
        <n v="3500660103"/>
        <n v="5083667611"/>
        <n v="8569407750"/>
        <n v="9375603507"/>
        <n v="4416481804"/>
        <n v="9851756482"/>
        <n v="5099460974"/>
        <n v="1567454737"/>
        <n v="791113359"/>
        <n v="1332443097"/>
        <n v="5751714256"/>
        <n v="1536940484"/>
        <n v="7475713706"/>
        <n v="330544858"/>
        <n v="826653192"/>
        <n v="5689021430"/>
        <n v="6278562848"/>
        <n v="3452564030"/>
        <n v="942349529"/>
        <n v="3314596644"/>
        <n v="5869567125"/>
        <n v="2858247091"/>
        <n v="637737742"/>
        <n v="1093908497"/>
        <n v="5702595560"/>
        <n v="8740508409"/>
        <n v="445154846"/>
        <n v="9020866719"/>
        <n v="6313053040"/>
        <n v="2773938334"/>
        <n v="5730375984"/>
        <n v="6799175447"/>
        <n v="7905085108"/>
        <n v="4213422776"/>
        <n v="7832090993"/>
        <n v="273040338"/>
        <n v="3236920559"/>
        <n v="4464531844"/>
        <n v="7305338148"/>
        <n v="6792430753"/>
        <n v="9619084731"/>
        <n v="5028744894"/>
        <n v="4049865431"/>
        <n v="9455422035"/>
        <n v="4330439777"/>
        <n v="6500267083"/>
        <n v="7604402185"/>
        <n v="1921988708"/>
        <n v="5782689214"/>
        <n v="8024706554"/>
        <n v="6344889589"/>
        <n v="3149859158"/>
        <n v="8445674500"/>
        <n v="9452975673"/>
        <n v="5046753153"/>
        <n v="4763305803"/>
        <n v="3864603006"/>
        <n v="2005193114"/>
        <n v="5620553631"/>
        <n v="2164762018"/>
        <n v="9378497536"/>
        <n v="4636697243"/>
        <n v="8944803275"/>
        <n v="1528959749"/>
        <n v="430404376"/>
        <n v="6156834944"/>
        <n v="850156764"/>
        <n v="4721051060"/>
        <n v="16683594"/>
        <n v="5689107026"/>
        <n v="9130788762"/>
        <n v="1363208571"/>
        <n v="7739209803"/>
        <n v="486741379"/>
        <n v="5875691050"/>
        <n v="1613060776"/>
        <n v="8944096499"/>
        <n v="8744994327"/>
        <n v="432088669"/>
        <n v="8678080711"/>
        <n v="190346689"/>
        <n v="9879209114"/>
        <n v="5686413449"/>
        <n v="1311086092"/>
        <n v="4448037135"/>
        <n v="2041519241"/>
        <n v="5408914736"/>
        <n v="8887031669"/>
        <n v="4307480727"/>
        <n v="9533240429"/>
        <n v="698195245"/>
        <n v="5903327536"/>
        <n v="1052526649"/>
        <n v="8067385284"/>
        <n v="5769453146"/>
        <n v="8365714262"/>
        <n v="1446197879"/>
        <n v="7619988114"/>
        <n v="5794331781"/>
        <n v="1207494413"/>
        <n v="5659307753"/>
        <n v="9216644156"/>
        <n v="1104637724"/>
        <n v="1976727841"/>
        <n v="6447730296"/>
        <n v="778474018"/>
        <n v="86251380"/>
        <n v="4571263594"/>
        <n v="4564422499"/>
        <n v="7085083620"/>
        <n v="7395104596"/>
        <n v="3299961738"/>
        <n v="5313485292"/>
        <n v="6150012318"/>
        <n v="6411476316"/>
        <n v="3260014584"/>
        <n v="872715582"/>
        <n v="5743301270"/>
        <n v="8988792911"/>
        <n v="2937810139"/>
        <n v="1749781869"/>
        <n v="7254501473"/>
        <n v="2417474563"/>
        <n v="1343121729"/>
        <n v="2562020395"/>
        <n v="3911960239"/>
        <n v="5172996402"/>
        <n v="1906870112"/>
        <n v="4872382092"/>
        <n v="2446473392"/>
        <n v="9564509128"/>
        <n v="3863159903"/>
        <n v="2994919804"/>
        <n v="9961199226"/>
        <n v="9432765156"/>
        <n v="3026980368"/>
        <n v="744181055"/>
        <n v="4473603019"/>
        <n v="4004929488"/>
        <n v="2783631302"/>
        <n v="5102332193"/>
        <n v="461573471"/>
        <n v="7148994883"/>
        <n v="8947109197"/>
        <n v="5410669372"/>
        <n v="3585007059"/>
        <n v="2012985537"/>
        <n v="6155967127"/>
        <n v="8422735905"/>
        <n v="9541087936"/>
        <n v="6489927075"/>
        <n v="9151817334"/>
        <n v="1009483043"/>
        <n v="7227951716"/>
        <n v="1538302188"/>
        <n v="8356833499"/>
        <n v="2064169340"/>
        <n v="486934210"/>
        <n v="5172850121"/>
        <n v="4293460221"/>
        <n v="445337741"/>
        <n v="838027768"/>
        <n v="2248717437"/>
        <n v="376724495"/>
        <n v="8480050564"/>
        <n v="4204185167"/>
        <n v="300815762"/>
        <n v="8718515990"/>
        <n v="7573268480"/>
        <n v="9958050575"/>
        <n v="8311840357"/>
        <n v="7797425766"/>
        <n v="7145262834"/>
        <n v="6321560452"/>
        <n v="964226904"/>
        <n v="151970486"/>
        <n v="1386801348"/>
        <n v="7219174047"/>
        <n v="2645692846"/>
        <n v="9480835161"/>
        <n v="9620686680"/>
        <n v="3826795727"/>
        <n v="7937917609"/>
        <n v="7834027132"/>
        <n v="5225662186"/>
        <n v="3743560453"/>
        <n v="1776829912"/>
        <n v="6316931980"/>
        <n v="3426609302"/>
        <n v="4196292485"/>
        <n v="7508313997"/>
        <n v="6786390467"/>
        <n v="5046677426"/>
        <n v="7665277514"/>
        <n v="3711017685"/>
        <n v="8459501061"/>
        <n v="582717708"/>
        <n v="7689962249"/>
        <n v="2762694319"/>
        <n v="5053538999"/>
        <n v="6377408382"/>
        <n v="8379629650"/>
        <n v="6377722027"/>
        <n v="2084733860"/>
        <n v="852830669"/>
        <n v="6362402354"/>
        <n v="4268002116"/>
        <n v="4839307489"/>
        <n v="9939335199"/>
        <n v="7044608957"/>
        <n v="5800799124"/>
        <n v="3411478558"/>
        <n v="7474613980"/>
        <n v="5260635412"/>
        <n v="8881222793"/>
        <n v="7645900198"/>
        <n v="9672385397"/>
        <n v="7977294927"/>
        <n v="2828131246"/>
        <n v="6615382865"/>
        <n v="2042130994"/>
        <n v="4789436997"/>
        <n v="2252743283"/>
        <n v="1773265181"/>
        <n v="2499203242"/>
        <n v="5622928657"/>
        <n v="8750584081"/>
        <n v="889096335"/>
        <n v="4850589376"/>
        <n v="7116746187"/>
        <n v="1083806619"/>
        <n v="7023162176"/>
        <n v="7016963971"/>
        <n v="3244691308"/>
        <n v="6648669738"/>
        <n v="3825506456"/>
        <n v="1144157295"/>
        <n v="1995805675"/>
        <n v="3173291888"/>
        <n v="3375998526"/>
        <n v="822669024"/>
        <n v="336186837"/>
        <n v="6928641335"/>
        <n v="8505166011"/>
        <n v="5256639835"/>
        <n v="6246120714"/>
        <n v="5637735379"/>
        <n v="6106138674"/>
        <n v="144148532"/>
        <n v="2790083909"/>
        <n v="5798480765"/>
        <n v="4952248063"/>
        <n v="2777193404"/>
        <n v="5408417237"/>
        <n v="897254603"/>
        <n v="3724007662"/>
        <n v="4957552805"/>
        <n v="3186698068"/>
        <n v="6314111367"/>
        <n v="1388172926"/>
        <n v="4331853125"/>
        <n v="8746213790"/>
        <n v="8617561409"/>
        <n v="5087590800"/>
        <n v="7544673935"/>
        <n v="9819086477"/>
        <n v="8166392165"/>
        <n v="4092935105"/>
        <n v="7239180502"/>
        <n v="2002482587"/>
        <n v="3112884770"/>
        <n v="3981260199"/>
        <n v="6032005546"/>
        <n v="5179099063"/>
        <n v="5868277189"/>
        <n v="2752671696"/>
        <n v="5020435831"/>
        <n v="6641810024"/>
        <n v="3109776919"/>
        <n v="2264729898"/>
        <n v="3844336299"/>
        <n v="2295065694"/>
        <n v="5811105590"/>
        <n v="544228479"/>
        <n v="6666902743"/>
        <n v="8386786616"/>
        <n v="6145220289"/>
        <n v="2020824487"/>
        <n v="7920281595"/>
        <n v="6115757778"/>
        <n v="8465703037"/>
        <n v="149017192"/>
        <n v="8985185343"/>
        <n v="5909936132"/>
        <n v="5936713526"/>
        <n v="804673744"/>
        <n v="4643259000"/>
        <n v="5813296620"/>
        <n v="4037018968"/>
        <n v="3792189465"/>
        <n v="914847590"/>
        <n v="809625447"/>
        <n v="5395605156"/>
        <n v="7039738145"/>
        <n v="8764936238"/>
        <n v="7459299368"/>
        <n v="7656746582"/>
        <n v="4957540351"/>
        <n v="918178079"/>
        <n v="5232268182"/>
        <n v="7134871762"/>
        <n v="3759003567"/>
        <n v="747047182"/>
        <n v="5242230374"/>
        <n v="8876576612"/>
        <n v="237682274"/>
        <n v="7837548824"/>
        <n v="9093631380"/>
        <n v="9630883739"/>
        <n v="3442075999"/>
        <n v="217239763"/>
        <n v="229007460"/>
        <n v="4647388553"/>
        <n v="648937549"/>
        <n v="251879181"/>
        <n v="5129412985"/>
        <n v="757587762"/>
        <n v="7468481487"/>
        <n v="7444122993"/>
        <n v="3432730035"/>
        <n v="1691652384"/>
        <n v="3898972734"/>
        <n v="3790320606"/>
        <n v="9771467563"/>
        <n v="5350575484"/>
        <n v="6009565131"/>
        <n v="4672757647"/>
        <n v="182554113"/>
        <n v="1862303603"/>
        <n v="2173103945"/>
        <n v="3108793806"/>
        <n v="9262210763"/>
        <n v="1547109628"/>
        <n v="2724243020"/>
        <n v="6298761733"/>
        <n v="4572993923"/>
        <n v="3080648876"/>
        <n v="3023037899"/>
        <n v="4939108392"/>
        <n v="4055431970"/>
        <n v="8062985244"/>
        <n v="5701484675"/>
        <n v="9579837699"/>
        <n v="846741040"/>
        <n v="9835154318"/>
        <n v="9208494421"/>
        <n v="3656038300"/>
        <n v="4622747128"/>
        <n v="2986696745"/>
        <n v="4167791718"/>
        <n v="2133070589"/>
        <n v="9975059059"/>
        <n v="6867808693"/>
        <n v="7217633796"/>
        <n v="2052847675"/>
        <n v="9282040297"/>
        <n v="8740272572"/>
        <n v="747448835"/>
        <n v="1701080414"/>
        <n v="5174329652"/>
        <n v="3553120499"/>
        <n v="556697153"/>
        <n v="8789318813"/>
        <n v="5607688477"/>
        <n v="34725151"/>
        <n v="1043391543"/>
        <n v="1781823044"/>
        <n v="7570613743"/>
        <n v="1125567105"/>
        <n v="2318934240"/>
        <n v="2612483529"/>
        <n v="8950910537"/>
        <n v="7034893039"/>
        <n v="5550354567"/>
        <n v="7750136239"/>
        <n v="9705974722"/>
        <n v="2766513361"/>
        <n v="7111052072"/>
        <n v="166274508"/>
        <n v="7108762206"/>
        <n v="5762423612"/>
        <n v="3549895554"/>
        <n v="2654356017"/>
        <n v="1509536110"/>
        <n v="6607787314"/>
        <n v="3206452805"/>
        <n v="6176860709"/>
        <n v="3613219601"/>
        <n v="1411365155"/>
        <n v="6082137562"/>
        <n v="1541722856"/>
        <n v="8222885629"/>
        <n v="817212435"/>
        <n v="1982710669"/>
        <n v="2527100295"/>
        <n v="4227185318"/>
        <n v="1497614989"/>
        <n v="6716795265"/>
        <n v="9577602835"/>
        <n v="4636490823"/>
        <n v="2259167854"/>
        <n v="8235808958"/>
        <n v="5508348233"/>
        <n v="3559909418"/>
        <n v="105185176"/>
        <n v="4978397216"/>
        <n v="8207246869"/>
        <n v="299782338"/>
        <n v="4117755003"/>
        <n v="5599249157"/>
        <n v="9575204551"/>
        <n v="5218904199"/>
        <n v="3580636597"/>
        <n v="6340026575"/>
        <n v="4182571887"/>
        <n v="1858089957"/>
        <n v="151323243"/>
        <n v="7096762618"/>
        <n v="151158173"/>
        <n v="8548056122"/>
        <n v="7204657487"/>
        <n v="9995637068"/>
        <n v="406694508"/>
        <n v="8893411850"/>
        <n v="423981011"/>
        <n v="9103091955"/>
        <n v="7902870954"/>
        <n v="1682971748"/>
        <n v="8278374434"/>
        <n v="5872512221"/>
        <n v="6185087731"/>
        <n v="9043015924"/>
        <n v="8248826949"/>
        <n v="4383746166"/>
        <n v="6115631534"/>
        <n v="8659965885"/>
        <n v="9216862356"/>
        <n v="944098747"/>
        <n v="6630578269"/>
        <n v="8768198399"/>
        <n v="6150161668"/>
        <n v="3260527541"/>
        <n v="9180934204"/>
        <n v="2573051257"/>
        <n v="668478072"/>
        <n v="3310157274"/>
        <n v="6200832720"/>
        <n v="3083446905"/>
        <n v="5849368337"/>
        <n v="6849686539"/>
        <n v="6972141333"/>
        <n v="9365735467"/>
        <n v="432518499"/>
        <n v="6358841235"/>
        <n v="8350272799"/>
        <n v="8219564239"/>
        <n v="6697923469"/>
        <n v="3616692801"/>
        <n v="5772390897"/>
        <n v="7660060571"/>
        <n v="8535654929"/>
        <n v="5141181153"/>
        <n v="1908249712"/>
        <n v="4218654393"/>
        <n v="6959751971"/>
        <n v="2369116599"/>
        <n v="6266999813"/>
        <n v="5995299665"/>
        <n v="7323084173"/>
        <n v="7143010173"/>
        <n v="7136156272"/>
        <n v="1651824870"/>
        <n v="4035848345"/>
        <n v="8434457868"/>
        <n v="479462521"/>
        <n v="6741147793"/>
        <n v="1900227002"/>
        <n v="8916668286"/>
        <n v="9312861244"/>
        <n v="3213805967"/>
        <n v="3120847079"/>
        <n v="9959847753"/>
        <n v="1048480600"/>
        <n v="5552304606"/>
        <n v="9671814521"/>
        <n v="2572808199"/>
        <n v="9488300612"/>
        <n v="1151481341"/>
        <n v="6697419125"/>
        <n v="4659909437"/>
        <n v="4016309620"/>
        <n v="9765674836"/>
        <n v="1144527098"/>
        <n v="4062313426"/>
        <n v="1655245537"/>
        <n v="7662302219"/>
        <n v="5518400941"/>
        <n v="5003688705"/>
        <n v="4683170823"/>
        <n v="6693329814"/>
        <n v="1283259754"/>
        <n v="2923216853"/>
        <n v="2969728250"/>
        <n v="7892884492"/>
        <n v="2054022856"/>
        <n v="4237739179"/>
        <n v="847085739"/>
        <n v="8964753844"/>
        <n v="7835567493"/>
        <n v="2136084447"/>
        <n v="5160368521"/>
        <n v="5559627213"/>
        <n v="3935240690"/>
        <n v="8744741584"/>
        <n v="4781337233"/>
        <n v="3755597977"/>
        <n v="8293014194"/>
        <n v="3098573757"/>
        <n v="7773069042"/>
        <n v="4779352309"/>
        <n v="9186430345"/>
        <n v="1300794618"/>
        <n v="9762796943"/>
        <n v="4752527973"/>
        <n v="2947370387"/>
        <n v="5459041199"/>
        <n v="4185990194"/>
        <n v="1382495057"/>
        <n v="6500285205"/>
        <n v="8282676132"/>
        <n v="7964772730"/>
        <n v="5191517544"/>
        <n v="7991153253"/>
        <n v="362167556"/>
        <n v="6711017809"/>
        <n v="7657265532"/>
        <n v="8392823984"/>
        <n v="9387530683"/>
        <n v="8599479985"/>
        <n v="823965231"/>
        <n v="2870115230"/>
        <n v="4237560221"/>
        <n v="119224597"/>
        <n v="3059697081"/>
        <n v="9124475264"/>
        <n v="1798141400"/>
        <n v="9727149615"/>
        <n v="8868768215"/>
        <n v="1903200889"/>
        <n v="8958056644"/>
        <n v="9404187637"/>
        <n v="8328062383"/>
        <n v="2214157994"/>
        <n v="8676683167"/>
        <n v="9318494201"/>
        <n v="8999790182"/>
        <n v="2348039999"/>
        <n v="726309548"/>
        <n v="1060260852"/>
        <n v="6115478776"/>
        <n v="4597809462"/>
        <n v="2173814957"/>
        <n v="5391572812"/>
        <n v="9889461052"/>
        <n v="4668700535"/>
        <n v="4291047985"/>
        <n v="64005248"/>
        <n v="58594825"/>
        <n v="1164020053"/>
        <n v="870721923"/>
        <n v="5411794037"/>
        <n v="3487894253"/>
        <n v="9989099390"/>
        <n v="7248971027"/>
        <n v="1572456307"/>
        <n v="2375869731"/>
        <n v="1126197668"/>
        <n v="3239063780"/>
        <n v="5755006985"/>
        <n v="9769183930"/>
        <n v="7133027548"/>
        <n v="2385101880"/>
        <n v="7978584634"/>
        <n v="5821125708"/>
        <n v="4214635023"/>
        <n v="9337018014"/>
        <n v="2647941740"/>
        <n v="6460610033"/>
        <n v="4102781928"/>
        <n v="4519164179"/>
        <n v="8177127544"/>
        <n v="9519963802"/>
        <n v="1218240484"/>
        <n v="9087184809"/>
        <n v="8305121937"/>
        <n v="3168071582"/>
        <n v="7263384547"/>
        <n v="7112379017"/>
        <n v="9824756631"/>
        <n v="5646843128"/>
        <n v="2355147013"/>
        <n v="1127850226"/>
        <n v="7900863155"/>
        <n v="3961959856"/>
        <n v="4666799975"/>
        <n v="1996285523"/>
        <n v="6514654827"/>
        <n v="8912270600"/>
        <n v="3352168373"/>
        <n v="2249715759"/>
        <n v="5876375169"/>
        <n v="7548422007"/>
        <n v="5869228588"/>
        <n v="5201604365"/>
        <n v="4445307770"/>
        <n v="8463742774"/>
        <n v="841171611"/>
        <n v="7397104783"/>
        <n v="9167226896"/>
        <n v="9737815066"/>
        <n v="5601568252"/>
        <n v="4602072566"/>
        <n v="5309124465"/>
        <n v="8050761567"/>
        <n v="3353091451"/>
        <n v="4129558787"/>
        <n v="581778780"/>
        <n v="2954683680"/>
        <n v="9398035791"/>
        <n v="8393076103"/>
        <n v="7258907582"/>
        <n v="855729452"/>
        <n v="1137771716"/>
        <n v="6510565170"/>
        <n v="8836656062"/>
        <n v="7125938393"/>
        <n v="6896368083"/>
        <n v="7582407869"/>
        <n v="5497410557"/>
        <n v="5187359383"/>
        <n v="2849906948"/>
        <n v="69740648"/>
        <n v="846415821"/>
        <n v="762520663"/>
        <n v="1227954939"/>
        <n v="3514325613"/>
        <n v="2828854769"/>
        <n v="6035894787"/>
        <n v="6006732709"/>
        <n v="2353737542"/>
        <n v="372595155"/>
        <n v="8113353697"/>
        <n v="8124881173"/>
        <n v="7428685692"/>
        <n v="6120242724"/>
        <n v="6186912610"/>
        <n v="3748468160"/>
        <n v="2793918649"/>
        <n v="2407719171"/>
        <n v="7774176446"/>
        <n v="4669220544"/>
        <n v="5728933736"/>
        <n v="6410008704"/>
        <n v="4857100592"/>
        <n v="812535187"/>
        <n v="3781986126"/>
        <n v="7495018530"/>
        <n v="2961159825"/>
        <n v="8578657624"/>
        <n v="2490851194"/>
        <n v="6677934219"/>
        <n v="4405331094"/>
        <n v="6027496922"/>
        <n v="2071957499"/>
        <n v="8480398203"/>
        <n v="5118288230"/>
        <n v="3622791533"/>
        <n v="9880971574"/>
        <n v="59951361"/>
        <n v="5928824766"/>
        <n v="7481313664"/>
        <n v="9235904299"/>
        <n v="6900609023"/>
        <n v="9744328675"/>
        <n v="2743924090"/>
        <n v="3504832350"/>
        <n v="1830300701"/>
        <n v="6127911143"/>
        <n v="2736859177"/>
        <n v="2669265740"/>
        <n v="5477269863"/>
        <n v="7617571232"/>
        <n v="2360438838"/>
        <n v="8263217169"/>
        <n v="5976390544"/>
        <n v="1420916586"/>
        <n v="5728911821"/>
        <n v="8840065859"/>
        <n v="4127110053"/>
        <n v="7403622016"/>
        <n v="1098207461"/>
        <n v="6340553384"/>
        <n v="4576907003"/>
        <n v="391301170"/>
        <n v="8854033602"/>
        <n v="8929963659"/>
        <n v="9257555964"/>
        <n v="3280590413"/>
        <n v="3556806365"/>
        <n v="2020144767"/>
        <n v="2668490608"/>
        <n v="7183881323"/>
        <n v="4608485354"/>
        <n v="1270263723"/>
        <n v="4737367377"/>
        <n v="6150876634"/>
        <n v="6190217120"/>
        <n v="7651654102"/>
        <n v="3691863684"/>
        <n v="462614523"/>
        <n v="8865872440"/>
        <n v="9204378472"/>
        <n v="4738830567"/>
        <n v="9305024478"/>
        <n v="5754176205"/>
        <n v="5670763346"/>
        <n v="7419021638"/>
        <n v="4700418700"/>
        <n v="1806287031"/>
        <n v="9285172899"/>
        <n v="1869219642"/>
        <n v="3513409608"/>
        <n v="3453070367"/>
        <n v="1390806158"/>
        <n v="8159507002"/>
        <n v="6854312496"/>
        <n v="6830607186"/>
        <n v="3680933929"/>
        <n v="8533981991"/>
        <n v="7661827107"/>
        <n v="6184452609"/>
        <n v="2896677429"/>
        <n v="9225473763"/>
        <n v="5103484600"/>
        <n v="4162973845"/>
        <n v="2659651684"/>
        <n v="6621804796"/>
        <n v="7206133645"/>
        <n v="6838081010"/>
        <n v="9188654195"/>
        <n v="986486952"/>
        <n v="2263768772"/>
        <n v="6898293814"/>
        <n v="8661262840"/>
        <n v="8744916972"/>
        <n v="1808188492"/>
        <n v="8687407314"/>
        <n v="8284983101"/>
        <n v="1555311880"/>
        <n v="5863574407"/>
        <n v="8121952906"/>
        <n v="8187541119"/>
        <n v="4749719835"/>
        <n v="7533282012"/>
        <n v="4887638854"/>
        <n v="1797588236"/>
        <n v="3179041680"/>
        <n v="2457069376"/>
        <n v="7258479171"/>
        <n v="4892173989"/>
        <n v="5793150429"/>
        <n v="2455742548"/>
        <n v="7648831036"/>
        <n v="9152139918"/>
        <n v="6749080928"/>
        <n v="5088320814"/>
        <n v="8555342087"/>
        <n v="6326118437"/>
        <n v="9728783647"/>
        <n v="3951053115"/>
        <n v="5793273539"/>
        <n v="5129405951"/>
        <n v="7539982502"/>
        <n v="1965334248"/>
        <n v="2057180320"/>
        <n v="9686132794"/>
        <n v="3560118263"/>
        <n v="339957925"/>
        <n v="4145073965"/>
        <n v="4500643137"/>
        <n v="1337312343"/>
        <n v="1815528206"/>
        <n v="7709701164"/>
        <n v="5748154530"/>
        <n v="1564258752"/>
        <n v="6962511404"/>
        <n v="5865178435"/>
        <n v="8689820995"/>
        <n v="100386724"/>
        <n v="1359170155"/>
        <n v="3308841790"/>
        <n v="4952073568"/>
        <n v="9968770590"/>
        <n v="9580371702"/>
        <n v="8866386856"/>
        <n v="3147484450"/>
        <n v="11999416"/>
        <n v="8012186699"/>
        <n v="4927151607"/>
        <n v="324610061"/>
        <n v="7508298158"/>
        <n v="5191624277"/>
        <n v="3243835895"/>
        <n v="2786215633"/>
        <n v="6054455317"/>
        <n v="8600542721"/>
        <n v="4691637817"/>
        <n v="983401335"/>
        <n v="5695441068"/>
        <n v="1732704880"/>
        <n v="7349364425"/>
        <n v="9408251254"/>
        <n v="8073629092"/>
        <n v="8887153354"/>
        <n v="3134325878"/>
        <n v="4043588367"/>
        <n v="8309395542"/>
        <n v="8055704435"/>
        <n v="5715062029"/>
        <n v="7869784702"/>
        <n v="704705451"/>
        <n v="6119196251"/>
        <n v="4111999698"/>
        <n v="1365245330"/>
        <n v="9894842506"/>
        <n v="5790532900"/>
        <n v="2758469152"/>
        <n v="6119952125"/>
        <n v="4264578680"/>
        <n v="1471451496"/>
        <n v="8939036585"/>
        <n v="51167102"/>
        <n v="8302459397"/>
        <n v="8737588993"/>
        <n v="1167651209"/>
        <n v="9572566560"/>
        <n v="1841229694"/>
        <n v="4003695330"/>
        <n v="9815218118"/>
        <n v="1544260073"/>
        <n v="390559734"/>
        <n v="8889352506"/>
        <n v="3507801402"/>
        <n v="957360795"/>
        <n v="4584816078"/>
        <n v="1187466972"/>
        <n v="6001865154"/>
        <n v="2439706215"/>
        <n v="6141867583"/>
        <n v="1518281622"/>
        <n v="2561021789"/>
        <n v="5033058785"/>
        <n v="4438801630"/>
        <n v="7512140206"/>
        <n v="8685260830"/>
        <n v="5693489866"/>
        <n v="7996008706"/>
        <n v="957585424"/>
        <n v="3067677162"/>
        <n v="4326773828"/>
        <n v="3082885021"/>
        <n v="9543957546"/>
        <n v="8066978010"/>
        <n v="1151435915"/>
        <n v="2729900088"/>
        <n v="9945801937"/>
        <n v="9466225507"/>
        <n v="5628028704"/>
        <n v="6551259656"/>
        <n v="3639442932"/>
        <n v="795274746"/>
        <n v="6172939481"/>
        <n v="373961304"/>
        <n v="7442759421"/>
        <n v="3796256660"/>
        <n v="4271271664"/>
        <n v="348392039"/>
        <n v="5708559613"/>
        <n v="6665591208"/>
        <n v="8572310683"/>
        <n v="1918087522"/>
        <n v="8493100501"/>
        <n v="4784991805"/>
        <n v="91914997"/>
        <n v="735534497"/>
        <n v="3670139601"/>
        <n v="7192588619"/>
        <n v="3459228011"/>
        <n v="9043338769"/>
        <n v="312396354"/>
        <n v="9523952344"/>
        <n v="6235572522"/>
        <n v="5151881380"/>
        <n v="407290317"/>
        <n v="3012603098"/>
        <n v="4316483340"/>
        <n v="1499166311"/>
        <n v="3876523765"/>
        <n v="8600069993"/>
        <n v="6648735087"/>
        <n v="596367731"/>
        <n v="8017023442"/>
        <n v="5223272370"/>
        <n v="8319501269"/>
        <n v="5071781251"/>
        <n v="8083570625"/>
        <n v="2168910862"/>
        <n v="288448161"/>
        <n v="9506591992"/>
        <n v="3009397443"/>
        <n v="4668123872"/>
        <n v="9218034175"/>
        <n v="5989800916"/>
        <n v="1890157187"/>
        <n v="5589395940"/>
        <n v="2739237963"/>
        <n v="9088114734"/>
        <n v="763730750"/>
        <n v="2030127815"/>
        <n v="2049525961"/>
        <n v="8673917867"/>
        <n v="3730404955"/>
        <n v="4050064188"/>
        <n v="7166052239"/>
        <n v="315737488"/>
        <n v="2023070355"/>
        <n v="7991409048"/>
        <n v="1002754336"/>
        <n v="125607378"/>
        <n v="1154272532"/>
        <n v="4500681468"/>
        <n v="9734976881"/>
        <n v="5748489103"/>
        <n v="5198228620"/>
        <n v="2921862078"/>
        <n v="6261555351"/>
        <n v="6540809965"/>
        <n v="4832545412"/>
        <n v="4611389784"/>
        <n v="2548803528"/>
        <n v="8703231038"/>
        <n v="7816440666"/>
        <n v="4924420105"/>
        <n v="1513297635"/>
        <n v="2118974217"/>
        <n v="6958721932"/>
        <n v="7327027507"/>
        <n v="2412955813"/>
        <n v="3412872591"/>
        <n v="5027448664"/>
        <n v="4488382798"/>
        <n v="7429893910"/>
        <n v="2092970761"/>
        <n v="5195441820"/>
        <n v="8580470382"/>
        <n v="7293339277"/>
        <n v="428005894"/>
        <n v="4626052554"/>
        <n v="431554764"/>
        <n v="816706378"/>
        <n v="6425422701"/>
        <n v="6351828759"/>
        <n v="648042519"/>
        <n v="9099928806"/>
        <n v="4155741052"/>
        <n v="9714134980"/>
        <n v="4475683920"/>
        <n v="1945678182"/>
        <n v="869649682"/>
        <n v="4183388700"/>
        <n v="2070714595"/>
        <n v="1574021353"/>
        <n v="5027255141"/>
        <n v="3312525901"/>
        <n v="3158538471"/>
        <n v="5343684154"/>
        <n v="7680300896"/>
        <n v="2547342518"/>
        <n v="9436897258"/>
        <n v="354061740"/>
        <n v="6026526172"/>
        <n v="8237941067"/>
        <n v="2981525660"/>
        <n v="371458209"/>
        <n v="5460360634"/>
        <n v="4927310100"/>
        <n v="2136023308"/>
        <n v="4083626700"/>
        <n v="6514324496"/>
        <n v="6799939543"/>
        <n v="5582784249"/>
        <n v="8513630384"/>
        <n v="4203072348"/>
        <n v="7122195351"/>
        <n v="4899332114"/>
        <n v="4500376293"/>
        <n v="5850804427"/>
        <n v="9529928225"/>
        <n v="1426850668"/>
        <n v="4192345805"/>
        <n v="4737118318"/>
        <n v="5894944078"/>
        <n v="2505275986"/>
        <n v="7707810729"/>
        <n v="9028283018"/>
        <n v="6979197118"/>
        <n v="1163488941"/>
        <n v="2567778405"/>
        <n v="7561269221"/>
        <n v="1653637336"/>
        <n v="9821473719"/>
        <n v="6472339869"/>
        <n v="8137373839"/>
        <n v="5937469545"/>
        <n v="3546760302"/>
        <n v="3871091716"/>
        <n v="7983236375"/>
        <n v="9366381483"/>
        <n v="9299398344"/>
        <n v="759950748"/>
        <n v="9870356578"/>
        <n v="6405814883"/>
        <n v="9266866834"/>
        <n v="3905907712"/>
        <n v="6954695719"/>
        <n v="4106833178"/>
        <n v="2348186221"/>
        <n v="7307153455"/>
        <n v="4890175716"/>
        <n v="3491306657"/>
        <n v="5774648533"/>
        <n v="465072092"/>
        <n v="4677082047"/>
        <n v="3465671884"/>
        <n v="8686443013"/>
        <n v="4636265179"/>
        <n v="997621089"/>
        <n v="6162333930"/>
        <n v="3944744151"/>
        <n v="7618340734"/>
        <n v="5931916555"/>
        <n v="3872480644"/>
        <n v="3954481733"/>
        <n v="2812099632"/>
        <n v="5452687367"/>
        <n v="6681240712"/>
        <n v="2285885463"/>
        <n v="8221216438"/>
        <n v="1661670709"/>
        <n v="9625477861"/>
        <n v="3329586066"/>
        <n v="9059255367"/>
        <n v="8535945311"/>
        <n v="2022460892"/>
        <n v="7474909535"/>
        <n v="2227139280"/>
        <n v="1381060944"/>
        <n v="5946484518"/>
        <n v="4308900521"/>
        <n v="6017583380"/>
        <n v="3835880796"/>
        <n v="5632388235"/>
        <n v="5396748228"/>
        <n v="1838750007"/>
        <n v="4423318738"/>
        <n v="3015237774"/>
        <n v="1307833471"/>
        <n v="7556874867"/>
        <n v="6953025430"/>
        <n v="1394177372"/>
        <n v="5511940809"/>
        <n v="5495088244"/>
        <n v="3806252141"/>
        <n v="3231840762"/>
        <n v="6619905829"/>
        <n v="390418862"/>
        <n v="8111221672"/>
        <n v="9165589838"/>
        <n v="7354607928"/>
        <n v="6352659975"/>
        <n v="7390066805"/>
        <n v="4242394387"/>
        <n v="7348593047"/>
        <n v="1071685840"/>
        <n v="951146789"/>
        <n v="5255009295"/>
        <n v="5394366345"/>
        <n v="9553438593"/>
        <n v="9834835348"/>
        <n v="6722287675"/>
        <n v="7977273130"/>
        <n v="257204020"/>
        <n v="9262436552"/>
        <n v="3543840971"/>
        <n v="3221983588"/>
        <n v="324234020"/>
        <n v="841858056"/>
        <n v="6145026715"/>
        <n v="6640127426"/>
        <n v="8702001169"/>
        <n v="2411632294"/>
        <n v="2655552102"/>
        <n v="3022138924"/>
        <n v="2982551092"/>
        <n v="5092597759"/>
        <n v="7325304291"/>
        <n v="5402696227"/>
        <n v="5118630682"/>
        <n v="8818313824"/>
        <n v="347559621"/>
        <n v="4413376578"/>
        <n v="5106424412"/>
        <n v="7688200623"/>
        <n v="3246990702"/>
        <n v="5467199644"/>
        <n v="5676450637"/>
        <n v="6496125384"/>
        <n v="8857611669"/>
        <n v="7533532620"/>
        <n v="884222528"/>
        <n v="6224077124"/>
        <n v="7707725699"/>
        <n v="5594881859"/>
        <n v="832407541"/>
        <n v="7002889770"/>
        <n v="5801455343"/>
        <n v="3607428362"/>
        <n v="4412198503"/>
        <n v="8544620861"/>
        <n v="6096368517"/>
        <n v="8150407247"/>
        <n v="1688983889"/>
        <n v="805132319"/>
        <n v="7304266241"/>
        <n v="3913884391"/>
        <n v="9242992240"/>
        <n v="2447373678"/>
        <n v="5708403349"/>
        <n v="2310443897"/>
        <n v="9100957331"/>
        <n v="6305611995"/>
        <n v="7315251649"/>
        <n v="6094346971"/>
        <n v="3408749958"/>
        <n v="2699549684"/>
        <n v="4746860563"/>
        <n v="4898931369"/>
        <n v="6844756212"/>
        <n v="8386202710"/>
        <n v="4789303308"/>
        <n v="4269265087"/>
        <n v="2354794695"/>
        <n v="5876006003"/>
        <n v="1043505774"/>
        <n v="274250227"/>
        <n v="5334788886"/>
        <n v="6436958188"/>
        <n v="6404135406"/>
        <n v="9017186262"/>
        <n v="3346627595"/>
        <n v="9034591740"/>
        <n v="5656797672"/>
        <n v="4532749549"/>
        <n v="9002420822"/>
        <n v="2709154044"/>
        <n v="478932706"/>
        <n v="9701936157"/>
        <n v="3618092542"/>
        <n v="6555497435"/>
        <n v="9375688722"/>
        <n v="2508215300"/>
        <n v="4932722043"/>
        <n v="5971751243"/>
        <n v="6648904622"/>
        <n v="8365969009"/>
        <n v="1039261140"/>
        <n v="2906190749"/>
        <n v="4412594608"/>
        <n v="8082566832"/>
        <n v="1484950116"/>
        <n v="5097207315"/>
        <n v="1970777900"/>
        <n v="5300701883"/>
        <n v="1171263460"/>
        <n v="45683332"/>
        <n v="9296142684"/>
        <n v="3918102756"/>
        <n v="398847987"/>
        <n v="7126621709"/>
        <n v="5359860218"/>
        <n v="7391340607"/>
        <n v="1597361156"/>
        <n v="4333653993"/>
        <n v="520713149"/>
        <n v="3182765311"/>
        <n v="5341263239"/>
        <n v="9162887426"/>
        <n v="7234361451"/>
        <n v="2920086918"/>
        <n v="4157434602"/>
        <n v="9707989791"/>
        <n v="4401693545"/>
        <n v="7648291450"/>
        <n v="2557121940"/>
        <n v="5770573061"/>
        <n v="483243369"/>
        <n v="9450567744"/>
        <n v="478656214"/>
        <n v="5056154035"/>
        <n v="4928880336"/>
        <n v="557472407"/>
        <n v="5171934087"/>
        <n v="1503552540"/>
        <n v="1573450167"/>
        <n v="22513864"/>
        <n v="2258004917"/>
        <n v="7815302114"/>
        <n v="9261607183"/>
        <n v="809323614"/>
        <n v="114506331"/>
        <n v="1239577273"/>
        <n v="721341092"/>
        <n v="8995970854"/>
        <n v="6091741961"/>
        <n v="2745587504"/>
        <n v="2488093397"/>
        <n v="3690613055"/>
        <n v="6831837137"/>
        <n v="3590434653"/>
        <n v="3062818088"/>
        <n v="8957544287"/>
        <n v="8115817731"/>
        <n v="3633597876"/>
        <n v="3057117609"/>
        <n v="3704147823"/>
        <n v="3850631048"/>
        <n v="1318348720"/>
        <n v="3472077705"/>
        <n v="8945040192"/>
        <n v="1881336524"/>
        <n v="6131516802"/>
        <n v="8765837034"/>
        <n v="5065960445"/>
        <n v="7562195312"/>
        <n v="2796222236"/>
        <n v="1235653887"/>
        <n v="4379144095"/>
        <n v="5898742877"/>
        <n v="7998970499"/>
        <n v="1615142471"/>
        <n v="5291333275"/>
        <n v="6336054393"/>
        <n v="4126443116"/>
        <n v="937896594"/>
        <n v="7084763408"/>
        <n v="8079625765"/>
        <n v="9416949366"/>
        <n v="4600989500"/>
        <n v="2183566472"/>
        <n v="5536162631"/>
        <n v="1057924522"/>
        <n v="6428588628"/>
        <n v="3641503015"/>
        <n v="835689379"/>
        <n v="5535497188"/>
        <n v="4472999799"/>
        <n v="6063481781"/>
        <n v="8513755444"/>
        <n v="3881238232"/>
        <n v="1675266982"/>
        <n v="1996752909"/>
        <n v="405051788"/>
        <n v="6367548102"/>
        <n v="1062641900"/>
        <n v="4924839218"/>
        <n v="716154569"/>
        <n v="2982318576"/>
        <n v="848681361"/>
        <n v="7363445549"/>
        <n v="599836428"/>
        <n v="3027507704"/>
        <n v="2122759581"/>
        <n v="5070033405"/>
        <n v="546049908"/>
        <n v="5907668433"/>
        <n v="1215740475"/>
        <n v="1465780080"/>
        <n v="5579698692"/>
        <n v="7121365992"/>
        <n v="4158383100"/>
        <n v="9013887873"/>
        <n v="750883711"/>
        <n v="865679101"/>
        <n v="9352882360"/>
        <n v="4727686386"/>
        <n v="4007288126"/>
        <n v="8895949237"/>
        <n v="8643836860"/>
        <n v="7877307782"/>
        <n v="7228171825"/>
        <n v="2882785178"/>
        <n v="6835365369"/>
        <n v="630043131"/>
        <n v="1139916404"/>
        <n v="287226045"/>
        <n v="9584010516"/>
        <n v="6421791596"/>
        <n v="4046226659"/>
        <n v="7799825595"/>
        <n v="1483277195"/>
        <n v="2396691631"/>
        <n v="8220999537"/>
        <n v="4018878972"/>
        <n v="116289163"/>
        <n v="8940781509"/>
        <n v="9425018817"/>
        <n v="2902781989"/>
        <n v="1010053518"/>
        <n v="4488993732"/>
        <n v="7785245954"/>
        <n v="7731044104"/>
        <n v="3983362006"/>
        <n v="2980873343"/>
        <n v="9367831660"/>
        <n v="7456606373"/>
        <n v="6408343900"/>
        <n v="6331386777"/>
        <n v="8370477244"/>
        <n v="2661600778"/>
        <n v="5311089132"/>
        <n v="5878478934"/>
        <n v="5191792876"/>
        <n v="2337289637"/>
        <n v="1320529492"/>
        <n v="3894781714"/>
        <n v="2793462977"/>
        <n v="7434320725"/>
        <n v="3987427708"/>
        <n v="3868587578"/>
        <n v="9653270312"/>
        <n v="7140707125"/>
        <n v="5101923207"/>
        <n v="1887550203"/>
        <n v="3410058398"/>
        <n v="4058692509"/>
        <n v="9591187244"/>
        <n v="6133650301"/>
        <n v="1583185005"/>
        <n v="7862735091"/>
        <n v="7617315686"/>
        <n v="4708818879"/>
        <n v="6030009859"/>
        <n v="7669056133"/>
        <n v="941337145"/>
        <n v="136050916"/>
        <n v="9047347797"/>
        <n v="3117792558"/>
        <n v="9745312273"/>
        <n v="9751935206"/>
        <n v="2631158121"/>
        <n v="8558751790"/>
        <n v="4724445469"/>
        <n v="1812028272"/>
        <n v="1393804541"/>
        <n v="5133265154"/>
        <n v="7609919550"/>
        <n v="4781923448"/>
        <n v="4092294308"/>
        <n v="7402765008"/>
        <n v="709738534"/>
        <n v="9559039761"/>
        <n v="3560036522"/>
        <n v="7570416265"/>
        <n v="5242632452"/>
        <n v="4247574210"/>
        <n v="6346206851"/>
        <n v="4275035754"/>
        <n v="941100617"/>
        <n v="1606273725"/>
        <n v="4045547321"/>
        <n v="4639821031"/>
        <n v="5681948699"/>
        <n v="5630146789"/>
        <n v="3157673569"/>
        <n v="4730708725"/>
        <n v="4271300093"/>
        <n v="2706001337"/>
        <n v="4369853239"/>
        <n v="772845860"/>
        <n v="5890322047"/>
        <n v="7723697432"/>
        <n v="8692659939"/>
        <n v="1362235048"/>
        <n v="7098516318"/>
        <n v="1946099401"/>
        <n v="1144646660"/>
        <n v="6931240373"/>
        <n v="7514826833"/>
        <n v="4066286754"/>
        <n v="8227645417"/>
        <n v="2429113631"/>
        <n v="6079362225"/>
        <n v="5626821295"/>
        <n v="1165784720"/>
        <n v="8991293649"/>
        <n v="7009395557"/>
        <n v="2304397444"/>
        <n v="5567131898"/>
        <n v="3938922629"/>
        <n v="1424693007"/>
        <n v="8164143401"/>
        <n v="2749172169"/>
        <n v="6906471181"/>
        <n v="3807409081"/>
        <n v="9522916824"/>
        <n v="5836104021"/>
        <n v="6153457836"/>
        <n v="9876938535"/>
        <n v="5348495305"/>
        <n v="2527694082"/>
        <n v="1179981989"/>
        <n v="3278826777"/>
        <n v="9891848998"/>
        <n v="9869486438"/>
        <n v="8039988521"/>
        <n v="6303992479"/>
        <n v="1786945327"/>
        <n v="1776918759"/>
        <n v="2119800842"/>
        <n v="7208334533"/>
        <n v="3894217933"/>
        <n v="5704638962"/>
        <n v="8784689595"/>
        <n v="1475265356"/>
        <n v="8501920513"/>
        <n v="9007044451"/>
        <n v="7902528419"/>
        <n v="8371074038"/>
        <n v="8363694247"/>
        <n v="3565108277"/>
        <n v="2229743449"/>
        <n v="459774876"/>
        <n v="4335622850"/>
        <n v="6684218753"/>
        <n v="3891176935"/>
        <n v="7337750922"/>
        <n v="9083573641"/>
        <n v="8357330139"/>
        <n v="6644494660"/>
        <n v="2670254274"/>
        <n v="1501847079"/>
        <n v="8076812096"/>
        <n v="8255987550"/>
        <n v="612186078"/>
        <n v="4038914321"/>
        <n v="2483726392"/>
        <n v="7864299048"/>
        <n v="7236343054"/>
        <n v="8355706144"/>
        <n v="1817897839"/>
        <n v="9043538926"/>
        <n v="194928445"/>
        <n v="3957772280"/>
        <n v="2905812646"/>
        <n v="6712711200"/>
        <n v="121415105"/>
        <n v="5002785238"/>
        <n v="2822263820"/>
        <n v="654541182"/>
        <n v="9825715647"/>
        <n v="2814891352"/>
        <n v="7829253679"/>
        <n v="1635754417"/>
        <n v="5184249833"/>
        <n v="7410595143"/>
        <n v="410721659"/>
        <n v="5544372349"/>
        <n v="4516148683"/>
        <n v="1530108108"/>
        <n v="1529009481"/>
        <n v="2207671475"/>
        <n v="7917085696"/>
        <n v="7648952589"/>
        <n v="4018854670"/>
        <n v="5496610940"/>
        <n v="9455886739"/>
        <n v="2514117425"/>
        <n v="3626395055"/>
        <n v="8164894544"/>
        <n v="7060011330"/>
        <n v="5993566238"/>
        <n v="7511413041"/>
        <n v="517435154"/>
        <n v="7660286186"/>
        <n v="3331021797"/>
        <n v="7612945954"/>
        <n v="622563575"/>
        <n v="6134361468"/>
        <n v="3918256548"/>
        <n v="4325840388"/>
        <n v="7042835632"/>
        <n v="9033093606"/>
        <n v="7149658623"/>
        <n v="47426338"/>
        <n v="3399295126"/>
        <n v="4934495998"/>
        <n v="4422193584"/>
        <n v="507469920"/>
        <n v="7992464835"/>
        <n v="2013350717"/>
        <n v="3337304913"/>
        <n v="2010751584"/>
        <n v="358191542"/>
        <n v="1975276125"/>
        <n v="3760907521"/>
        <n v="3529260592"/>
        <n v="2933176962"/>
        <n v="8394204937"/>
        <n v="715433079"/>
        <n v="9815457790"/>
        <n v="8937251939"/>
        <n v="4589102571"/>
        <n v="1413590751"/>
        <n v="327970244"/>
        <n v="3786472264"/>
        <n v="351184098"/>
        <n v="4811427020"/>
        <n v="3577713876"/>
        <n v="2583885405"/>
        <n v="5449304408"/>
        <n v="6305766590"/>
        <n v="7129380861"/>
        <n v="3474800855"/>
        <n v="8339031770"/>
        <n v="9515307016"/>
        <n v="7347424"/>
        <n v="2447799663"/>
        <n v="7165160557"/>
        <n v="621444843"/>
        <n v="9908338844"/>
        <n v="7700215720"/>
        <n v="2999228456"/>
        <n v="9346100166"/>
        <n v="8352689518"/>
        <n v="212368086"/>
        <n v="5362449039"/>
        <n v="7628410156"/>
        <n v="3691766094"/>
        <n v="6970144725"/>
        <n v="6026116861"/>
        <n v="2568808410"/>
        <n v="9586816158"/>
        <n v="8992550842"/>
        <n v="630896633"/>
        <n v="295813874"/>
        <n v="9085589836"/>
        <n v="9113661665"/>
        <n v="1858815801"/>
        <n v="4768796402"/>
        <n v="4567787678"/>
        <n v="5025012701"/>
        <n v="3457073761"/>
        <n v="1767299126"/>
        <n v="4624222122"/>
        <n v="7216872717"/>
        <n v="4869510336"/>
        <n v="6658514844"/>
        <n v="6479129314"/>
        <n v="8626192211"/>
        <n v="3227343939"/>
        <n v="2976429509"/>
        <n v="1054153813"/>
        <n v="6674975782"/>
        <n v="5673834143"/>
        <n v="244549331"/>
        <n v="450395871"/>
        <n v="4836321257"/>
        <n v="6134536417"/>
        <n v="2931562863"/>
        <n v="702212815"/>
        <n v="4599310239"/>
        <n v="8473871613"/>
        <n v="9348471518"/>
        <n v="9332455495"/>
        <n v="6596087141"/>
        <n v="8304329579"/>
        <n v="6398587379"/>
        <n v="9991951705"/>
        <n v="5529226135"/>
        <n v="31650294"/>
        <n v="312107430"/>
        <n v="4446515574"/>
        <n v="808760764"/>
        <n v="1059085663"/>
        <n v="7676861199"/>
        <n v="2608070620"/>
        <n v="8311921220"/>
        <n v="3886212019"/>
        <n v="1167745468"/>
        <n v="2772565837"/>
        <n v="3934437890"/>
        <n v="7801695342"/>
        <n v="6492395443"/>
        <n v="2488913972"/>
        <n v="6561906114"/>
        <n v="8900120664"/>
        <n v="4826036471"/>
        <n v="8717247314"/>
        <n v="5001905323"/>
        <n v="2780415755"/>
        <n v="877135647"/>
        <n v="719384092"/>
        <n v="5262095561"/>
        <n v="3965897231"/>
        <n v="5043009314"/>
        <n v="9395946307"/>
        <n v="7148856115"/>
        <n v="9948105901"/>
        <n v="9099003546"/>
        <n v="858117066"/>
        <n v="9834360373"/>
        <n v="304952273"/>
        <n v="7543332622"/>
        <n v="3187928476"/>
        <n v="6928681696"/>
        <n v="1493572076"/>
        <n v="9612811605"/>
        <n v="8635965515"/>
        <n v="6462347177"/>
        <n v="5469471854"/>
        <n v="9757708508"/>
        <n v="1505686023"/>
        <n v="1932023978"/>
        <n v="6213773032"/>
        <n v="448328324"/>
        <n v="1929242509"/>
        <n v="7561819419"/>
        <n v="6497018727"/>
        <n v="9794412271"/>
        <n v="5304903633"/>
        <n v="423310235"/>
        <n v="9599905039"/>
        <n v="3477240128"/>
        <n v="2512572296"/>
        <n v="2861177608"/>
        <n v="2312945016"/>
        <n v="9051006413"/>
        <n v="8227696500"/>
        <n v="1465487567"/>
        <n v="3281884494"/>
        <n v="9945389037"/>
        <n v="4009687829"/>
        <n v="3847138032"/>
        <n v="3860436187"/>
        <n v="6660614645"/>
        <n v="740774885"/>
        <n v="4723534222"/>
        <n v="7091914387"/>
        <n v="5245682182"/>
        <n v="8919600998"/>
        <n v="5004753700"/>
        <n v="4998261578"/>
        <n v="4989799808"/>
        <n v="9150557588"/>
        <n v="8926735331"/>
        <n v="4148629162"/>
        <n v="6465569488"/>
        <n v="7157996321"/>
        <n v="5336971793"/>
        <n v="8686333670"/>
        <n v="4875006777"/>
        <n v="4940640194"/>
        <n v="4670225407"/>
        <n v="6580463029"/>
        <n v="1819824199"/>
        <n v="2309213364"/>
        <n v="3287543980"/>
        <n v="6386318592"/>
        <n v="7209921331"/>
        <n v="5253146909"/>
        <n v="8314602510"/>
        <n v="371736072"/>
        <n v="1141075854"/>
        <n v="7422985683"/>
        <n v="5637214862"/>
        <n v="3375198105"/>
        <n v="2031714620"/>
        <n v="6301647599"/>
        <n v="3827521772"/>
        <n v="8620560994"/>
        <n v="4365228257"/>
        <n v="182676947"/>
        <n v="2616388803"/>
        <n v="7657581112"/>
        <n v="9432180260"/>
        <n v="4003877995"/>
        <n v="1398369114"/>
        <n v="1814149102"/>
        <n v="3039993322"/>
        <n v="8242256009"/>
        <n v="3838073186"/>
        <n v="8116300178"/>
        <n v="8434217584"/>
        <n v="1435757820"/>
        <n v="1293033026"/>
        <n v="6990532062"/>
        <n v="5315940031"/>
        <n v="2294032396"/>
        <n v="4611712500"/>
        <n v="1526266472"/>
        <n v="5509781847"/>
        <n v="9228204227"/>
        <n v="5508873659"/>
        <n v="7952565397"/>
        <n v="7444330665"/>
        <n v="8536900653"/>
        <n v="2218016419"/>
        <n v="9286364118"/>
        <n v="5426486896"/>
        <n v="573508750"/>
        <n v="9172740995"/>
        <n v="1275253161"/>
        <n v="6989832152"/>
        <n v="9529943023"/>
        <n v="6163866266"/>
        <n v="2671456948"/>
      </sharedItems>
    </cacheField>
    <cacheField name="Receiver_account" numFmtId="0">
      <sharedItems containsSemiMixedTypes="0" containsString="0" containsNumber="1" containsInteger="1" minValue="5297691" maxValue="9999812305"/>
    </cacheField>
    <cacheField name="Amount" numFmtId="0">
      <sharedItems containsSemiMixedTypes="0" containsString="0" containsNumber="1" minValue="11.75" maxValue="998453.63"/>
    </cacheField>
    <cacheField name="Payment_currency" numFmtId="0">
      <sharedItems/>
    </cacheField>
    <cacheField name="Received_currency" numFmtId="0">
      <sharedItems/>
    </cacheField>
    <cacheField name="Sender_bank_location" numFmtId="0">
      <sharedItems count="16">
        <s v="UK"/>
        <s v="Albania"/>
        <s v="Nigeria"/>
        <s v="Japan"/>
        <s v="Spain"/>
        <s v="Switzerland"/>
        <s v="UAE"/>
        <s v="Italy"/>
        <s v="France"/>
        <s v="Pakistan"/>
        <s v="Mexico"/>
        <s v="Austria"/>
        <s v="Germany"/>
        <s v="Turkey"/>
        <s v="India"/>
        <s v="Morocco"/>
      </sharedItems>
    </cacheField>
    <cacheField name="Receiver_bank_location" numFmtId="0">
      <sharedItems/>
    </cacheField>
    <cacheField name="Payment_type" numFmtId="0">
      <sharedItems count="7">
        <s v="Cash Deposit"/>
        <s v="Cross-border"/>
        <s v="Cheque"/>
        <s v="ACH"/>
        <s v="Credit card"/>
        <s v="Debit card"/>
        <s v="Cash Withdrawal"/>
      </sharedItems>
    </cacheField>
    <cacheField name="Is_laundering" numFmtId="0">
      <sharedItems containsSemiMixedTypes="0" containsString="0" containsNumber="1" containsInteger="1" minValue="0" maxValue="1" count="2">
        <n v="0"/>
        <n v="1"/>
      </sharedItems>
    </cacheField>
    <cacheField name="Laundering_type" numFmtId="0">
      <sharedItems count="18">
        <s v="Normal_Cash_Deposits"/>
        <s v="Normal_Fan_Out"/>
        <s v="Normal_Small_Fan_Out"/>
        <s v="Normal_Fan_In"/>
        <s v="Normal_Group"/>
        <s v="Normal_Cash_Withdrawal"/>
        <s v="Normal_Periodical"/>
        <s v="Normal_Foward"/>
        <s v="Normal_Mutual"/>
        <s v="Smurfing"/>
        <s v="Normal_Plus_Mutual"/>
        <s v="Normal_single_large"/>
        <s v="Cash_Withdrawal"/>
        <s v="Behavioural_Change_2"/>
        <s v="Structuring"/>
        <s v="Behavioural_Change_1"/>
        <s v="Layered_Fan_In"/>
        <s v="Layered_Fan_Out"/>
      </sharedItems>
    </cacheField>
    <cacheField name="Currency_Check" numFmtId="0">
      <sharedItems/>
    </cacheField>
    <cacheField name="Country_Risk_Rating." numFmtId="0">
      <sharedItems count="3">
        <s v="Low Risk"/>
        <s v="High Risk"/>
        <s v="Medium Risk"/>
      </sharedItems>
    </cacheField>
    <cacheField name="Seconds (Time)" numFmtId="0" databaseField="0">
      <fieldGroup base="0">
        <rangePr groupBy="seconds" startDate="1899-12-30T10:35:19" endDate="1899-12-30T13:42:23"/>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0">
        <rangePr groupBy="minutes" startDate="1899-12-30T10:35:19" endDate="1899-12-30T13:42:23"/>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0">
        <rangePr groupBy="hours" startDate="1899-12-30T10:35:19" endDate="1899-12-30T13:42:23"/>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34881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x v="0"/>
    <x v="0"/>
    <x v="0"/>
    <n v="2769355426"/>
    <n v="1459.15"/>
    <s v="UK pounds"/>
    <s v="UK pounds"/>
    <x v="0"/>
    <s v="UK"/>
    <x v="0"/>
    <x v="0"/>
    <x v="0"/>
    <s v="Consistent"/>
    <x v="0"/>
  </r>
  <r>
    <x v="1"/>
    <x v="0"/>
    <x v="1"/>
    <n v="8401255335"/>
    <n v="6019.64"/>
    <s v="UK pounds"/>
    <s v="Dirham"/>
    <x v="0"/>
    <s v="UAE"/>
    <x v="1"/>
    <x v="0"/>
    <x v="1"/>
    <s v="Potential Layering"/>
    <x v="0"/>
  </r>
  <r>
    <x v="1"/>
    <x v="0"/>
    <x v="2"/>
    <n v="4404767002"/>
    <n v="14328.44"/>
    <s v="UK pounds"/>
    <s v="UK pounds"/>
    <x v="0"/>
    <s v="UK"/>
    <x v="2"/>
    <x v="0"/>
    <x v="2"/>
    <s v="Consistent"/>
    <x v="0"/>
  </r>
  <r>
    <x v="2"/>
    <x v="0"/>
    <x v="3"/>
    <n v="9600420220"/>
    <n v="11895"/>
    <s v="UK pounds"/>
    <s v="UK pounds"/>
    <x v="0"/>
    <s v="UK"/>
    <x v="3"/>
    <x v="0"/>
    <x v="3"/>
    <s v="Consistent"/>
    <x v="0"/>
  </r>
  <r>
    <x v="2"/>
    <x v="0"/>
    <x v="4"/>
    <n v="3803336972"/>
    <n v="115.25"/>
    <s v="UK pounds"/>
    <s v="UK pounds"/>
    <x v="0"/>
    <s v="UK"/>
    <x v="0"/>
    <x v="0"/>
    <x v="0"/>
    <s v="Consistent"/>
    <x v="0"/>
  </r>
  <r>
    <x v="2"/>
    <x v="0"/>
    <x v="5"/>
    <n v="3143547511"/>
    <n v="5130.99"/>
    <s v="UK pounds"/>
    <s v="UK pounds"/>
    <x v="0"/>
    <s v="UK"/>
    <x v="3"/>
    <x v="0"/>
    <x v="4"/>
    <s v="Consistent"/>
    <x v="0"/>
  </r>
  <r>
    <x v="3"/>
    <x v="0"/>
    <x v="6"/>
    <n v="8577635959"/>
    <n v="12176.52"/>
    <s v="UK pounds"/>
    <s v="UK pounds"/>
    <x v="0"/>
    <s v="UK"/>
    <x v="3"/>
    <x v="0"/>
    <x v="2"/>
    <s v="Consistent"/>
    <x v="0"/>
  </r>
  <r>
    <x v="3"/>
    <x v="0"/>
    <x v="7"/>
    <n v="9350896213"/>
    <n v="56.9"/>
    <s v="UK pounds"/>
    <s v="UK pounds"/>
    <x v="0"/>
    <s v="UK"/>
    <x v="4"/>
    <x v="0"/>
    <x v="2"/>
    <s v="Consistent"/>
    <x v="0"/>
  </r>
  <r>
    <x v="4"/>
    <x v="0"/>
    <x v="8"/>
    <n v="656192169"/>
    <n v="4738.45"/>
    <s v="UK pounds"/>
    <s v="UK pounds"/>
    <x v="0"/>
    <s v="UK"/>
    <x v="2"/>
    <x v="0"/>
    <x v="1"/>
    <s v="Consistent"/>
    <x v="0"/>
  </r>
  <r>
    <x v="5"/>
    <x v="0"/>
    <x v="9"/>
    <n v="2755709071"/>
    <n v="5883.87"/>
    <s v="Indian rupee"/>
    <s v="UK pounds"/>
    <x v="0"/>
    <s v="UK"/>
    <x v="4"/>
    <x v="0"/>
    <x v="1"/>
    <s v="Potential Layering"/>
    <x v="0"/>
  </r>
  <r>
    <x v="6"/>
    <x v="0"/>
    <x v="10"/>
    <n v="9734073275"/>
    <n v="2342.31"/>
    <s v="UK pounds"/>
    <s v="UK pounds"/>
    <x v="0"/>
    <s v="UK"/>
    <x v="5"/>
    <x v="0"/>
    <x v="2"/>
    <s v="Consistent"/>
    <x v="0"/>
  </r>
  <r>
    <x v="7"/>
    <x v="0"/>
    <x v="11"/>
    <n v="8646193759"/>
    <n v="1239.6099999999999"/>
    <s v="UK pounds"/>
    <s v="UK pounds"/>
    <x v="0"/>
    <s v="UK"/>
    <x v="0"/>
    <x v="0"/>
    <x v="0"/>
    <s v="Consistent"/>
    <x v="0"/>
  </r>
  <r>
    <x v="7"/>
    <x v="0"/>
    <x v="12"/>
    <n v="5109623450"/>
    <n v="16555.310000000001"/>
    <s v="UK pounds"/>
    <s v="Pakistani rupee"/>
    <x v="0"/>
    <s v="UK"/>
    <x v="4"/>
    <x v="0"/>
    <x v="3"/>
    <s v="Potential Layering"/>
    <x v="0"/>
  </r>
  <r>
    <x v="8"/>
    <x v="0"/>
    <x v="13"/>
    <n v="3938416782"/>
    <n v="15459.46"/>
    <s v="UK pounds"/>
    <s v="UK pounds"/>
    <x v="0"/>
    <s v="UK"/>
    <x v="2"/>
    <x v="0"/>
    <x v="2"/>
    <s v="Consistent"/>
    <x v="0"/>
  </r>
  <r>
    <x v="8"/>
    <x v="0"/>
    <x v="14"/>
    <n v="4460925916"/>
    <n v="586.28"/>
    <s v="UK pounds"/>
    <s v="UK pounds"/>
    <x v="0"/>
    <s v="UK"/>
    <x v="2"/>
    <x v="0"/>
    <x v="2"/>
    <s v="Consistent"/>
    <x v="0"/>
  </r>
  <r>
    <x v="8"/>
    <x v="0"/>
    <x v="15"/>
    <n v="3714297114"/>
    <n v="1971.15"/>
    <s v="UK pounds"/>
    <s v="Euro"/>
    <x v="0"/>
    <s v="Spain"/>
    <x v="1"/>
    <x v="0"/>
    <x v="2"/>
    <s v="Potential Layering"/>
    <x v="0"/>
  </r>
  <r>
    <x v="9"/>
    <x v="0"/>
    <x v="16"/>
    <n v="6646502650"/>
    <n v="8110.72"/>
    <s v="UK pounds"/>
    <s v="Euro"/>
    <x v="0"/>
    <s v="France"/>
    <x v="1"/>
    <x v="0"/>
    <x v="3"/>
    <s v="Potential Layering"/>
    <x v="0"/>
  </r>
  <r>
    <x v="10"/>
    <x v="0"/>
    <x v="17"/>
    <n v="3347268325"/>
    <n v="1190.3"/>
    <s v="UK pounds"/>
    <s v="UK pounds"/>
    <x v="0"/>
    <s v="UK"/>
    <x v="4"/>
    <x v="0"/>
    <x v="4"/>
    <s v="Consistent"/>
    <x v="0"/>
  </r>
  <r>
    <x v="11"/>
    <x v="0"/>
    <x v="18"/>
    <n v="7892884492"/>
    <n v="11957.87"/>
    <s v="UK pounds"/>
    <s v="US dollar"/>
    <x v="0"/>
    <s v="USA"/>
    <x v="1"/>
    <x v="0"/>
    <x v="3"/>
    <s v="Potential Layering"/>
    <x v="0"/>
  </r>
  <r>
    <x v="12"/>
    <x v="0"/>
    <x v="19"/>
    <n v="5628674969"/>
    <n v="10529.75"/>
    <s v="UK pounds"/>
    <s v="UK pounds"/>
    <x v="0"/>
    <s v="UK"/>
    <x v="4"/>
    <x v="0"/>
    <x v="3"/>
    <s v="Consistent"/>
    <x v="0"/>
  </r>
  <r>
    <x v="13"/>
    <x v="0"/>
    <x v="20"/>
    <n v="9172843471"/>
    <n v="5274.76"/>
    <s v="UK pounds"/>
    <s v="UK pounds"/>
    <x v="0"/>
    <s v="UK"/>
    <x v="5"/>
    <x v="0"/>
    <x v="1"/>
    <s v="Consistent"/>
    <x v="0"/>
  </r>
  <r>
    <x v="14"/>
    <x v="0"/>
    <x v="21"/>
    <n v="7390946087"/>
    <n v="774.18"/>
    <s v="UK pounds"/>
    <s v="UK pounds"/>
    <x v="0"/>
    <s v="UK"/>
    <x v="3"/>
    <x v="0"/>
    <x v="2"/>
    <s v="Consistent"/>
    <x v="0"/>
  </r>
  <r>
    <x v="15"/>
    <x v="0"/>
    <x v="22"/>
    <n v="4362242478"/>
    <n v="8364.5499999999993"/>
    <s v="UK pounds"/>
    <s v="UK pounds"/>
    <x v="0"/>
    <s v="UK"/>
    <x v="3"/>
    <x v="0"/>
    <x v="2"/>
    <s v="Consistent"/>
    <x v="0"/>
  </r>
  <r>
    <x v="16"/>
    <x v="0"/>
    <x v="23"/>
    <n v="4473064900"/>
    <n v="1877.56"/>
    <s v="UK pounds"/>
    <s v="UK pounds"/>
    <x v="0"/>
    <s v="UK"/>
    <x v="4"/>
    <x v="0"/>
    <x v="2"/>
    <s v="Consistent"/>
    <x v="0"/>
  </r>
  <r>
    <x v="17"/>
    <x v="0"/>
    <x v="24"/>
    <n v="855729452"/>
    <n v="3166.12"/>
    <s v="UK pounds"/>
    <s v="UK pounds"/>
    <x v="0"/>
    <s v="UK"/>
    <x v="5"/>
    <x v="0"/>
    <x v="4"/>
    <s v="Consistent"/>
    <x v="0"/>
  </r>
  <r>
    <x v="18"/>
    <x v="0"/>
    <x v="25"/>
    <n v="3220735304"/>
    <n v="10463.94"/>
    <s v="UK pounds"/>
    <s v="UK pounds"/>
    <x v="0"/>
    <s v="UK"/>
    <x v="4"/>
    <x v="0"/>
    <x v="3"/>
    <s v="Consistent"/>
    <x v="0"/>
  </r>
  <r>
    <x v="19"/>
    <x v="0"/>
    <x v="26"/>
    <n v="3274570726"/>
    <n v="13230.72"/>
    <s v="UK pounds"/>
    <s v="UK pounds"/>
    <x v="0"/>
    <s v="UK"/>
    <x v="3"/>
    <x v="0"/>
    <x v="2"/>
    <s v="Consistent"/>
    <x v="0"/>
  </r>
  <r>
    <x v="20"/>
    <x v="0"/>
    <x v="27"/>
    <n v="3079818547"/>
    <n v="8095.66"/>
    <s v="UK pounds"/>
    <s v="UK pounds"/>
    <x v="0"/>
    <s v="UK"/>
    <x v="4"/>
    <x v="0"/>
    <x v="3"/>
    <s v="Consistent"/>
    <x v="0"/>
  </r>
  <r>
    <x v="20"/>
    <x v="0"/>
    <x v="28"/>
    <n v="8381540882"/>
    <n v="3839.09"/>
    <s v="UK pounds"/>
    <s v="UK pounds"/>
    <x v="0"/>
    <s v="UK"/>
    <x v="3"/>
    <x v="0"/>
    <x v="2"/>
    <s v="Consistent"/>
    <x v="0"/>
  </r>
  <r>
    <x v="20"/>
    <x v="0"/>
    <x v="29"/>
    <n v="9092261147"/>
    <n v="4731.8599999999997"/>
    <s v="UK pounds"/>
    <s v="UK pounds"/>
    <x v="0"/>
    <s v="UK"/>
    <x v="0"/>
    <x v="0"/>
    <x v="0"/>
    <s v="Consistent"/>
    <x v="0"/>
  </r>
  <r>
    <x v="21"/>
    <x v="0"/>
    <x v="30"/>
    <n v="8500212178"/>
    <n v="2438.3000000000002"/>
    <s v="UK pounds"/>
    <s v="Mexican Peso"/>
    <x v="0"/>
    <s v="Mexico"/>
    <x v="1"/>
    <x v="0"/>
    <x v="4"/>
    <s v="Potential Layering"/>
    <x v="0"/>
  </r>
  <r>
    <x v="22"/>
    <x v="0"/>
    <x v="31"/>
    <n v="979819164"/>
    <n v="3293.28"/>
    <s v="UK pounds"/>
    <s v="UK pounds"/>
    <x v="0"/>
    <s v="UK"/>
    <x v="4"/>
    <x v="0"/>
    <x v="2"/>
    <s v="Consistent"/>
    <x v="0"/>
  </r>
  <r>
    <x v="23"/>
    <x v="0"/>
    <x v="32"/>
    <n v="8518184956"/>
    <n v="5828.8"/>
    <s v="UK pounds"/>
    <s v="UK pounds"/>
    <x v="0"/>
    <s v="UK"/>
    <x v="3"/>
    <x v="0"/>
    <x v="3"/>
    <s v="Consistent"/>
    <x v="0"/>
  </r>
  <r>
    <x v="24"/>
    <x v="0"/>
    <x v="33"/>
    <n v="855832934"/>
    <n v="2299.29"/>
    <s v="UK pounds"/>
    <s v="UK pounds"/>
    <x v="0"/>
    <s v="UK"/>
    <x v="3"/>
    <x v="0"/>
    <x v="2"/>
    <s v="Consistent"/>
    <x v="0"/>
  </r>
  <r>
    <x v="25"/>
    <x v="0"/>
    <x v="34"/>
    <n v="721717864"/>
    <n v="16974.63"/>
    <s v="UK pounds"/>
    <s v="UK pounds"/>
    <x v="0"/>
    <s v="UK"/>
    <x v="4"/>
    <x v="0"/>
    <x v="1"/>
    <s v="Consistent"/>
    <x v="0"/>
  </r>
  <r>
    <x v="26"/>
    <x v="0"/>
    <x v="35"/>
    <n v="9418077278"/>
    <n v="9766.1299999999992"/>
    <s v="UK pounds"/>
    <s v="UK pounds"/>
    <x v="0"/>
    <s v="UK"/>
    <x v="3"/>
    <x v="0"/>
    <x v="1"/>
    <s v="Consistent"/>
    <x v="0"/>
  </r>
  <r>
    <x v="27"/>
    <x v="0"/>
    <x v="36"/>
    <n v="4816555386"/>
    <n v="3615.93"/>
    <s v="UK pounds"/>
    <s v="UK pounds"/>
    <x v="0"/>
    <s v="UK"/>
    <x v="2"/>
    <x v="0"/>
    <x v="2"/>
    <s v="Consistent"/>
    <x v="0"/>
  </r>
  <r>
    <x v="28"/>
    <x v="0"/>
    <x v="37"/>
    <n v="4336977506"/>
    <n v="7405.41"/>
    <s v="UK pounds"/>
    <s v="UK pounds"/>
    <x v="0"/>
    <s v="UK"/>
    <x v="4"/>
    <x v="0"/>
    <x v="3"/>
    <s v="Consistent"/>
    <x v="0"/>
  </r>
  <r>
    <x v="29"/>
    <x v="0"/>
    <x v="38"/>
    <n v="8518184956"/>
    <n v="10960.64"/>
    <s v="UK pounds"/>
    <s v="UK pounds"/>
    <x v="0"/>
    <s v="UK"/>
    <x v="5"/>
    <x v="0"/>
    <x v="3"/>
    <s v="Consistent"/>
    <x v="0"/>
  </r>
  <r>
    <x v="30"/>
    <x v="0"/>
    <x v="39"/>
    <n v="4173195094"/>
    <n v="11974.68"/>
    <s v="UK pounds"/>
    <s v="UK pounds"/>
    <x v="0"/>
    <s v="UK"/>
    <x v="2"/>
    <x v="0"/>
    <x v="3"/>
    <s v="Consistent"/>
    <x v="0"/>
  </r>
  <r>
    <x v="31"/>
    <x v="0"/>
    <x v="40"/>
    <n v="6044424887"/>
    <n v="8560.2800000000007"/>
    <s v="UK pounds"/>
    <s v="UK pounds"/>
    <x v="0"/>
    <s v="UK"/>
    <x v="3"/>
    <x v="0"/>
    <x v="1"/>
    <s v="Consistent"/>
    <x v="0"/>
  </r>
  <r>
    <x v="32"/>
    <x v="0"/>
    <x v="41"/>
    <n v="339701644"/>
    <n v="2868.46"/>
    <s v="UK pounds"/>
    <s v="Indian rupee"/>
    <x v="0"/>
    <s v="UK"/>
    <x v="4"/>
    <x v="0"/>
    <x v="2"/>
    <s v="Potential Layering"/>
    <x v="0"/>
  </r>
  <r>
    <x v="33"/>
    <x v="0"/>
    <x v="42"/>
    <n v="8941775586"/>
    <n v="33322.120000000003"/>
    <s v="UK pounds"/>
    <s v="UK pounds"/>
    <x v="0"/>
    <s v="UK"/>
    <x v="2"/>
    <x v="0"/>
    <x v="2"/>
    <s v="Consistent"/>
    <x v="0"/>
  </r>
  <r>
    <x v="34"/>
    <x v="0"/>
    <x v="43"/>
    <n v="6083019593"/>
    <n v="1626.05"/>
    <s v="UK pounds"/>
    <s v="UK pounds"/>
    <x v="0"/>
    <s v="UK"/>
    <x v="4"/>
    <x v="0"/>
    <x v="4"/>
    <s v="Consistent"/>
    <x v="0"/>
  </r>
  <r>
    <x v="35"/>
    <x v="0"/>
    <x v="44"/>
    <n v="8518184956"/>
    <n v="38707.49"/>
    <s v="UK pounds"/>
    <s v="UK pounds"/>
    <x v="0"/>
    <s v="UK"/>
    <x v="4"/>
    <x v="0"/>
    <x v="3"/>
    <s v="Consistent"/>
    <x v="0"/>
  </r>
  <r>
    <x v="36"/>
    <x v="0"/>
    <x v="45"/>
    <n v="3364557136"/>
    <n v="327.9"/>
    <s v="UK pounds"/>
    <s v="UK pounds"/>
    <x v="0"/>
    <s v="UK"/>
    <x v="4"/>
    <x v="0"/>
    <x v="2"/>
    <s v="Consistent"/>
    <x v="0"/>
  </r>
  <r>
    <x v="37"/>
    <x v="0"/>
    <x v="46"/>
    <n v="7950918410"/>
    <n v="10131.299999999999"/>
    <s v="UK pounds"/>
    <s v="UK pounds"/>
    <x v="0"/>
    <s v="UK"/>
    <x v="3"/>
    <x v="0"/>
    <x v="1"/>
    <s v="Consistent"/>
    <x v="0"/>
  </r>
  <r>
    <x v="38"/>
    <x v="0"/>
    <x v="47"/>
    <n v="3613886607"/>
    <n v="2100.7399999999998"/>
    <s v="UK pounds"/>
    <s v="UK pounds"/>
    <x v="0"/>
    <s v="UK"/>
    <x v="3"/>
    <x v="0"/>
    <x v="2"/>
    <s v="Consistent"/>
    <x v="0"/>
  </r>
  <r>
    <x v="39"/>
    <x v="0"/>
    <x v="48"/>
    <n v="7936590626"/>
    <n v="10623.2"/>
    <s v="UK pounds"/>
    <s v="UK pounds"/>
    <x v="0"/>
    <s v="UK"/>
    <x v="4"/>
    <x v="0"/>
    <x v="2"/>
    <s v="Consistent"/>
    <x v="0"/>
  </r>
  <r>
    <x v="40"/>
    <x v="0"/>
    <x v="49"/>
    <n v="1377603863"/>
    <n v="7603.2"/>
    <s v="UK pounds"/>
    <s v="UK pounds"/>
    <x v="0"/>
    <s v="UK"/>
    <x v="2"/>
    <x v="0"/>
    <x v="3"/>
    <s v="Consistent"/>
    <x v="0"/>
  </r>
  <r>
    <x v="41"/>
    <x v="0"/>
    <x v="50"/>
    <n v="6855935396"/>
    <n v="5468.75"/>
    <s v="UK pounds"/>
    <s v="UK pounds"/>
    <x v="0"/>
    <s v="UK"/>
    <x v="4"/>
    <x v="0"/>
    <x v="3"/>
    <s v="Consistent"/>
    <x v="0"/>
  </r>
  <r>
    <x v="42"/>
    <x v="0"/>
    <x v="51"/>
    <n v="6424463145"/>
    <n v="12682.06"/>
    <s v="UK pounds"/>
    <s v="UK pounds"/>
    <x v="0"/>
    <s v="UK"/>
    <x v="5"/>
    <x v="0"/>
    <x v="1"/>
    <s v="Consistent"/>
    <x v="0"/>
  </r>
  <r>
    <x v="43"/>
    <x v="0"/>
    <x v="52"/>
    <n v="3828135271"/>
    <n v="5594.78"/>
    <s v="UK pounds"/>
    <s v="UK pounds"/>
    <x v="0"/>
    <s v="UK"/>
    <x v="5"/>
    <x v="0"/>
    <x v="1"/>
    <s v="Consistent"/>
    <x v="0"/>
  </r>
  <r>
    <x v="44"/>
    <x v="0"/>
    <x v="53"/>
    <n v="1576773608"/>
    <n v="4568.8900000000003"/>
    <s v="UK pounds"/>
    <s v="UK pounds"/>
    <x v="0"/>
    <s v="UK"/>
    <x v="0"/>
    <x v="0"/>
    <x v="0"/>
    <s v="Consistent"/>
    <x v="0"/>
  </r>
  <r>
    <x v="44"/>
    <x v="0"/>
    <x v="54"/>
    <n v="1794595555"/>
    <n v="652.29"/>
    <s v="UK pounds"/>
    <s v="UK pounds"/>
    <x v="0"/>
    <s v="UK"/>
    <x v="5"/>
    <x v="0"/>
    <x v="2"/>
    <s v="Consistent"/>
    <x v="0"/>
  </r>
  <r>
    <x v="45"/>
    <x v="0"/>
    <x v="55"/>
    <n v="3706844167"/>
    <n v="153.80000000000001"/>
    <s v="UK pounds"/>
    <s v="UK pounds"/>
    <x v="0"/>
    <s v="UK"/>
    <x v="6"/>
    <x v="0"/>
    <x v="5"/>
    <s v="Consistent"/>
    <x v="0"/>
  </r>
  <r>
    <x v="46"/>
    <x v="0"/>
    <x v="56"/>
    <n v="6444220418"/>
    <n v="8350.59"/>
    <s v="UK pounds"/>
    <s v="UK pounds"/>
    <x v="0"/>
    <s v="UK"/>
    <x v="3"/>
    <x v="0"/>
    <x v="3"/>
    <s v="Consistent"/>
    <x v="0"/>
  </r>
  <r>
    <x v="46"/>
    <x v="0"/>
    <x v="57"/>
    <n v="8494600637"/>
    <n v="4911.78"/>
    <s v="UK pounds"/>
    <s v="UK pounds"/>
    <x v="0"/>
    <s v="UK"/>
    <x v="4"/>
    <x v="0"/>
    <x v="4"/>
    <s v="Consistent"/>
    <x v="0"/>
  </r>
  <r>
    <x v="47"/>
    <x v="0"/>
    <x v="58"/>
    <n v="2016944900"/>
    <n v="4249.6899999999996"/>
    <s v="UK pounds"/>
    <s v="UK pounds"/>
    <x v="0"/>
    <s v="UK"/>
    <x v="0"/>
    <x v="0"/>
    <x v="0"/>
    <s v="Consistent"/>
    <x v="0"/>
  </r>
  <r>
    <x v="48"/>
    <x v="0"/>
    <x v="59"/>
    <n v="5109623450"/>
    <n v="9831.65"/>
    <s v="UK pounds"/>
    <s v="UK pounds"/>
    <x v="0"/>
    <s v="UK"/>
    <x v="5"/>
    <x v="0"/>
    <x v="3"/>
    <s v="Consistent"/>
    <x v="0"/>
  </r>
  <r>
    <x v="49"/>
    <x v="0"/>
    <x v="60"/>
    <n v="8669661419"/>
    <n v="614.89"/>
    <s v="UK pounds"/>
    <s v="UK pounds"/>
    <x v="0"/>
    <s v="UK"/>
    <x v="5"/>
    <x v="0"/>
    <x v="2"/>
    <s v="Consistent"/>
    <x v="0"/>
  </r>
  <r>
    <x v="50"/>
    <x v="0"/>
    <x v="61"/>
    <n v="5914713322"/>
    <n v="10918.76"/>
    <s v="UK pounds"/>
    <s v="UK pounds"/>
    <x v="0"/>
    <s v="UK"/>
    <x v="5"/>
    <x v="0"/>
    <x v="1"/>
    <s v="Consistent"/>
    <x v="0"/>
  </r>
  <r>
    <x v="51"/>
    <x v="0"/>
    <x v="62"/>
    <n v="1493436023"/>
    <n v="5300.52"/>
    <s v="UK pounds"/>
    <s v="UK pounds"/>
    <x v="0"/>
    <s v="UK"/>
    <x v="2"/>
    <x v="0"/>
    <x v="3"/>
    <s v="Consistent"/>
    <x v="0"/>
  </r>
  <r>
    <x v="52"/>
    <x v="0"/>
    <x v="63"/>
    <n v="4358275767"/>
    <n v="13106.42"/>
    <s v="UK pounds"/>
    <s v="UK pounds"/>
    <x v="0"/>
    <s v="UK"/>
    <x v="3"/>
    <x v="0"/>
    <x v="1"/>
    <s v="Consistent"/>
    <x v="0"/>
  </r>
  <r>
    <x v="53"/>
    <x v="0"/>
    <x v="64"/>
    <n v="4344504728"/>
    <n v="17651.63"/>
    <s v="UK pounds"/>
    <s v="UK pounds"/>
    <x v="0"/>
    <s v="UK"/>
    <x v="4"/>
    <x v="0"/>
    <x v="2"/>
    <s v="Consistent"/>
    <x v="0"/>
  </r>
  <r>
    <x v="54"/>
    <x v="0"/>
    <x v="65"/>
    <n v="5951743151"/>
    <n v="5795.55"/>
    <s v="UK pounds"/>
    <s v="UK pounds"/>
    <x v="0"/>
    <s v="UK"/>
    <x v="4"/>
    <x v="0"/>
    <x v="2"/>
    <s v="Consistent"/>
    <x v="0"/>
  </r>
  <r>
    <x v="55"/>
    <x v="0"/>
    <x v="66"/>
    <n v="2532987287"/>
    <n v="1334.75"/>
    <s v="UK pounds"/>
    <s v="UK pounds"/>
    <x v="0"/>
    <s v="UK"/>
    <x v="4"/>
    <x v="0"/>
    <x v="2"/>
    <s v="Consistent"/>
    <x v="0"/>
  </r>
  <r>
    <x v="56"/>
    <x v="0"/>
    <x v="67"/>
    <n v="1612314007"/>
    <n v="14303.33"/>
    <s v="UK pounds"/>
    <s v="UK pounds"/>
    <x v="0"/>
    <s v="UK"/>
    <x v="4"/>
    <x v="0"/>
    <x v="6"/>
    <s v="Consistent"/>
    <x v="0"/>
  </r>
  <r>
    <x v="57"/>
    <x v="0"/>
    <x v="35"/>
    <n v="8722924810"/>
    <n v="8067.61"/>
    <s v="UK pounds"/>
    <s v="Albanian lek"/>
    <x v="0"/>
    <s v="Albania"/>
    <x v="1"/>
    <x v="0"/>
    <x v="1"/>
    <s v="Potential Layering"/>
    <x v="0"/>
  </r>
  <r>
    <x v="58"/>
    <x v="0"/>
    <x v="68"/>
    <n v="4389103342"/>
    <n v="9354.8700000000008"/>
    <s v="UK pounds"/>
    <s v="UK pounds"/>
    <x v="0"/>
    <s v="UK"/>
    <x v="5"/>
    <x v="0"/>
    <x v="1"/>
    <s v="Consistent"/>
    <x v="0"/>
  </r>
  <r>
    <x v="59"/>
    <x v="0"/>
    <x v="69"/>
    <n v="7643602388"/>
    <n v="7377.8"/>
    <s v="UK pounds"/>
    <s v="UK pounds"/>
    <x v="0"/>
    <s v="UK"/>
    <x v="3"/>
    <x v="0"/>
    <x v="2"/>
    <s v="Consistent"/>
    <x v="0"/>
  </r>
  <r>
    <x v="60"/>
    <x v="0"/>
    <x v="70"/>
    <n v="4336977506"/>
    <n v="12831.3"/>
    <s v="UK pounds"/>
    <s v="UK pounds"/>
    <x v="0"/>
    <s v="UK"/>
    <x v="2"/>
    <x v="0"/>
    <x v="3"/>
    <s v="Consistent"/>
    <x v="0"/>
  </r>
  <r>
    <x v="60"/>
    <x v="0"/>
    <x v="71"/>
    <n v="6061705491"/>
    <n v="1360.82"/>
    <s v="UK pounds"/>
    <s v="UK pounds"/>
    <x v="0"/>
    <s v="UK"/>
    <x v="4"/>
    <x v="0"/>
    <x v="2"/>
    <s v="Consistent"/>
    <x v="0"/>
  </r>
  <r>
    <x v="61"/>
    <x v="0"/>
    <x v="72"/>
    <n v="8172080174"/>
    <n v="5308.47"/>
    <s v="UK pounds"/>
    <s v="UK pounds"/>
    <x v="0"/>
    <s v="UK"/>
    <x v="4"/>
    <x v="0"/>
    <x v="3"/>
    <s v="Consistent"/>
    <x v="0"/>
  </r>
  <r>
    <x v="62"/>
    <x v="0"/>
    <x v="73"/>
    <n v="1462289205"/>
    <n v="5536.81"/>
    <s v="UK pounds"/>
    <s v="UK pounds"/>
    <x v="0"/>
    <s v="UK"/>
    <x v="3"/>
    <x v="0"/>
    <x v="2"/>
    <s v="Consistent"/>
    <x v="0"/>
  </r>
  <r>
    <x v="62"/>
    <x v="0"/>
    <x v="74"/>
    <n v="2633911782"/>
    <n v="2563.16"/>
    <s v="UK pounds"/>
    <s v="UK pounds"/>
    <x v="0"/>
    <s v="UK"/>
    <x v="3"/>
    <x v="0"/>
    <x v="2"/>
    <s v="Consistent"/>
    <x v="0"/>
  </r>
  <r>
    <x v="63"/>
    <x v="0"/>
    <x v="68"/>
    <n v="9940921949"/>
    <n v="9099.99"/>
    <s v="UK pounds"/>
    <s v="UK pounds"/>
    <x v="0"/>
    <s v="UK"/>
    <x v="4"/>
    <x v="0"/>
    <x v="1"/>
    <s v="Consistent"/>
    <x v="0"/>
  </r>
  <r>
    <x v="64"/>
    <x v="0"/>
    <x v="61"/>
    <n v="4528663768"/>
    <n v="7369.79"/>
    <s v="UK pounds"/>
    <s v="UK pounds"/>
    <x v="0"/>
    <s v="UK"/>
    <x v="4"/>
    <x v="0"/>
    <x v="1"/>
    <s v="Consistent"/>
    <x v="0"/>
  </r>
  <r>
    <x v="65"/>
    <x v="0"/>
    <x v="75"/>
    <n v="999810092"/>
    <n v="11367.9"/>
    <s v="UK pounds"/>
    <s v="UK pounds"/>
    <x v="0"/>
    <s v="UK"/>
    <x v="3"/>
    <x v="0"/>
    <x v="1"/>
    <s v="Consistent"/>
    <x v="0"/>
  </r>
  <r>
    <x v="66"/>
    <x v="0"/>
    <x v="76"/>
    <n v="1493436023"/>
    <n v="13408.68"/>
    <s v="UK pounds"/>
    <s v="UK pounds"/>
    <x v="0"/>
    <s v="UK"/>
    <x v="2"/>
    <x v="0"/>
    <x v="3"/>
    <s v="Consistent"/>
    <x v="0"/>
  </r>
  <r>
    <x v="67"/>
    <x v="0"/>
    <x v="77"/>
    <n v="6983898031"/>
    <n v="20662.11"/>
    <s v="UK pounds"/>
    <s v="UK pounds"/>
    <x v="0"/>
    <s v="UK"/>
    <x v="5"/>
    <x v="0"/>
    <x v="2"/>
    <s v="Consistent"/>
    <x v="0"/>
  </r>
  <r>
    <x v="68"/>
    <x v="0"/>
    <x v="78"/>
    <n v="3466136919"/>
    <n v="333.17"/>
    <s v="UK pounds"/>
    <s v="UK pounds"/>
    <x v="0"/>
    <s v="UK"/>
    <x v="2"/>
    <x v="0"/>
    <x v="2"/>
    <s v="Consistent"/>
    <x v="0"/>
  </r>
  <r>
    <x v="69"/>
    <x v="0"/>
    <x v="79"/>
    <n v="8817936053"/>
    <n v="3223.47"/>
    <s v="UK pounds"/>
    <s v="UK pounds"/>
    <x v="0"/>
    <s v="UK"/>
    <x v="3"/>
    <x v="0"/>
    <x v="7"/>
    <s v="Consistent"/>
    <x v="0"/>
  </r>
  <r>
    <x v="70"/>
    <x v="0"/>
    <x v="80"/>
    <n v="5061861850"/>
    <n v="734.2"/>
    <s v="UK pounds"/>
    <s v="UK pounds"/>
    <x v="0"/>
    <s v="UK"/>
    <x v="0"/>
    <x v="0"/>
    <x v="0"/>
    <s v="Consistent"/>
    <x v="0"/>
  </r>
  <r>
    <x v="71"/>
    <x v="0"/>
    <x v="81"/>
    <n v="737679962"/>
    <n v="4542.4399999999996"/>
    <s v="UK pounds"/>
    <s v="UK pounds"/>
    <x v="0"/>
    <s v="UK"/>
    <x v="2"/>
    <x v="0"/>
    <x v="1"/>
    <s v="Consistent"/>
    <x v="0"/>
  </r>
  <r>
    <x v="72"/>
    <x v="0"/>
    <x v="82"/>
    <n v="4702471426"/>
    <n v="284.79000000000002"/>
    <s v="UK pounds"/>
    <s v="UK pounds"/>
    <x v="0"/>
    <s v="UK"/>
    <x v="3"/>
    <x v="0"/>
    <x v="2"/>
    <s v="Consistent"/>
    <x v="0"/>
  </r>
  <r>
    <x v="72"/>
    <x v="0"/>
    <x v="83"/>
    <n v="8468601858"/>
    <n v="1485.01"/>
    <s v="UK pounds"/>
    <s v="UK pounds"/>
    <x v="0"/>
    <s v="UK"/>
    <x v="4"/>
    <x v="0"/>
    <x v="2"/>
    <s v="Consistent"/>
    <x v="0"/>
  </r>
  <r>
    <x v="72"/>
    <x v="0"/>
    <x v="84"/>
    <n v="2032222230"/>
    <n v="241.18"/>
    <s v="UK pounds"/>
    <s v="UK pounds"/>
    <x v="0"/>
    <s v="UK"/>
    <x v="3"/>
    <x v="0"/>
    <x v="2"/>
    <s v="Consistent"/>
    <x v="0"/>
  </r>
  <r>
    <x v="72"/>
    <x v="0"/>
    <x v="85"/>
    <n v="5363117119"/>
    <n v="17413.990000000002"/>
    <s v="UK pounds"/>
    <s v="UK pounds"/>
    <x v="0"/>
    <s v="UK"/>
    <x v="3"/>
    <x v="0"/>
    <x v="3"/>
    <s v="Consistent"/>
    <x v="0"/>
  </r>
  <r>
    <x v="72"/>
    <x v="0"/>
    <x v="86"/>
    <n v="9408376441"/>
    <n v="7883.3"/>
    <s v="UK pounds"/>
    <s v="UK pounds"/>
    <x v="0"/>
    <s v="UK"/>
    <x v="4"/>
    <x v="0"/>
    <x v="1"/>
    <s v="Consistent"/>
    <x v="0"/>
  </r>
  <r>
    <x v="73"/>
    <x v="0"/>
    <x v="87"/>
    <n v="1908962398"/>
    <n v="2407.2600000000002"/>
    <s v="UK pounds"/>
    <s v="UK pounds"/>
    <x v="0"/>
    <s v="UK"/>
    <x v="2"/>
    <x v="0"/>
    <x v="2"/>
    <s v="Consistent"/>
    <x v="0"/>
  </r>
  <r>
    <x v="74"/>
    <x v="0"/>
    <x v="88"/>
    <n v="4183747352"/>
    <n v="2567.4299999999998"/>
    <s v="UK pounds"/>
    <s v="UK pounds"/>
    <x v="0"/>
    <s v="UK"/>
    <x v="5"/>
    <x v="0"/>
    <x v="2"/>
    <s v="Consistent"/>
    <x v="0"/>
  </r>
  <r>
    <x v="75"/>
    <x v="0"/>
    <x v="89"/>
    <n v="2189418125"/>
    <n v="7901.92"/>
    <s v="UK pounds"/>
    <s v="UK pounds"/>
    <x v="0"/>
    <s v="UK"/>
    <x v="2"/>
    <x v="0"/>
    <x v="2"/>
    <s v="Consistent"/>
    <x v="0"/>
  </r>
  <r>
    <x v="75"/>
    <x v="0"/>
    <x v="90"/>
    <n v="409707192"/>
    <n v="10663.14"/>
    <s v="UK pounds"/>
    <s v="UK pounds"/>
    <x v="0"/>
    <s v="UK"/>
    <x v="2"/>
    <x v="0"/>
    <x v="3"/>
    <s v="Consistent"/>
    <x v="0"/>
  </r>
  <r>
    <x v="76"/>
    <x v="0"/>
    <x v="91"/>
    <n v="6333926499"/>
    <n v="13185.36"/>
    <s v="UK pounds"/>
    <s v="UK pounds"/>
    <x v="0"/>
    <s v="UK"/>
    <x v="4"/>
    <x v="0"/>
    <x v="1"/>
    <s v="Consistent"/>
    <x v="0"/>
  </r>
  <r>
    <x v="77"/>
    <x v="0"/>
    <x v="92"/>
    <n v="3787011727"/>
    <n v="8985.3700000000008"/>
    <s v="UK pounds"/>
    <s v="UK pounds"/>
    <x v="0"/>
    <s v="UK"/>
    <x v="4"/>
    <x v="0"/>
    <x v="2"/>
    <s v="Consistent"/>
    <x v="0"/>
  </r>
  <r>
    <x v="78"/>
    <x v="0"/>
    <x v="93"/>
    <n v="7669085919"/>
    <n v="1740.32"/>
    <s v="UK pounds"/>
    <s v="UK pounds"/>
    <x v="0"/>
    <s v="UK"/>
    <x v="4"/>
    <x v="0"/>
    <x v="4"/>
    <s v="Consistent"/>
    <x v="0"/>
  </r>
  <r>
    <x v="79"/>
    <x v="0"/>
    <x v="94"/>
    <n v="4308380343"/>
    <n v="441.4"/>
    <s v="UK pounds"/>
    <s v="UK pounds"/>
    <x v="0"/>
    <s v="UK"/>
    <x v="4"/>
    <x v="0"/>
    <x v="2"/>
    <s v="Consistent"/>
    <x v="0"/>
  </r>
  <r>
    <x v="79"/>
    <x v="0"/>
    <x v="95"/>
    <n v="6807695942"/>
    <n v="204.92"/>
    <s v="UK pounds"/>
    <s v="UK pounds"/>
    <x v="0"/>
    <s v="UK"/>
    <x v="4"/>
    <x v="0"/>
    <x v="2"/>
    <s v="Consistent"/>
    <x v="0"/>
  </r>
  <r>
    <x v="80"/>
    <x v="0"/>
    <x v="96"/>
    <n v="3253303398"/>
    <n v="920.78"/>
    <s v="UK pounds"/>
    <s v="UK pounds"/>
    <x v="0"/>
    <s v="UK"/>
    <x v="5"/>
    <x v="0"/>
    <x v="2"/>
    <s v="Consistent"/>
    <x v="0"/>
  </r>
  <r>
    <x v="81"/>
    <x v="0"/>
    <x v="97"/>
    <n v="6233217293"/>
    <n v="1511.01"/>
    <s v="UK pounds"/>
    <s v="UK pounds"/>
    <x v="0"/>
    <s v="UK"/>
    <x v="5"/>
    <x v="0"/>
    <x v="4"/>
    <s v="Consistent"/>
    <x v="0"/>
  </r>
  <r>
    <x v="82"/>
    <x v="0"/>
    <x v="98"/>
    <n v="1518359693"/>
    <n v="4907.8999999999996"/>
    <s v="UK pounds"/>
    <s v="UK pounds"/>
    <x v="0"/>
    <s v="UK"/>
    <x v="4"/>
    <x v="0"/>
    <x v="2"/>
    <s v="Consistent"/>
    <x v="0"/>
  </r>
  <r>
    <x v="82"/>
    <x v="0"/>
    <x v="99"/>
    <n v="1316458123"/>
    <n v="7592.37"/>
    <s v="UK pounds"/>
    <s v="Mexican Peso"/>
    <x v="0"/>
    <s v="Mexico"/>
    <x v="1"/>
    <x v="0"/>
    <x v="3"/>
    <s v="Potential Layering"/>
    <x v="0"/>
  </r>
  <r>
    <x v="83"/>
    <x v="0"/>
    <x v="100"/>
    <n v="3737860098"/>
    <n v="195.15"/>
    <s v="UK pounds"/>
    <s v="UK pounds"/>
    <x v="0"/>
    <s v="UK"/>
    <x v="6"/>
    <x v="0"/>
    <x v="5"/>
    <s v="Consistent"/>
    <x v="0"/>
  </r>
  <r>
    <x v="83"/>
    <x v="0"/>
    <x v="101"/>
    <n v="1874873588"/>
    <n v="1124.83"/>
    <s v="UK pounds"/>
    <s v="UK pounds"/>
    <x v="0"/>
    <s v="UK"/>
    <x v="5"/>
    <x v="0"/>
    <x v="2"/>
    <s v="Consistent"/>
    <x v="0"/>
  </r>
  <r>
    <x v="84"/>
    <x v="0"/>
    <x v="102"/>
    <n v="22101185"/>
    <n v="87.71"/>
    <s v="UK pounds"/>
    <s v="UK pounds"/>
    <x v="0"/>
    <s v="UK"/>
    <x v="6"/>
    <x v="0"/>
    <x v="5"/>
    <s v="Consistent"/>
    <x v="0"/>
  </r>
  <r>
    <x v="85"/>
    <x v="0"/>
    <x v="103"/>
    <n v="4336977506"/>
    <n v="7372.69"/>
    <s v="UK pounds"/>
    <s v="UK pounds"/>
    <x v="0"/>
    <s v="UK"/>
    <x v="3"/>
    <x v="0"/>
    <x v="3"/>
    <s v="Consistent"/>
    <x v="0"/>
  </r>
  <r>
    <x v="85"/>
    <x v="0"/>
    <x v="104"/>
    <n v="9676051307"/>
    <n v="2861.28"/>
    <s v="UK pounds"/>
    <s v="UK pounds"/>
    <x v="0"/>
    <s v="UK"/>
    <x v="4"/>
    <x v="0"/>
    <x v="2"/>
    <s v="Consistent"/>
    <x v="0"/>
  </r>
  <r>
    <x v="86"/>
    <x v="0"/>
    <x v="105"/>
    <n v="1377603863"/>
    <n v="5407.95"/>
    <s v="UK pounds"/>
    <s v="UK pounds"/>
    <x v="0"/>
    <s v="UK"/>
    <x v="5"/>
    <x v="0"/>
    <x v="3"/>
    <s v="Consistent"/>
    <x v="0"/>
  </r>
  <r>
    <x v="87"/>
    <x v="0"/>
    <x v="106"/>
    <n v="7930477918"/>
    <n v="4421.1099999999997"/>
    <s v="UK pounds"/>
    <s v="UK pounds"/>
    <x v="0"/>
    <s v="UK"/>
    <x v="5"/>
    <x v="0"/>
    <x v="2"/>
    <s v="Consistent"/>
    <x v="0"/>
  </r>
  <r>
    <x v="88"/>
    <x v="0"/>
    <x v="107"/>
    <n v="1800634135"/>
    <n v="866.17"/>
    <s v="UK pounds"/>
    <s v="UK pounds"/>
    <x v="0"/>
    <s v="UK"/>
    <x v="0"/>
    <x v="0"/>
    <x v="0"/>
    <s v="Consistent"/>
    <x v="0"/>
  </r>
  <r>
    <x v="88"/>
    <x v="0"/>
    <x v="108"/>
    <n v="426367626"/>
    <n v="1317.54"/>
    <s v="UK pounds"/>
    <s v="UK pounds"/>
    <x v="0"/>
    <s v="UK"/>
    <x v="4"/>
    <x v="0"/>
    <x v="2"/>
    <s v="Consistent"/>
    <x v="0"/>
  </r>
  <r>
    <x v="89"/>
    <x v="0"/>
    <x v="109"/>
    <n v="6793730660"/>
    <n v="498.11"/>
    <s v="UK pounds"/>
    <s v="UK pounds"/>
    <x v="0"/>
    <s v="UK"/>
    <x v="5"/>
    <x v="0"/>
    <x v="2"/>
    <s v="Consistent"/>
    <x v="0"/>
  </r>
  <r>
    <x v="90"/>
    <x v="0"/>
    <x v="110"/>
    <n v="9232891126"/>
    <n v="7167.41"/>
    <s v="UK pounds"/>
    <s v="UK pounds"/>
    <x v="0"/>
    <s v="UK"/>
    <x v="4"/>
    <x v="0"/>
    <x v="1"/>
    <s v="Consistent"/>
    <x v="0"/>
  </r>
  <r>
    <x v="91"/>
    <x v="0"/>
    <x v="111"/>
    <n v="6034997194"/>
    <n v="6508.48"/>
    <s v="UK pounds"/>
    <s v="UK pounds"/>
    <x v="0"/>
    <s v="UK"/>
    <x v="3"/>
    <x v="0"/>
    <x v="3"/>
    <s v="Consistent"/>
    <x v="0"/>
  </r>
  <r>
    <x v="92"/>
    <x v="0"/>
    <x v="112"/>
    <n v="4145866625"/>
    <n v="7202.85"/>
    <s v="UK pounds"/>
    <s v="UK pounds"/>
    <x v="0"/>
    <s v="UK"/>
    <x v="3"/>
    <x v="0"/>
    <x v="2"/>
    <s v="Consistent"/>
    <x v="0"/>
  </r>
  <r>
    <x v="93"/>
    <x v="0"/>
    <x v="113"/>
    <n v="4143157809"/>
    <n v="5452.16"/>
    <s v="UK pounds"/>
    <s v="UK pounds"/>
    <x v="0"/>
    <s v="UK"/>
    <x v="3"/>
    <x v="0"/>
    <x v="6"/>
    <s v="Consistent"/>
    <x v="0"/>
  </r>
  <r>
    <x v="93"/>
    <x v="0"/>
    <x v="68"/>
    <n v="301740914"/>
    <n v="8905.98"/>
    <s v="UK pounds"/>
    <s v="UK pounds"/>
    <x v="0"/>
    <s v="UK"/>
    <x v="4"/>
    <x v="0"/>
    <x v="1"/>
    <s v="Consistent"/>
    <x v="0"/>
  </r>
  <r>
    <x v="94"/>
    <x v="0"/>
    <x v="114"/>
    <n v="7892884492"/>
    <n v="5230.59"/>
    <s v="UK pounds"/>
    <s v="US dollar"/>
    <x v="0"/>
    <s v="USA"/>
    <x v="1"/>
    <x v="0"/>
    <x v="3"/>
    <s v="Potential Layering"/>
    <x v="0"/>
  </r>
  <r>
    <x v="94"/>
    <x v="0"/>
    <x v="115"/>
    <n v="1224735825"/>
    <n v="3471.41"/>
    <s v="UK pounds"/>
    <s v="UK pounds"/>
    <x v="0"/>
    <s v="UK"/>
    <x v="0"/>
    <x v="0"/>
    <x v="0"/>
    <s v="Consistent"/>
    <x v="0"/>
  </r>
  <r>
    <x v="95"/>
    <x v="0"/>
    <x v="116"/>
    <n v="8407065812"/>
    <n v="16594.14"/>
    <s v="UK pounds"/>
    <s v="Turkish lira"/>
    <x v="0"/>
    <s v="Turkey"/>
    <x v="1"/>
    <x v="0"/>
    <x v="6"/>
    <s v="Potential Layering"/>
    <x v="0"/>
  </r>
  <r>
    <x v="96"/>
    <x v="0"/>
    <x v="117"/>
    <n v="4471666696"/>
    <n v="20181.46"/>
    <s v="UK pounds"/>
    <s v="UK pounds"/>
    <x v="0"/>
    <s v="UK"/>
    <x v="3"/>
    <x v="0"/>
    <x v="4"/>
    <s v="Consistent"/>
    <x v="0"/>
  </r>
  <r>
    <x v="97"/>
    <x v="0"/>
    <x v="118"/>
    <n v="5103043844"/>
    <n v="9071.89"/>
    <s v="UK pounds"/>
    <s v="Naira"/>
    <x v="0"/>
    <s v="Nigeria"/>
    <x v="1"/>
    <x v="0"/>
    <x v="3"/>
    <s v="Potential Layering"/>
    <x v="0"/>
  </r>
  <r>
    <x v="97"/>
    <x v="0"/>
    <x v="119"/>
    <n v="5109623450"/>
    <n v="6903.24"/>
    <s v="UK pounds"/>
    <s v="UK pounds"/>
    <x v="0"/>
    <s v="UK"/>
    <x v="2"/>
    <x v="0"/>
    <x v="3"/>
    <s v="Consistent"/>
    <x v="0"/>
  </r>
  <r>
    <x v="98"/>
    <x v="0"/>
    <x v="120"/>
    <n v="9999156867"/>
    <n v="492.45"/>
    <s v="UK pounds"/>
    <s v="UK pounds"/>
    <x v="0"/>
    <s v="UK"/>
    <x v="0"/>
    <x v="0"/>
    <x v="0"/>
    <s v="Consistent"/>
    <x v="0"/>
  </r>
  <r>
    <x v="99"/>
    <x v="0"/>
    <x v="121"/>
    <n v="5858369125"/>
    <n v="20756.93"/>
    <s v="UK pounds"/>
    <s v="UK pounds"/>
    <x v="0"/>
    <s v="UK"/>
    <x v="3"/>
    <x v="0"/>
    <x v="3"/>
    <s v="Consistent"/>
    <x v="0"/>
  </r>
  <r>
    <x v="100"/>
    <x v="0"/>
    <x v="122"/>
    <n v="6916537719"/>
    <n v="2329.58"/>
    <s v="UK pounds"/>
    <s v="UK pounds"/>
    <x v="0"/>
    <s v="UK"/>
    <x v="4"/>
    <x v="0"/>
    <x v="2"/>
    <s v="Consistent"/>
    <x v="0"/>
  </r>
  <r>
    <x v="101"/>
    <x v="0"/>
    <x v="123"/>
    <n v="674433873"/>
    <n v="2747.96"/>
    <s v="UK pounds"/>
    <s v="UK pounds"/>
    <x v="0"/>
    <s v="UK"/>
    <x v="0"/>
    <x v="0"/>
    <x v="0"/>
    <s v="Consistent"/>
    <x v="0"/>
  </r>
  <r>
    <x v="102"/>
    <x v="0"/>
    <x v="124"/>
    <n v="9329185542"/>
    <n v="29600.19"/>
    <s v="UK pounds"/>
    <s v="UK pounds"/>
    <x v="0"/>
    <s v="UK"/>
    <x v="4"/>
    <x v="0"/>
    <x v="1"/>
    <s v="Consistent"/>
    <x v="0"/>
  </r>
  <r>
    <x v="103"/>
    <x v="0"/>
    <x v="8"/>
    <n v="7541529999"/>
    <n v="5736.78"/>
    <s v="UK pounds"/>
    <s v="UK pounds"/>
    <x v="0"/>
    <s v="UK"/>
    <x v="3"/>
    <x v="0"/>
    <x v="1"/>
    <s v="Consistent"/>
    <x v="0"/>
  </r>
  <r>
    <x v="103"/>
    <x v="0"/>
    <x v="86"/>
    <n v="9408376441"/>
    <n v="8096.81"/>
    <s v="UK pounds"/>
    <s v="UK pounds"/>
    <x v="0"/>
    <s v="UK"/>
    <x v="5"/>
    <x v="0"/>
    <x v="1"/>
    <s v="Consistent"/>
    <x v="0"/>
  </r>
  <r>
    <x v="104"/>
    <x v="0"/>
    <x v="125"/>
    <n v="6444220418"/>
    <n v="11277.45"/>
    <s v="UK pounds"/>
    <s v="UK pounds"/>
    <x v="0"/>
    <s v="UK"/>
    <x v="3"/>
    <x v="0"/>
    <x v="3"/>
    <s v="Consistent"/>
    <x v="0"/>
  </r>
  <r>
    <x v="105"/>
    <x v="0"/>
    <x v="126"/>
    <n v="3144680752"/>
    <n v="1174.69"/>
    <s v="UK pounds"/>
    <s v="UK pounds"/>
    <x v="0"/>
    <s v="UK"/>
    <x v="2"/>
    <x v="0"/>
    <x v="2"/>
    <s v="Consistent"/>
    <x v="0"/>
  </r>
  <r>
    <x v="105"/>
    <x v="0"/>
    <x v="127"/>
    <n v="6646502650"/>
    <n v="14554.35"/>
    <s v="UK pounds"/>
    <s v="Euro"/>
    <x v="0"/>
    <s v="France"/>
    <x v="1"/>
    <x v="0"/>
    <x v="3"/>
    <s v="Potential Layering"/>
    <x v="0"/>
  </r>
  <r>
    <x v="105"/>
    <x v="0"/>
    <x v="128"/>
    <n v="5858369125"/>
    <n v="5971.82"/>
    <s v="UK pounds"/>
    <s v="UK pounds"/>
    <x v="0"/>
    <s v="UK"/>
    <x v="5"/>
    <x v="0"/>
    <x v="3"/>
    <s v="Consistent"/>
    <x v="0"/>
  </r>
  <r>
    <x v="106"/>
    <x v="0"/>
    <x v="129"/>
    <n v="8673917867"/>
    <n v="8592.81"/>
    <s v="UK pounds"/>
    <s v="UK pounds"/>
    <x v="0"/>
    <s v="UK"/>
    <x v="4"/>
    <x v="0"/>
    <x v="3"/>
    <s v="Consistent"/>
    <x v="0"/>
  </r>
  <r>
    <x v="107"/>
    <x v="0"/>
    <x v="130"/>
    <n v="7092971860"/>
    <n v="5130.2"/>
    <s v="UK pounds"/>
    <s v="UK pounds"/>
    <x v="0"/>
    <s v="UK"/>
    <x v="2"/>
    <x v="0"/>
    <x v="4"/>
    <s v="Consistent"/>
    <x v="0"/>
  </r>
  <r>
    <x v="108"/>
    <x v="0"/>
    <x v="131"/>
    <n v="4336977506"/>
    <n v="7895.67"/>
    <s v="UK pounds"/>
    <s v="UK pounds"/>
    <x v="0"/>
    <s v="UK"/>
    <x v="5"/>
    <x v="0"/>
    <x v="3"/>
    <s v="Consistent"/>
    <x v="0"/>
  </r>
  <r>
    <x v="109"/>
    <x v="0"/>
    <x v="132"/>
    <n v="8095203071"/>
    <n v="24267.62"/>
    <s v="UK pounds"/>
    <s v="UK pounds"/>
    <x v="0"/>
    <s v="UK"/>
    <x v="3"/>
    <x v="0"/>
    <x v="2"/>
    <s v="Consistent"/>
    <x v="0"/>
  </r>
  <r>
    <x v="109"/>
    <x v="0"/>
    <x v="133"/>
    <n v="324741137"/>
    <n v="9684.43"/>
    <s v="UK pounds"/>
    <s v="UK pounds"/>
    <x v="0"/>
    <s v="UK"/>
    <x v="4"/>
    <x v="0"/>
    <x v="4"/>
    <s v="Consistent"/>
    <x v="0"/>
  </r>
  <r>
    <x v="110"/>
    <x v="0"/>
    <x v="134"/>
    <n v="9180546856"/>
    <n v="127.23"/>
    <s v="UK pounds"/>
    <s v="UK pounds"/>
    <x v="0"/>
    <s v="UK"/>
    <x v="6"/>
    <x v="0"/>
    <x v="5"/>
    <s v="Consistent"/>
    <x v="0"/>
  </r>
  <r>
    <x v="111"/>
    <x v="0"/>
    <x v="135"/>
    <n v="3866748777"/>
    <n v="153.54"/>
    <s v="UK pounds"/>
    <s v="UK pounds"/>
    <x v="0"/>
    <s v="UK"/>
    <x v="6"/>
    <x v="0"/>
    <x v="5"/>
    <s v="Consistent"/>
    <x v="0"/>
  </r>
  <r>
    <x v="111"/>
    <x v="0"/>
    <x v="61"/>
    <n v="1856317214"/>
    <n v="6052.95"/>
    <s v="UK pounds"/>
    <s v="Mexican Peso"/>
    <x v="0"/>
    <s v="UK"/>
    <x v="3"/>
    <x v="0"/>
    <x v="1"/>
    <s v="Potential Layering"/>
    <x v="0"/>
  </r>
  <r>
    <x v="112"/>
    <x v="0"/>
    <x v="136"/>
    <n v="8984696396"/>
    <n v="3327.21"/>
    <s v="UK pounds"/>
    <s v="UK pounds"/>
    <x v="0"/>
    <s v="UK"/>
    <x v="4"/>
    <x v="0"/>
    <x v="2"/>
    <s v="Consistent"/>
    <x v="0"/>
  </r>
  <r>
    <x v="113"/>
    <x v="0"/>
    <x v="137"/>
    <n v="8774487578"/>
    <n v="6713.21"/>
    <s v="UK pounds"/>
    <s v="UK pounds"/>
    <x v="0"/>
    <s v="UK"/>
    <x v="5"/>
    <x v="0"/>
    <x v="2"/>
    <s v="Consistent"/>
    <x v="0"/>
  </r>
  <r>
    <x v="113"/>
    <x v="0"/>
    <x v="138"/>
    <n v="9600420220"/>
    <n v="5100.6899999999996"/>
    <s v="UK pounds"/>
    <s v="UK pounds"/>
    <x v="0"/>
    <s v="UK"/>
    <x v="4"/>
    <x v="0"/>
    <x v="3"/>
    <s v="Consistent"/>
    <x v="0"/>
  </r>
  <r>
    <x v="113"/>
    <x v="0"/>
    <x v="139"/>
    <n v="8115468745"/>
    <n v="5308.98"/>
    <s v="UK pounds"/>
    <s v="UK pounds"/>
    <x v="0"/>
    <s v="UK"/>
    <x v="5"/>
    <x v="0"/>
    <x v="2"/>
    <s v="Consistent"/>
    <x v="0"/>
  </r>
  <r>
    <x v="114"/>
    <x v="0"/>
    <x v="140"/>
    <n v="9024705045"/>
    <n v="547.39"/>
    <s v="UK pounds"/>
    <s v="UK pounds"/>
    <x v="0"/>
    <s v="UK"/>
    <x v="3"/>
    <x v="0"/>
    <x v="2"/>
    <s v="Consistent"/>
    <x v="0"/>
  </r>
  <r>
    <x v="115"/>
    <x v="0"/>
    <x v="141"/>
    <n v="8926941188"/>
    <n v="1818.3"/>
    <s v="UK pounds"/>
    <s v="UK pounds"/>
    <x v="0"/>
    <s v="UK"/>
    <x v="2"/>
    <x v="0"/>
    <x v="2"/>
    <s v="Consistent"/>
    <x v="0"/>
  </r>
  <r>
    <x v="116"/>
    <x v="0"/>
    <x v="142"/>
    <n v="4270865741"/>
    <n v="7081.8"/>
    <s v="UK pounds"/>
    <s v="UK pounds"/>
    <x v="0"/>
    <s v="UK"/>
    <x v="2"/>
    <x v="0"/>
    <x v="3"/>
    <s v="Consistent"/>
    <x v="0"/>
  </r>
  <r>
    <x v="117"/>
    <x v="0"/>
    <x v="143"/>
    <n v="6034997194"/>
    <n v="21465.47"/>
    <s v="UK pounds"/>
    <s v="UK pounds"/>
    <x v="0"/>
    <s v="UK"/>
    <x v="3"/>
    <x v="0"/>
    <x v="3"/>
    <s v="Consistent"/>
    <x v="0"/>
  </r>
  <r>
    <x v="118"/>
    <x v="0"/>
    <x v="51"/>
    <n v="4447848214"/>
    <n v="8024.41"/>
    <s v="UK pounds"/>
    <s v="UK pounds"/>
    <x v="0"/>
    <s v="UK"/>
    <x v="3"/>
    <x v="0"/>
    <x v="1"/>
    <s v="Consistent"/>
    <x v="0"/>
  </r>
  <r>
    <x v="119"/>
    <x v="0"/>
    <x v="144"/>
    <n v="5279552599"/>
    <n v="2970.67"/>
    <s v="UK pounds"/>
    <s v="UK pounds"/>
    <x v="0"/>
    <s v="UK"/>
    <x v="3"/>
    <x v="0"/>
    <x v="2"/>
    <s v="Consistent"/>
    <x v="0"/>
  </r>
  <r>
    <x v="120"/>
    <x v="0"/>
    <x v="145"/>
    <n v="3112794089"/>
    <n v="7748.63"/>
    <s v="UK pounds"/>
    <s v="UK pounds"/>
    <x v="0"/>
    <s v="UK"/>
    <x v="3"/>
    <x v="0"/>
    <x v="4"/>
    <s v="Consistent"/>
    <x v="0"/>
  </r>
  <r>
    <x v="121"/>
    <x v="0"/>
    <x v="146"/>
    <n v="4203316413"/>
    <n v="22445.59"/>
    <s v="Albanian lek"/>
    <s v="UK pounds"/>
    <x v="0"/>
    <s v="UK"/>
    <x v="3"/>
    <x v="0"/>
    <x v="2"/>
    <s v="Potential Layering"/>
    <x v="0"/>
  </r>
  <r>
    <x v="122"/>
    <x v="0"/>
    <x v="147"/>
    <n v="5274970619"/>
    <n v="2010.34"/>
    <s v="UK pounds"/>
    <s v="UK pounds"/>
    <x v="0"/>
    <s v="UK"/>
    <x v="5"/>
    <x v="0"/>
    <x v="2"/>
    <s v="Consistent"/>
    <x v="0"/>
  </r>
  <r>
    <x v="122"/>
    <x v="0"/>
    <x v="148"/>
    <n v="3362765079"/>
    <n v="3385.16"/>
    <s v="UK pounds"/>
    <s v="UK pounds"/>
    <x v="0"/>
    <s v="UK"/>
    <x v="3"/>
    <x v="0"/>
    <x v="4"/>
    <s v="Consistent"/>
    <x v="0"/>
  </r>
  <r>
    <x v="123"/>
    <x v="0"/>
    <x v="149"/>
    <n v="8237840407"/>
    <n v="7653.44"/>
    <s v="UK pounds"/>
    <s v="UK pounds"/>
    <x v="0"/>
    <s v="UK"/>
    <x v="4"/>
    <x v="0"/>
    <x v="1"/>
    <s v="Consistent"/>
    <x v="0"/>
  </r>
  <r>
    <x v="123"/>
    <x v="0"/>
    <x v="150"/>
    <n v="2284368563"/>
    <n v="8978.6299999999992"/>
    <s v="UK pounds"/>
    <s v="UK pounds"/>
    <x v="0"/>
    <s v="UK"/>
    <x v="4"/>
    <x v="0"/>
    <x v="1"/>
    <s v="Consistent"/>
    <x v="0"/>
  </r>
  <r>
    <x v="124"/>
    <x v="0"/>
    <x v="151"/>
    <n v="9309476509"/>
    <n v="810.62"/>
    <s v="UK pounds"/>
    <s v="UK pounds"/>
    <x v="0"/>
    <s v="UK"/>
    <x v="3"/>
    <x v="0"/>
    <x v="2"/>
    <s v="Consistent"/>
    <x v="0"/>
  </r>
  <r>
    <x v="125"/>
    <x v="0"/>
    <x v="152"/>
    <n v="6698865290"/>
    <n v="1224.27"/>
    <s v="UK pounds"/>
    <s v="UK pounds"/>
    <x v="0"/>
    <s v="UK"/>
    <x v="3"/>
    <x v="0"/>
    <x v="4"/>
    <s v="Consistent"/>
    <x v="0"/>
  </r>
  <r>
    <x v="126"/>
    <x v="0"/>
    <x v="153"/>
    <n v="8881785263"/>
    <n v="1448.33"/>
    <s v="UK pounds"/>
    <s v="UK pounds"/>
    <x v="0"/>
    <s v="UK"/>
    <x v="0"/>
    <x v="0"/>
    <x v="0"/>
    <s v="Consistent"/>
    <x v="0"/>
  </r>
  <r>
    <x v="127"/>
    <x v="0"/>
    <x v="154"/>
    <n v="1465487567"/>
    <n v="21163.200000000001"/>
    <s v="UK pounds"/>
    <s v="UK pounds"/>
    <x v="0"/>
    <s v="UK"/>
    <x v="4"/>
    <x v="0"/>
    <x v="3"/>
    <s v="Consistent"/>
    <x v="0"/>
  </r>
  <r>
    <x v="128"/>
    <x v="0"/>
    <x v="91"/>
    <n v="389486199"/>
    <n v="7049.42"/>
    <s v="UK pounds"/>
    <s v="UK pounds"/>
    <x v="0"/>
    <s v="UK"/>
    <x v="5"/>
    <x v="0"/>
    <x v="1"/>
    <s v="Consistent"/>
    <x v="0"/>
  </r>
  <r>
    <x v="128"/>
    <x v="0"/>
    <x v="155"/>
    <n v="5828577622"/>
    <n v="1447.11"/>
    <s v="UK pounds"/>
    <s v="UK pounds"/>
    <x v="0"/>
    <s v="UK"/>
    <x v="5"/>
    <x v="0"/>
    <x v="2"/>
    <s v="Consistent"/>
    <x v="0"/>
  </r>
  <r>
    <x v="129"/>
    <x v="0"/>
    <x v="156"/>
    <n v="1465487567"/>
    <n v="5931.99"/>
    <s v="UK pounds"/>
    <s v="UK pounds"/>
    <x v="0"/>
    <s v="UK"/>
    <x v="4"/>
    <x v="0"/>
    <x v="3"/>
    <s v="Consistent"/>
    <x v="0"/>
  </r>
  <r>
    <x v="129"/>
    <x v="0"/>
    <x v="157"/>
    <n v="6444220418"/>
    <n v="8515.25"/>
    <s v="UK pounds"/>
    <s v="UK pounds"/>
    <x v="0"/>
    <s v="UK"/>
    <x v="4"/>
    <x v="0"/>
    <x v="3"/>
    <s v="Consistent"/>
    <x v="0"/>
  </r>
  <r>
    <x v="129"/>
    <x v="0"/>
    <x v="150"/>
    <n v="5240847125"/>
    <n v="6193.99"/>
    <s v="UK pounds"/>
    <s v="UK pounds"/>
    <x v="0"/>
    <s v="UK"/>
    <x v="3"/>
    <x v="0"/>
    <x v="1"/>
    <s v="Consistent"/>
    <x v="0"/>
  </r>
  <r>
    <x v="130"/>
    <x v="0"/>
    <x v="158"/>
    <n v="2329119204"/>
    <n v="10689.25"/>
    <s v="UK pounds"/>
    <s v="UK pounds"/>
    <x v="0"/>
    <s v="UK"/>
    <x v="5"/>
    <x v="0"/>
    <x v="2"/>
    <s v="Consistent"/>
    <x v="0"/>
  </r>
  <r>
    <x v="130"/>
    <x v="0"/>
    <x v="61"/>
    <n v="4525312913"/>
    <n v="12942.48"/>
    <s v="UK pounds"/>
    <s v="UK pounds"/>
    <x v="0"/>
    <s v="UK"/>
    <x v="3"/>
    <x v="0"/>
    <x v="1"/>
    <s v="Consistent"/>
    <x v="0"/>
  </r>
  <r>
    <x v="131"/>
    <x v="0"/>
    <x v="159"/>
    <n v="8172080174"/>
    <n v="25562.2"/>
    <s v="UK pounds"/>
    <s v="UK pounds"/>
    <x v="0"/>
    <s v="UK"/>
    <x v="3"/>
    <x v="0"/>
    <x v="3"/>
    <s v="Consistent"/>
    <x v="0"/>
  </r>
  <r>
    <x v="132"/>
    <x v="0"/>
    <x v="160"/>
    <n v="4228245786"/>
    <n v="12049.23"/>
    <s v="UK pounds"/>
    <s v="UK pounds"/>
    <x v="0"/>
    <s v="UK"/>
    <x v="4"/>
    <x v="0"/>
    <x v="2"/>
    <s v="Consistent"/>
    <x v="0"/>
  </r>
  <r>
    <x v="133"/>
    <x v="0"/>
    <x v="86"/>
    <n v="1140410616"/>
    <n v="5021.1000000000004"/>
    <s v="UK pounds"/>
    <s v="UK pounds"/>
    <x v="0"/>
    <s v="UK"/>
    <x v="2"/>
    <x v="0"/>
    <x v="1"/>
    <s v="Consistent"/>
    <x v="0"/>
  </r>
  <r>
    <x v="134"/>
    <x v="0"/>
    <x v="161"/>
    <n v="6533060638"/>
    <n v="5110.2"/>
    <s v="UK pounds"/>
    <s v="UK pounds"/>
    <x v="0"/>
    <s v="UK"/>
    <x v="5"/>
    <x v="0"/>
    <x v="1"/>
    <s v="Consistent"/>
    <x v="0"/>
  </r>
  <r>
    <x v="135"/>
    <x v="0"/>
    <x v="162"/>
    <n v="3516473411"/>
    <n v="17372.61"/>
    <s v="UK pounds"/>
    <s v="UK pounds"/>
    <x v="0"/>
    <s v="UK"/>
    <x v="4"/>
    <x v="0"/>
    <x v="2"/>
    <s v="Consistent"/>
    <x v="0"/>
  </r>
  <r>
    <x v="135"/>
    <x v="0"/>
    <x v="163"/>
    <n v="835293711"/>
    <n v="4702.76"/>
    <s v="UK pounds"/>
    <s v="UK pounds"/>
    <x v="0"/>
    <s v="UK"/>
    <x v="3"/>
    <x v="0"/>
    <x v="1"/>
    <s v="Consistent"/>
    <x v="0"/>
  </r>
  <r>
    <x v="136"/>
    <x v="0"/>
    <x v="164"/>
    <n v="4336977506"/>
    <n v="7193.69"/>
    <s v="UK pounds"/>
    <s v="UK pounds"/>
    <x v="0"/>
    <s v="UK"/>
    <x v="3"/>
    <x v="0"/>
    <x v="3"/>
    <s v="Consistent"/>
    <x v="0"/>
  </r>
  <r>
    <x v="137"/>
    <x v="0"/>
    <x v="110"/>
    <n v="4117514495"/>
    <n v="4863.13"/>
    <s v="UK pounds"/>
    <s v="UK pounds"/>
    <x v="0"/>
    <s v="UK"/>
    <x v="2"/>
    <x v="0"/>
    <x v="1"/>
    <s v="Consistent"/>
    <x v="0"/>
  </r>
  <r>
    <x v="138"/>
    <x v="0"/>
    <x v="165"/>
    <n v="1377603863"/>
    <n v="9485.6"/>
    <s v="UK pounds"/>
    <s v="UK pounds"/>
    <x v="0"/>
    <s v="UK"/>
    <x v="4"/>
    <x v="0"/>
    <x v="3"/>
    <s v="Consistent"/>
    <x v="0"/>
  </r>
  <r>
    <x v="139"/>
    <x v="0"/>
    <x v="166"/>
    <n v="4293580479"/>
    <n v="25963.39"/>
    <s v="UK pounds"/>
    <s v="UK pounds"/>
    <x v="0"/>
    <s v="UK"/>
    <x v="5"/>
    <x v="0"/>
    <x v="3"/>
    <s v="Consistent"/>
    <x v="0"/>
  </r>
  <r>
    <x v="139"/>
    <x v="0"/>
    <x v="167"/>
    <n v="5109623450"/>
    <n v="7886.78"/>
    <s v="UK pounds"/>
    <s v="UK pounds"/>
    <x v="0"/>
    <s v="UK"/>
    <x v="4"/>
    <x v="0"/>
    <x v="3"/>
    <s v="Consistent"/>
    <x v="0"/>
  </r>
  <r>
    <x v="140"/>
    <x v="0"/>
    <x v="168"/>
    <n v="8172080174"/>
    <n v="7839.89"/>
    <s v="UK pounds"/>
    <s v="UK pounds"/>
    <x v="0"/>
    <s v="UK"/>
    <x v="2"/>
    <x v="0"/>
    <x v="3"/>
    <s v="Consistent"/>
    <x v="0"/>
  </r>
  <r>
    <x v="141"/>
    <x v="0"/>
    <x v="169"/>
    <n v="333166301"/>
    <n v="2647.06"/>
    <s v="UK pounds"/>
    <s v="UK pounds"/>
    <x v="0"/>
    <s v="UK"/>
    <x v="4"/>
    <x v="0"/>
    <x v="2"/>
    <s v="Consistent"/>
    <x v="0"/>
  </r>
  <r>
    <x v="141"/>
    <x v="0"/>
    <x v="170"/>
    <n v="5933990094"/>
    <n v="99.16"/>
    <s v="UK pounds"/>
    <s v="Swiss franc"/>
    <x v="0"/>
    <s v="Switzerland"/>
    <x v="1"/>
    <x v="0"/>
    <x v="2"/>
    <s v="Potential Layering"/>
    <x v="0"/>
  </r>
  <r>
    <x v="141"/>
    <x v="0"/>
    <x v="171"/>
    <n v="6283707826"/>
    <n v="1400.65"/>
    <s v="UK pounds"/>
    <s v="UK pounds"/>
    <x v="0"/>
    <s v="UK"/>
    <x v="0"/>
    <x v="0"/>
    <x v="0"/>
    <s v="Consistent"/>
    <x v="0"/>
  </r>
  <r>
    <x v="142"/>
    <x v="0"/>
    <x v="172"/>
    <n v="4270865741"/>
    <n v="5826.8"/>
    <s v="UK pounds"/>
    <s v="UK pounds"/>
    <x v="0"/>
    <s v="UK"/>
    <x v="4"/>
    <x v="0"/>
    <x v="3"/>
    <s v="Consistent"/>
    <x v="0"/>
  </r>
  <r>
    <x v="143"/>
    <x v="0"/>
    <x v="173"/>
    <n v="882959224"/>
    <n v="1401.84"/>
    <s v="UK pounds"/>
    <s v="UK pounds"/>
    <x v="0"/>
    <s v="UK"/>
    <x v="2"/>
    <x v="0"/>
    <x v="2"/>
    <s v="Consistent"/>
    <x v="0"/>
  </r>
  <r>
    <x v="144"/>
    <x v="0"/>
    <x v="174"/>
    <n v="747469164"/>
    <n v="557.13"/>
    <s v="UK pounds"/>
    <s v="UK pounds"/>
    <x v="0"/>
    <s v="UK"/>
    <x v="3"/>
    <x v="0"/>
    <x v="2"/>
    <s v="Consistent"/>
    <x v="0"/>
  </r>
  <r>
    <x v="145"/>
    <x v="0"/>
    <x v="175"/>
    <n v="9600841582"/>
    <n v="836.76"/>
    <s v="UK pounds"/>
    <s v="UK pounds"/>
    <x v="0"/>
    <s v="UK"/>
    <x v="4"/>
    <x v="0"/>
    <x v="2"/>
    <s v="Consistent"/>
    <x v="0"/>
  </r>
  <r>
    <x v="146"/>
    <x v="0"/>
    <x v="176"/>
    <n v="1377603863"/>
    <n v="10264.620000000001"/>
    <s v="UK pounds"/>
    <s v="UK pounds"/>
    <x v="0"/>
    <s v="UK"/>
    <x v="5"/>
    <x v="0"/>
    <x v="3"/>
    <s v="Consistent"/>
    <x v="0"/>
  </r>
  <r>
    <x v="146"/>
    <x v="0"/>
    <x v="163"/>
    <n v="2127570174"/>
    <n v="11742.77"/>
    <s v="UK pounds"/>
    <s v="UK pounds"/>
    <x v="0"/>
    <s v="UK"/>
    <x v="2"/>
    <x v="0"/>
    <x v="1"/>
    <s v="Consistent"/>
    <x v="0"/>
  </r>
  <r>
    <x v="147"/>
    <x v="0"/>
    <x v="177"/>
    <n v="2115081579"/>
    <n v="2702.26"/>
    <s v="Swiss franc"/>
    <s v="UK pounds"/>
    <x v="0"/>
    <s v="UK"/>
    <x v="5"/>
    <x v="0"/>
    <x v="2"/>
    <s v="Potential Layering"/>
    <x v="0"/>
  </r>
  <r>
    <x v="148"/>
    <x v="0"/>
    <x v="26"/>
    <n v="9700169638"/>
    <n v="6386.85"/>
    <s v="UK pounds"/>
    <s v="UK pounds"/>
    <x v="0"/>
    <s v="UK"/>
    <x v="4"/>
    <x v="0"/>
    <x v="2"/>
    <s v="Consistent"/>
    <x v="0"/>
  </r>
  <r>
    <x v="149"/>
    <x v="0"/>
    <x v="178"/>
    <n v="1869412992"/>
    <n v="4387.99"/>
    <s v="UK pounds"/>
    <s v="UK pounds"/>
    <x v="0"/>
    <s v="UK"/>
    <x v="4"/>
    <x v="0"/>
    <x v="2"/>
    <s v="Consistent"/>
    <x v="0"/>
  </r>
  <r>
    <x v="150"/>
    <x v="0"/>
    <x v="179"/>
    <n v="2534644942"/>
    <n v="23161.439999999999"/>
    <s v="UK pounds"/>
    <s v="Euro"/>
    <x v="0"/>
    <s v="France"/>
    <x v="1"/>
    <x v="0"/>
    <x v="3"/>
    <s v="Potential Layering"/>
    <x v="0"/>
  </r>
  <r>
    <x v="151"/>
    <x v="0"/>
    <x v="180"/>
    <n v="1726009446"/>
    <n v="6614.91"/>
    <s v="UK pounds"/>
    <s v="UK pounds"/>
    <x v="0"/>
    <s v="UK"/>
    <x v="3"/>
    <x v="0"/>
    <x v="2"/>
    <s v="Consistent"/>
    <x v="0"/>
  </r>
  <r>
    <x v="152"/>
    <x v="0"/>
    <x v="1"/>
    <n v="9460624653"/>
    <n v="12782.41"/>
    <s v="UK pounds"/>
    <s v="Euro"/>
    <x v="0"/>
    <s v="Spain"/>
    <x v="1"/>
    <x v="0"/>
    <x v="1"/>
    <s v="Potential Layering"/>
    <x v="0"/>
  </r>
  <r>
    <x v="153"/>
    <x v="0"/>
    <x v="181"/>
    <n v="5542800888"/>
    <n v="444.73"/>
    <s v="UK pounds"/>
    <s v="Euro"/>
    <x v="0"/>
    <s v="Italy"/>
    <x v="1"/>
    <x v="0"/>
    <x v="2"/>
    <s v="Potential Layering"/>
    <x v="0"/>
  </r>
  <r>
    <x v="154"/>
    <x v="0"/>
    <x v="182"/>
    <n v="3036452508"/>
    <n v="582.28"/>
    <s v="UK pounds"/>
    <s v="UK pounds"/>
    <x v="0"/>
    <s v="UK"/>
    <x v="3"/>
    <x v="0"/>
    <x v="2"/>
    <s v="Consistent"/>
    <x v="0"/>
  </r>
  <r>
    <x v="155"/>
    <x v="0"/>
    <x v="183"/>
    <n v="2121295948"/>
    <n v="18284.95"/>
    <s v="UK pounds"/>
    <s v="UK pounds"/>
    <x v="0"/>
    <s v="UK"/>
    <x v="2"/>
    <x v="0"/>
    <x v="2"/>
    <s v="Consistent"/>
    <x v="0"/>
  </r>
  <r>
    <x v="156"/>
    <x v="0"/>
    <x v="184"/>
    <n v="6953672776"/>
    <n v="7696.15"/>
    <s v="UK pounds"/>
    <s v="Mexican Peso"/>
    <x v="0"/>
    <s v="Mexico"/>
    <x v="1"/>
    <x v="0"/>
    <x v="3"/>
    <s v="Potential Layering"/>
    <x v="0"/>
  </r>
  <r>
    <x v="157"/>
    <x v="0"/>
    <x v="185"/>
    <n v="1060451637"/>
    <n v="1209.21"/>
    <s v="UK pounds"/>
    <s v="UK pounds"/>
    <x v="0"/>
    <s v="UK"/>
    <x v="2"/>
    <x v="0"/>
    <x v="2"/>
    <s v="Consistent"/>
    <x v="0"/>
  </r>
  <r>
    <x v="158"/>
    <x v="0"/>
    <x v="186"/>
    <n v="1320927231"/>
    <n v="4625.74"/>
    <s v="UK pounds"/>
    <s v="UK pounds"/>
    <x v="0"/>
    <s v="UK"/>
    <x v="5"/>
    <x v="0"/>
    <x v="3"/>
    <s v="Consistent"/>
    <x v="0"/>
  </r>
  <r>
    <x v="159"/>
    <x v="0"/>
    <x v="86"/>
    <n v="2361327503"/>
    <n v="7526.19"/>
    <s v="UK pounds"/>
    <s v="UK pounds"/>
    <x v="0"/>
    <s v="UK"/>
    <x v="4"/>
    <x v="0"/>
    <x v="1"/>
    <s v="Consistent"/>
    <x v="0"/>
  </r>
  <r>
    <x v="160"/>
    <x v="0"/>
    <x v="1"/>
    <n v="2482957386"/>
    <n v="26553.78"/>
    <s v="Pakistani rupee"/>
    <s v="UK pounds"/>
    <x v="0"/>
    <s v="UK"/>
    <x v="4"/>
    <x v="0"/>
    <x v="1"/>
    <s v="Potential Layering"/>
    <x v="0"/>
  </r>
  <r>
    <x v="160"/>
    <x v="0"/>
    <x v="187"/>
    <n v="6953672776"/>
    <n v="9544.33"/>
    <s v="UK pounds"/>
    <s v="Mexican Peso"/>
    <x v="0"/>
    <s v="Mexico"/>
    <x v="1"/>
    <x v="0"/>
    <x v="3"/>
    <s v="Potential Layering"/>
    <x v="0"/>
  </r>
  <r>
    <x v="161"/>
    <x v="0"/>
    <x v="188"/>
    <n v="8352571580"/>
    <n v="14689.65"/>
    <s v="UK pounds"/>
    <s v="UK pounds"/>
    <x v="0"/>
    <s v="UK"/>
    <x v="2"/>
    <x v="0"/>
    <x v="3"/>
    <s v="Consistent"/>
    <x v="0"/>
  </r>
  <r>
    <x v="162"/>
    <x v="0"/>
    <x v="189"/>
    <n v="6715341584"/>
    <n v="732.68"/>
    <s v="Albanian lek"/>
    <s v="Albanian lek"/>
    <x v="1"/>
    <s v="Albania"/>
    <x v="5"/>
    <x v="0"/>
    <x v="2"/>
    <s v="Consistent"/>
    <x v="1"/>
  </r>
  <r>
    <x v="163"/>
    <x v="0"/>
    <x v="190"/>
    <n v="6839247924"/>
    <n v="536.23"/>
    <s v="UK pounds"/>
    <s v="UK pounds"/>
    <x v="0"/>
    <s v="UK"/>
    <x v="3"/>
    <x v="0"/>
    <x v="2"/>
    <s v="Consistent"/>
    <x v="0"/>
  </r>
  <r>
    <x v="163"/>
    <x v="0"/>
    <x v="46"/>
    <n v="1509557999"/>
    <n v="15793.52"/>
    <s v="UK pounds"/>
    <s v="UK pounds"/>
    <x v="0"/>
    <s v="UK"/>
    <x v="2"/>
    <x v="0"/>
    <x v="1"/>
    <s v="Consistent"/>
    <x v="0"/>
  </r>
  <r>
    <x v="164"/>
    <x v="0"/>
    <x v="191"/>
    <n v="2939719836"/>
    <n v="4502.75"/>
    <s v="UK pounds"/>
    <s v="UK pounds"/>
    <x v="0"/>
    <s v="UK"/>
    <x v="5"/>
    <x v="0"/>
    <x v="2"/>
    <s v="Consistent"/>
    <x v="0"/>
  </r>
  <r>
    <x v="164"/>
    <x v="0"/>
    <x v="192"/>
    <n v="2534644942"/>
    <n v="7944.21"/>
    <s v="UK pounds"/>
    <s v="Euro"/>
    <x v="0"/>
    <s v="France"/>
    <x v="1"/>
    <x v="0"/>
    <x v="3"/>
    <s v="Potential Layering"/>
    <x v="0"/>
  </r>
  <r>
    <x v="165"/>
    <x v="0"/>
    <x v="193"/>
    <n v="4270865741"/>
    <n v="6124.4"/>
    <s v="UK pounds"/>
    <s v="UK pounds"/>
    <x v="0"/>
    <s v="UK"/>
    <x v="2"/>
    <x v="0"/>
    <x v="3"/>
    <s v="Consistent"/>
    <x v="0"/>
  </r>
  <r>
    <x v="165"/>
    <x v="0"/>
    <x v="194"/>
    <n v="7939232128"/>
    <n v="7642.78"/>
    <s v="UK pounds"/>
    <s v="UK pounds"/>
    <x v="0"/>
    <s v="UK"/>
    <x v="5"/>
    <x v="0"/>
    <x v="2"/>
    <s v="Consistent"/>
    <x v="0"/>
  </r>
  <r>
    <x v="166"/>
    <x v="0"/>
    <x v="163"/>
    <n v="6763420838"/>
    <n v="28098.16"/>
    <s v="UK pounds"/>
    <s v="UK pounds"/>
    <x v="0"/>
    <s v="UK"/>
    <x v="4"/>
    <x v="0"/>
    <x v="8"/>
    <s v="Consistent"/>
    <x v="0"/>
  </r>
  <r>
    <x v="167"/>
    <x v="0"/>
    <x v="195"/>
    <n v="4701651456"/>
    <n v="9233.24"/>
    <s v="UK pounds"/>
    <s v="UK pounds"/>
    <x v="0"/>
    <s v="UK"/>
    <x v="3"/>
    <x v="0"/>
    <x v="1"/>
    <s v="Consistent"/>
    <x v="0"/>
  </r>
  <r>
    <x v="168"/>
    <x v="0"/>
    <x v="196"/>
    <n v="2584568182"/>
    <n v="2833.91"/>
    <s v="UK pounds"/>
    <s v="UK pounds"/>
    <x v="0"/>
    <s v="UK"/>
    <x v="3"/>
    <x v="0"/>
    <x v="6"/>
    <s v="Consistent"/>
    <x v="0"/>
  </r>
  <r>
    <x v="168"/>
    <x v="0"/>
    <x v="197"/>
    <n v="1493436023"/>
    <n v="7586.7"/>
    <s v="UK pounds"/>
    <s v="UK pounds"/>
    <x v="0"/>
    <s v="UK"/>
    <x v="5"/>
    <x v="0"/>
    <x v="3"/>
    <s v="Consistent"/>
    <x v="0"/>
  </r>
  <r>
    <x v="169"/>
    <x v="0"/>
    <x v="198"/>
    <n v="5919128024"/>
    <n v="2356.7800000000002"/>
    <s v="UK pounds"/>
    <s v="UK pounds"/>
    <x v="0"/>
    <s v="UK"/>
    <x v="3"/>
    <x v="0"/>
    <x v="2"/>
    <s v="Consistent"/>
    <x v="0"/>
  </r>
  <r>
    <x v="170"/>
    <x v="0"/>
    <x v="199"/>
    <n v="4900871305"/>
    <n v="78.53"/>
    <s v="UK pounds"/>
    <s v="UK pounds"/>
    <x v="0"/>
    <s v="UK"/>
    <x v="6"/>
    <x v="0"/>
    <x v="5"/>
    <s v="Consistent"/>
    <x v="0"/>
  </r>
  <r>
    <x v="171"/>
    <x v="0"/>
    <x v="200"/>
    <n v="7223756670"/>
    <n v="154.71"/>
    <s v="UK pounds"/>
    <s v="UK pounds"/>
    <x v="0"/>
    <s v="UK"/>
    <x v="6"/>
    <x v="0"/>
    <x v="5"/>
    <s v="Consistent"/>
    <x v="0"/>
  </r>
  <r>
    <x v="171"/>
    <x v="0"/>
    <x v="201"/>
    <n v="7080357663"/>
    <n v="30535.439999999999"/>
    <s v="UK pounds"/>
    <s v="UK pounds"/>
    <x v="0"/>
    <s v="UK"/>
    <x v="4"/>
    <x v="0"/>
    <x v="3"/>
    <s v="Consistent"/>
    <x v="0"/>
  </r>
  <r>
    <x v="172"/>
    <x v="0"/>
    <x v="202"/>
    <n v="5109623450"/>
    <n v="7826.42"/>
    <s v="UK pounds"/>
    <s v="UK pounds"/>
    <x v="0"/>
    <s v="UK"/>
    <x v="4"/>
    <x v="0"/>
    <x v="3"/>
    <s v="Consistent"/>
    <x v="0"/>
  </r>
  <r>
    <x v="173"/>
    <x v="0"/>
    <x v="203"/>
    <n v="1526868567"/>
    <n v="1915.77"/>
    <s v="UK pounds"/>
    <s v="UK pounds"/>
    <x v="0"/>
    <s v="UK"/>
    <x v="4"/>
    <x v="0"/>
    <x v="2"/>
    <s v="Consistent"/>
    <x v="0"/>
  </r>
  <r>
    <x v="174"/>
    <x v="0"/>
    <x v="204"/>
    <n v="589468112"/>
    <n v="3622.36"/>
    <s v="UK pounds"/>
    <s v="UK pounds"/>
    <x v="0"/>
    <s v="UK"/>
    <x v="4"/>
    <x v="0"/>
    <x v="6"/>
    <s v="Consistent"/>
    <x v="0"/>
  </r>
  <r>
    <x v="174"/>
    <x v="0"/>
    <x v="205"/>
    <n v="4481201444"/>
    <n v="2440.77"/>
    <s v="UK pounds"/>
    <s v="UK pounds"/>
    <x v="0"/>
    <s v="UK"/>
    <x v="2"/>
    <x v="0"/>
    <x v="4"/>
    <s v="Consistent"/>
    <x v="0"/>
  </r>
  <r>
    <x v="175"/>
    <x v="0"/>
    <x v="206"/>
    <n v="911722658"/>
    <n v="11320.86"/>
    <s v="Naira"/>
    <s v="UK pounds"/>
    <x v="2"/>
    <s v="UK"/>
    <x v="1"/>
    <x v="0"/>
    <x v="6"/>
    <s v="Potential Layering"/>
    <x v="1"/>
  </r>
  <r>
    <x v="176"/>
    <x v="0"/>
    <x v="207"/>
    <n v="3232526590"/>
    <n v="875.08"/>
    <s v="UK pounds"/>
    <s v="UK pounds"/>
    <x v="0"/>
    <s v="UK"/>
    <x v="0"/>
    <x v="0"/>
    <x v="0"/>
    <s v="Consistent"/>
    <x v="0"/>
  </r>
  <r>
    <x v="177"/>
    <x v="0"/>
    <x v="208"/>
    <n v="7199625988"/>
    <n v="15882.98"/>
    <s v="UK pounds"/>
    <s v="UK pounds"/>
    <x v="0"/>
    <s v="UK"/>
    <x v="2"/>
    <x v="0"/>
    <x v="3"/>
    <s v="Consistent"/>
    <x v="0"/>
  </r>
  <r>
    <x v="178"/>
    <x v="0"/>
    <x v="209"/>
    <n v="5628674969"/>
    <n v="6731.23"/>
    <s v="UK pounds"/>
    <s v="UK pounds"/>
    <x v="0"/>
    <s v="UK"/>
    <x v="2"/>
    <x v="0"/>
    <x v="3"/>
    <s v="Consistent"/>
    <x v="0"/>
  </r>
  <r>
    <x v="178"/>
    <x v="0"/>
    <x v="210"/>
    <n v="7141835964"/>
    <n v="8089.18"/>
    <s v="UK pounds"/>
    <s v="UK pounds"/>
    <x v="0"/>
    <s v="UK"/>
    <x v="2"/>
    <x v="0"/>
    <x v="1"/>
    <s v="Consistent"/>
    <x v="0"/>
  </r>
  <r>
    <x v="179"/>
    <x v="0"/>
    <x v="211"/>
    <n v="551907699"/>
    <n v="8849.16"/>
    <s v="UK pounds"/>
    <s v="UK pounds"/>
    <x v="0"/>
    <s v="UK"/>
    <x v="5"/>
    <x v="0"/>
    <x v="6"/>
    <s v="Consistent"/>
    <x v="0"/>
  </r>
  <r>
    <x v="180"/>
    <x v="0"/>
    <x v="34"/>
    <n v="7417876118"/>
    <n v="5908.02"/>
    <s v="UK pounds"/>
    <s v="UK pounds"/>
    <x v="0"/>
    <s v="UK"/>
    <x v="2"/>
    <x v="0"/>
    <x v="1"/>
    <s v="Consistent"/>
    <x v="0"/>
  </r>
  <r>
    <x v="180"/>
    <x v="0"/>
    <x v="212"/>
    <n v="1465487567"/>
    <n v="9602.2000000000007"/>
    <s v="UK pounds"/>
    <s v="UK pounds"/>
    <x v="0"/>
    <s v="UK"/>
    <x v="2"/>
    <x v="0"/>
    <x v="3"/>
    <s v="Consistent"/>
    <x v="0"/>
  </r>
  <r>
    <x v="180"/>
    <x v="0"/>
    <x v="163"/>
    <n v="5866348729"/>
    <n v="16299.03"/>
    <s v="UK pounds"/>
    <s v="UK pounds"/>
    <x v="0"/>
    <s v="UK"/>
    <x v="5"/>
    <x v="0"/>
    <x v="1"/>
    <s v="Consistent"/>
    <x v="0"/>
  </r>
  <r>
    <x v="181"/>
    <x v="0"/>
    <x v="213"/>
    <n v="3695545812"/>
    <n v="5565.92"/>
    <s v="UK pounds"/>
    <s v="UK pounds"/>
    <x v="0"/>
    <s v="UK"/>
    <x v="5"/>
    <x v="0"/>
    <x v="3"/>
    <s v="Consistent"/>
    <x v="0"/>
  </r>
  <r>
    <x v="182"/>
    <x v="0"/>
    <x v="214"/>
    <n v="5528340432"/>
    <n v="2484.8000000000002"/>
    <s v="UK pounds"/>
    <s v="UK pounds"/>
    <x v="0"/>
    <s v="UK"/>
    <x v="2"/>
    <x v="0"/>
    <x v="2"/>
    <s v="Consistent"/>
    <x v="0"/>
  </r>
  <r>
    <x v="183"/>
    <x v="0"/>
    <x v="215"/>
    <n v="4144650873"/>
    <n v="403.92"/>
    <s v="UK pounds"/>
    <s v="UK pounds"/>
    <x v="0"/>
    <s v="UK"/>
    <x v="5"/>
    <x v="0"/>
    <x v="2"/>
    <s v="Consistent"/>
    <x v="0"/>
  </r>
  <r>
    <x v="184"/>
    <x v="0"/>
    <x v="216"/>
    <n v="1431561040"/>
    <n v="6893.67"/>
    <s v="UK pounds"/>
    <s v="UK pounds"/>
    <x v="0"/>
    <s v="UK"/>
    <x v="5"/>
    <x v="0"/>
    <x v="3"/>
    <s v="Consistent"/>
    <x v="0"/>
  </r>
  <r>
    <x v="185"/>
    <x v="0"/>
    <x v="217"/>
    <n v="6223365730"/>
    <n v="15135.99"/>
    <s v="UK pounds"/>
    <s v="UK pounds"/>
    <x v="0"/>
    <s v="UK"/>
    <x v="2"/>
    <x v="0"/>
    <x v="3"/>
    <s v="Consistent"/>
    <x v="0"/>
  </r>
  <r>
    <x v="186"/>
    <x v="0"/>
    <x v="218"/>
    <n v="8184833329"/>
    <n v="4294.42"/>
    <s v="UK pounds"/>
    <s v="UK pounds"/>
    <x v="0"/>
    <s v="UK"/>
    <x v="3"/>
    <x v="0"/>
    <x v="2"/>
    <s v="Consistent"/>
    <x v="0"/>
  </r>
  <r>
    <x v="187"/>
    <x v="0"/>
    <x v="219"/>
    <n v="3220735304"/>
    <n v="19546.05"/>
    <s v="UK pounds"/>
    <s v="UK pounds"/>
    <x v="0"/>
    <s v="UK"/>
    <x v="4"/>
    <x v="0"/>
    <x v="3"/>
    <s v="Consistent"/>
    <x v="0"/>
  </r>
  <r>
    <x v="188"/>
    <x v="0"/>
    <x v="220"/>
    <n v="2367741630"/>
    <n v="4889.84"/>
    <s v="UK pounds"/>
    <s v="UK pounds"/>
    <x v="0"/>
    <s v="UK"/>
    <x v="4"/>
    <x v="0"/>
    <x v="4"/>
    <s v="Consistent"/>
    <x v="0"/>
  </r>
  <r>
    <x v="189"/>
    <x v="0"/>
    <x v="221"/>
    <n v="5896180453"/>
    <n v="6266.01"/>
    <s v="UK pounds"/>
    <s v="UK pounds"/>
    <x v="0"/>
    <s v="UK"/>
    <x v="2"/>
    <x v="0"/>
    <x v="3"/>
    <s v="Consistent"/>
    <x v="0"/>
  </r>
  <r>
    <x v="190"/>
    <x v="0"/>
    <x v="222"/>
    <n v="7728251413"/>
    <n v="14195.1"/>
    <s v="UK pounds"/>
    <s v="UK pounds"/>
    <x v="0"/>
    <s v="UK"/>
    <x v="2"/>
    <x v="0"/>
    <x v="2"/>
    <s v="Consistent"/>
    <x v="0"/>
  </r>
  <r>
    <x v="191"/>
    <x v="0"/>
    <x v="161"/>
    <n v="7897279705"/>
    <n v="5289.08"/>
    <s v="UK pounds"/>
    <s v="UK pounds"/>
    <x v="0"/>
    <s v="UK"/>
    <x v="4"/>
    <x v="0"/>
    <x v="1"/>
    <s v="Consistent"/>
    <x v="0"/>
  </r>
  <r>
    <x v="192"/>
    <x v="0"/>
    <x v="124"/>
    <n v="8617863283"/>
    <n v="5863.12"/>
    <s v="UK pounds"/>
    <s v="UK pounds"/>
    <x v="0"/>
    <s v="UK"/>
    <x v="4"/>
    <x v="0"/>
    <x v="1"/>
    <s v="Consistent"/>
    <x v="0"/>
  </r>
  <r>
    <x v="193"/>
    <x v="0"/>
    <x v="223"/>
    <n v="8352571580"/>
    <n v="10941.94"/>
    <s v="UK pounds"/>
    <s v="UK pounds"/>
    <x v="0"/>
    <s v="UK"/>
    <x v="3"/>
    <x v="0"/>
    <x v="3"/>
    <s v="Consistent"/>
    <x v="0"/>
  </r>
  <r>
    <x v="194"/>
    <x v="0"/>
    <x v="224"/>
    <n v="8172080174"/>
    <n v="4847.6400000000003"/>
    <s v="UK pounds"/>
    <s v="UK pounds"/>
    <x v="0"/>
    <s v="UK"/>
    <x v="3"/>
    <x v="0"/>
    <x v="3"/>
    <s v="Consistent"/>
    <x v="0"/>
  </r>
  <r>
    <x v="194"/>
    <x v="0"/>
    <x v="225"/>
    <n v="8897329050"/>
    <n v="19365.46"/>
    <s v="UK pounds"/>
    <s v="UK pounds"/>
    <x v="0"/>
    <s v="UK"/>
    <x v="5"/>
    <x v="0"/>
    <x v="2"/>
    <s v="Consistent"/>
    <x v="0"/>
  </r>
  <r>
    <x v="195"/>
    <x v="0"/>
    <x v="40"/>
    <n v="375015805"/>
    <n v="4451.6400000000003"/>
    <s v="UK pounds"/>
    <s v="UK pounds"/>
    <x v="0"/>
    <s v="UK"/>
    <x v="3"/>
    <x v="0"/>
    <x v="1"/>
    <s v="Consistent"/>
    <x v="0"/>
  </r>
  <r>
    <x v="196"/>
    <x v="0"/>
    <x v="226"/>
    <n v="5631378382"/>
    <n v="3152.7"/>
    <s v="UK pounds"/>
    <s v="UK pounds"/>
    <x v="0"/>
    <s v="UK"/>
    <x v="2"/>
    <x v="0"/>
    <x v="2"/>
    <s v="Consistent"/>
    <x v="0"/>
  </r>
  <r>
    <x v="197"/>
    <x v="0"/>
    <x v="227"/>
    <n v="3810300721"/>
    <n v="10659.94"/>
    <s v="UK pounds"/>
    <s v="UK pounds"/>
    <x v="0"/>
    <s v="UK"/>
    <x v="2"/>
    <x v="0"/>
    <x v="2"/>
    <s v="Consistent"/>
    <x v="0"/>
  </r>
  <r>
    <x v="198"/>
    <x v="0"/>
    <x v="228"/>
    <n v="6444220418"/>
    <n v="9378.83"/>
    <s v="UK pounds"/>
    <s v="UK pounds"/>
    <x v="0"/>
    <s v="UK"/>
    <x v="2"/>
    <x v="0"/>
    <x v="3"/>
    <s v="Consistent"/>
    <x v="0"/>
  </r>
  <r>
    <x v="199"/>
    <x v="0"/>
    <x v="229"/>
    <n v="9343850846"/>
    <n v="19093.03"/>
    <s v="UK pounds"/>
    <s v="UK pounds"/>
    <x v="0"/>
    <s v="UK"/>
    <x v="3"/>
    <x v="0"/>
    <x v="2"/>
    <s v="Consistent"/>
    <x v="0"/>
  </r>
  <r>
    <x v="200"/>
    <x v="0"/>
    <x v="230"/>
    <n v="5628674969"/>
    <n v="6576.56"/>
    <s v="UK pounds"/>
    <s v="UK pounds"/>
    <x v="0"/>
    <s v="UK"/>
    <x v="4"/>
    <x v="0"/>
    <x v="3"/>
    <s v="Consistent"/>
    <x v="0"/>
  </r>
  <r>
    <x v="201"/>
    <x v="0"/>
    <x v="231"/>
    <n v="7841784544"/>
    <n v="199.6"/>
    <s v="UK pounds"/>
    <s v="UK pounds"/>
    <x v="0"/>
    <s v="UK"/>
    <x v="6"/>
    <x v="0"/>
    <x v="5"/>
    <s v="Consistent"/>
    <x v="0"/>
  </r>
  <r>
    <x v="202"/>
    <x v="0"/>
    <x v="232"/>
    <n v="9141433772"/>
    <n v="2761.31"/>
    <s v="UK pounds"/>
    <s v="UK pounds"/>
    <x v="0"/>
    <s v="UK"/>
    <x v="0"/>
    <x v="0"/>
    <x v="0"/>
    <s v="Consistent"/>
    <x v="0"/>
  </r>
  <r>
    <x v="203"/>
    <x v="0"/>
    <x v="195"/>
    <n v="5510366236"/>
    <n v="6179.05"/>
    <s v="UK pounds"/>
    <s v="UK pounds"/>
    <x v="0"/>
    <s v="UK"/>
    <x v="2"/>
    <x v="0"/>
    <x v="1"/>
    <s v="Consistent"/>
    <x v="0"/>
  </r>
  <r>
    <x v="204"/>
    <x v="0"/>
    <x v="8"/>
    <n v="7749320382"/>
    <n v="10544.36"/>
    <s v="UK pounds"/>
    <s v="UK pounds"/>
    <x v="0"/>
    <s v="UK"/>
    <x v="5"/>
    <x v="0"/>
    <x v="1"/>
    <s v="Consistent"/>
    <x v="0"/>
  </r>
  <r>
    <x v="204"/>
    <x v="0"/>
    <x v="124"/>
    <n v="3546968911"/>
    <n v="5060.59"/>
    <s v="UK pounds"/>
    <s v="Euro"/>
    <x v="0"/>
    <s v="Germany"/>
    <x v="1"/>
    <x v="0"/>
    <x v="1"/>
    <s v="Potential Layering"/>
    <x v="0"/>
  </r>
  <r>
    <x v="204"/>
    <x v="0"/>
    <x v="20"/>
    <n v="7543250720"/>
    <n v="6866.28"/>
    <s v="UK pounds"/>
    <s v="UK pounds"/>
    <x v="0"/>
    <s v="UK"/>
    <x v="5"/>
    <x v="0"/>
    <x v="1"/>
    <s v="Consistent"/>
    <x v="0"/>
  </r>
  <r>
    <x v="205"/>
    <x v="0"/>
    <x v="233"/>
    <n v="7509313232"/>
    <n v="2736.89"/>
    <s v="UK pounds"/>
    <s v="UK pounds"/>
    <x v="0"/>
    <s v="UK"/>
    <x v="5"/>
    <x v="0"/>
    <x v="2"/>
    <s v="Consistent"/>
    <x v="0"/>
  </r>
  <r>
    <x v="206"/>
    <x v="0"/>
    <x v="234"/>
    <n v="1965521445"/>
    <n v="7707.06"/>
    <s v="UK pounds"/>
    <s v="UK pounds"/>
    <x v="0"/>
    <s v="UK"/>
    <x v="2"/>
    <x v="0"/>
    <x v="2"/>
    <s v="Consistent"/>
    <x v="0"/>
  </r>
  <r>
    <x v="207"/>
    <x v="0"/>
    <x v="195"/>
    <n v="2088570270"/>
    <n v="18259.91"/>
    <s v="UK pounds"/>
    <s v="UK pounds"/>
    <x v="0"/>
    <s v="UK"/>
    <x v="4"/>
    <x v="0"/>
    <x v="1"/>
    <s v="Consistent"/>
    <x v="0"/>
  </r>
  <r>
    <x v="207"/>
    <x v="0"/>
    <x v="75"/>
    <n v="5677353991"/>
    <n v="4875.1000000000004"/>
    <s v="UK pounds"/>
    <s v="UK pounds"/>
    <x v="0"/>
    <s v="UK"/>
    <x v="2"/>
    <x v="0"/>
    <x v="1"/>
    <s v="Consistent"/>
    <x v="0"/>
  </r>
  <r>
    <x v="208"/>
    <x v="0"/>
    <x v="235"/>
    <n v="6278770348"/>
    <n v="8036.15"/>
    <s v="UK pounds"/>
    <s v="UK pounds"/>
    <x v="0"/>
    <s v="UK"/>
    <x v="3"/>
    <x v="0"/>
    <x v="2"/>
    <s v="Consistent"/>
    <x v="0"/>
  </r>
  <r>
    <x v="209"/>
    <x v="0"/>
    <x v="236"/>
    <n v="7080357663"/>
    <n v="27479.439999999999"/>
    <s v="Yen"/>
    <s v="UK pounds"/>
    <x v="3"/>
    <s v="UK"/>
    <x v="1"/>
    <x v="0"/>
    <x v="3"/>
    <s v="Potential Layering"/>
    <x v="2"/>
  </r>
  <r>
    <x v="210"/>
    <x v="0"/>
    <x v="237"/>
    <n v="1939681909"/>
    <n v="7869.67"/>
    <s v="UK pounds"/>
    <s v="UK pounds"/>
    <x v="0"/>
    <s v="UK"/>
    <x v="5"/>
    <x v="0"/>
    <x v="2"/>
    <s v="Consistent"/>
    <x v="0"/>
  </r>
  <r>
    <x v="211"/>
    <x v="0"/>
    <x v="238"/>
    <n v="1732858296"/>
    <n v="9412.0400000000009"/>
    <s v="UK pounds"/>
    <s v="UK pounds"/>
    <x v="0"/>
    <s v="UK"/>
    <x v="5"/>
    <x v="0"/>
    <x v="1"/>
    <s v="Consistent"/>
    <x v="0"/>
  </r>
  <r>
    <x v="211"/>
    <x v="0"/>
    <x v="239"/>
    <n v="1377603863"/>
    <n v="21950.61"/>
    <s v="UK pounds"/>
    <s v="UK pounds"/>
    <x v="0"/>
    <s v="UK"/>
    <x v="3"/>
    <x v="0"/>
    <x v="3"/>
    <s v="Consistent"/>
    <x v="0"/>
  </r>
  <r>
    <x v="212"/>
    <x v="0"/>
    <x v="240"/>
    <n v="2714320850"/>
    <n v="305.05"/>
    <s v="UK pounds"/>
    <s v="UK pounds"/>
    <x v="0"/>
    <s v="UK"/>
    <x v="6"/>
    <x v="0"/>
    <x v="5"/>
    <s v="Consistent"/>
    <x v="0"/>
  </r>
  <r>
    <x v="213"/>
    <x v="0"/>
    <x v="241"/>
    <n v="8852169475"/>
    <n v="36.69"/>
    <s v="UK pounds"/>
    <s v="UK pounds"/>
    <x v="0"/>
    <s v="UK"/>
    <x v="6"/>
    <x v="0"/>
    <x v="5"/>
    <s v="Consistent"/>
    <x v="0"/>
  </r>
  <r>
    <x v="214"/>
    <x v="0"/>
    <x v="242"/>
    <n v="9752658168"/>
    <n v="503.83"/>
    <s v="UK pounds"/>
    <s v="UK pounds"/>
    <x v="0"/>
    <s v="UK"/>
    <x v="4"/>
    <x v="0"/>
    <x v="2"/>
    <s v="Consistent"/>
    <x v="0"/>
  </r>
  <r>
    <x v="215"/>
    <x v="0"/>
    <x v="35"/>
    <n v="3923530563"/>
    <n v="11526.89"/>
    <s v="UK pounds"/>
    <s v="UK pounds"/>
    <x v="0"/>
    <s v="UK"/>
    <x v="4"/>
    <x v="0"/>
    <x v="1"/>
    <s v="Consistent"/>
    <x v="0"/>
  </r>
  <r>
    <x v="216"/>
    <x v="0"/>
    <x v="243"/>
    <n v="148220861"/>
    <n v="4619.17"/>
    <s v="Euro"/>
    <s v="Euro"/>
    <x v="4"/>
    <s v="France"/>
    <x v="1"/>
    <x v="0"/>
    <x v="1"/>
    <s v="Consistent"/>
    <x v="0"/>
  </r>
  <r>
    <x v="217"/>
    <x v="0"/>
    <x v="63"/>
    <n v="3681770380"/>
    <n v="22363.42"/>
    <s v="UK pounds"/>
    <s v="UK pounds"/>
    <x v="0"/>
    <s v="UK"/>
    <x v="3"/>
    <x v="0"/>
    <x v="1"/>
    <s v="Consistent"/>
    <x v="0"/>
  </r>
  <r>
    <x v="218"/>
    <x v="0"/>
    <x v="244"/>
    <n v="5087385149"/>
    <n v="3535.52"/>
    <s v="UK pounds"/>
    <s v="UK pounds"/>
    <x v="0"/>
    <s v="UK"/>
    <x v="0"/>
    <x v="0"/>
    <x v="0"/>
    <s v="Consistent"/>
    <x v="0"/>
  </r>
  <r>
    <x v="219"/>
    <x v="0"/>
    <x v="245"/>
    <n v="4594125641"/>
    <n v="2293.21"/>
    <s v="UK pounds"/>
    <s v="UK pounds"/>
    <x v="0"/>
    <s v="UK"/>
    <x v="3"/>
    <x v="0"/>
    <x v="4"/>
    <s v="Consistent"/>
    <x v="0"/>
  </r>
  <r>
    <x v="220"/>
    <x v="0"/>
    <x v="246"/>
    <n v="5297691"/>
    <n v="1694.43"/>
    <s v="UK pounds"/>
    <s v="UK pounds"/>
    <x v="0"/>
    <s v="UK"/>
    <x v="3"/>
    <x v="0"/>
    <x v="2"/>
    <s v="Consistent"/>
    <x v="0"/>
  </r>
  <r>
    <x v="220"/>
    <x v="0"/>
    <x v="8"/>
    <n v="224176497"/>
    <n v="4598.3599999999997"/>
    <s v="UK pounds"/>
    <s v="UK pounds"/>
    <x v="0"/>
    <s v="UK"/>
    <x v="2"/>
    <x v="0"/>
    <x v="1"/>
    <s v="Consistent"/>
    <x v="0"/>
  </r>
  <r>
    <x v="220"/>
    <x v="0"/>
    <x v="247"/>
    <n v="3066321263"/>
    <n v="6048.62"/>
    <s v="UK pounds"/>
    <s v="UK pounds"/>
    <x v="0"/>
    <s v="UK"/>
    <x v="5"/>
    <x v="0"/>
    <x v="3"/>
    <s v="Consistent"/>
    <x v="0"/>
  </r>
  <r>
    <x v="221"/>
    <x v="0"/>
    <x v="248"/>
    <n v="8956282059"/>
    <n v="4573.57"/>
    <s v="UK pounds"/>
    <s v="UK pounds"/>
    <x v="0"/>
    <s v="UK"/>
    <x v="3"/>
    <x v="0"/>
    <x v="1"/>
    <s v="Consistent"/>
    <x v="0"/>
  </r>
  <r>
    <x v="222"/>
    <x v="0"/>
    <x v="249"/>
    <n v="956337257"/>
    <n v="3041.58"/>
    <s v="UK pounds"/>
    <s v="UK pounds"/>
    <x v="0"/>
    <s v="UK"/>
    <x v="2"/>
    <x v="0"/>
    <x v="2"/>
    <s v="Consistent"/>
    <x v="0"/>
  </r>
  <r>
    <x v="223"/>
    <x v="0"/>
    <x v="61"/>
    <n v="9982628328"/>
    <n v="7228.49"/>
    <s v="UK pounds"/>
    <s v="UK pounds"/>
    <x v="0"/>
    <s v="UK"/>
    <x v="5"/>
    <x v="0"/>
    <x v="1"/>
    <s v="Consistent"/>
    <x v="0"/>
  </r>
  <r>
    <x v="224"/>
    <x v="0"/>
    <x v="250"/>
    <n v="3141372444"/>
    <n v="2491.9299999999998"/>
    <s v="UK pounds"/>
    <s v="UK pounds"/>
    <x v="0"/>
    <s v="UK"/>
    <x v="5"/>
    <x v="0"/>
    <x v="2"/>
    <s v="Consistent"/>
    <x v="0"/>
  </r>
  <r>
    <x v="224"/>
    <x v="0"/>
    <x v="251"/>
    <n v="5858369125"/>
    <n v="17411.77"/>
    <s v="UK pounds"/>
    <s v="UK pounds"/>
    <x v="0"/>
    <s v="UK"/>
    <x v="4"/>
    <x v="0"/>
    <x v="3"/>
    <s v="Consistent"/>
    <x v="0"/>
  </r>
  <r>
    <x v="225"/>
    <x v="0"/>
    <x v="195"/>
    <n v="5162401694"/>
    <n v="10541.65"/>
    <s v="UK pounds"/>
    <s v="UK pounds"/>
    <x v="0"/>
    <s v="UK"/>
    <x v="3"/>
    <x v="0"/>
    <x v="1"/>
    <s v="Consistent"/>
    <x v="0"/>
  </r>
  <r>
    <x v="226"/>
    <x v="0"/>
    <x v="252"/>
    <n v="6244231175"/>
    <n v="1485.42"/>
    <s v="UK pounds"/>
    <s v="Mexican Peso"/>
    <x v="0"/>
    <s v="Mexico"/>
    <x v="1"/>
    <x v="0"/>
    <x v="4"/>
    <s v="Potential Layering"/>
    <x v="0"/>
  </r>
  <r>
    <x v="227"/>
    <x v="0"/>
    <x v="253"/>
    <n v="4540259703"/>
    <n v="147.41999999999999"/>
    <s v="UK pounds"/>
    <s v="UK pounds"/>
    <x v="0"/>
    <s v="UK"/>
    <x v="6"/>
    <x v="0"/>
    <x v="5"/>
    <s v="Consistent"/>
    <x v="0"/>
  </r>
  <r>
    <x v="227"/>
    <x v="0"/>
    <x v="161"/>
    <n v="7780773895"/>
    <n v="5208.21"/>
    <s v="UK pounds"/>
    <s v="UK pounds"/>
    <x v="0"/>
    <s v="UK"/>
    <x v="3"/>
    <x v="0"/>
    <x v="1"/>
    <s v="Consistent"/>
    <x v="0"/>
  </r>
  <r>
    <x v="228"/>
    <x v="0"/>
    <x v="254"/>
    <n v="409707192"/>
    <n v="11935.87"/>
    <s v="UK pounds"/>
    <s v="UK pounds"/>
    <x v="0"/>
    <s v="UK"/>
    <x v="2"/>
    <x v="0"/>
    <x v="3"/>
    <s v="Consistent"/>
    <x v="0"/>
  </r>
  <r>
    <x v="229"/>
    <x v="0"/>
    <x v="255"/>
    <n v="4787209426"/>
    <n v="12097.07"/>
    <s v="UK pounds"/>
    <s v="UK pounds"/>
    <x v="0"/>
    <s v="UK"/>
    <x v="4"/>
    <x v="0"/>
    <x v="1"/>
    <s v="Consistent"/>
    <x v="0"/>
  </r>
  <r>
    <x v="229"/>
    <x v="0"/>
    <x v="256"/>
    <n v="6818474150"/>
    <n v="881.71"/>
    <s v="UK pounds"/>
    <s v="UK pounds"/>
    <x v="0"/>
    <s v="UK"/>
    <x v="5"/>
    <x v="0"/>
    <x v="2"/>
    <s v="Consistent"/>
    <x v="0"/>
  </r>
  <r>
    <x v="230"/>
    <x v="0"/>
    <x v="161"/>
    <n v="9278521151"/>
    <n v="6935.79"/>
    <s v="UK pounds"/>
    <s v="Euro"/>
    <x v="0"/>
    <s v="UK"/>
    <x v="4"/>
    <x v="0"/>
    <x v="1"/>
    <s v="Potential Layering"/>
    <x v="0"/>
  </r>
  <r>
    <x v="231"/>
    <x v="0"/>
    <x v="257"/>
    <n v="6558968510"/>
    <n v="17198.77"/>
    <s v="UK pounds"/>
    <s v="UK pounds"/>
    <x v="0"/>
    <s v="UK"/>
    <x v="2"/>
    <x v="0"/>
    <x v="2"/>
    <s v="Consistent"/>
    <x v="0"/>
  </r>
  <r>
    <x v="232"/>
    <x v="0"/>
    <x v="258"/>
    <n v="2570862071"/>
    <n v="8552.4"/>
    <s v="UK pounds"/>
    <s v="UK pounds"/>
    <x v="0"/>
    <s v="UK"/>
    <x v="5"/>
    <x v="0"/>
    <x v="6"/>
    <s v="Consistent"/>
    <x v="0"/>
  </r>
  <r>
    <x v="233"/>
    <x v="0"/>
    <x v="259"/>
    <n v="1389390664"/>
    <n v="1484.62"/>
    <s v="UK pounds"/>
    <s v="UK pounds"/>
    <x v="0"/>
    <s v="UK"/>
    <x v="5"/>
    <x v="0"/>
    <x v="2"/>
    <s v="Consistent"/>
    <x v="0"/>
  </r>
  <r>
    <x v="234"/>
    <x v="0"/>
    <x v="260"/>
    <n v="1386678822"/>
    <n v="610.24"/>
    <s v="UK pounds"/>
    <s v="UK pounds"/>
    <x v="0"/>
    <s v="UK"/>
    <x v="5"/>
    <x v="0"/>
    <x v="2"/>
    <s v="Consistent"/>
    <x v="0"/>
  </r>
  <r>
    <x v="235"/>
    <x v="0"/>
    <x v="61"/>
    <n v="4525312913"/>
    <n v="12678"/>
    <s v="UK pounds"/>
    <s v="UK pounds"/>
    <x v="0"/>
    <s v="UK"/>
    <x v="2"/>
    <x v="0"/>
    <x v="1"/>
    <s v="Consistent"/>
    <x v="0"/>
  </r>
  <r>
    <x v="235"/>
    <x v="0"/>
    <x v="261"/>
    <n v="4195838974"/>
    <n v="1073.3"/>
    <s v="UK pounds"/>
    <s v="UK pounds"/>
    <x v="0"/>
    <s v="UK"/>
    <x v="3"/>
    <x v="0"/>
    <x v="2"/>
    <s v="Consistent"/>
    <x v="0"/>
  </r>
  <r>
    <x v="236"/>
    <x v="0"/>
    <x v="262"/>
    <n v="2138505015"/>
    <n v="10105.530000000001"/>
    <s v="UK pounds"/>
    <s v="Dirham"/>
    <x v="0"/>
    <s v="UAE"/>
    <x v="1"/>
    <x v="0"/>
    <x v="3"/>
    <s v="Potential Layering"/>
    <x v="0"/>
  </r>
  <r>
    <x v="237"/>
    <x v="0"/>
    <x v="263"/>
    <n v="1818872805"/>
    <n v="6663.66"/>
    <s v="UK pounds"/>
    <s v="UK pounds"/>
    <x v="0"/>
    <s v="UK"/>
    <x v="3"/>
    <x v="0"/>
    <x v="2"/>
    <s v="Consistent"/>
    <x v="0"/>
  </r>
  <r>
    <x v="238"/>
    <x v="0"/>
    <x v="264"/>
    <n v="5708936901"/>
    <n v="17738.509999999998"/>
    <s v="UK pounds"/>
    <s v="UK pounds"/>
    <x v="0"/>
    <s v="UK"/>
    <x v="3"/>
    <x v="0"/>
    <x v="3"/>
    <s v="Consistent"/>
    <x v="0"/>
  </r>
  <r>
    <x v="239"/>
    <x v="0"/>
    <x v="8"/>
    <n v="656192169"/>
    <n v="4742.1499999999996"/>
    <s v="UK pounds"/>
    <s v="UK pounds"/>
    <x v="0"/>
    <s v="UK"/>
    <x v="3"/>
    <x v="0"/>
    <x v="1"/>
    <s v="Consistent"/>
    <x v="0"/>
  </r>
  <r>
    <x v="240"/>
    <x v="0"/>
    <x v="265"/>
    <n v="606064149"/>
    <n v="556.79999999999995"/>
    <s v="UK pounds"/>
    <s v="UK pounds"/>
    <x v="0"/>
    <s v="UK"/>
    <x v="2"/>
    <x v="0"/>
    <x v="4"/>
    <s v="Consistent"/>
    <x v="0"/>
  </r>
  <r>
    <x v="241"/>
    <x v="0"/>
    <x v="38"/>
    <n v="8518184956"/>
    <n v="10786.55"/>
    <s v="UK pounds"/>
    <s v="UK pounds"/>
    <x v="0"/>
    <s v="UK"/>
    <x v="5"/>
    <x v="0"/>
    <x v="3"/>
    <s v="Consistent"/>
    <x v="0"/>
  </r>
  <r>
    <x v="242"/>
    <x v="0"/>
    <x v="266"/>
    <n v="4976475749"/>
    <n v="3127.69"/>
    <s v="UK pounds"/>
    <s v="UK pounds"/>
    <x v="0"/>
    <s v="UK"/>
    <x v="4"/>
    <x v="0"/>
    <x v="2"/>
    <s v="Consistent"/>
    <x v="0"/>
  </r>
  <r>
    <x v="242"/>
    <x v="0"/>
    <x v="267"/>
    <n v="5469723863"/>
    <n v="10350.629999999999"/>
    <s v="UK pounds"/>
    <s v="UK pounds"/>
    <x v="0"/>
    <s v="UK"/>
    <x v="2"/>
    <x v="0"/>
    <x v="4"/>
    <s v="Consistent"/>
    <x v="0"/>
  </r>
  <r>
    <x v="243"/>
    <x v="0"/>
    <x v="268"/>
    <n v="1476842177"/>
    <n v="1504.51"/>
    <s v="UK pounds"/>
    <s v="UK pounds"/>
    <x v="0"/>
    <s v="UK"/>
    <x v="3"/>
    <x v="0"/>
    <x v="2"/>
    <s v="Consistent"/>
    <x v="0"/>
  </r>
  <r>
    <x v="244"/>
    <x v="0"/>
    <x v="20"/>
    <n v="2273742965"/>
    <n v="17872.259999999998"/>
    <s v="UK pounds"/>
    <s v="UK pounds"/>
    <x v="0"/>
    <s v="UK"/>
    <x v="2"/>
    <x v="0"/>
    <x v="1"/>
    <s v="Consistent"/>
    <x v="0"/>
  </r>
  <r>
    <x v="245"/>
    <x v="0"/>
    <x v="269"/>
    <n v="1789035002"/>
    <n v="1013.41"/>
    <s v="UK pounds"/>
    <s v="UK pounds"/>
    <x v="0"/>
    <s v="UK"/>
    <x v="2"/>
    <x v="0"/>
    <x v="2"/>
    <s v="Consistent"/>
    <x v="0"/>
  </r>
  <r>
    <x v="246"/>
    <x v="0"/>
    <x v="270"/>
    <n v="8172080174"/>
    <n v="4869.0600000000004"/>
    <s v="UK pounds"/>
    <s v="UK pounds"/>
    <x v="0"/>
    <s v="UK"/>
    <x v="2"/>
    <x v="0"/>
    <x v="3"/>
    <s v="Consistent"/>
    <x v="0"/>
  </r>
  <r>
    <x v="247"/>
    <x v="0"/>
    <x v="271"/>
    <n v="5858369125"/>
    <n v="6548.26"/>
    <s v="UK pounds"/>
    <s v="UK pounds"/>
    <x v="0"/>
    <s v="UK"/>
    <x v="3"/>
    <x v="0"/>
    <x v="3"/>
    <s v="Consistent"/>
    <x v="0"/>
  </r>
  <r>
    <x v="248"/>
    <x v="0"/>
    <x v="63"/>
    <n v="330109509"/>
    <n v="11174.79"/>
    <s v="UK pounds"/>
    <s v="UK pounds"/>
    <x v="0"/>
    <s v="UK"/>
    <x v="4"/>
    <x v="0"/>
    <x v="1"/>
    <s v="Consistent"/>
    <x v="0"/>
  </r>
  <r>
    <x v="248"/>
    <x v="0"/>
    <x v="138"/>
    <n v="9600420220"/>
    <n v="5059.03"/>
    <s v="UK pounds"/>
    <s v="UK pounds"/>
    <x v="0"/>
    <s v="UK"/>
    <x v="3"/>
    <x v="0"/>
    <x v="3"/>
    <s v="Consistent"/>
    <x v="0"/>
  </r>
  <r>
    <x v="249"/>
    <x v="0"/>
    <x v="104"/>
    <n v="5906130213"/>
    <n v="1645.96"/>
    <s v="UK pounds"/>
    <s v="UK pounds"/>
    <x v="0"/>
    <s v="UK"/>
    <x v="3"/>
    <x v="0"/>
    <x v="2"/>
    <s v="Consistent"/>
    <x v="0"/>
  </r>
  <r>
    <x v="250"/>
    <x v="0"/>
    <x v="272"/>
    <n v="4336451277"/>
    <n v="2603.3000000000002"/>
    <s v="UK pounds"/>
    <s v="UK pounds"/>
    <x v="0"/>
    <s v="UK"/>
    <x v="0"/>
    <x v="1"/>
    <x v="9"/>
    <s v="Consistent"/>
    <x v="0"/>
  </r>
  <r>
    <x v="251"/>
    <x v="0"/>
    <x v="8"/>
    <n v="1672288255"/>
    <n v="7279.91"/>
    <s v="UK pounds"/>
    <s v="UK pounds"/>
    <x v="0"/>
    <s v="UK"/>
    <x v="4"/>
    <x v="0"/>
    <x v="1"/>
    <s v="Consistent"/>
    <x v="0"/>
  </r>
  <r>
    <x v="252"/>
    <x v="0"/>
    <x v="34"/>
    <n v="1363901484"/>
    <n v="10272.73"/>
    <s v="UK pounds"/>
    <s v="UK pounds"/>
    <x v="0"/>
    <s v="UK"/>
    <x v="3"/>
    <x v="0"/>
    <x v="1"/>
    <s v="Consistent"/>
    <x v="0"/>
  </r>
  <r>
    <x v="253"/>
    <x v="0"/>
    <x v="273"/>
    <n v="3122616876"/>
    <n v="780.19"/>
    <s v="UK pounds"/>
    <s v="UK pounds"/>
    <x v="0"/>
    <s v="UK"/>
    <x v="2"/>
    <x v="0"/>
    <x v="2"/>
    <s v="Consistent"/>
    <x v="0"/>
  </r>
  <r>
    <x v="254"/>
    <x v="0"/>
    <x v="161"/>
    <n v="7780773895"/>
    <n v="5183.3500000000004"/>
    <s v="UK pounds"/>
    <s v="UK pounds"/>
    <x v="0"/>
    <s v="UK"/>
    <x v="5"/>
    <x v="0"/>
    <x v="1"/>
    <s v="Consistent"/>
    <x v="0"/>
  </r>
  <r>
    <x v="255"/>
    <x v="0"/>
    <x v="274"/>
    <n v="5628674969"/>
    <n v="6849.23"/>
    <s v="UK pounds"/>
    <s v="UK pounds"/>
    <x v="0"/>
    <s v="UK"/>
    <x v="4"/>
    <x v="0"/>
    <x v="3"/>
    <s v="Consistent"/>
    <x v="0"/>
  </r>
  <r>
    <x v="256"/>
    <x v="0"/>
    <x v="275"/>
    <n v="5628674969"/>
    <n v="5513.71"/>
    <s v="UK pounds"/>
    <s v="UK pounds"/>
    <x v="0"/>
    <s v="UK"/>
    <x v="5"/>
    <x v="0"/>
    <x v="3"/>
    <s v="Consistent"/>
    <x v="0"/>
  </r>
  <r>
    <x v="257"/>
    <x v="0"/>
    <x v="276"/>
    <n v="2218074303"/>
    <n v="410.63"/>
    <s v="UK pounds"/>
    <s v="UK pounds"/>
    <x v="0"/>
    <s v="UK"/>
    <x v="5"/>
    <x v="0"/>
    <x v="2"/>
    <s v="Consistent"/>
    <x v="0"/>
  </r>
  <r>
    <x v="258"/>
    <x v="0"/>
    <x v="277"/>
    <n v="8366649068"/>
    <n v="11559.06"/>
    <s v="UK pounds"/>
    <s v="UK pounds"/>
    <x v="0"/>
    <s v="UK"/>
    <x v="2"/>
    <x v="0"/>
    <x v="2"/>
    <s v="Consistent"/>
    <x v="0"/>
  </r>
  <r>
    <x v="259"/>
    <x v="0"/>
    <x v="81"/>
    <n v="4065028145"/>
    <n v="4376.53"/>
    <s v="UK pounds"/>
    <s v="Euro"/>
    <x v="0"/>
    <s v="Austria"/>
    <x v="1"/>
    <x v="0"/>
    <x v="1"/>
    <s v="Potential Layering"/>
    <x v="0"/>
  </r>
  <r>
    <x v="260"/>
    <x v="0"/>
    <x v="278"/>
    <n v="4054367503"/>
    <n v="546.33000000000004"/>
    <s v="UK pounds"/>
    <s v="UK pounds"/>
    <x v="0"/>
    <s v="UK"/>
    <x v="3"/>
    <x v="0"/>
    <x v="2"/>
    <s v="Consistent"/>
    <x v="0"/>
  </r>
  <r>
    <x v="261"/>
    <x v="0"/>
    <x v="279"/>
    <n v="7882637641"/>
    <n v="1673.7"/>
    <s v="UK pounds"/>
    <s v="Euro"/>
    <x v="0"/>
    <s v="France"/>
    <x v="1"/>
    <x v="0"/>
    <x v="2"/>
    <s v="Potential Layering"/>
    <x v="0"/>
  </r>
  <r>
    <x v="262"/>
    <x v="0"/>
    <x v="280"/>
    <n v="5109623450"/>
    <n v="12072.85"/>
    <s v="UK pounds"/>
    <s v="UK pounds"/>
    <x v="0"/>
    <s v="UK"/>
    <x v="3"/>
    <x v="0"/>
    <x v="3"/>
    <s v="Consistent"/>
    <x v="0"/>
  </r>
  <r>
    <x v="263"/>
    <x v="0"/>
    <x v="281"/>
    <n v="835593757"/>
    <n v="2092.7399999999998"/>
    <s v="UK pounds"/>
    <s v="UK pounds"/>
    <x v="0"/>
    <s v="UK"/>
    <x v="5"/>
    <x v="0"/>
    <x v="2"/>
    <s v="Consistent"/>
    <x v="0"/>
  </r>
  <r>
    <x v="263"/>
    <x v="0"/>
    <x v="282"/>
    <n v="1316458123"/>
    <n v="5731.77"/>
    <s v="UK pounds"/>
    <s v="Mexican Peso"/>
    <x v="0"/>
    <s v="Mexico"/>
    <x v="1"/>
    <x v="0"/>
    <x v="3"/>
    <s v="Potential Layering"/>
    <x v="0"/>
  </r>
  <r>
    <x v="264"/>
    <x v="0"/>
    <x v="283"/>
    <n v="409707192"/>
    <n v="21084"/>
    <s v="UK pounds"/>
    <s v="UK pounds"/>
    <x v="0"/>
    <s v="UK"/>
    <x v="3"/>
    <x v="0"/>
    <x v="3"/>
    <s v="Consistent"/>
    <x v="0"/>
  </r>
  <r>
    <x v="265"/>
    <x v="0"/>
    <x v="284"/>
    <n v="3695545812"/>
    <n v="6063.77"/>
    <s v="UK pounds"/>
    <s v="UK pounds"/>
    <x v="0"/>
    <s v="UK"/>
    <x v="2"/>
    <x v="0"/>
    <x v="3"/>
    <s v="Consistent"/>
    <x v="0"/>
  </r>
  <r>
    <x v="266"/>
    <x v="0"/>
    <x v="35"/>
    <n v="823626823"/>
    <n v="5906.31"/>
    <s v="UK pounds"/>
    <s v="Euro"/>
    <x v="0"/>
    <s v="Netherlands"/>
    <x v="1"/>
    <x v="0"/>
    <x v="1"/>
    <s v="Potential Layering"/>
    <x v="0"/>
  </r>
  <r>
    <x v="267"/>
    <x v="0"/>
    <x v="285"/>
    <n v="6003839788"/>
    <n v="789.64"/>
    <s v="UK pounds"/>
    <s v="UK pounds"/>
    <x v="0"/>
    <s v="UK"/>
    <x v="4"/>
    <x v="0"/>
    <x v="2"/>
    <s v="Consistent"/>
    <x v="0"/>
  </r>
  <r>
    <x v="268"/>
    <x v="0"/>
    <x v="286"/>
    <n v="3872606344"/>
    <n v="3734.82"/>
    <s v="UK pounds"/>
    <s v="UK pounds"/>
    <x v="0"/>
    <s v="UK"/>
    <x v="3"/>
    <x v="0"/>
    <x v="2"/>
    <s v="Consistent"/>
    <x v="0"/>
  </r>
  <r>
    <x v="269"/>
    <x v="0"/>
    <x v="287"/>
    <n v="8465856972"/>
    <n v="483.13"/>
    <s v="UK pounds"/>
    <s v="UK pounds"/>
    <x v="0"/>
    <s v="UK"/>
    <x v="5"/>
    <x v="0"/>
    <x v="2"/>
    <s v="Consistent"/>
    <x v="0"/>
  </r>
  <r>
    <x v="270"/>
    <x v="0"/>
    <x v="288"/>
    <n v="6034997194"/>
    <n v="15469.48"/>
    <s v="UK pounds"/>
    <s v="UK pounds"/>
    <x v="0"/>
    <s v="UK"/>
    <x v="2"/>
    <x v="0"/>
    <x v="3"/>
    <s v="Consistent"/>
    <x v="0"/>
  </r>
  <r>
    <x v="271"/>
    <x v="0"/>
    <x v="34"/>
    <n v="7489694854"/>
    <n v="23582.14"/>
    <s v="UK pounds"/>
    <s v="Euro"/>
    <x v="0"/>
    <s v="Italy"/>
    <x v="1"/>
    <x v="0"/>
    <x v="1"/>
    <s v="Potential Layering"/>
    <x v="0"/>
  </r>
  <r>
    <x v="272"/>
    <x v="0"/>
    <x v="243"/>
    <n v="9281561360"/>
    <n v="22158.31"/>
    <s v="Euro"/>
    <s v="UK pounds"/>
    <x v="4"/>
    <s v="UK"/>
    <x v="1"/>
    <x v="0"/>
    <x v="1"/>
    <s v="Potential Layering"/>
    <x v="0"/>
  </r>
  <r>
    <x v="273"/>
    <x v="0"/>
    <x v="289"/>
    <n v="505070381"/>
    <n v="3194.47"/>
    <s v="UK pounds"/>
    <s v="UK pounds"/>
    <x v="0"/>
    <s v="UK"/>
    <x v="3"/>
    <x v="0"/>
    <x v="4"/>
    <s v="Consistent"/>
    <x v="0"/>
  </r>
  <r>
    <x v="274"/>
    <x v="0"/>
    <x v="290"/>
    <n v="5355456602"/>
    <n v="406.1"/>
    <s v="UK pounds"/>
    <s v="UK pounds"/>
    <x v="0"/>
    <s v="UK"/>
    <x v="3"/>
    <x v="0"/>
    <x v="2"/>
    <s v="Consistent"/>
    <x v="0"/>
  </r>
  <r>
    <x v="274"/>
    <x v="0"/>
    <x v="291"/>
    <n v="9414721240"/>
    <n v="194.09"/>
    <s v="UK pounds"/>
    <s v="UK pounds"/>
    <x v="0"/>
    <s v="UK"/>
    <x v="3"/>
    <x v="0"/>
    <x v="2"/>
    <s v="Consistent"/>
    <x v="0"/>
  </r>
  <r>
    <x v="275"/>
    <x v="0"/>
    <x v="292"/>
    <n v="3442659263"/>
    <n v="331.96"/>
    <s v="Swiss franc"/>
    <s v="UK pounds"/>
    <x v="5"/>
    <s v="UK"/>
    <x v="1"/>
    <x v="0"/>
    <x v="2"/>
    <s v="Potential Layering"/>
    <x v="0"/>
  </r>
  <r>
    <x v="276"/>
    <x v="0"/>
    <x v="9"/>
    <n v="9906229651"/>
    <n v="12708.12"/>
    <s v="UK pounds"/>
    <s v="UK pounds"/>
    <x v="0"/>
    <s v="UK"/>
    <x v="5"/>
    <x v="0"/>
    <x v="1"/>
    <s v="Consistent"/>
    <x v="0"/>
  </r>
  <r>
    <x v="276"/>
    <x v="0"/>
    <x v="293"/>
    <n v="8556332513"/>
    <n v="1400.75"/>
    <s v="UK pounds"/>
    <s v="UK pounds"/>
    <x v="0"/>
    <s v="UK"/>
    <x v="3"/>
    <x v="0"/>
    <x v="2"/>
    <s v="Consistent"/>
    <x v="0"/>
  </r>
  <r>
    <x v="276"/>
    <x v="0"/>
    <x v="294"/>
    <n v="4180682278"/>
    <n v="3919.76"/>
    <s v="UK pounds"/>
    <s v="UK pounds"/>
    <x v="0"/>
    <s v="UK"/>
    <x v="0"/>
    <x v="0"/>
    <x v="0"/>
    <s v="Consistent"/>
    <x v="0"/>
  </r>
  <r>
    <x v="277"/>
    <x v="0"/>
    <x v="295"/>
    <n v="9504555515"/>
    <n v="4522.2700000000004"/>
    <s v="UK pounds"/>
    <s v="UK pounds"/>
    <x v="0"/>
    <s v="UK"/>
    <x v="4"/>
    <x v="0"/>
    <x v="2"/>
    <s v="Consistent"/>
    <x v="0"/>
  </r>
  <r>
    <x v="278"/>
    <x v="0"/>
    <x v="195"/>
    <n v="9424448642"/>
    <n v="6258.99"/>
    <s v="UK pounds"/>
    <s v="UK pounds"/>
    <x v="0"/>
    <s v="UK"/>
    <x v="4"/>
    <x v="0"/>
    <x v="1"/>
    <s v="Consistent"/>
    <x v="0"/>
  </r>
  <r>
    <x v="278"/>
    <x v="0"/>
    <x v="296"/>
    <n v="3695545812"/>
    <n v="12075.77"/>
    <s v="UK pounds"/>
    <s v="UK pounds"/>
    <x v="0"/>
    <s v="UK"/>
    <x v="3"/>
    <x v="0"/>
    <x v="3"/>
    <s v="Consistent"/>
    <x v="0"/>
  </r>
  <r>
    <x v="279"/>
    <x v="0"/>
    <x v="297"/>
    <n v="9398516249"/>
    <n v="4823.24"/>
    <s v="UK pounds"/>
    <s v="UK pounds"/>
    <x v="0"/>
    <s v="UK"/>
    <x v="3"/>
    <x v="0"/>
    <x v="2"/>
    <s v="Consistent"/>
    <x v="0"/>
  </r>
  <r>
    <x v="279"/>
    <x v="0"/>
    <x v="298"/>
    <n v="7482668456"/>
    <n v="2014.62"/>
    <s v="UK pounds"/>
    <s v="UK pounds"/>
    <x v="0"/>
    <s v="UK"/>
    <x v="4"/>
    <x v="0"/>
    <x v="4"/>
    <s v="Consistent"/>
    <x v="0"/>
  </r>
  <r>
    <x v="280"/>
    <x v="0"/>
    <x v="110"/>
    <n v="2792106785"/>
    <n v="7985.99"/>
    <s v="UK pounds"/>
    <s v="UK pounds"/>
    <x v="0"/>
    <s v="UK"/>
    <x v="4"/>
    <x v="0"/>
    <x v="1"/>
    <s v="Consistent"/>
    <x v="0"/>
  </r>
  <r>
    <x v="281"/>
    <x v="0"/>
    <x v="299"/>
    <n v="1503409481"/>
    <n v="397.87"/>
    <s v="UK pounds"/>
    <s v="UK pounds"/>
    <x v="0"/>
    <s v="UK"/>
    <x v="3"/>
    <x v="0"/>
    <x v="2"/>
    <s v="Consistent"/>
    <x v="0"/>
  </r>
  <r>
    <x v="282"/>
    <x v="0"/>
    <x v="27"/>
    <n v="3079818547"/>
    <n v="8089.76"/>
    <s v="UK pounds"/>
    <s v="UK pounds"/>
    <x v="0"/>
    <s v="UK"/>
    <x v="4"/>
    <x v="0"/>
    <x v="3"/>
    <s v="Consistent"/>
    <x v="0"/>
  </r>
  <r>
    <x v="283"/>
    <x v="0"/>
    <x v="300"/>
    <n v="9143778831"/>
    <n v="1039.74"/>
    <s v="UK pounds"/>
    <s v="Turkish lira"/>
    <x v="0"/>
    <s v="Turkey"/>
    <x v="1"/>
    <x v="0"/>
    <x v="2"/>
    <s v="Potential Layering"/>
    <x v="0"/>
  </r>
  <r>
    <x v="284"/>
    <x v="0"/>
    <x v="301"/>
    <n v="2138505015"/>
    <n v="9139.94"/>
    <s v="UK pounds"/>
    <s v="Dirham"/>
    <x v="0"/>
    <s v="UAE"/>
    <x v="1"/>
    <x v="0"/>
    <x v="3"/>
    <s v="Potential Layering"/>
    <x v="0"/>
  </r>
  <r>
    <x v="284"/>
    <x v="0"/>
    <x v="302"/>
    <n v="2001216089"/>
    <n v="1367.57"/>
    <s v="UK pounds"/>
    <s v="UK pounds"/>
    <x v="0"/>
    <s v="UK"/>
    <x v="5"/>
    <x v="0"/>
    <x v="2"/>
    <s v="Consistent"/>
    <x v="0"/>
  </r>
  <r>
    <x v="285"/>
    <x v="0"/>
    <x v="303"/>
    <n v="6034997194"/>
    <n v="6368.62"/>
    <s v="UK pounds"/>
    <s v="UK pounds"/>
    <x v="0"/>
    <s v="UK"/>
    <x v="4"/>
    <x v="0"/>
    <x v="3"/>
    <s v="Consistent"/>
    <x v="0"/>
  </r>
  <r>
    <x v="286"/>
    <x v="0"/>
    <x v="304"/>
    <n v="8591643375"/>
    <n v="10647.89"/>
    <s v="UK pounds"/>
    <s v="UK pounds"/>
    <x v="0"/>
    <s v="UK"/>
    <x v="4"/>
    <x v="0"/>
    <x v="2"/>
    <s v="Consistent"/>
    <x v="0"/>
  </r>
  <r>
    <x v="287"/>
    <x v="0"/>
    <x v="305"/>
    <n v="9560811094"/>
    <n v="1187.33"/>
    <s v="UK pounds"/>
    <s v="UK pounds"/>
    <x v="0"/>
    <s v="UK"/>
    <x v="5"/>
    <x v="0"/>
    <x v="2"/>
    <s v="Consistent"/>
    <x v="0"/>
  </r>
  <r>
    <x v="288"/>
    <x v="0"/>
    <x v="306"/>
    <n v="6394914061"/>
    <n v="3114.26"/>
    <s v="UK pounds"/>
    <s v="UK pounds"/>
    <x v="0"/>
    <s v="UK"/>
    <x v="4"/>
    <x v="0"/>
    <x v="2"/>
    <s v="Consistent"/>
    <x v="0"/>
  </r>
  <r>
    <x v="289"/>
    <x v="0"/>
    <x v="307"/>
    <n v="5109623450"/>
    <n v="11433.35"/>
    <s v="UK pounds"/>
    <s v="UK pounds"/>
    <x v="0"/>
    <s v="UK"/>
    <x v="3"/>
    <x v="0"/>
    <x v="3"/>
    <s v="Consistent"/>
    <x v="0"/>
  </r>
  <r>
    <x v="289"/>
    <x v="0"/>
    <x v="210"/>
    <n v="6624920676"/>
    <n v="6187.93"/>
    <s v="UK pounds"/>
    <s v="UK pounds"/>
    <x v="0"/>
    <s v="UK"/>
    <x v="5"/>
    <x v="0"/>
    <x v="1"/>
    <s v="Consistent"/>
    <x v="0"/>
  </r>
  <r>
    <x v="289"/>
    <x v="0"/>
    <x v="308"/>
    <n v="4989319535"/>
    <n v="1226.43"/>
    <s v="UK pounds"/>
    <s v="UK pounds"/>
    <x v="0"/>
    <s v="UK"/>
    <x v="4"/>
    <x v="0"/>
    <x v="2"/>
    <s v="Consistent"/>
    <x v="0"/>
  </r>
  <r>
    <x v="290"/>
    <x v="0"/>
    <x v="309"/>
    <n v="2755114190"/>
    <n v="949.43"/>
    <s v="UK pounds"/>
    <s v="UK pounds"/>
    <x v="0"/>
    <s v="UK"/>
    <x v="4"/>
    <x v="0"/>
    <x v="4"/>
    <s v="Consistent"/>
    <x v="0"/>
  </r>
  <r>
    <x v="291"/>
    <x v="0"/>
    <x v="310"/>
    <n v="1885604875"/>
    <n v="263.95999999999998"/>
    <s v="UK pounds"/>
    <s v="UK pounds"/>
    <x v="0"/>
    <s v="UK"/>
    <x v="5"/>
    <x v="0"/>
    <x v="2"/>
    <s v="Consistent"/>
    <x v="0"/>
  </r>
  <r>
    <x v="292"/>
    <x v="0"/>
    <x v="311"/>
    <n v="7199625988"/>
    <n v="6662.71"/>
    <s v="UK pounds"/>
    <s v="UK pounds"/>
    <x v="0"/>
    <s v="UK"/>
    <x v="5"/>
    <x v="0"/>
    <x v="3"/>
    <s v="Consistent"/>
    <x v="0"/>
  </r>
  <r>
    <x v="293"/>
    <x v="0"/>
    <x v="312"/>
    <n v="9771156850"/>
    <n v="522.82000000000005"/>
    <s v="Dirham"/>
    <s v="Indian rupee"/>
    <x v="6"/>
    <s v="India"/>
    <x v="1"/>
    <x v="0"/>
    <x v="2"/>
    <s v="Potential Layering"/>
    <x v="2"/>
  </r>
  <r>
    <x v="294"/>
    <x v="0"/>
    <x v="313"/>
    <n v="5414896414"/>
    <n v="7868.97"/>
    <s v="UK pounds"/>
    <s v="Dirham"/>
    <x v="0"/>
    <s v="UAE"/>
    <x v="1"/>
    <x v="0"/>
    <x v="2"/>
    <s v="Potential Layering"/>
    <x v="0"/>
  </r>
  <r>
    <x v="295"/>
    <x v="0"/>
    <x v="314"/>
    <n v="621060264"/>
    <n v="7015.35"/>
    <s v="UK pounds"/>
    <s v="UK pounds"/>
    <x v="0"/>
    <s v="UK"/>
    <x v="5"/>
    <x v="0"/>
    <x v="3"/>
    <s v="Consistent"/>
    <x v="0"/>
  </r>
  <r>
    <x v="296"/>
    <x v="0"/>
    <x v="315"/>
    <n v="7869013888"/>
    <n v="105.58"/>
    <s v="UK pounds"/>
    <s v="UK pounds"/>
    <x v="0"/>
    <s v="UK"/>
    <x v="2"/>
    <x v="0"/>
    <x v="2"/>
    <s v="Consistent"/>
    <x v="0"/>
  </r>
  <r>
    <x v="296"/>
    <x v="0"/>
    <x v="316"/>
    <n v="1218244200"/>
    <n v="19863.71"/>
    <s v="UK pounds"/>
    <s v="UK pounds"/>
    <x v="0"/>
    <s v="UK"/>
    <x v="4"/>
    <x v="0"/>
    <x v="2"/>
    <s v="Consistent"/>
    <x v="0"/>
  </r>
  <r>
    <x v="297"/>
    <x v="0"/>
    <x v="317"/>
    <n v="5466123934"/>
    <n v="7955.92"/>
    <s v="UK pounds"/>
    <s v="UK pounds"/>
    <x v="0"/>
    <s v="UK"/>
    <x v="5"/>
    <x v="0"/>
    <x v="3"/>
    <s v="Consistent"/>
    <x v="0"/>
  </r>
  <r>
    <x v="298"/>
    <x v="0"/>
    <x v="318"/>
    <n v="199988062"/>
    <n v="513.08000000000004"/>
    <s v="UK pounds"/>
    <s v="UK pounds"/>
    <x v="0"/>
    <s v="UK"/>
    <x v="5"/>
    <x v="0"/>
    <x v="2"/>
    <s v="Consistent"/>
    <x v="0"/>
  </r>
  <r>
    <x v="299"/>
    <x v="0"/>
    <x v="20"/>
    <n v="7543250720"/>
    <n v="6891.55"/>
    <s v="UK pounds"/>
    <s v="UK pounds"/>
    <x v="0"/>
    <s v="UK"/>
    <x v="5"/>
    <x v="0"/>
    <x v="1"/>
    <s v="Consistent"/>
    <x v="0"/>
  </r>
  <r>
    <x v="300"/>
    <x v="0"/>
    <x v="319"/>
    <n v="277019651"/>
    <n v="7251.24"/>
    <s v="UK pounds"/>
    <s v="UK pounds"/>
    <x v="0"/>
    <s v="UK"/>
    <x v="3"/>
    <x v="0"/>
    <x v="2"/>
    <s v="Consistent"/>
    <x v="0"/>
  </r>
  <r>
    <x v="301"/>
    <x v="0"/>
    <x v="320"/>
    <n v="909072420"/>
    <n v="2880.73"/>
    <s v="UK pounds"/>
    <s v="UK pounds"/>
    <x v="0"/>
    <s v="UK"/>
    <x v="0"/>
    <x v="0"/>
    <x v="0"/>
    <s v="Consistent"/>
    <x v="0"/>
  </r>
  <r>
    <x v="302"/>
    <x v="0"/>
    <x v="321"/>
    <n v="5256445929"/>
    <n v="24141.25"/>
    <s v="UK pounds"/>
    <s v="UK pounds"/>
    <x v="0"/>
    <s v="UK"/>
    <x v="3"/>
    <x v="0"/>
    <x v="4"/>
    <s v="Consistent"/>
    <x v="0"/>
  </r>
  <r>
    <x v="303"/>
    <x v="0"/>
    <x v="322"/>
    <n v="952050825"/>
    <n v="1426.28"/>
    <s v="UK pounds"/>
    <s v="UK pounds"/>
    <x v="0"/>
    <s v="UK"/>
    <x v="2"/>
    <x v="0"/>
    <x v="2"/>
    <s v="Consistent"/>
    <x v="0"/>
  </r>
  <r>
    <x v="304"/>
    <x v="0"/>
    <x v="323"/>
    <n v="2653244195"/>
    <n v="2681.07"/>
    <s v="UK pounds"/>
    <s v="UK pounds"/>
    <x v="0"/>
    <s v="UK"/>
    <x v="4"/>
    <x v="0"/>
    <x v="2"/>
    <s v="Consistent"/>
    <x v="0"/>
  </r>
  <r>
    <x v="304"/>
    <x v="0"/>
    <x v="324"/>
    <n v="2505275986"/>
    <n v="807.03"/>
    <s v="UK pounds"/>
    <s v="UK pounds"/>
    <x v="0"/>
    <s v="UK"/>
    <x v="0"/>
    <x v="0"/>
    <x v="0"/>
    <s v="Consistent"/>
    <x v="0"/>
  </r>
  <r>
    <x v="305"/>
    <x v="0"/>
    <x v="325"/>
    <n v="9509095598"/>
    <n v="2998.96"/>
    <s v="UK pounds"/>
    <s v="UK pounds"/>
    <x v="0"/>
    <s v="UK"/>
    <x v="4"/>
    <x v="0"/>
    <x v="2"/>
    <s v="Consistent"/>
    <x v="0"/>
  </r>
  <r>
    <x v="306"/>
    <x v="0"/>
    <x v="68"/>
    <n v="3325153054"/>
    <n v="10030.19"/>
    <s v="UK pounds"/>
    <s v="UK pounds"/>
    <x v="0"/>
    <s v="UK"/>
    <x v="3"/>
    <x v="0"/>
    <x v="1"/>
    <s v="Consistent"/>
    <x v="0"/>
  </r>
  <r>
    <x v="307"/>
    <x v="0"/>
    <x v="326"/>
    <n v="324464903"/>
    <n v="13269.07"/>
    <s v="UK pounds"/>
    <s v="UK pounds"/>
    <x v="0"/>
    <s v="UK"/>
    <x v="3"/>
    <x v="0"/>
    <x v="7"/>
    <s v="Consistent"/>
    <x v="0"/>
  </r>
  <r>
    <x v="308"/>
    <x v="0"/>
    <x v="327"/>
    <n v="5718348761"/>
    <n v="41.27"/>
    <s v="UK pounds"/>
    <s v="UK pounds"/>
    <x v="0"/>
    <s v="UK"/>
    <x v="5"/>
    <x v="0"/>
    <x v="2"/>
    <s v="Consistent"/>
    <x v="0"/>
  </r>
  <r>
    <x v="309"/>
    <x v="0"/>
    <x v="328"/>
    <n v="1276357468"/>
    <n v="2114.2800000000002"/>
    <s v="UK pounds"/>
    <s v="UK pounds"/>
    <x v="0"/>
    <s v="UK"/>
    <x v="0"/>
    <x v="0"/>
    <x v="0"/>
    <s v="Consistent"/>
    <x v="0"/>
  </r>
  <r>
    <x v="310"/>
    <x v="0"/>
    <x v="329"/>
    <n v="5124301835"/>
    <n v="12358.01"/>
    <s v="UK pounds"/>
    <s v="UK pounds"/>
    <x v="0"/>
    <s v="UK"/>
    <x v="4"/>
    <x v="0"/>
    <x v="2"/>
    <s v="Consistent"/>
    <x v="0"/>
  </r>
  <r>
    <x v="311"/>
    <x v="0"/>
    <x v="330"/>
    <n v="303044546"/>
    <n v="2191.66"/>
    <s v="UK pounds"/>
    <s v="UK pounds"/>
    <x v="0"/>
    <s v="UK"/>
    <x v="4"/>
    <x v="0"/>
    <x v="2"/>
    <s v="Consistent"/>
    <x v="0"/>
  </r>
  <r>
    <x v="311"/>
    <x v="0"/>
    <x v="331"/>
    <n v="5466123934"/>
    <n v="7368.69"/>
    <s v="UK pounds"/>
    <s v="UK pounds"/>
    <x v="0"/>
    <s v="UK"/>
    <x v="5"/>
    <x v="0"/>
    <x v="3"/>
    <s v="Consistent"/>
    <x v="0"/>
  </r>
  <r>
    <x v="312"/>
    <x v="0"/>
    <x v="332"/>
    <n v="1316458123"/>
    <n v="13447.86"/>
    <s v="UK pounds"/>
    <s v="Mexican Peso"/>
    <x v="0"/>
    <s v="Mexico"/>
    <x v="1"/>
    <x v="0"/>
    <x v="3"/>
    <s v="Potential Layering"/>
    <x v="0"/>
  </r>
  <r>
    <x v="313"/>
    <x v="0"/>
    <x v="333"/>
    <n v="3353913084"/>
    <n v="1373.06"/>
    <s v="UK pounds"/>
    <s v="UK pounds"/>
    <x v="0"/>
    <s v="UK"/>
    <x v="2"/>
    <x v="0"/>
    <x v="6"/>
    <s v="Consistent"/>
    <x v="0"/>
  </r>
  <r>
    <x v="314"/>
    <x v="0"/>
    <x v="161"/>
    <n v="7780773895"/>
    <n v="5173.01"/>
    <s v="UK pounds"/>
    <s v="UK pounds"/>
    <x v="0"/>
    <s v="UK"/>
    <x v="4"/>
    <x v="0"/>
    <x v="1"/>
    <s v="Consistent"/>
    <x v="0"/>
  </r>
  <r>
    <x v="314"/>
    <x v="0"/>
    <x v="81"/>
    <n v="4065028145"/>
    <n v="4377.04"/>
    <s v="UK pounds"/>
    <s v="Euro"/>
    <x v="0"/>
    <s v="Austria"/>
    <x v="1"/>
    <x v="0"/>
    <x v="1"/>
    <s v="Potential Layering"/>
    <x v="0"/>
  </r>
  <r>
    <x v="315"/>
    <x v="0"/>
    <x v="334"/>
    <n v="7517403696"/>
    <n v="1389.2"/>
    <s v="UK pounds"/>
    <s v="UK pounds"/>
    <x v="0"/>
    <s v="UK"/>
    <x v="2"/>
    <x v="0"/>
    <x v="2"/>
    <s v="Consistent"/>
    <x v="0"/>
  </r>
  <r>
    <x v="316"/>
    <x v="0"/>
    <x v="335"/>
    <n v="4428953627"/>
    <n v="421.56"/>
    <s v="UK pounds"/>
    <s v="UK pounds"/>
    <x v="0"/>
    <s v="UK"/>
    <x v="0"/>
    <x v="0"/>
    <x v="0"/>
    <s v="Consistent"/>
    <x v="0"/>
  </r>
  <r>
    <x v="317"/>
    <x v="0"/>
    <x v="336"/>
    <n v="621060264"/>
    <n v="25793.94"/>
    <s v="UK pounds"/>
    <s v="UK pounds"/>
    <x v="0"/>
    <s v="UK"/>
    <x v="2"/>
    <x v="0"/>
    <x v="3"/>
    <s v="Consistent"/>
    <x v="0"/>
  </r>
  <r>
    <x v="318"/>
    <x v="0"/>
    <x v="337"/>
    <n v="8794766352"/>
    <n v="733.05"/>
    <s v="UK pounds"/>
    <s v="UK pounds"/>
    <x v="0"/>
    <s v="UK"/>
    <x v="2"/>
    <x v="0"/>
    <x v="4"/>
    <s v="Consistent"/>
    <x v="0"/>
  </r>
  <r>
    <x v="319"/>
    <x v="0"/>
    <x v="338"/>
    <n v="7160736915"/>
    <n v="10172.19"/>
    <s v="UK pounds"/>
    <s v="UK pounds"/>
    <x v="0"/>
    <s v="UK"/>
    <x v="5"/>
    <x v="0"/>
    <x v="3"/>
    <s v="Consistent"/>
    <x v="0"/>
  </r>
  <r>
    <x v="319"/>
    <x v="0"/>
    <x v="339"/>
    <n v="8519194353"/>
    <n v="11347.74"/>
    <s v="UK pounds"/>
    <s v="Pakistani rupee"/>
    <x v="0"/>
    <s v="Pakistan"/>
    <x v="1"/>
    <x v="0"/>
    <x v="1"/>
    <s v="Potential Layering"/>
    <x v="0"/>
  </r>
  <r>
    <x v="320"/>
    <x v="0"/>
    <x v="340"/>
    <n v="3678607748"/>
    <n v="1738.31"/>
    <s v="UK pounds"/>
    <s v="UK pounds"/>
    <x v="0"/>
    <s v="UK"/>
    <x v="4"/>
    <x v="0"/>
    <x v="2"/>
    <s v="Consistent"/>
    <x v="0"/>
  </r>
  <r>
    <x v="321"/>
    <x v="0"/>
    <x v="16"/>
    <n v="6646502650"/>
    <n v="8045.75"/>
    <s v="UK pounds"/>
    <s v="Euro"/>
    <x v="0"/>
    <s v="France"/>
    <x v="1"/>
    <x v="0"/>
    <x v="3"/>
    <s v="Potential Layering"/>
    <x v="0"/>
  </r>
  <r>
    <x v="321"/>
    <x v="0"/>
    <x v="8"/>
    <n v="2883324502"/>
    <n v="9572.0499999999993"/>
    <s v="UK pounds"/>
    <s v="UK pounds"/>
    <x v="0"/>
    <s v="UK"/>
    <x v="4"/>
    <x v="0"/>
    <x v="1"/>
    <s v="Consistent"/>
    <x v="0"/>
  </r>
  <r>
    <x v="322"/>
    <x v="0"/>
    <x v="341"/>
    <n v="8752943153"/>
    <n v="3451.49"/>
    <s v="UK pounds"/>
    <s v="UK pounds"/>
    <x v="0"/>
    <s v="UK"/>
    <x v="3"/>
    <x v="0"/>
    <x v="4"/>
    <s v="Consistent"/>
    <x v="0"/>
  </r>
  <r>
    <x v="323"/>
    <x v="0"/>
    <x v="342"/>
    <n v="7116272472"/>
    <n v="800.43"/>
    <s v="UK pounds"/>
    <s v="UK pounds"/>
    <x v="0"/>
    <s v="UK"/>
    <x v="2"/>
    <x v="0"/>
    <x v="2"/>
    <s v="Consistent"/>
    <x v="0"/>
  </r>
  <r>
    <x v="324"/>
    <x v="0"/>
    <x v="343"/>
    <n v="56519020"/>
    <n v="4664.87"/>
    <s v="UK pounds"/>
    <s v="UK pounds"/>
    <x v="0"/>
    <s v="UK"/>
    <x v="4"/>
    <x v="0"/>
    <x v="2"/>
    <s v="Consistent"/>
    <x v="0"/>
  </r>
  <r>
    <x v="325"/>
    <x v="0"/>
    <x v="344"/>
    <n v="5708936901"/>
    <n v="10517.33"/>
    <s v="UK pounds"/>
    <s v="UK pounds"/>
    <x v="0"/>
    <s v="UK"/>
    <x v="5"/>
    <x v="0"/>
    <x v="3"/>
    <s v="Consistent"/>
    <x v="0"/>
  </r>
  <r>
    <x v="326"/>
    <x v="0"/>
    <x v="345"/>
    <n v="1377603863"/>
    <n v="5425.57"/>
    <s v="UK pounds"/>
    <s v="UK pounds"/>
    <x v="0"/>
    <s v="UK"/>
    <x v="4"/>
    <x v="0"/>
    <x v="3"/>
    <s v="Consistent"/>
    <x v="0"/>
  </r>
  <r>
    <x v="327"/>
    <x v="0"/>
    <x v="3"/>
    <n v="9600420220"/>
    <n v="11858.26"/>
    <s v="UK pounds"/>
    <s v="UK pounds"/>
    <x v="0"/>
    <s v="UK"/>
    <x v="4"/>
    <x v="0"/>
    <x v="3"/>
    <s v="Consistent"/>
    <x v="0"/>
  </r>
  <r>
    <x v="328"/>
    <x v="0"/>
    <x v="243"/>
    <n v="7417210636"/>
    <n v="11152.4"/>
    <s v="Euro"/>
    <s v="UK pounds"/>
    <x v="4"/>
    <s v="UK"/>
    <x v="1"/>
    <x v="0"/>
    <x v="1"/>
    <s v="Potential Layering"/>
    <x v="0"/>
  </r>
  <r>
    <x v="329"/>
    <x v="0"/>
    <x v="346"/>
    <n v="9600420220"/>
    <n v="7169.7"/>
    <s v="UK pounds"/>
    <s v="UK pounds"/>
    <x v="0"/>
    <s v="UK"/>
    <x v="5"/>
    <x v="0"/>
    <x v="3"/>
    <s v="Consistent"/>
    <x v="0"/>
  </r>
  <r>
    <x v="330"/>
    <x v="0"/>
    <x v="347"/>
    <n v="6125659636"/>
    <n v="2670.4"/>
    <s v="UK pounds"/>
    <s v="UK pounds"/>
    <x v="0"/>
    <s v="UK"/>
    <x v="4"/>
    <x v="0"/>
    <x v="2"/>
    <s v="Consistent"/>
    <x v="0"/>
  </r>
  <r>
    <x v="331"/>
    <x v="0"/>
    <x v="348"/>
    <n v="7672640853"/>
    <n v="466.61"/>
    <s v="UK pounds"/>
    <s v="UK pounds"/>
    <x v="0"/>
    <s v="UK"/>
    <x v="2"/>
    <x v="0"/>
    <x v="2"/>
    <s v="Consistent"/>
    <x v="0"/>
  </r>
  <r>
    <x v="332"/>
    <x v="0"/>
    <x v="349"/>
    <n v="5895407809"/>
    <n v="875.38"/>
    <s v="UK pounds"/>
    <s v="UK pounds"/>
    <x v="0"/>
    <s v="UK"/>
    <x v="5"/>
    <x v="0"/>
    <x v="2"/>
    <s v="Consistent"/>
    <x v="0"/>
  </r>
  <r>
    <x v="333"/>
    <x v="0"/>
    <x v="350"/>
    <n v="3695545812"/>
    <n v="4855.67"/>
    <s v="UK pounds"/>
    <s v="UK pounds"/>
    <x v="0"/>
    <s v="UK"/>
    <x v="3"/>
    <x v="0"/>
    <x v="3"/>
    <s v="Consistent"/>
    <x v="0"/>
  </r>
  <r>
    <x v="334"/>
    <x v="0"/>
    <x v="351"/>
    <n v="8659464157"/>
    <n v="4170.5200000000004"/>
    <s v="UK pounds"/>
    <s v="UK pounds"/>
    <x v="0"/>
    <s v="UK"/>
    <x v="4"/>
    <x v="0"/>
    <x v="2"/>
    <s v="Consistent"/>
    <x v="0"/>
  </r>
  <r>
    <x v="335"/>
    <x v="0"/>
    <x v="52"/>
    <n v="4833559204"/>
    <n v="10363.23"/>
    <s v="UK pounds"/>
    <s v="UK pounds"/>
    <x v="0"/>
    <s v="UK"/>
    <x v="3"/>
    <x v="0"/>
    <x v="1"/>
    <s v="Consistent"/>
    <x v="0"/>
  </r>
  <r>
    <x v="335"/>
    <x v="0"/>
    <x v="352"/>
    <n v="274657616"/>
    <n v="1933.78"/>
    <s v="UK pounds"/>
    <s v="UK pounds"/>
    <x v="0"/>
    <s v="UK"/>
    <x v="4"/>
    <x v="0"/>
    <x v="2"/>
    <s v="Consistent"/>
    <x v="0"/>
  </r>
  <r>
    <x v="336"/>
    <x v="0"/>
    <x v="353"/>
    <n v="5363117119"/>
    <n v="20093.29"/>
    <s v="UK pounds"/>
    <s v="UK pounds"/>
    <x v="0"/>
    <s v="UK"/>
    <x v="2"/>
    <x v="0"/>
    <x v="3"/>
    <s v="Consistent"/>
    <x v="0"/>
  </r>
  <r>
    <x v="337"/>
    <x v="0"/>
    <x v="186"/>
    <n v="1320927231"/>
    <n v="4608.37"/>
    <s v="UK pounds"/>
    <s v="UK pounds"/>
    <x v="0"/>
    <s v="UK"/>
    <x v="3"/>
    <x v="0"/>
    <x v="3"/>
    <s v="Consistent"/>
    <x v="0"/>
  </r>
  <r>
    <x v="338"/>
    <x v="0"/>
    <x v="163"/>
    <n v="6618026760"/>
    <n v="12008.36"/>
    <s v="UK pounds"/>
    <s v="UK pounds"/>
    <x v="0"/>
    <s v="UK"/>
    <x v="4"/>
    <x v="0"/>
    <x v="1"/>
    <s v="Consistent"/>
    <x v="0"/>
  </r>
  <r>
    <x v="339"/>
    <x v="0"/>
    <x v="354"/>
    <n v="2537003174"/>
    <n v="1309.5999999999999"/>
    <s v="UK pounds"/>
    <s v="UK pounds"/>
    <x v="0"/>
    <s v="UK"/>
    <x v="3"/>
    <x v="0"/>
    <x v="4"/>
    <s v="Consistent"/>
    <x v="0"/>
  </r>
  <r>
    <x v="340"/>
    <x v="0"/>
    <x v="355"/>
    <n v="8376057857"/>
    <n v="423.42"/>
    <s v="UK pounds"/>
    <s v="UK pounds"/>
    <x v="0"/>
    <s v="UK"/>
    <x v="2"/>
    <x v="0"/>
    <x v="2"/>
    <s v="Consistent"/>
    <x v="0"/>
  </r>
  <r>
    <x v="341"/>
    <x v="0"/>
    <x v="196"/>
    <n v="2584568182"/>
    <n v="2814.09"/>
    <s v="UK pounds"/>
    <s v="UK pounds"/>
    <x v="0"/>
    <s v="UK"/>
    <x v="5"/>
    <x v="0"/>
    <x v="6"/>
    <s v="Consistent"/>
    <x v="0"/>
  </r>
  <r>
    <x v="341"/>
    <x v="0"/>
    <x v="356"/>
    <n v="2487128589"/>
    <n v="2564.96"/>
    <s v="UK pounds"/>
    <s v="UK pounds"/>
    <x v="0"/>
    <s v="UK"/>
    <x v="5"/>
    <x v="0"/>
    <x v="4"/>
    <s v="Consistent"/>
    <x v="0"/>
  </r>
  <r>
    <x v="342"/>
    <x v="0"/>
    <x v="357"/>
    <n v="5844956381"/>
    <n v="521.79999999999995"/>
    <s v="UK pounds"/>
    <s v="UK pounds"/>
    <x v="0"/>
    <s v="UK"/>
    <x v="5"/>
    <x v="0"/>
    <x v="2"/>
    <s v="Consistent"/>
    <x v="0"/>
  </r>
  <r>
    <x v="343"/>
    <x v="0"/>
    <x v="75"/>
    <n v="4856706287"/>
    <n v="13293.02"/>
    <s v="UK pounds"/>
    <s v="UK pounds"/>
    <x v="0"/>
    <s v="UK"/>
    <x v="4"/>
    <x v="0"/>
    <x v="1"/>
    <s v="Consistent"/>
    <x v="0"/>
  </r>
  <r>
    <x v="344"/>
    <x v="0"/>
    <x v="358"/>
    <n v="433433286"/>
    <n v="5314.17"/>
    <s v="UK pounds"/>
    <s v="UK pounds"/>
    <x v="0"/>
    <s v="UK"/>
    <x v="2"/>
    <x v="0"/>
    <x v="2"/>
    <s v="Consistent"/>
    <x v="0"/>
  </r>
  <r>
    <x v="345"/>
    <x v="0"/>
    <x v="359"/>
    <n v="8678802420"/>
    <n v="4903.82"/>
    <s v="UK pounds"/>
    <s v="UK pounds"/>
    <x v="0"/>
    <s v="UK"/>
    <x v="4"/>
    <x v="0"/>
    <x v="3"/>
    <s v="Consistent"/>
    <x v="0"/>
  </r>
  <r>
    <x v="346"/>
    <x v="0"/>
    <x v="360"/>
    <n v="5103043844"/>
    <n v="12071.82"/>
    <s v="UK pounds"/>
    <s v="Naira"/>
    <x v="0"/>
    <s v="Nigeria"/>
    <x v="1"/>
    <x v="0"/>
    <x v="3"/>
    <s v="Potential Layering"/>
    <x v="0"/>
  </r>
  <r>
    <x v="347"/>
    <x v="0"/>
    <x v="9"/>
    <n v="2755709071"/>
    <n v="5851.06"/>
    <s v="UK pounds"/>
    <s v="UK pounds"/>
    <x v="0"/>
    <s v="UK"/>
    <x v="3"/>
    <x v="0"/>
    <x v="1"/>
    <s v="Consistent"/>
    <x v="0"/>
  </r>
  <r>
    <x v="348"/>
    <x v="0"/>
    <x v="361"/>
    <n v="6568511815"/>
    <n v="9940.11"/>
    <s v="UK pounds"/>
    <s v="UK pounds"/>
    <x v="0"/>
    <s v="UK"/>
    <x v="4"/>
    <x v="0"/>
    <x v="4"/>
    <s v="Consistent"/>
    <x v="0"/>
  </r>
  <r>
    <x v="349"/>
    <x v="0"/>
    <x v="362"/>
    <n v="8977087076"/>
    <n v="326.7"/>
    <s v="UK pounds"/>
    <s v="UK pounds"/>
    <x v="0"/>
    <s v="UK"/>
    <x v="0"/>
    <x v="0"/>
    <x v="0"/>
    <s v="Consistent"/>
    <x v="0"/>
  </r>
  <r>
    <x v="350"/>
    <x v="0"/>
    <x v="143"/>
    <n v="6034997194"/>
    <n v="21534.799999999999"/>
    <s v="UK pounds"/>
    <s v="UK pounds"/>
    <x v="0"/>
    <s v="UK"/>
    <x v="5"/>
    <x v="0"/>
    <x v="3"/>
    <s v="Consistent"/>
    <x v="0"/>
  </r>
  <r>
    <x v="351"/>
    <x v="0"/>
    <x v="150"/>
    <n v="9694142477"/>
    <n v="6128.56"/>
    <s v="UK pounds"/>
    <s v="UK pounds"/>
    <x v="0"/>
    <s v="UK"/>
    <x v="4"/>
    <x v="0"/>
    <x v="1"/>
    <s v="Consistent"/>
    <x v="0"/>
  </r>
  <r>
    <x v="352"/>
    <x v="0"/>
    <x v="363"/>
    <n v="353834718"/>
    <n v="1211.3900000000001"/>
    <s v="UK pounds"/>
    <s v="UK pounds"/>
    <x v="0"/>
    <s v="UK"/>
    <x v="3"/>
    <x v="0"/>
    <x v="2"/>
    <s v="Consistent"/>
    <x v="0"/>
  </r>
  <r>
    <x v="353"/>
    <x v="0"/>
    <x v="364"/>
    <n v="5103043844"/>
    <n v="6172.91"/>
    <s v="UK pounds"/>
    <s v="Naira"/>
    <x v="0"/>
    <s v="Nigeria"/>
    <x v="1"/>
    <x v="0"/>
    <x v="3"/>
    <s v="Potential Layering"/>
    <x v="0"/>
  </r>
  <r>
    <x v="354"/>
    <x v="0"/>
    <x v="365"/>
    <n v="2463385876"/>
    <n v="3067.18"/>
    <s v="UK pounds"/>
    <s v="UK pounds"/>
    <x v="0"/>
    <s v="UK"/>
    <x v="4"/>
    <x v="0"/>
    <x v="2"/>
    <s v="Consistent"/>
    <x v="0"/>
  </r>
  <r>
    <x v="355"/>
    <x v="0"/>
    <x v="124"/>
    <n v="9848553102"/>
    <n v="10288.33"/>
    <s v="UK pounds"/>
    <s v="UK pounds"/>
    <x v="0"/>
    <s v="UK"/>
    <x v="2"/>
    <x v="0"/>
    <x v="1"/>
    <s v="Consistent"/>
    <x v="0"/>
  </r>
  <r>
    <x v="356"/>
    <x v="0"/>
    <x v="366"/>
    <n v="4270865741"/>
    <n v="11814.29"/>
    <s v="UK pounds"/>
    <s v="UK pounds"/>
    <x v="0"/>
    <s v="UK"/>
    <x v="5"/>
    <x v="0"/>
    <x v="3"/>
    <s v="Consistent"/>
    <x v="0"/>
  </r>
  <r>
    <x v="356"/>
    <x v="0"/>
    <x v="367"/>
    <n v="7323827816"/>
    <n v="3020.71"/>
    <s v="UK pounds"/>
    <s v="UK pounds"/>
    <x v="0"/>
    <s v="UK"/>
    <x v="0"/>
    <x v="0"/>
    <x v="0"/>
    <s v="Consistent"/>
    <x v="0"/>
  </r>
  <r>
    <x v="357"/>
    <x v="0"/>
    <x v="368"/>
    <n v="3809653464"/>
    <n v="8780.89"/>
    <s v="UK pounds"/>
    <s v="Euro"/>
    <x v="0"/>
    <s v="Netherlands"/>
    <x v="1"/>
    <x v="0"/>
    <x v="1"/>
    <s v="Potential Layering"/>
    <x v="0"/>
  </r>
  <r>
    <x v="357"/>
    <x v="0"/>
    <x v="369"/>
    <n v="1251714328"/>
    <n v="10433.620000000001"/>
    <s v="UK pounds"/>
    <s v="UK pounds"/>
    <x v="0"/>
    <s v="UK"/>
    <x v="4"/>
    <x v="0"/>
    <x v="2"/>
    <s v="Consistent"/>
    <x v="0"/>
  </r>
  <r>
    <x v="358"/>
    <x v="0"/>
    <x v="370"/>
    <n v="6970509335"/>
    <n v="728.8"/>
    <s v="UK pounds"/>
    <s v="UK pounds"/>
    <x v="0"/>
    <s v="UK"/>
    <x v="0"/>
    <x v="0"/>
    <x v="0"/>
    <s v="Consistent"/>
    <x v="0"/>
  </r>
  <r>
    <x v="358"/>
    <x v="0"/>
    <x v="1"/>
    <n v="8401255335"/>
    <n v="6037.94"/>
    <s v="UK pounds"/>
    <s v="Dirham"/>
    <x v="0"/>
    <s v="UAE"/>
    <x v="1"/>
    <x v="0"/>
    <x v="1"/>
    <s v="Potential Layering"/>
    <x v="0"/>
  </r>
  <r>
    <x v="358"/>
    <x v="0"/>
    <x v="371"/>
    <n v="1377603863"/>
    <n v="10587.15"/>
    <s v="UK pounds"/>
    <s v="UK pounds"/>
    <x v="0"/>
    <s v="UK"/>
    <x v="2"/>
    <x v="0"/>
    <x v="3"/>
    <s v="Consistent"/>
    <x v="0"/>
  </r>
  <r>
    <x v="359"/>
    <x v="0"/>
    <x v="372"/>
    <n v="8287462977"/>
    <n v="976.8"/>
    <s v="UK pounds"/>
    <s v="UK pounds"/>
    <x v="0"/>
    <s v="UK"/>
    <x v="2"/>
    <x v="0"/>
    <x v="2"/>
    <s v="Consistent"/>
    <x v="0"/>
  </r>
  <r>
    <x v="360"/>
    <x v="0"/>
    <x v="40"/>
    <n v="7708305681"/>
    <n v="10303.959999999999"/>
    <s v="UK pounds"/>
    <s v="UK pounds"/>
    <x v="0"/>
    <s v="UK"/>
    <x v="5"/>
    <x v="0"/>
    <x v="1"/>
    <s v="Consistent"/>
    <x v="0"/>
  </r>
  <r>
    <x v="361"/>
    <x v="0"/>
    <x v="373"/>
    <n v="6223365730"/>
    <n v="10462.73"/>
    <s v="UK pounds"/>
    <s v="UK pounds"/>
    <x v="0"/>
    <s v="UK"/>
    <x v="5"/>
    <x v="0"/>
    <x v="3"/>
    <s v="Consistent"/>
    <x v="0"/>
  </r>
  <r>
    <x v="362"/>
    <x v="0"/>
    <x v="52"/>
    <n v="2111706195"/>
    <n v="15033.69"/>
    <s v="UK pounds"/>
    <s v="UK pounds"/>
    <x v="0"/>
    <s v="UK"/>
    <x v="2"/>
    <x v="0"/>
    <x v="1"/>
    <s v="Consistent"/>
    <x v="0"/>
  </r>
  <r>
    <x v="363"/>
    <x v="0"/>
    <x v="374"/>
    <n v="9716797685"/>
    <n v="3807.06"/>
    <s v="UK pounds"/>
    <s v="UK pounds"/>
    <x v="0"/>
    <s v="UK"/>
    <x v="0"/>
    <x v="0"/>
    <x v="0"/>
    <s v="Consistent"/>
    <x v="0"/>
  </r>
  <r>
    <x v="363"/>
    <x v="0"/>
    <x v="375"/>
    <n v="7135138536"/>
    <n v="6749.48"/>
    <s v="UK pounds"/>
    <s v="UK pounds"/>
    <x v="0"/>
    <s v="UK"/>
    <x v="4"/>
    <x v="0"/>
    <x v="4"/>
    <s v="Consistent"/>
    <x v="0"/>
  </r>
  <r>
    <x v="364"/>
    <x v="0"/>
    <x v="376"/>
    <n v="744931160"/>
    <n v="1347.06"/>
    <s v="UK pounds"/>
    <s v="UK pounds"/>
    <x v="0"/>
    <s v="UK"/>
    <x v="3"/>
    <x v="0"/>
    <x v="2"/>
    <s v="Consistent"/>
    <x v="0"/>
  </r>
  <r>
    <x v="365"/>
    <x v="0"/>
    <x v="243"/>
    <n v="8777101435"/>
    <n v="18207.77"/>
    <s v="Euro"/>
    <s v="UK pounds"/>
    <x v="4"/>
    <s v="UK"/>
    <x v="1"/>
    <x v="0"/>
    <x v="1"/>
    <s v="Potential Layering"/>
    <x v="0"/>
  </r>
  <r>
    <x v="366"/>
    <x v="0"/>
    <x v="255"/>
    <n v="1948023764"/>
    <n v="21534.12"/>
    <s v="UK pounds"/>
    <s v="UK pounds"/>
    <x v="0"/>
    <s v="UK"/>
    <x v="3"/>
    <x v="0"/>
    <x v="1"/>
    <s v="Consistent"/>
    <x v="0"/>
  </r>
  <r>
    <x v="367"/>
    <x v="0"/>
    <x v="248"/>
    <n v="4348868412"/>
    <n v="7272.59"/>
    <s v="UK pounds"/>
    <s v="UK pounds"/>
    <x v="0"/>
    <s v="UK"/>
    <x v="4"/>
    <x v="0"/>
    <x v="1"/>
    <s v="Consistent"/>
    <x v="0"/>
  </r>
  <r>
    <x v="368"/>
    <x v="0"/>
    <x v="377"/>
    <n v="6551259656"/>
    <n v="4713.43"/>
    <s v="UK pounds"/>
    <s v="UK pounds"/>
    <x v="0"/>
    <s v="UK"/>
    <x v="0"/>
    <x v="0"/>
    <x v="0"/>
    <s v="Consistent"/>
    <x v="0"/>
  </r>
  <r>
    <x v="368"/>
    <x v="0"/>
    <x v="378"/>
    <n v="3678154204"/>
    <n v="92.61"/>
    <s v="UK pounds"/>
    <s v="UK pounds"/>
    <x v="0"/>
    <s v="UK"/>
    <x v="4"/>
    <x v="0"/>
    <x v="2"/>
    <s v="Consistent"/>
    <x v="0"/>
  </r>
  <r>
    <x v="369"/>
    <x v="0"/>
    <x v="61"/>
    <n v="1492744665"/>
    <n v="5961.74"/>
    <s v="UK pounds"/>
    <s v="UK pounds"/>
    <x v="0"/>
    <s v="UK"/>
    <x v="4"/>
    <x v="0"/>
    <x v="1"/>
    <s v="Consistent"/>
    <x v="0"/>
  </r>
  <r>
    <x v="370"/>
    <x v="0"/>
    <x v="303"/>
    <n v="6034997194"/>
    <n v="6301.57"/>
    <s v="UK pounds"/>
    <s v="UK pounds"/>
    <x v="0"/>
    <s v="UK"/>
    <x v="3"/>
    <x v="0"/>
    <x v="3"/>
    <s v="Consistent"/>
    <x v="0"/>
  </r>
  <r>
    <x v="371"/>
    <x v="0"/>
    <x v="288"/>
    <n v="6034997194"/>
    <n v="15350.7"/>
    <s v="UK pounds"/>
    <s v="UK pounds"/>
    <x v="0"/>
    <s v="UK"/>
    <x v="3"/>
    <x v="0"/>
    <x v="3"/>
    <s v="Consistent"/>
    <x v="0"/>
  </r>
  <r>
    <x v="372"/>
    <x v="0"/>
    <x v="68"/>
    <n v="7505089539"/>
    <n v="8384.9"/>
    <s v="UK pounds"/>
    <s v="UK pounds"/>
    <x v="0"/>
    <s v="UK"/>
    <x v="4"/>
    <x v="0"/>
    <x v="1"/>
    <s v="Consistent"/>
    <x v="0"/>
  </r>
  <r>
    <x v="373"/>
    <x v="0"/>
    <x v="379"/>
    <n v="2870306224"/>
    <n v="8690.65"/>
    <s v="UK pounds"/>
    <s v="UK pounds"/>
    <x v="0"/>
    <s v="UK"/>
    <x v="4"/>
    <x v="0"/>
    <x v="1"/>
    <s v="Consistent"/>
    <x v="0"/>
  </r>
  <r>
    <x v="374"/>
    <x v="0"/>
    <x v="380"/>
    <n v="3411887666"/>
    <n v="1460.82"/>
    <s v="UK pounds"/>
    <s v="UK pounds"/>
    <x v="0"/>
    <s v="UK"/>
    <x v="4"/>
    <x v="0"/>
    <x v="2"/>
    <s v="Consistent"/>
    <x v="0"/>
  </r>
  <r>
    <x v="375"/>
    <x v="0"/>
    <x v="119"/>
    <n v="5109623450"/>
    <n v="6837.95"/>
    <s v="UK pounds"/>
    <s v="UK pounds"/>
    <x v="0"/>
    <s v="UK"/>
    <x v="4"/>
    <x v="0"/>
    <x v="3"/>
    <s v="Consistent"/>
    <x v="0"/>
  </r>
  <r>
    <x v="376"/>
    <x v="0"/>
    <x v="381"/>
    <n v="6781542095"/>
    <n v="308.83999999999997"/>
    <s v="UK pounds"/>
    <s v="UK pounds"/>
    <x v="0"/>
    <s v="UK"/>
    <x v="6"/>
    <x v="0"/>
    <x v="5"/>
    <s v="Consistent"/>
    <x v="0"/>
  </r>
  <r>
    <x v="377"/>
    <x v="0"/>
    <x v="9"/>
    <n v="1103906765"/>
    <n v="20811.310000000001"/>
    <s v="UK pounds"/>
    <s v="UK pounds"/>
    <x v="0"/>
    <s v="UK"/>
    <x v="4"/>
    <x v="0"/>
    <x v="1"/>
    <s v="Consistent"/>
    <x v="0"/>
  </r>
  <r>
    <x v="378"/>
    <x v="0"/>
    <x v="382"/>
    <n v="5482042682"/>
    <n v="1102.05"/>
    <s v="UK pounds"/>
    <s v="UK pounds"/>
    <x v="0"/>
    <s v="UK"/>
    <x v="5"/>
    <x v="0"/>
    <x v="2"/>
    <s v="Consistent"/>
    <x v="0"/>
  </r>
  <r>
    <x v="379"/>
    <x v="0"/>
    <x v="383"/>
    <n v="1448912136"/>
    <n v="2351.15"/>
    <s v="UK pounds"/>
    <s v="UK pounds"/>
    <x v="0"/>
    <s v="UK"/>
    <x v="2"/>
    <x v="0"/>
    <x v="4"/>
    <s v="Consistent"/>
    <x v="0"/>
  </r>
  <r>
    <x v="380"/>
    <x v="0"/>
    <x v="384"/>
    <n v="6385499580"/>
    <n v="9079.56"/>
    <s v="UK pounds"/>
    <s v="UK pounds"/>
    <x v="0"/>
    <s v="UK"/>
    <x v="2"/>
    <x v="0"/>
    <x v="2"/>
    <s v="Consistent"/>
    <x v="0"/>
  </r>
  <r>
    <x v="381"/>
    <x v="0"/>
    <x v="385"/>
    <n v="6444220418"/>
    <n v="17576.099999999999"/>
    <s v="UK pounds"/>
    <s v="UK pounds"/>
    <x v="0"/>
    <s v="UK"/>
    <x v="5"/>
    <x v="0"/>
    <x v="3"/>
    <s v="Consistent"/>
    <x v="0"/>
  </r>
  <r>
    <x v="381"/>
    <x v="0"/>
    <x v="386"/>
    <n v="8678802420"/>
    <n v="8593.67"/>
    <s v="UK pounds"/>
    <s v="UK pounds"/>
    <x v="0"/>
    <s v="UK"/>
    <x v="4"/>
    <x v="0"/>
    <x v="3"/>
    <s v="Consistent"/>
    <x v="0"/>
  </r>
  <r>
    <x v="382"/>
    <x v="0"/>
    <x v="387"/>
    <n v="5816813063"/>
    <n v="5390.78"/>
    <s v="UK pounds"/>
    <s v="UK pounds"/>
    <x v="0"/>
    <s v="UK"/>
    <x v="3"/>
    <x v="0"/>
    <x v="2"/>
    <s v="Consistent"/>
    <x v="0"/>
  </r>
  <r>
    <x v="383"/>
    <x v="0"/>
    <x v="388"/>
    <n v="8760936984"/>
    <n v="1728.9"/>
    <s v="UK pounds"/>
    <s v="UK pounds"/>
    <x v="0"/>
    <s v="UK"/>
    <x v="2"/>
    <x v="0"/>
    <x v="2"/>
    <s v="Consistent"/>
    <x v="0"/>
  </r>
  <r>
    <x v="383"/>
    <x v="0"/>
    <x v="389"/>
    <n v="9890571312"/>
    <n v="640.23"/>
    <s v="UK pounds"/>
    <s v="UK pounds"/>
    <x v="0"/>
    <s v="UK"/>
    <x v="3"/>
    <x v="0"/>
    <x v="2"/>
    <s v="Consistent"/>
    <x v="0"/>
  </r>
  <r>
    <x v="384"/>
    <x v="0"/>
    <x v="390"/>
    <n v="6232366766"/>
    <n v="1143.3599999999999"/>
    <s v="UK pounds"/>
    <s v="UK pounds"/>
    <x v="0"/>
    <s v="UK"/>
    <x v="4"/>
    <x v="0"/>
    <x v="2"/>
    <s v="Consistent"/>
    <x v="0"/>
  </r>
  <r>
    <x v="385"/>
    <x v="0"/>
    <x v="391"/>
    <n v="2368019884"/>
    <n v="3810.16"/>
    <s v="UK pounds"/>
    <s v="UK pounds"/>
    <x v="0"/>
    <s v="UK"/>
    <x v="5"/>
    <x v="0"/>
    <x v="2"/>
    <s v="Consistent"/>
    <x v="0"/>
  </r>
  <r>
    <x v="386"/>
    <x v="0"/>
    <x v="61"/>
    <n v="1856317214"/>
    <n v="6026.46"/>
    <s v="UK pounds"/>
    <s v="UK pounds"/>
    <x v="0"/>
    <s v="UK"/>
    <x v="4"/>
    <x v="0"/>
    <x v="1"/>
    <s v="Consistent"/>
    <x v="0"/>
  </r>
  <r>
    <x v="387"/>
    <x v="0"/>
    <x v="392"/>
    <n v="5991515018"/>
    <n v="63.44"/>
    <s v="UK pounds"/>
    <s v="UK pounds"/>
    <x v="0"/>
    <s v="UK"/>
    <x v="6"/>
    <x v="0"/>
    <x v="5"/>
    <s v="Consistent"/>
    <x v="0"/>
  </r>
  <r>
    <x v="387"/>
    <x v="0"/>
    <x v="393"/>
    <n v="954297398"/>
    <n v="598.36"/>
    <s v="UK pounds"/>
    <s v="UK pounds"/>
    <x v="0"/>
    <s v="UK"/>
    <x v="5"/>
    <x v="0"/>
    <x v="2"/>
    <s v="Consistent"/>
    <x v="0"/>
  </r>
  <r>
    <x v="388"/>
    <x v="0"/>
    <x v="394"/>
    <n v="8384869861"/>
    <n v="18066.71"/>
    <s v="UK pounds"/>
    <s v="Euro"/>
    <x v="0"/>
    <s v="Germany"/>
    <x v="1"/>
    <x v="0"/>
    <x v="7"/>
    <s v="Potential Layering"/>
    <x v="0"/>
  </r>
  <r>
    <x v="389"/>
    <x v="0"/>
    <x v="395"/>
    <n v="7386959843"/>
    <n v="4137.12"/>
    <s v="UK pounds"/>
    <s v="UK pounds"/>
    <x v="0"/>
    <s v="UK"/>
    <x v="5"/>
    <x v="0"/>
    <x v="2"/>
    <s v="Consistent"/>
    <x v="0"/>
  </r>
  <r>
    <x v="390"/>
    <x v="0"/>
    <x v="396"/>
    <n v="2501279631"/>
    <n v="4266.03"/>
    <s v="UK pounds"/>
    <s v="UK pounds"/>
    <x v="0"/>
    <s v="UK"/>
    <x v="3"/>
    <x v="0"/>
    <x v="2"/>
    <s v="Consistent"/>
    <x v="0"/>
  </r>
  <r>
    <x v="391"/>
    <x v="0"/>
    <x v="303"/>
    <n v="6034997194"/>
    <n v="6320.49"/>
    <s v="UK pounds"/>
    <s v="UK pounds"/>
    <x v="0"/>
    <s v="UK"/>
    <x v="4"/>
    <x v="0"/>
    <x v="3"/>
    <s v="Consistent"/>
    <x v="0"/>
  </r>
  <r>
    <x v="392"/>
    <x v="0"/>
    <x v="397"/>
    <n v="4662202464"/>
    <n v="3832.04"/>
    <s v="UK pounds"/>
    <s v="UK pounds"/>
    <x v="0"/>
    <s v="UK"/>
    <x v="3"/>
    <x v="0"/>
    <x v="2"/>
    <s v="Consistent"/>
    <x v="0"/>
  </r>
  <r>
    <x v="393"/>
    <x v="0"/>
    <x v="398"/>
    <n v="3079818547"/>
    <n v="13871.29"/>
    <s v="UK pounds"/>
    <s v="UK pounds"/>
    <x v="0"/>
    <s v="UK"/>
    <x v="4"/>
    <x v="0"/>
    <x v="3"/>
    <s v="Consistent"/>
    <x v="0"/>
  </r>
  <r>
    <x v="394"/>
    <x v="0"/>
    <x v="339"/>
    <n v="5254058209"/>
    <n v="4464.97"/>
    <s v="UK pounds"/>
    <s v="Dirham"/>
    <x v="0"/>
    <s v="UAE"/>
    <x v="1"/>
    <x v="0"/>
    <x v="1"/>
    <s v="Potential Layering"/>
    <x v="0"/>
  </r>
  <r>
    <x v="395"/>
    <x v="0"/>
    <x v="12"/>
    <n v="5109623450"/>
    <n v="16763.25"/>
    <s v="UK pounds"/>
    <s v="UK pounds"/>
    <x v="0"/>
    <s v="UK"/>
    <x v="4"/>
    <x v="0"/>
    <x v="3"/>
    <s v="Consistent"/>
    <x v="0"/>
  </r>
  <r>
    <x v="396"/>
    <x v="0"/>
    <x v="195"/>
    <n v="2933259781"/>
    <n v="5924.73"/>
    <s v="UK pounds"/>
    <s v="UK pounds"/>
    <x v="0"/>
    <s v="UK"/>
    <x v="2"/>
    <x v="0"/>
    <x v="1"/>
    <s v="Consistent"/>
    <x v="0"/>
  </r>
  <r>
    <x v="397"/>
    <x v="0"/>
    <x v="399"/>
    <n v="1431561040"/>
    <n v="19807.04"/>
    <s v="UK pounds"/>
    <s v="UK pounds"/>
    <x v="0"/>
    <s v="UK"/>
    <x v="4"/>
    <x v="0"/>
    <x v="3"/>
    <s v="Consistent"/>
    <x v="0"/>
  </r>
  <r>
    <x v="398"/>
    <x v="0"/>
    <x v="400"/>
    <n v="8912097394"/>
    <n v="4140.1499999999996"/>
    <s v="UK pounds"/>
    <s v="UK pounds"/>
    <x v="0"/>
    <s v="UK"/>
    <x v="3"/>
    <x v="0"/>
    <x v="4"/>
    <s v="Consistent"/>
    <x v="0"/>
  </r>
  <r>
    <x v="399"/>
    <x v="0"/>
    <x v="401"/>
    <n v="3661025271"/>
    <n v="8688.2800000000007"/>
    <s v="Euro"/>
    <s v="UK pounds"/>
    <x v="7"/>
    <s v="UK"/>
    <x v="1"/>
    <x v="0"/>
    <x v="6"/>
    <s v="Potential Layering"/>
    <x v="0"/>
  </r>
  <r>
    <x v="400"/>
    <x v="0"/>
    <x v="40"/>
    <n v="4059905714"/>
    <n v="5369.5"/>
    <s v="UK pounds"/>
    <s v="UK pounds"/>
    <x v="0"/>
    <s v="UK"/>
    <x v="3"/>
    <x v="0"/>
    <x v="1"/>
    <s v="Consistent"/>
    <x v="0"/>
  </r>
  <r>
    <x v="401"/>
    <x v="0"/>
    <x v="402"/>
    <n v="1493436023"/>
    <n v="4337.3"/>
    <s v="UK pounds"/>
    <s v="UK pounds"/>
    <x v="0"/>
    <s v="UK"/>
    <x v="5"/>
    <x v="0"/>
    <x v="3"/>
    <s v="Consistent"/>
    <x v="0"/>
  </r>
  <r>
    <x v="402"/>
    <x v="0"/>
    <x v="403"/>
    <n v="6865727267"/>
    <n v="126.25"/>
    <s v="UK pounds"/>
    <s v="UK pounds"/>
    <x v="0"/>
    <s v="UK"/>
    <x v="6"/>
    <x v="0"/>
    <x v="5"/>
    <s v="Consistent"/>
    <x v="0"/>
  </r>
  <r>
    <x v="402"/>
    <x v="0"/>
    <x v="404"/>
    <n v="2008369465"/>
    <n v="1152.1199999999999"/>
    <s v="UK pounds"/>
    <s v="UK pounds"/>
    <x v="0"/>
    <s v="UK"/>
    <x v="2"/>
    <x v="0"/>
    <x v="2"/>
    <s v="Consistent"/>
    <x v="0"/>
  </r>
  <r>
    <x v="403"/>
    <x v="0"/>
    <x v="40"/>
    <n v="375015805"/>
    <n v="4388.8599999999997"/>
    <s v="UK pounds"/>
    <s v="UK pounds"/>
    <x v="0"/>
    <s v="UK"/>
    <x v="4"/>
    <x v="0"/>
    <x v="1"/>
    <s v="Consistent"/>
    <x v="0"/>
  </r>
  <r>
    <x v="403"/>
    <x v="0"/>
    <x v="210"/>
    <n v="5033682319"/>
    <n v="14522.81"/>
    <s v="UK pounds"/>
    <s v="UK pounds"/>
    <x v="0"/>
    <s v="UK"/>
    <x v="2"/>
    <x v="0"/>
    <x v="1"/>
    <s v="Consistent"/>
    <x v="0"/>
  </r>
  <r>
    <x v="404"/>
    <x v="0"/>
    <x v="405"/>
    <n v="3737225286"/>
    <n v="1624.51"/>
    <s v="UK pounds"/>
    <s v="UK pounds"/>
    <x v="0"/>
    <s v="UK"/>
    <x v="3"/>
    <x v="0"/>
    <x v="2"/>
    <s v="Consistent"/>
    <x v="0"/>
  </r>
  <r>
    <x v="404"/>
    <x v="0"/>
    <x v="406"/>
    <n v="3093012877"/>
    <n v="4531.8599999999997"/>
    <s v="UK pounds"/>
    <s v="UK pounds"/>
    <x v="0"/>
    <s v="UK"/>
    <x v="4"/>
    <x v="0"/>
    <x v="2"/>
    <s v="Consistent"/>
    <x v="0"/>
  </r>
  <r>
    <x v="404"/>
    <x v="0"/>
    <x v="407"/>
    <n v="9325731862"/>
    <n v="1216.3"/>
    <s v="UK pounds"/>
    <s v="UK pounds"/>
    <x v="0"/>
    <s v="UK"/>
    <x v="5"/>
    <x v="0"/>
    <x v="2"/>
    <s v="Consistent"/>
    <x v="0"/>
  </r>
  <r>
    <x v="405"/>
    <x v="0"/>
    <x v="408"/>
    <n v="6953672776"/>
    <n v="7701.13"/>
    <s v="UK pounds"/>
    <s v="Mexican Peso"/>
    <x v="0"/>
    <s v="Mexico"/>
    <x v="1"/>
    <x v="0"/>
    <x v="3"/>
    <s v="Potential Layering"/>
    <x v="0"/>
  </r>
  <r>
    <x v="406"/>
    <x v="0"/>
    <x v="409"/>
    <n v="310698558"/>
    <n v="276.45999999999998"/>
    <s v="UK pounds"/>
    <s v="UK pounds"/>
    <x v="0"/>
    <s v="UK"/>
    <x v="3"/>
    <x v="0"/>
    <x v="2"/>
    <s v="Consistent"/>
    <x v="0"/>
  </r>
  <r>
    <x v="407"/>
    <x v="0"/>
    <x v="410"/>
    <n v="140821773"/>
    <n v="16933.689999999999"/>
    <s v="UK pounds"/>
    <s v="UK pounds"/>
    <x v="0"/>
    <s v="UK"/>
    <x v="4"/>
    <x v="0"/>
    <x v="2"/>
    <s v="Consistent"/>
    <x v="0"/>
  </r>
  <r>
    <x v="408"/>
    <x v="0"/>
    <x v="411"/>
    <n v="6994481881"/>
    <n v="228.08"/>
    <s v="UK pounds"/>
    <s v="UK pounds"/>
    <x v="0"/>
    <s v="UK"/>
    <x v="3"/>
    <x v="0"/>
    <x v="2"/>
    <s v="Consistent"/>
    <x v="0"/>
  </r>
  <r>
    <x v="409"/>
    <x v="0"/>
    <x v="110"/>
    <n v="9232891126"/>
    <n v="7179.06"/>
    <s v="UK pounds"/>
    <s v="UK pounds"/>
    <x v="0"/>
    <s v="UK"/>
    <x v="3"/>
    <x v="0"/>
    <x v="1"/>
    <s v="Consistent"/>
    <x v="0"/>
  </r>
  <r>
    <x v="410"/>
    <x v="0"/>
    <x v="35"/>
    <n v="1861324833"/>
    <n v="4456.79"/>
    <s v="UK pounds"/>
    <s v="UK pounds"/>
    <x v="0"/>
    <s v="UK"/>
    <x v="3"/>
    <x v="0"/>
    <x v="1"/>
    <s v="Consistent"/>
    <x v="0"/>
  </r>
  <r>
    <x v="411"/>
    <x v="0"/>
    <x v="412"/>
    <n v="5085626550"/>
    <n v="3267.38"/>
    <s v="UK pounds"/>
    <s v="UK pounds"/>
    <x v="0"/>
    <s v="UK"/>
    <x v="5"/>
    <x v="0"/>
    <x v="2"/>
    <s v="Consistent"/>
    <x v="0"/>
  </r>
  <r>
    <x v="412"/>
    <x v="0"/>
    <x v="81"/>
    <n v="5064372260"/>
    <n v="10018.61"/>
    <s v="UK pounds"/>
    <s v="UK pounds"/>
    <x v="0"/>
    <s v="UK"/>
    <x v="3"/>
    <x v="0"/>
    <x v="1"/>
    <s v="Consistent"/>
    <x v="0"/>
  </r>
  <r>
    <x v="413"/>
    <x v="0"/>
    <x v="413"/>
    <n v="3432128806"/>
    <n v="2207.16"/>
    <s v="UK pounds"/>
    <s v="UK pounds"/>
    <x v="0"/>
    <s v="UK"/>
    <x v="4"/>
    <x v="0"/>
    <x v="2"/>
    <s v="Consistent"/>
    <x v="0"/>
  </r>
  <r>
    <x v="414"/>
    <x v="0"/>
    <x v="414"/>
    <n v="5103043844"/>
    <n v="7450.71"/>
    <s v="UK pounds"/>
    <s v="Naira"/>
    <x v="0"/>
    <s v="Nigeria"/>
    <x v="1"/>
    <x v="0"/>
    <x v="3"/>
    <s v="Potential Layering"/>
    <x v="0"/>
  </r>
  <r>
    <x v="415"/>
    <x v="0"/>
    <x v="415"/>
    <n v="669985989"/>
    <n v="996.31"/>
    <s v="UK pounds"/>
    <s v="UK pounds"/>
    <x v="0"/>
    <s v="UK"/>
    <x v="3"/>
    <x v="0"/>
    <x v="2"/>
    <s v="Consistent"/>
    <x v="0"/>
  </r>
  <r>
    <x v="416"/>
    <x v="0"/>
    <x v="35"/>
    <n v="1625701030"/>
    <n v="6302.88"/>
    <s v="UK pounds"/>
    <s v="UK pounds"/>
    <x v="0"/>
    <s v="UK"/>
    <x v="2"/>
    <x v="0"/>
    <x v="1"/>
    <s v="Consistent"/>
    <x v="0"/>
  </r>
  <r>
    <x v="417"/>
    <x v="0"/>
    <x v="51"/>
    <n v="5367802555"/>
    <n v="8103.72"/>
    <s v="UK pounds"/>
    <s v="UK pounds"/>
    <x v="0"/>
    <s v="UK"/>
    <x v="4"/>
    <x v="0"/>
    <x v="1"/>
    <s v="Consistent"/>
    <x v="0"/>
  </r>
  <r>
    <x v="418"/>
    <x v="0"/>
    <x v="27"/>
    <n v="3079818547"/>
    <n v="8076.87"/>
    <s v="UK pounds"/>
    <s v="UK pounds"/>
    <x v="0"/>
    <s v="UK"/>
    <x v="3"/>
    <x v="0"/>
    <x v="3"/>
    <s v="Consistent"/>
    <x v="0"/>
  </r>
  <r>
    <x v="419"/>
    <x v="0"/>
    <x v="333"/>
    <n v="3353913084"/>
    <n v="1380.28"/>
    <s v="UK pounds"/>
    <s v="UK pounds"/>
    <x v="0"/>
    <s v="UK"/>
    <x v="4"/>
    <x v="0"/>
    <x v="6"/>
    <s v="Consistent"/>
    <x v="0"/>
  </r>
  <r>
    <x v="420"/>
    <x v="0"/>
    <x v="86"/>
    <n v="2055564858"/>
    <n v="4421.05"/>
    <s v="UK pounds"/>
    <s v="UK pounds"/>
    <x v="0"/>
    <s v="UK"/>
    <x v="4"/>
    <x v="0"/>
    <x v="1"/>
    <s v="Consistent"/>
    <x v="0"/>
  </r>
  <r>
    <x v="421"/>
    <x v="0"/>
    <x v="91"/>
    <n v="389486199"/>
    <n v="6960.98"/>
    <s v="UK pounds"/>
    <s v="UK pounds"/>
    <x v="0"/>
    <s v="UK"/>
    <x v="3"/>
    <x v="0"/>
    <x v="1"/>
    <s v="Consistent"/>
    <x v="0"/>
  </r>
  <r>
    <x v="421"/>
    <x v="0"/>
    <x v="416"/>
    <n v="7136306872"/>
    <n v="4534.2"/>
    <s v="UK pounds"/>
    <s v="UK pounds"/>
    <x v="0"/>
    <s v="UK"/>
    <x v="5"/>
    <x v="0"/>
    <x v="2"/>
    <s v="Consistent"/>
    <x v="0"/>
  </r>
  <r>
    <x v="422"/>
    <x v="0"/>
    <x v="417"/>
    <n v="2598496279"/>
    <n v="3457.55"/>
    <s v="UK pounds"/>
    <s v="UK pounds"/>
    <x v="0"/>
    <s v="UK"/>
    <x v="0"/>
    <x v="0"/>
    <x v="0"/>
    <s v="Consistent"/>
    <x v="0"/>
  </r>
  <r>
    <x v="423"/>
    <x v="0"/>
    <x v="418"/>
    <n v="4173195094"/>
    <n v="16685.13"/>
    <s v="UK pounds"/>
    <s v="UK pounds"/>
    <x v="0"/>
    <s v="UK"/>
    <x v="3"/>
    <x v="0"/>
    <x v="3"/>
    <s v="Consistent"/>
    <x v="0"/>
  </r>
  <r>
    <x v="424"/>
    <x v="0"/>
    <x v="419"/>
    <n v="3912509869"/>
    <n v="556.4"/>
    <s v="UK pounds"/>
    <s v="UK pounds"/>
    <x v="0"/>
    <s v="UK"/>
    <x v="5"/>
    <x v="0"/>
    <x v="4"/>
    <s v="Consistent"/>
    <x v="0"/>
  </r>
  <r>
    <x v="425"/>
    <x v="0"/>
    <x v="343"/>
    <n v="9264803944"/>
    <n v="1695.92"/>
    <s v="UK pounds"/>
    <s v="UK pounds"/>
    <x v="0"/>
    <s v="UK"/>
    <x v="4"/>
    <x v="0"/>
    <x v="2"/>
    <s v="Consistent"/>
    <x v="0"/>
  </r>
  <r>
    <x v="426"/>
    <x v="0"/>
    <x v="75"/>
    <n v="365650600"/>
    <n v="8255.51"/>
    <s v="Naira"/>
    <s v="UK pounds"/>
    <x v="0"/>
    <s v="UK"/>
    <x v="3"/>
    <x v="0"/>
    <x v="1"/>
    <s v="Potential Layering"/>
    <x v="0"/>
  </r>
  <r>
    <x v="427"/>
    <x v="0"/>
    <x v="32"/>
    <n v="8518184956"/>
    <n v="5760.93"/>
    <s v="UK pounds"/>
    <s v="UK pounds"/>
    <x v="0"/>
    <s v="UK"/>
    <x v="2"/>
    <x v="0"/>
    <x v="3"/>
    <s v="Consistent"/>
    <x v="0"/>
  </r>
  <r>
    <x v="428"/>
    <x v="0"/>
    <x v="368"/>
    <n v="6000919396"/>
    <n v="10489.17"/>
    <s v="UK pounds"/>
    <s v="UK pounds"/>
    <x v="0"/>
    <s v="UK"/>
    <x v="5"/>
    <x v="0"/>
    <x v="1"/>
    <s v="Consistent"/>
    <x v="0"/>
  </r>
  <r>
    <x v="429"/>
    <x v="0"/>
    <x v="195"/>
    <n v="8816009605"/>
    <n v="8252.91"/>
    <s v="UK pounds"/>
    <s v="UK pounds"/>
    <x v="0"/>
    <s v="UK"/>
    <x v="5"/>
    <x v="0"/>
    <x v="1"/>
    <s v="Consistent"/>
    <x v="0"/>
  </r>
  <r>
    <x v="430"/>
    <x v="0"/>
    <x v="254"/>
    <n v="409707192"/>
    <n v="11920.59"/>
    <s v="UK pounds"/>
    <s v="UK pounds"/>
    <x v="0"/>
    <s v="UK"/>
    <x v="5"/>
    <x v="0"/>
    <x v="3"/>
    <s v="Consistent"/>
    <x v="0"/>
  </r>
  <r>
    <x v="431"/>
    <x v="0"/>
    <x v="124"/>
    <n v="8617863283"/>
    <n v="5871.09"/>
    <s v="UK pounds"/>
    <s v="UK pounds"/>
    <x v="0"/>
    <s v="UK"/>
    <x v="4"/>
    <x v="0"/>
    <x v="1"/>
    <s v="Consistent"/>
    <x v="0"/>
  </r>
  <r>
    <x v="432"/>
    <x v="0"/>
    <x v="163"/>
    <n v="7623292529"/>
    <n v="15929.72"/>
    <s v="UK pounds"/>
    <s v="UK pounds"/>
    <x v="0"/>
    <s v="UK"/>
    <x v="4"/>
    <x v="0"/>
    <x v="1"/>
    <s v="Consistent"/>
    <x v="0"/>
  </r>
  <r>
    <x v="433"/>
    <x v="0"/>
    <x v="420"/>
    <n v="8673917867"/>
    <n v="8608.92"/>
    <s v="UK pounds"/>
    <s v="Yen"/>
    <x v="0"/>
    <s v="UK"/>
    <x v="5"/>
    <x v="0"/>
    <x v="3"/>
    <s v="Potential Layering"/>
    <x v="0"/>
  </r>
  <r>
    <x v="434"/>
    <x v="0"/>
    <x v="421"/>
    <n v="5665620705"/>
    <n v="3512.04"/>
    <s v="UK pounds"/>
    <s v="UK pounds"/>
    <x v="0"/>
    <s v="UK"/>
    <x v="4"/>
    <x v="0"/>
    <x v="2"/>
    <s v="Consistent"/>
    <x v="0"/>
  </r>
  <r>
    <x v="434"/>
    <x v="0"/>
    <x v="8"/>
    <n v="7541529999"/>
    <n v="5919.54"/>
    <s v="UK pounds"/>
    <s v="UK pounds"/>
    <x v="0"/>
    <s v="UK"/>
    <x v="2"/>
    <x v="0"/>
    <x v="1"/>
    <s v="Consistent"/>
    <x v="0"/>
  </r>
  <r>
    <x v="435"/>
    <x v="0"/>
    <x v="422"/>
    <n v="1981154716"/>
    <n v="3499.13"/>
    <s v="UK pounds"/>
    <s v="UK pounds"/>
    <x v="0"/>
    <s v="UK"/>
    <x v="5"/>
    <x v="0"/>
    <x v="2"/>
    <s v="Consistent"/>
    <x v="0"/>
  </r>
  <r>
    <x v="436"/>
    <x v="0"/>
    <x v="423"/>
    <n v="6320069287"/>
    <n v="1691.58"/>
    <s v="UK pounds"/>
    <s v="UK pounds"/>
    <x v="0"/>
    <s v="UK"/>
    <x v="2"/>
    <x v="0"/>
    <x v="2"/>
    <s v="Consistent"/>
    <x v="0"/>
  </r>
  <r>
    <x v="437"/>
    <x v="0"/>
    <x v="346"/>
    <n v="9600420220"/>
    <n v="7232.66"/>
    <s v="UK pounds"/>
    <s v="UK pounds"/>
    <x v="0"/>
    <s v="UK"/>
    <x v="5"/>
    <x v="0"/>
    <x v="3"/>
    <s v="Consistent"/>
    <x v="0"/>
  </r>
  <r>
    <x v="438"/>
    <x v="0"/>
    <x v="424"/>
    <n v="7475764496"/>
    <n v="2538.63"/>
    <s v="Yen"/>
    <s v="UK pounds"/>
    <x v="0"/>
    <s v="UK"/>
    <x v="4"/>
    <x v="0"/>
    <x v="2"/>
    <s v="Potential Layering"/>
    <x v="0"/>
  </r>
  <r>
    <x v="438"/>
    <x v="0"/>
    <x v="425"/>
    <n v="6034997194"/>
    <n v="33628.75"/>
    <s v="UK pounds"/>
    <s v="UK pounds"/>
    <x v="0"/>
    <s v="UK"/>
    <x v="2"/>
    <x v="0"/>
    <x v="3"/>
    <s v="Consistent"/>
    <x v="0"/>
  </r>
  <r>
    <x v="439"/>
    <x v="0"/>
    <x v="368"/>
    <n v="1896020736"/>
    <n v="5695.72"/>
    <s v="UK pounds"/>
    <s v="UK pounds"/>
    <x v="0"/>
    <s v="UK"/>
    <x v="5"/>
    <x v="0"/>
    <x v="1"/>
    <s v="Consistent"/>
    <x v="0"/>
  </r>
  <r>
    <x v="440"/>
    <x v="0"/>
    <x v="426"/>
    <n v="4336977506"/>
    <n v="5893.75"/>
    <s v="UK pounds"/>
    <s v="UK pounds"/>
    <x v="0"/>
    <s v="UK"/>
    <x v="5"/>
    <x v="0"/>
    <x v="3"/>
    <s v="Consistent"/>
    <x v="0"/>
  </r>
  <r>
    <x v="440"/>
    <x v="0"/>
    <x v="427"/>
    <n v="6646502650"/>
    <n v="5171.09"/>
    <s v="UK pounds"/>
    <s v="Euro"/>
    <x v="0"/>
    <s v="France"/>
    <x v="1"/>
    <x v="0"/>
    <x v="3"/>
    <s v="Potential Layering"/>
    <x v="0"/>
  </r>
  <r>
    <x v="441"/>
    <x v="0"/>
    <x v="428"/>
    <n v="8158472527"/>
    <n v="4517.1400000000003"/>
    <s v="UK pounds"/>
    <s v="UK pounds"/>
    <x v="0"/>
    <s v="UK"/>
    <x v="4"/>
    <x v="0"/>
    <x v="2"/>
    <s v="Consistent"/>
    <x v="0"/>
  </r>
  <r>
    <x v="441"/>
    <x v="0"/>
    <x v="429"/>
    <n v="7047415797"/>
    <n v="1115.77"/>
    <s v="UK pounds"/>
    <s v="UK pounds"/>
    <x v="0"/>
    <s v="UK"/>
    <x v="5"/>
    <x v="0"/>
    <x v="2"/>
    <s v="Consistent"/>
    <x v="0"/>
  </r>
  <r>
    <x v="442"/>
    <x v="0"/>
    <x v="430"/>
    <n v="3263399801"/>
    <n v="257.70999999999998"/>
    <s v="UK pounds"/>
    <s v="UK pounds"/>
    <x v="0"/>
    <s v="UK"/>
    <x v="4"/>
    <x v="0"/>
    <x v="2"/>
    <s v="Consistent"/>
    <x v="0"/>
  </r>
  <r>
    <x v="442"/>
    <x v="0"/>
    <x v="264"/>
    <n v="5708936901"/>
    <n v="17809.060000000001"/>
    <s v="UK pounds"/>
    <s v="UK pounds"/>
    <x v="0"/>
    <s v="UK"/>
    <x v="3"/>
    <x v="0"/>
    <x v="3"/>
    <s v="Consistent"/>
    <x v="0"/>
  </r>
  <r>
    <x v="443"/>
    <x v="0"/>
    <x v="431"/>
    <n v="1091854354"/>
    <n v="1419.97"/>
    <s v="UK pounds"/>
    <s v="UK pounds"/>
    <x v="0"/>
    <s v="UK"/>
    <x v="0"/>
    <x v="0"/>
    <x v="0"/>
    <s v="Consistent"/>
    <x v="0"/>
  </r>
  <r>
    <x v="444"/>
    <x v="0"/>
    <x v="432"/>
    <n v="7267193919"/>
    <n v="3323.79"/>
    <s v="UK pounds"/>
    <s v="UK pounds"/>
    <x v="0"/>
    <s v="UK"/>
    <x v="0"/>
    <x v="0"/>
    <x v="0"/>
    <s v="Consistent"/>
    <x v="0"/>
  </r>
  <r>
    <x v="445"/>
    <x v="0"/>
    <x v="433"/>
    <n v="5504005538"/>
    <n v="5376.92"/>
    <s v="UK pounds"/>
    <s v="UK pounds"/>
    <x v="0"/>
    <s v="UK"/>
    <x v="5"/>
    <x v="0"/>
    <x v="2"/>
    <s v="Consistent"/>
    <x v="0"/>
  </r>
  <r>
    <x v="446"/>
    <x v="0"/>
    <x v="434"/>
    <n v="9088651571"/>
    <n v="175.59"/>
    <s v="UK pounds"/>
    <s v="UK pounds"/>
    <x v="0"/>
    <s v="UK"/>
    <x v="6"/>
    <x v="0"/>
    <x v="5"/>
    <s v="Consistent"/>
    <x v="0"/>
  </r>
  <r>
    <x v="447"/>
    <x v="0"/>
    <x v="86"/>
    <n v="545403361"/>
    <n v="5935.32"/>
    <s v="UK pounds"/>
    <s v="UK pounds"/>
    <x v="0"/>
    <s v="UK"/>
    <x v="5"/>
    <x v="0"/>
    <x v="1"/>
    <s v="Consistent"/>
    <x v="0"/>
  </r>
  <r>
    <x v="447"/>
    <x v="0"/>
    <x v="435"/>
    <n v="1493436023"/>
    <n v="16360.96"/>
    <s v="UK pounds"/>
    <s v="UK pounds"/>
    <x v="0"/>
    <s v="UK"/>
    <x v="2"/>
    <x v="0"/>
    <x v="3"/>
    <s v="Consistent"/>
    <x v="0"/>
  </r>
  <r>
    <x v="448"/>
    <x v="0"/>
    <x v="196"/>
    <n v="2584568182"/>
    <n v="2756.22"/>
    <s v="UK pounds"/>
    <s v="UK pounds"/>
    <x v="0"/>
    <s v="UK"/>
    <x v="4"/>
    <x v="0"/>
    <x v="6"/>
    <s v="Consistent"/>
    <x v="0"/>
  </r>
  <r>
    <x v="449"/>
    <x v="0"/>
    <x v="436"/>
    <n v="8036086315"/>
    <n v="4220.88"/>
    <s v="UK pounds"/>
    <s v="UK pounds"/>
    <x v="0"/>
    <s v="UK"/>
    <x v="2"/>
    <x v="0"/>
    <x v="2"/>
    <s v="Consistent"/>
    <x v="0"/>
  </r>
  <r>
    <x v="450"/>
    <x v="0"/>
    <x v="437"/>
    <n v="1692929472"/>
    <n v="1390.79"/>
    <s v="UK pounds"/>
    <s v="UK pounds"/>
    <x v="0"/>
    <s v="UK"/>
    <x v="3"/>
    <x v="0"/>
    <x v="2"/>
    <s v="Consistent"/>
    <x v="0"/>
  </r>
  <r>
    <x v="451"/>
    <x v="0"/>
    <x v="248"/>
    <n v="4848113486"/>
    <n v="6862.55"/>
    <s v="UK pounds"/>
    <s v="UK pounds"/>
    <x v="0"/>
    <s v="UK"/>
    <x v="4"/>
    <x v="0"/>
    <x v="1"/>
    <s v="Consistent"/>
    <x v="0"/>
  </r>
  <r>
    <x v="452"/>
    <x v="0"/>
    <x v="438"/>
    <n v="9286191745"/>
    <n v="1828.56"/>
    <s v="UK pounds"/>
    <s v="UK pounds"/>
    <x v="0"/>
    <s v="UK"/>
    <x v="3"/>
    <x v="0"/>
    <x v="2"/>
    <s v="Consistent"/>
    <x v="0"/>
  </r>
  <r>
    <x v="453"/>
    <x v="0"/>
    <x v="188"/>
    <n v="8352571580"/>
    <n v="14816.68"/>
    <s v="UK pounds"/>
    <s v="UK pounds"/>
    <x v="0"/>
    <s v="UK"/>
    <x v="3"/>
    <x v="0"/>
    <x v="3"/>
    <s v="Consistent"/>
    <x v="0"/>
  </r>
  <r>
    <x v="454"/>
    <x v="0"/>
    <x v="439"/>
    <n v="621060264"/>
    <n v="17263.689999999999"/>
    <s v="UK pounds"/>
    <s v="UK pounds"/>
    <x v="0"/>
    <s v="UK"/>
    <x v="5"/>
    <x v="0"/>
    <x v="3"/>
    <s v="Consistent"/>
    <x v="0"/>
  </r>
  <r>
    <x v="454"/>
    <x v="0"/>
    <x v="8"/>
    <n v="144438037"/>
    <n v="5825.57"/>
    <s v="UK pounds"/>
    <s v="UK pounds"/>
    <x v="0"/>
    <s v="UK"/>
    <x v="3"/>
    <x v="0"/>
    <x v="1"/>
    <s v="Consistent"/>
    <x v="0"/>
  </r>
  <r>
    <x v="454"/>
    <x v="0"/>
    <x v="124"/>
    <n v="3230579354"/>
    <n v="11268.27"/>
    <s v="UK pounds"/>
    <s v="UK pounds"/>
    <x v="0"/>
    <s v="UK"/>
    <x v="4"/>
    <x v="0"/>
    <x v="1"/>
    <s v="Consistent"/>
    <x v="0"/>
  </r>
  <r>
    <x v="455"/>
    <x v="0"/>
    <x v="440"/>
    <n v="6953672776"/>
    <n v="6155.14"/>
    <s v="UK pounds"/>
    <s v="Mexican Peso"/>
    <x v="0"/>
    <s v="Mexico"/>
    <x v="1"/>
    <x v="0"/>
    <x v="3"/>
    <s v="Potential Layering"/>
    <x v="0"/>
  </r>
  <r>
    <x v="456"/>
    <x v="0"/>
    <x v="441"/>
    <n v="3023734307"/>
    <n v="2480.31"/>
    <s v="UK pounds"/>
    <s v="UK pounds"/>
    <x v="0"/>
    <s v="UK"/>
    <x v="0"/>
    <x v="0"/>
    <x v="0"/>
    <s v="Consistent"/>
    <x v="0"/>
  </r>
  <r>
    <x v="457"/>
    <x v="0"/>
    <x v="333"/>
    <n v="3353913084"/>
    <n v="1387.75"/>
    <s v="UK pounds"/>
    <s v="UK pounds"/>
    <x v="0"/>
    <s v="UK"/>
    <x v="5"/>
    <x v="0"/>
    <x v="6"/>
    <s v="Consistent"/>
    <x v="0"/>
  </r>
  <r>
    <x v="458"/>
    <x v="0"/>
    <x v="195"/>
    <n v="4788192514"/>
    <n v="12246.56"/>
    <s v="UK pounds"/>
    <s v="UK pounds"/>
    <x v="0"/>
    <s v="UK"/>
    <x v="4"/>
    <x v="0"/>
    <x v="1"/>
    <s v="Consistent"/>
    <x v="0"/>
  </r>
  <r>
    <x v="459"/>
    <x v="0"/>
    <x v="67"/>
    <n v="1612314007"/>
    <n v="14919.17"/>
    <s v="UK pounds"/>
    <s v="UK pounds"/>
    <x v="0"/>
    <s v="UK"/>
    <x v="3"/>
    <x v="0"/>
    <x v="6"/>
    <s v="Consistent"/>
    <x v="0"/>
  </r>
  <r>
    <x v="460"/>
    <x v="0"/>
    <x v="61"/>
    <n v="9982628328"/>
    <n v="7134.01"/>
    <s v="UK pounds"/>
    <s v="UK pounds"/>
    <x v="0"/>
    <s v="UK"/>
    <x v="4"/>
    <x v="0"/>
    <x v="1"/>
    <s v="Consistent"/>
    <x v="0"/>
  </r>
  <r>
    <x v="461"/>
    <x v="0"/>
    <x v="442"/>
    <n v="1498551643"/>
    <n v="7730.88"/>
    <s v="UK pounds"/>
    <s v="UK pounds"/>
    <x v="0"/>
    <s v="UK"/>
    <x v="4"/>
    <x v="0"/>
    <x v="2"/>
    <s v="Consistent"/>
    <x v="0"/>
  </r>
  <r>
    <x v="462"/>
    <x v="0"/>
    <x v="163"/>
    <n v="8015553278"/>
    <n v="6949.44"/>
    <s v="UK pounds"/>
    <s v="UK pounds"/>
    <x v="0"/>
    <s v="UK"/>
    <x v="5"/>
    <x v="0"/>
    <x v="1"/>
    <s v="Consistent"/>
    <x v="0"/>
  </r>
  <r>
    <x v="463"/>
    <x v="0"/>
    <x v="443"/>
    <n v="3114444835"/>
    <n v="33678.400000000001"/>
    <s v="UK pounds"/>
    <s v="UK pounds"/>
    <x v="0"/>
    <s v="UK"/>
    <x v="4"/>
    <x v="0"/>
    <x v="8"/>
    <s v="Consistent"/>
    <x v="0"/>
  </r>
  <r>
    <x v="464"/>
    <x v="0"/>
    <x v="444"/>
    <n v="409707192"/>
    <n v="9644.0499999999993"/>
    <s v="UK pounds"/>
    <s v="UK pounds"/>
    <x v="0"/>
    <s v="UK"/>
    <x v="5"/>
    <x v="0"/>
    <x v="3"/>
    <s v="Consistent"/>
    <x v="0"/>
  </r>
  <r>
    <x v="465"/>
    <x v="0"/>
    <x v="445"/>
    <n v="4278420374"/>
    <n v="688.5"/>
    <s v="UK pounds"/>
    <s v="UK pounds"/>
    <x v="0"/>
    <s v="UK"/>
    <x v="0"/>
    <x v="0"/>
    <x v="0"/>
    <s v="Consistent"/>
    <x v="0"/>
  </r>
  <r>
    <x v="466"/>
    <x v="0"/>
    <x v="446"/>
    <n v="6153393710"/>
    <n v="9404.35"/>
    <s v="UK pounds"/>
    <s v="UK pounds"/>
    <x v="0"/>
    <s v="UK"/>
    <x v="5"/>
    <x v="0"/>
    <x v="2"/>
    <s v="Consistent"/>
    <x v="0"/>
  </r>
  <r>
    <x v="467"/>
    <x v="0"/>
    <x v="447"/>
    <n v="1431561040"/>
    <n v="10266.879999999999"/>
    <s v="Euro"/>
    <s v="UK pounds"/>
    <x v="8"/>
    <s v="UK"/>
    <x v="1"/>
    <x v="0"/>
    <x v="3"/>
    <s v="Potential Layering"/>
    <x v="0"/>
  </r>
  <r>
    <x v="468"/>
    <x v="0"/>
    <x v="448"/>
    <n v="8092903168"/>
    <n v="155.82"/>
    <s v="UK pounds"/>
    <s v="UK pounds"/>
    <x v="0"/>
    <s v="UK"/>
    <x v="6"/>
    <x v="0"/>
    <x v="5"/>
    <s v="Consistent"/>
    <x v="0"/>
  </r>
  <r>
    <x v="469"/>
    <x v="0"/>
    <x v="449"/>
    <n v="7141862393"/>
    <n v="2294.5100000000002"/>
    <s v="UK pounds"/>
    <s v="UK pounds"/>
    <x v="0"/>
    <s v="UK"/>
    <x v="4"/>
    <x v="0"/>
    <x v="2"/>
    <s v="Consistent"/>
    <x v="0"/>
  </r>
  <r>
    <x v="470"/>
    <x v="0"/>
    <x v="450"/>
    <n v="3792752290"/>
    <n v="2332.5500000000002"/>
    <s v="UK pounds"/>
    <s v="UK pounds"/>
    <x v="0"/>
    <s v="UK"/>
    <x v="5"/>
    <x v="0"/>
    <x v="4"/>
    <s v="Consistent"/>
    <x v="0"/>
  </r>
  <r>
    <x v="471"/>
    <x v="0"/>
    <x v="451"/>
    <n v="3079818547"/>
    <n v="12175.77"/>
    <s v="UK pounds"/>
    <s v="UK pounds"/>
    <x v="0"/>
    <s v="UK"/>
    <x v="4"/>
    <x v="0"/>
    <x v="3"/>
    <s v="Consistent"/>
    <x v="0"/>
  </r>
  <r>
    <x v="471"/>
    <x v="0"/>
    <x v="452"/>
    <n v="6953672776"/>
    <n v="5916.09"/>
    <s v="UK pounds"/>
    <s v="Mexican Peso"/>
    <x v="0"/>
    <s v="Mexico"/>
    <x v="1"/>
    <x v="0"/>
    <x v="3"/>
    <s v="Potential Layering"/>
    <x v="0"/>
  </r>
  <r>
    <x v="472"/>
    <x v="0"/>
    <x v="453"/>
    <n v="4432422695"/>
    <n v="879.96"/>
    <s v="UK pounds"/>
    <s v="UK pounds"/>
    <x v="0"/>
    <s v="UK"/>
    <x v="4"/>
    <x v="0"/>
    <x v="2"/>
    <s v="Consistent"/>
    <x v="0"/>
  </r>
  <r>
    <x v="472"/>
    <x v="0"/>
    <x v="454"/>
    <n v="9468974274"/>
    <n v="7214.79"/>
    <s v="UK pounds"/>
    <s v="UK pounds"/>
    <x v="0"/>
    <s v="UK"/>
    <x v="2"/>
    <x v="0"/>
    <x v="2"/>
    <s v="Consistent"/>
    <x v="0"/>
  </r>
  <r>
    <x v="473"/>
    <x v="0"/>
    <x v="455"/>
    <n v="6011344390"/>
    <n v="1101.99"/>
    <s v="UK pounds"/>
    <s v="UK pounds"/>
    <x v="0"/>
    <s v="UK"/>
    <x v="4"/>
    <x v="0"/>
    <x v="2"/>
    <s v="Consistent"/>
    <x v="0"/>
  </r>
  <r>
    <x v="474"/>
    <x v="0"/>
    <x v="456"/>
    <n v="6648839495"/>
    <n v="1398.66"/>
    <s v="UK pounds"/>
    <s v="UK pounds"/>
    <x v="0"/>
    <s v="UK"/>
    <x v="4"/>
    <x v="0"/>
    <x v="2"/>
    <s v="Consistent"/>
    <x v="0"/>
  </r>
  <r>
    <x v="475"/>
    <x v="0"/>
    <x v="34"/>
    <n v="2815444709"/>
    <n v="5143.45"/>
    <s v="UK pounds"/>
    <s v="UK pounds"/>
    <x v="0"/>
    <s v="UK"/>
    <x v="4"/>
    <x v="0"/>
    <x v="1"/>
    <s v="Consistent"/>
    <x v="0"/>
  </r>
  <r>
    <x v="476"/>
    <x v="0"/>
    <x v="219"/>
    <n v="3220735304"/>
    <n v="19316.400000000001"/>
    <s v="UK pounds"/>
    <s v="UK pounds"/>
    <x v="0"/>
    <s v="UK"/>
    <x v="5"/>
    <x v="0"/>
    <x v="3"/>
    <s v="Consistent"/>
    <x v="0"/>
  </r>
  <r>
    <x v="476"/>
    <x v="0"/>
    <x v="457"/>
    <n v="3495196736"/>
    <n v="1727.78"/>
    <s v="UK pounds"/>
    <s v="UK pounds"/>
    <x v="0"/>
    <s v="UK"/>
    <x v="3"/>
    <x v="0"/>
    <x v="2"/>
    <s v="Consistent"/>
    <x v="0"/>
  </r>
  <r>
    <x v="477"/>
    <x v="0"/>
    <x v="458"/>
    <n v="4729254795"/>
    <n v="88014.57"/>
    <s v="UK pounds"/>
    <s v="UK pounds"/>
    <x v="0"/>
    <s v="UK"/>
    <x v="5"/>
    <x v="0"/>
    <x v="10"/>
    <s v="Consistent"/>
    <x v="0"/>
  </r>
  <r>
    <x v="478"/>
    <x v="0"/>
    <x v="110"/>
    <n v="7577540230"/>
    <n v="7288.77"/>
    <s v="UK pounds"/>
    <s v="UK pounds"/>
    <x v="0"/>
    <s v="UK"/>
    <x v="2"/>
    <x v="0"/>
    <x v="1"/>
    <s v="Consistent"/>
    <x v="0"/>
  </r>
  <r>
    <x v="479"/>
    <x v="0"/>
    <x v="459"/>
    <n v="7975935824"/>
    <n v="15676.74"/>
    <s v="UK pounds"/>
    <s v="UK pounds"/>
    <x v="0"/>
    <s v="UK"/>
    <x v="5"/>
    <x v="0"/>
    <x v="4"/>
    <s v="Consistent"/>
    <x v="0"/>
  </r>
  <r>
    <x v="480"/>
    <x v="0"/>
    <x v="460"/>
    <n v="703064372"/>
    <n v="1524.31"/>
    <s v="UK pounds"/>
    <s v="UK pounds"/>
    <x v="0"/>
    <s v="UK"/>
    <x v="3"/>
    <x v="0"/>
    <x v="2"/>
    <s v="Consistent"/>
    <x v="0"/>
  </r>
  <r>
    <x v="481"/>
    <x v="0"/>
    <x v="461"/>
    <n v="7116059879"/>
    <n v="4328.16"/>
    <s v="UK pounds"/>
    <s v="UK pounds"/>
    <x v="0"/>
    <s v="UK"/>
    <x v="4"/>
    <x v="0"/>
    <x v="2"/>
    <s v="Consistent"/>
    <x v="0"/>
  </r>
  <r>
    <x v="482"/>
    <x v="0"/>
    <x v="63"/>
    <n v="2341493832"/>
    <n v="7906.34"/>
    <s v="UK pounds"/>
    <s v="UK pounds"/>
    <x v="0"/>
    <s v="UK"/>
    <x v="2"/>
    <x v="0"/>
    <x v="1"/>
    <s v="Consistent"/>
    <x v="0"/>
  </r>
  <r>
    <x v="483"/>
    <x v="0"/>
    <x v="462"/>
    <n v="2127835605"/>
    <n v="420.19"/>
    <s v="UK pounds"/>
    <s v="UK pounds"/>
    <x v="0"/>
    <s v="UK"/>
    <x v="3"/>
    <x v="0"/>
    <x v="2"/>
    <s v="Consistent"/>
    <x v="0"/>
  </r>
  <r>
    <x v="484"/>
    <x v="0"/>
    <x v="463"/>
    <n v="3116242508"/>
    <n v="723.72"/>
    <s v="UK pounds"/>
    <s v="UK pounds"/>
    <x v="0"/>
    <s v="UK"/>
    <x v="5"/>
    <x v="0"/>
    <x v="2"/>
    <s v="Consistent"/>
    <x v="0"/>
  </r>
  <r>
    <x v="485"/>
    <x v="0"/>
    <x v="464"/>
    <n v="8481311214"/>
    <n v="377.23"/>
    <s v="UK pounds"/>
    <s v="UK pounds"/>
    <x v="0"/>
    <s v="UK"/>
    <x v="4"/>
    <x v="0"/>
    <x v="2"/>
    <s v="Consistent"/>
    <x v="0"/>
  </r>
  <r>
    <x v="486"/>
    <x v="0"/>
    <x v="465"/>
    <n v="8516236307"/>
    <n v="4509.05"/>
    <s v="UK pounds"/>
    <s v="UK pounds"/>
    <x v="0"/>
    <s v="UK"/>
    <x v="4"/>
    <x v="0"/>
    <x v="2"/>
    <s v="Consistent"/>
    <x v="0"/>
  </r>
  <r>
    <x v="486"/>
    <x v="0"/>
    <x v="466"/>
    <n v="7080357663"/>
    <n v="5883.88"/>
    <s v="UK pounds"/>
    <s v="UK pounds"/>
    <x v="0"/>
    <s v="UK"/>
    <x v="2"/>
    <x v="0"/>
    <x v="3"/>
    <s v="Consistent"/>
    <x v="0"/>
  </r>
  <r>
    <x v="487"/>
    <x v="0"/>
    <x v="467"/>
    <n v="6223365730"/>
    <n v="5149.99"/>
    <s v="UK pounds"/>
    <s v="UK pounds"/>
    <x v="0"/>
    <s v="UK"/>
    <x v="4"/>
    <x v="0"/>
    <x v="3"/>
    <s v="Consistent"/>
    <x v="0"/>
  </r>
  <r>
    <x v="488"/>
    <x v="0"/>
    <x v="238"/>
    <n v="4917300261"/>
    <n v="6102.45"/>
    <s v="UK pounds"/>
    <s v="UK pounds"/>
    <x v="0"/>
    <s v="UK"/>
    <x v="2"/>
    <x v="0"/>
    <x v="1"/>
    <s v="Consistent"/>
    <x v="0"/>
  </r>
  <r>
    <x v="488"/>
    <x v="0"/>
    <x v="468"/>
    <n v="2781859512"/>
    <n v="2724.17"/>
    <s v="UK pounds"/>
    <s v="UK pounds"/>
    <x v="0"/>
    <s v="UK"/>
    <x v="5"/>
    <x v="0"/>
    <x v="2"/>
    <s v="Consistent"/>
    <x v="0"/>
  </r>
  <r>
    <x v="489"/>
    <x v="0"/>
    <x v="40"/>
    <n v="4059905714"/>
    <n v="5379.36"/>
    <s v="UK pounds"/>
    <s v="UK pounds"/>
    <x v="0"/>
    <s v="UK"/>
    <x v="2"/>
    <x v="0"/>
    <x v="1"/>
    <s v="Consistent"/>
    <x v="0"/>
  </r>
  <r>
    <x v="490"/>
    <x v="0"/>
    <x v="469"/>
    <n v="429501798"/>
    <n v="208.07"/>
    <s v="UK pounds"/>
    <s v="UK pounds"/>
    <x v="0"/>
    <s v="UK"/>
    <x v="4"/>
    <x v="0"/>
    <x v="2"/>
    <s v="Consistent"/>
    <x v="0"/>
  </r>
  <r>
    <x v="490"/>
    <x v="0"/>
    <x v="470"/>
    <n v="5628674969"/>
    <n v="9677.5300000000007"/>
    <s v="UK pounds"/>
    <s v="UK pounds"/>
    <x v="0"/>
    <s v="UK"/>
    <x v="4"/>
    <x v="0"/>
    <x v="3"/>
    <s v="Consistent"/>
    <x v="0"/>
  </r>
  <r>
    <x v="491"/>
    <x v="0"/>
    <x v="471"/>
    <n v="1431561040"/>
    <n v="23119.3"/>
    <s v="UK pounds"/>
    <s v="UK pounds"/>
    <x v="0"/>
    <s v="UK"/>
    <x v="2"/>
    <x v="0"/>
    <x v="3"/>
    <s v="Consistent"/>
    <x v="0"/>
  </r>
  <r>
    <x v="492"/>
    <x v="0"/>
    <x v="472"/>
    <n v="2534644942"/>
    <n v="13499.54"/>
    <s v="UK pounds"/>
    <s v="Euro"/>
    <x v="0"/>
    <s v="France"/>
    <x v="1"/>
    <x v="0"/>
    <x v="3"/>
    <s v="Potential Layering"/>
    <x v="0"/>
  </r>
  <r>
    <x v="493"/>
    <x v="0"/>
    <x v="255"/>
    <n v="8091763232"/>
    <n v="5916.05"/>
    <s v="UK pounds"/>
    <s v="UK pounds"/>
    <x v="0"/>
    <s v="UK"/>
    <x v="5"/>
    <x v="0"/>
    <x v="1"/>
    <s v="Consistent"/>
    <x v="0"/>
  </r>
  <r>
    <x v="494"/>
    <x v="0"/>
    <x v="473"/>
    <n v="2502236532"/>
    <n v="3933.46"/>
    <s v="UK pounds"/>
    <s v="UK pounds"/>
    <x v="0"/>
    <s v="UK"/>
    <x v="0"/>
    <x v="0"/>
    <x v="0"/>
    <s v="Consistent"/>
    <x v="0"/>
  </r>
  <r>
    <x v="494"/>
    <x v="0"/>
    <x v="9"/>
    <n v="6790400322"/>
    <n v="11725.58"/>
    <s v="UK pounds"/>
    <s v="UK pounds"/>
    <x v="0"/>
    <s v="UK"/>
    <x v="5"/>
    <x v="0"/>
    <x v="1"/>
    <s v="Consistent"/>
    <x v="0"/>
  </r>
  <r>
    <x v="495"/>
    <x v="0"/>
    <x v="474"/>
    <n v="4336977506"/>
    <n v="6768.6"/>
    <s v="UK pounds"/>
    <s v="UK pounds"/>
    <x v="0"/>
    <s v="UK"/>
    <x v="2"/>
    <x v="0"/>
    <x v="3"/>
    <s v="Consistent"/>
    <x v="0"/>
  </r>
  <r>
    <x v="495"/>
    <x v="0"/>
    <x v="68"/>
    <n v="5402206630"/>
    <n v="6147.22"/>
    <s v="UK pounds"/>
    <s v="UK pounds"/>
    <x v="0"/>
    <s v="UK"/>
    <x v="5"/>
    <x v="0"/>
    <x v="1"/>
    <s v="Consistent"/>
    <x v="0"/>
  </r>
  <r>
    <x v="496"/>
    <x v="0"/>
    <x v="475"/>
    <n v="4959625851"/>
    <n v="228.57"/>
    <s v="UK pounds"/>
    <s v="UK pounds"/>
    <x v="0"/>
    <s v="UK"/>
    <x v="2"/>
    <x v="0"/>
    <x v="2"/>
    <s v="Consistent"/>
    <x v="0"/>
  </r>
  <r>
    <x v="497"/>
    <x v="0"/>
    <x v="476"/>
    <n v="7160736915"/>
    <n v="13514.31"/>
    <s v="UK pounds"/>
    <s v="UK pounds"/>
    <x v="0"/>
    <s v="UK"/>
    <x v="3"/>
    <x v="0"/>
    <x v="3"/>
    <s v="Consistent"/>
    <x v="0"/>
  </r>
  <r>
    <x v="498"/>
    <x v="0"/>
    <x v="63"/>
    <n v="4358275767"/>
    <n v="13257.99"/>
    <s v="UK pounds"/>
    <s v="UK pounds"/>
    <x v="0"/>
    <s v="UK"/>
    <x v="4"/>
    <x v="0"/>
    <x v="1"/>
    <s v="Consistent"/>
    <x v="0"/>
  </r>
  <r>
    <x v="498"/>
    <x v="0"/>
    <x v="477"/>
    <n v="3328167095"/>
    <n v="4504.67"/>
    <s v="UK pounds"/>
    <s v="UK pounds"/>
    <x v="0"/>
    <s v="UK"/>
    <x v="5"/>
    <x v="0"/>
    <x v="2"/>
    <s v="Consistent"/>
    <x v="0"/>
  </r>
  <r>
    <x v="499"/>
    <x v="0"/>
    <x v="478"/>
    <n v="3286423643"/>
    <n v="7060.31"/>
    <s v="UK pounds"/>
    <s v="UK pounds"/>
    <x v="0"/>
    <s v="UK"/>
    <x v="3"/>
    <x v="0"/>
    <x v="2"/>
    <s v="Consistent"/>
    <x v="0"/>
  </r>
  <r>
    <x v="500"/>
    <x v="0"/>
    <x v="479"/>
    <n v="8518184956"/>
    <n v="6833.08"/>
    <s v="UK pounds"/>
    <s v="UK pounds"/>
    <x v="0"/>
    <s v="UK"/>
    <x v="4"/>
    <x v="0"/>
    <x v="3"/>
    <s v="Consistent"/>
    <x v="0"/>
  </r>
  <r>
    <x v="501"/>
    <x v="0"/>
    <x v="480"/>
    <n v="4989517894"/>
    <n v="3230"/>
    <s v="UK pounds"/>
    <s v="UK pounds"/>
    <x v="0"/>
    <s v="UK"/>
    <x v="3"/>
    <x v="0"/>
    <x v="2"/>
    <s v="Consistent"/>
    <x v="0"/>
  </r>
  <r>
    <x v="502"/>
    <x v="0"/>
    <x v="481"/>
    <n v="1388624141"/>
    <n v="2452.25"/>
    <s v="UK pounds"/>
    <s v="UK pounds"/>
    <x v="0"/>
    <s v="UK"/>
    <x v="4"/>
    <x v="0"/>
    <x v="2"/>
    <s v="Consistent"/>
    <x v="0"/>
  </r>
  <r>
    <x v="503"/>
    <x v="0"/>
    <x v="149"/>
    <n v="517441754"/>
    <n v="6978.77"/>
    <s v="UK pounds"/>
    <s v="UK pounds"/>
    <x v="0"/>
    <s v="UK"/>
    <x v="5"/>
    <x v="0"/>
    <x v="1"/>
    <s v="Consistent"/>
    <x v="0"/>
  </r>
  <r>
    <x v="504"/>
    <x v="0"/>
    <x v="482"/>
    <n v="9338414095"/>
    <n v="1633.21"/>
    <s v="UK pounds"/>
    <s v="UK pounds"/>
    <x v="0"/>
    <s v="UK"/>
    <x v="5"/>
    <x v="0"/>
    <x v="2"/>
    <s v="Consistent"/>
    <x v="0"/>
  </r>
  <r>
    <x v="505"/>
    <x v="0"/>
    <x v="483"/>
    <n v="7254677853"/>
    <n v="8650.43"/>
    <s v="UK pounds"/>
    <s v="UK pounds"/>
    <x v="0"/>
    <s v="UK"/>
    <x v="3"/>
    <x v="0"/>
    <x v="2"/>
    <s v="Consistent"/>
    <x v="0"/>
  </r>
  <r>
    <x v="506"/>
    <x v="0"/>
    <x v="484"/>
    <n v="1320927231"/>
    <n v="4886.18"/>
    <s v="UK pounds"/>
    <s v="UK pounds"/>
    <x v="0"/>
    <s v="UK"/>
    <x v="4"/>
    <x v="0"/>
    <x v="3"/>
    <s v="Consistent"/>
    <x v="0"/>
  </r>
  <r>
    <x v="507"/>
    <x v="0"/>
    <x v="248"/>
    <n v="4898116032"/>
    <n v="12158.11"/>
    <s v="UK pounds"/>
    <s v="UK pounds"/>
    <x v="0"/>
    <s v="UK"/>
    <x v="3"/>
    <x v="0"/>
    <x v="1"/>
    <s v="Consistent"/>
    <x v="0"/>
  </r>
  <r>
    <x v="507"/>
    <x v="0"/>
    <x v="124"/>
    <n v="1073749339"/>
    <n v="15819.54"/>
    <s v="UK pounds"/>
    <s v="UK pounds"/>
    <x v="0"/>
    <s v="UK"/>
    <x v="2"/>
    <x v="0"/>
    <x v="1"/>
    <s v="Consistent"/>
    <x v="0"/>
  </r>
  <r>
    <x v="508"/>
    <x v="0"/>
    <x v="485"/>
    <n v="5628674969"/>
    <n v="8371.2000000000007"/>
    <s v="UK pounds"/>
    <s v="UK pounds"/>
    <x v="0"/>
    <s v="UK"/>
    <x v="3"/>
    <x v="0"/>
    <x v="3"/>
    <s v="Consistent"/>
    <x v="0"/>
  </r>
  <r>
    <x v="509"/>
    <x v="0"/>
    <x v="110"/>
    <n v="1812525358"/>
    <n v="5840.32"/>
    <s v="UK pounds"/>
    <s v="UK pounds"/>
    <x v="0"/>
    <s v="UK"/>
    <x v="2"/>
    <x v="0"/>
    <x v="1"/>
    <s v="Consistent"/>
    <x v="0"/>
  </r>
  <r>
    <x v="510"/>
    <x v="0"/>
    <x v="486"/>
    <n v="1036966315"/>
    <n v="3229.54"/>
    <s v="UK pounds"/>
    <s v="Moroccan dirham"/>
    <x v="0"/>
    <s v="Morocco"/>
    <x v="1"/>
    <x v="0"/>
    <x v="2"/>
    <s v="Potential Layering"/>
    <x v="0"/>
  </r>
  <r>
    <x v="511"/>
    <x v="0"/>
    <x v="487"/>
    <n v="2318701432"/>
    <n v="2319.02"/>
    <s v="UK pounds"/>
    <s v="UK pounds"/>
    <x v="0"/>
    <s v="UK"/>
    <x v="0"/>
    <x v="0"/>
    <x v="0"/>
    <s v="Consistent"/>
    <x v="0"/>
  </r>
  <r>
    <x v="512"/>
    <x v="0"/>
    <x v="488"/>
    <n v="9720623748"/>
    <n v="105.18"/>
    <s v="UK pounds"/>
    <s v="UK pounds"/>
    <x v="0"/>
    <s v="UK"/>
    <x v="2"/>
    <x v="0"/>
    <x v="2"/>
    <s v="Consistent"/>
    <x v="0"/>
  </r>
  <r>
    <x v="513"/>
    <x v="0"/>
    <x v="489"/>
    <n v="6053340350"/>
    <n v="1497.09"/>
    <s v="UK pounds"/>
    <s v="UK pounds"/>
    <x v="0"/>
    <s v="UK"/>
    <x v="4"/>
    <x v="0"/>
    <x v="2"/>
    <s v="Consistent"/>
    <x v="0"/>
  </r>
  <r>
    <x v="514"/>
    <x v="0"/>
    <x v="490"/>
    <n v="1560518407"/>
    <n v="562.86"/>
    <s v="UK pounds"/>
    <s v="UK pounds"/>
    <x v="0"/>
    <s v="UK"/>
    <x v="5"/>
    <x v="0"/>
    <x v="2"/>
    <s v="Consistent"/>
    <x v="0"/>
  </r>
  <r>
    <x v="514"/>
    <x v="0"/>
    <x v="61"/>
    <n v="9599693960"/>
    <n v="9821.0400000000009"/>
    <s v="UK pounds"/>
    <s v="UK pounds"/>
    <x v="0"/>
    <s v="UK"/>
    <x v="4"/>
    <x v="0"/>
    <x v="1"/>
    <s v="Consistent"/>
    <x v="0"/>
  </r>
  <r>
    <x v="515"/>
    <x v="0"/>
    <x v="491"/>
    <n v="5060924139"/>
    <n v="7873.32"/>
    <s v="UK pounds"/>
    <s v="Euro"/>
    <x v="0"/>
    <s v="Italy"/>
    <x v="1"/>
    <x v="0"/>
    <x v="2"/>
    <s v="Potential Layering"/>
    <x v="0"/>
  </r>
  <r>
    <x v="516"/>
    <x v="0"/>
    <x v="492"/>
    <n v="5554184517"/>
    <n v="20711.650000000001"/>
    <s v="UK pounds"/>
    <s v="UK pounds"/>
    <x v="0"/>
    <s v="UK"/>
    <x v="5"/>
    <x v="0"/>
    <x v="2"/>
    <s v="Consistent"/>
    <x v="0"/>
  </r>
  <r>
    <x v="517"/>
    <x v="0"/>
    <x v="339"/>
    <n v="8818164834"/>
    <n v="4712.95"/>
    <s v="UK pounds"/>
    <s v="UK pounds"/>
    <x v="0"/>
    <s v="UK"/>
    <x v="3"/>
    <x v="0"/>
    <x v="1"/>
    <s v="Consistent"/>
    <x v="0"/>
  </r>
  <r>
    <x v="518"/>
    <x v="0"/>
    <x v="493"/>
    <n v="7457586937"/>
    <n v="316.57"/>
    <s v="UK pounds"/>
    <s v="UK pounds"/>
    <x v="0"/>
    <s v="UK"/>
    <x v="6"/>
    <x v="0"/>
    <x v="5"/>
    <s v="Consistent"/>
    <x v="0"/>
  </r>
  <r>
    <x v="519"/>
    <x v="0"/>
    <x v="494"/>
    <n v="6646502650"/>
    <n v="10081.780000000001"/>
    <s v="UK pounds"/>
    <s v="Euro"/>
    <x v="0"/>
    <s v="France"/>
    <x v="1"/>
    <x v="0"/>
    <x v="3"/>
    <s v="Potential Layering"/>
    <x v="0"/>
  </r>
  <r>
    <x v="520"/>
    <x v="0"/>
    <x v="495"/>
    <n v="617552602"/>
    <n v="5876.36"/>
    <s v="UK pounds"/>
    <s v="UK pounds"/>
    <x v="0"/>
    <s v="UK"/>
    <x v="5"/>
    <x v="0"/>
    <x v="7"/>
    <s v="Consistent"/>
    <x v="0"/>
  </r>
  <r>
    <x v="520"/>
    <x v="0"/>
    <x v="52"/>
    <n v="4889103394"/>
    <n v="14598.44"/>
    <s v="UK pounds"/>
    <s v="UK pounds"/>
    <x v="0"/>
    <s v="UK"/>
    <x v="2"/>
    <x v="0"/>
    <x v="1"/>
    <s v="Consistent"/>
    <x v="0"/>
  </r>
  <r>
    <x v="521"/>
    <x v="0"/>
    <x v="496"/>
    <n v="1559547570"/>
    <n v="102.19"/>
    <s v="UK pounds"/>
    <s v="UK pounds"/>
    <x v="0"/>
    <s v="UK"/>
    <x v="6"/>
    <x v="0"/>
    <x v="5"/>
    <s v="Consistent"/>
    <x v="0"/>
  </r>
  <r>
    <x v="522"/>
    <x v="0"/>
    <x v="497"/>
    <n v="6569002356"/>
    <n v="195.93"/>
    <s v="UK pounds"/>
    <s v="UK pounds"/>
    <x v="0"/>
    <s v="UK"/>
    <x v="3"/>
    <x v="0"/>
    <x v="2"/>
    <s v="Consistent"/>
    <x v="0"/>
  </r>
  <r>
    <x v="523"/>
    <x v="0"/>
    <x v="498"/>
    <n v="4430611445"/>
    <n v="233.87"/>
    <s v="UK pounds"/>
    <s v="UK pounds"/>
    <x v="0"/>
    <s v="UK"/>
    <x v="6"/>
    <x v="0"/>
    <x v="5"/>
    <s v="Consistent"/>
    <x v="0"/>
  </r>
  <r>
    <x v="523"/>
    <x v="0"/>
    <x v="499"/>
    <n v="1950236164"/>
    <n v="292.69"/>
    <s v="UK pounds"/>
    <s v="UK pounds"/>
    <x v="0"/>
    <s v="UK"/>
    <x v="0"/>
    <x v="0"/>
    <x v="0"/>
    <s v="Consistent"/>
    <x v="0"/>
  </r>
  <r>
    <x v="524"/>
    <x v="0"/>
    <x v="500"/>
    <n v="9179681342"/>
    <n v="6164.09"/>
    <s v="UK pounds"/>
    <s v="Albanian lek"/>
    <x v="0"/>
    <s v="Albania"/>
    <x v="1"/>
    <x v="0"/>
    <x v="2"/>
    <s v="Potential Layering"/>
    <x v="0"/>
  </r>
  <r>
    <x v="525"/>
    <x v="0"/>
    <x v="238"/>
    <n v="5318241045"/>
    <n v="8349.2099999999991"/>
    <s v="UK pounds"/>
    <s v="Naira"/>
    <x v="0"/>
    <s v="Nigeria"/>
    <x v="1"/>
    <x v="0"/>
    <x v="1"/>
    <s v="Potential Layering"/>
    <x v="0"/>
  </r>
  <r>
    <x v="526"/>
    <x v="0"/>
    <x v="501"/>
    <n v="4591067039"/>
    <n v="4892.7"/>
    <s v="UK pounds"/>
    <s v="UK pounds"/>
    <x v="0"/>
    <s v="UK"/>
    <x v="4"/>
    <x v="0"/>
    <x v="2"/>
    <s v="Consistent"/>
    <x v="0"/>
  </r>
  <r>
    <x v="526"/>
    <x v="0"/>
    <x v="502"/>
    <n v="3066321263"/>
    <n v="18224.23"/>
    <s v="UK pounds"/>
    <s v="UK pounds"/>
    <x v="0"/>
    <s v="UK"/>
    <x v="4"/>
    <x v="0"/>
    <x v="3"/>
    <s v="Consistent"/>
    <x v="0"/>
  </r>
  <r>
    <x v="527"/>
    <x v="0"/>
    <x v="503"/>
    <n v="8993200440"/>
    <n v="19000.71"/>
    <s v="UK pounds"/>
    <s v="UK pounds"/>
    <x v="0"/>
    <s v="UK"/>
    <x v="5"/>
    <x v="0"/>
    <x v="2"/>
    <s v="Consistent"/>
    <x v="0"/>
  </r>
  <r>
    <x v="527"/>
    <x v="0"/>
    <x v="504"/>
    <n v="4474901240"/>
    <n v="10519.85"/>
    <s v="UK pounds"/>
    <s v="UK pounds"/>
    <x v="0"/>
    <s v="UK"/>
    <x v="3"/>
    <x v="0"/>
    <x v="2"/>
    <s v="Consistent"/>
    <x v="0"/>
  </r>
  <r>
    <x v="528"/>
    <x v="0"/>
    <x v="505"/>
    <n v="2534644942"/>
    <n v="5899.62"/>
    <s v="UK pounds"/>
    <s v="Euro"/>
    <x v="0"/>
    <s v="France"/>
    <x v="1"/>
    <x v="0"/>
    <x v="3"/>
    <s v="Potential Layering"/>
    <x v="0"/>
  </r>
  <r>
    <x v="529"/>
    <x v="0"/>
    <x v="506"/>
    <n v="6655467533"/>
    <n v="442.7"/>
    <s v="Naira"/>
    <s v="UK pounds"/>
    <x v="2"/>
    <s v="UK"/>
    <x v="1"/>
    <x v="0"/>
    <x v="2"/>
    <s v="Potential Layering"/>
    <x v="1"/>
  </r>
  <r>
    <x v="530"/>
    <x v="0"/>
    <x v="507"/>
    <n v="9956537352"/>
    <n v="19225.13"/>
    <s v="UK pounds"/>
    <s v="UK pounds"/>
    <x v="0"/>
    <s v="UK"/>
    <x v="4"/>
    <x v="0"/>
    <x v="2"/>
    <s v="Consistent"/>
    <x v="0"/>
  </r>
  <r>
    <x v="531"/>
    <x v="0"/>
    <x v="508"/>
    <n v="4270865741"/>
    <n v="9947.39"/>
    <s v="UK pounds"/>
    <s v="UK pounds"/>
    <x v="0"/>
    <s v="UK"/>
    <x v="5"/>
    <x v="0"/>
    <x v="3"/>
    <s v="Consistent"/>
    <x v="0"/>
  </r>
  <r>
    <x v="532"/>
    <x v="0"/>
    <x v="509"/>
    <n v="7199625988"/>
    <n v="10753.03"/>
    <s v="Dirham"/>
    <s v="UK pounds"/>
    <x v="6"/>
    <s v="UK"/>
    <x v="1"/>
    <x v="0"/>
    <x v="3"/>
    <s v="Potential Layering"/>
    <x v="2"/>
  </r>
  <r>
    <x v="533"/>
    <x v="0"/>
    <x v="510"/>
    <n v="8594486349"/>
    <n v="137.44999999999999"/>
    <s v="UK pounds"/>
    <s v="UK pounds"/>
    <x v="0"/>
    <s v="UK"/>
    <x v="2"/>
    <x v="0"/>
    <x v="2"/>
    <s v="Consistent"/>
    <x v="0"/>
  </r>
  <r>
    <x v="534"/>
    <x v="0"/>
    <x v="209"/>
    <n v="5628674969"/>
    <n v="6732.39"/>
    <s v="Euro"/>
    <s v="UK pounds"/>
    <x v="0"/>
    <s v="UK"/>
    <x v="5"/>
    <x v="0"/>
    <x v="3"/>
    <s v="Potential Layering"/>
    <x v="0"/>
  </r>
  <r>
    <x v="535"/>
    <x v="0"/>
    <x v="511"/>
    <n v="9224360382"/>
    <n v="139.97"/>
    <s v="UK pounds"/>
    <s v="UK pounds"/>
    <x v="0"/>
    <s v="UK"/>
    <x v="5"/>
    <x v="0"/>
    <x v="2"/>
    <s v="Consistent"/>
    <x v="0"/>
  </r>
  <r>
    <x v="535"/>
    <x v="0"/>
    <x v="308"/>
    <n v="2478171027"/>
    <n v="6356.63"/>
    <s v="UK pounds"/>
    <s v="Euro"/>
    <x v="0"/>
    <s v="UK"/>
    <x v="2"/>
    <x v="0"/>
    <x v="2"/>
    <s v="Potential Layering"/>
    <x v="0"/>
  </r>
  <r>
    <x v="536"/>
    <x v="0"/>
    <x v="512"/>
    <n v="6470104899"/>
    <n v="1154.98"/>
    <s v="UK pounds"/>
    <s v="UK pounds"/>
    <x v="0"/>
    <s v="UK"/>
    <x v="3"/>
    <x v="0"/>
    <x v="2"/>
    <s v="Consistent"/>
    <x v="0"/>
  </r>
  <r>
    <x v="537"/>
    <x v="0"/>
    <x v="513"/>
    <n v="6645074569"/>
    <n v="6455.7"/>
    <s v="UK pounds"/>
    <s v="Euro"/>
    <x v="0"/>
    <s v="Austria"/>
    <x v="1"/>
    <x v="0"/>
    <x v="2"/>
    <s v="Potential Layering"/>
    <x v="0"/>
  </r>
  <r>
    <x v="538"/>
    <x v="0"/>
    <x v="161"/>
    <n v="8436759372"/>
    <n v="6186.4"/>
    <s v="UK pounds"/>
    <s v="UK pounds"/>
    <x v="0"/>
    <s v="UK"/>
    <x v="2"/>
    <x v="0"/>
    <x v="1"/>
    <s v="Consistent"/>
    <x v="0"/>
  </r>
  <r>
    <x v="538"/>
    <x v="0"/>
    <x v="514"/>
    <n v="8404731614"/>
    <n v="1831.7"/>
    <s v="UK pounds"/>
    <s v="UK pounds"/>
    <x v="0"/>
    <s v="UK"/>
    <x v="0"/>
    <x v="0"/>
    <x v="0"/>
    <s v="Consistent"/>
    <x v="0"/>
  </r>
  <r>
    <x v="539"/>
    <x v="0"/>
    <x v="515"/>
    <n v="6546503021"/>
    <n v="1006.32"/>
    <s v="UK pounds"/>
    <s v="UK pounds"/>
    <x v="0"/>
    <s v="UK"/>
    <x v="4"/>
    <x v="0"/>
    <x v="2"/>
    <s v="Consistent"/>
    <x v="0"/>
  </r>
  <r>
    <x v="540"/>
    <x v="0"/>
    <x v="75"/>
    <n v="6138274964"/>
    <n v="5225.0600000000004"/>
    <s v="UK pounds"/>
    <s v="UK pounds"/>
    <x v="0"/>
    <s v="UK"/>
    <x v="3"/>
    <x v="0"/>
    <x v="1"/>
    <s v="Consistent"/>
    <x v="0"/>
  </r>
  <r>
    <x v="541"/>
    <x v="0"/>
    <x v="516"/>
    <n v="7332435745"/>
    <n v="3014.24"/>
    <s v="UK pounds"/>
    <s v="UK pounds"/>
    <x v="0"/>
    <s v="UK"/>
    <x v="4"/>
    <x v="0"/>
    <x v="4"/>
    <s v="Consistent"/>
    <x v="0"/>
  </r>
  <r>
    <x v="542"/>
    <x v="0"/>
    <x v="517"/>
    <n v="7043065995"/>
    <n v="16860.419999999998"/>
    <s v="UK pounds"/>
    <s v="UK pounds"/>
    <x v="0"/>
    <s v="UK"/>
    <x v="2"/>
    <x v="0"/>
    <x v="2"/>
    <s v="Consistent"/>
    <x v="0"/>
  </r>
  <r>
    <x v="543"/>
    <x v="0"/>
    <x v="339"/>
    <n v="5254058209"/>
    <n v="4368.21"/>
    <s v="UK pounds"/>
    <s v="Dirham"/>
    <x v="0"/>
    <s v="UAE"/>
    <x v="1"/>
    <x v="0"/>
    <x v="1"/>
    <s v="Potential Layering"/>
    <x v="0"/>
  </r>
  <r>
    <x v="544"/>
    <x v="0"/>
    <x v="518"/>
    <n v="6631219659"/>
    <n v="4337.45"/>
    <s v="UK pounds"/>
    <s v="UK pounds"/>
    <x v="0"/>
    <s v="UK"/>
    <x v="3"/>
    <x v="0"/>
    <x v="2"/>
    <s v="Consistent"/>
    <x v="0"/>
  </r>
  <r>
    <x v="545"/>
    <x v="0"/>
    <x v="519"/>
    <n v="8587712416"/>
    <n v="11017.78"/>
    <s v="UK pounds"/>
    <s v="UK pounds"/>
    <x v="0"/>
    <s v="UK"/>
    <x v="3"/>
    <x v="0"/>
    <x v="2"/>
    <s v="Consistent"/>
    <x v="0"/>
  </r>
  <r>
    <x v="546"/>
    <x v="0"/>
    <x v="444"/>
    <n v="409707192"/>
    <n v="9634.66"/>
    <s v="UK pounds"/>
    <s v="UK pounds"/>
    <x v="0"/>
    <s v="UK"/>
    <x v="4"/>
    <x v="0"/>
    <x v="3"/>
    <s v="Consistent"/>
    <x v="0"/>
  </r>
  <r>
    <x v="547"/>
    <x v="0"/>
    <x v="520"/>
    <n v="7079755654"/>
    <n v="17296.61"/>
    <s v="UK pounds"/>
    <s v="UK pounds"/>
    <x v="0"/>
    <s v="UK"/>
    <x v="2"/>
    <x v="0"/>
    <x v="2"/>
    <s v="Consistent"/>
    <x v="0"/>
  </r>
  <r>
    <x v="548"/>
    <x v="0"/>
    <x v="521"/>
    <n v="9973181652"/>
    <n v="193.63"/>
    <s v="UK pounds"/>
    <s v="UK pounds"/>
    <x v="0"/>
    <s v="UK"/>
    <x v="5"/>
    <x v="0"/>
    <x v="2"/>
    <s v="Consistent"/>
    <x v="0"/>
  </r>
  <r>
    <x v="549"/>
    <x v="0"/>
    <x v="522"/>
    <n v="3066321263"/>
    <n v="5093.22"/>
    <s v="UK pounds"/>
    <s v="UK pounds"/>
    <x v="0"/>
    <s v="UK"/>
    <x v="2"/>
    <x v="0"/>
    <x v="3"/>
    <s v="Consistent"/>
    <x v="0"/>
  </r>
  <r>
    <x v="550"/>
    <x v="0"/>
    <x v="523"/>
    <n v="7560612749"/>
    <n v="1951.14"/>
    <s v="UK pounds"/>
    <s v="UK pounds"/>
    <x v="0"/>
    <s v="UK"/>
    <x v="3"/>
    <x v="0"/>
    <x v="4"/>
    <s v="Consistent"/>
    <x v="0"/>
  </r>
  <r>
    <x v="551"/>
    <x v="0"/>
    <x v="195"/>
    <n v="4701651456"/>
    <n v="9259.26"/>
    <s v="UK pounds"/>
    <s v="UK pounds"/>
    <x v="0"/>
    <s v="UK"/>
    <x v="4"/>
    <x v="0"/>
    <x v="1"/>
    <s v="Consistent"/>
    <x v="0"/>
  </r>
  <r>
    <x v="552"/>
    <x v="0"/>
    <x v="524"/>
    <n v="2534644942"/>
    <n v="25336.71"/>
    <s v="UK pounds"/>
    <s v="Euro"/>
    <x v="0"/>
    <s v="France"/>
    <x v="1"/>
    <x v="0"/>
    <x v="3"/>
    <s v="Potential Layering"/>
    <x v="0"/>
  </r>
  <r>
    <x v="553"/>
    <x v="0"/>
    <x v="525"/>
    <n v="5363117119"/>
    <n v="7585.32"/>
    <s v="UK pounds"/>
    <s v="UK pounds"/>
    <x v="0"/>
    <s v="UK"/>
    <x v="2"/>
    <x v="0"/>
    <x v="3"/>
    <s v="Consistent"/>
    <x v="0"/>
  </r>
  <r>
    <x v="554"/>
    <x v="0"/>
    <x v="52"/>
    <n v="8619713223"/>
    <n v="14178.11"/>
    <s v="UK pounds"/>
    <s v="UK pounds"/>
    <x v="0"/>
    <s v="UK"/>
    <x v="2"/>
    <x v="0"/>
    <x v="1"/>
    <s v="Consistent"/>
    <x v="0"/>
  </r>
  <r>
    <x v="554"/>
    <x v="0"/>
    <x v="526"/>
    <n v="9484198252"/>
    <n v="927.49"/>
    <s v="UK pounds"/>
    <s v="Euro"/>
    <x v="0"/>
    <s v="Spain"/>
    <x v="1"/>
    <x v="0"/>
    <x v="2"/>
    <s v="Potential Layering"/>
    <x v="0"/>
  </r>
  <r>
    <x v="555"/>
    <x v="0"/>
    <x v="527"/>
    <n v="9010197139"/>
    <n v="7295.45"/>
    <s v="UK pounds"/>
    <s v="UK pounds"/>
    <x v="0"/>
    <s v="UK"/>
    <x v="4"/>
    <x v="0"/>
    <x v="2"/>
    <s v="Consistent"/>
    <x v="0"/>
  </r>
  <r>
    <x v="556"/>
    <x v="0"/>
    <x v="238"/>
    <n v="3833545196"/>
    <n v="15188.07"/>
    <s v="UK pounds"/>
    <s v="UK pounds"/>
    <x v="0"/>
    <s v="UK"/>
    <x v="3"/>
    <x v="0"/>
    <x v="1"/>
    <s v="Consistent"/>
    <x v="0"/>
  </r>
  <r>
    <x v="556"/>
    <x v="0"/>
    <x v="528"/>
    <n v="8959912734"/>
    <n v="264.82"/>
    <s v="UK pounds"/>
    <s v="UK pounds"/>
    <x v="0"/>
    <s v="UK"/>
    <x v="2"/>
    <x v="0"/>
    <x v="2"/>
    <s v="Consistent"/>
    <x v="0"/>
  </r>
  <r>
    <x v="557"/>
    <x v="0"/>
    <x v="429"/>
    <n v="7237750627"/>
    <n v="1556.2"/>
    <s v="UK pounds"/>
    <s v="UK pounds"/>
    <x v="0"/>
    <s v="UK"/>
    <x v="3"/>
    <x v="0"/>
    <x v="2"/>
    <s v="Consistent"/>
    <x v="0"/>
  </r>
  <r>
    <x v="557"/>
    <x v="0"/>
    <x v="529"/>
    <n v="6279440406"/>
    <n v="3319.08"/>
    <s v="UK pounds"/>
    <s v="UK pounds"/>
    <x v="0"/>
    <s v="UK"/>
    <x v="0"/>
    <x v="0"/>
    <x v="0"/>
    <s v="Consistent"/>
    <x v="0"/>
  </r>
  <r>
    <x v="558"/>
    <x v="0"/>
    <x v="530"/>
    <n v="4028018273"/>
    <n v="8447.4699999999993"/>
    <s v="UK pounds"/>
    <s v="UK pounds"/>
    <x v="0"/>
    <s v="UK"/>
    <x v="2"/>
    <x v="0"/>
    <x v="2"/>
    <s v="Consistent"/>
    <x v="0"/>
  </r>
  <r>
    <x v="558"/>
    <x v="0"/>
    <x v="531"/>
    <n v="9908487592"/>
    <n v="1546.95"/>
    <s v="UK pounds"/>
    <s v="UK pounds"/>
    <x v="0"/>
    <s v="UK"/>
    <x v="4"/>
    <x v="0"/>
    <x v="2"/>
    <s v="Consistent"/>
    <x v="0"/>
  </r>
  <r>
    <x v="559"/>
    <x v="0"/>
    <x v="532"/>
    <n v="1210225038"/>
    <n v="973.76"/>
    <s v="UK pounds"/>
    <s v="UK pounds"/>
    <x v="0"/>
    <s v="UK"/>
    <x v="4"/>
    <x v="0"/>
    <x v="2"/>
    <s v="Consistent"/>
    <x v="0"/>
  </r>
  <r>
    <x v="560"/>
    <x v="0"/>
    <x v="9"/>
    <n v="2755709071"/>
    <n v="5855.85"/>
    <s v="UK pounds"/>
    <s v="UK pounds"/>
    <x v="0"/>
    <s v="UK"/>
    <x v="3"/>
    <x v="0"/>
    <x v="1"/>
    <s v="Consistent"/>
    <x v="0"/>
  </r>
  <r>
    <x v="561"/>
    <x v="0"/>
    <x v="533"/>
    <n v="5466123934"/>
    <n v="9179.51"/>
    <s v="UK pounds"/>
    <s v="UK pounds"/>
    <x v="0"/>
    <s v="UK"/>
    <x v="2"/>
    <x v="0"/>
    <x v="3"/>
    <s v="Consistent"/>
    <x v="0"/>
  </r>
  <r>
    <x v="562"/>
    <x v="0"/>
    <x v="534"/>
    <n v="1320927231"/>
    <n v="10323.09"/>
    <s v="UK pounds"/>
    <s v="UK pounds"/>
    <x v="0"/>
    <s v="UK"/>
    <x v="5"/>
    <x v="0"/>
    <x v="3"/>
    <s v="Consistent"/>
    <x v="0"/>
  </r>
  <r>
    <x v="563"/>
    <x v="0"/>
    <x v="535"/>
    <n v="3881049690"/>
    <n v="1652.92"/>
    <s v="UK pounds"/>
    <s v="UK pounds"/>
    <x v="0"/>
    <s v="UK"/>
    <x v="3"/>
    <x v="0"/>
    <x v="2"/>
    <s v="Consistent"/>
    <x v="0"/>
  </r>
  <r>
    <x v="564"/>
    <x v="0"/>
    <x v="536"/>
    <n v="9408792082"/>
    <n v="4815.91"/>
    <s v="UK pounds"/>
    <s v="UK pounds"/>
    <x v="0"/>
    <s v="UK"/>
    <x v="0"/>
    <x v="0"/>
    <x v="0"/>
    <s v="Consistent"/>
    <x v="0"/>
  </r>
  <r>
    <x v="564"/>
    <x v="0"/>
    <x v="537"/>
    <n v="2591280855"/>
    <n v="5931.36"/>
    <s v="UK pounds"/>
    <s v="UK pounds"/>
    <x v="0"/>
    <s v="UK"/>
    <x v="2"/>
    <x v="0"/>
    <x v="6"/>
    <s v="Consistent"/>
    <x v="0"/>
  </r>
  <r>
    <x v="564"/>
    <x v="0"/>
    <x v="538"/>
    <n v="1538331336"/>
    <n v="3459.89"/>
    <s v="Pakistani rupee"/>
    <s v="UK pounds"/>
    <x v="9"/>
    <s v="UK"/>
    <x v="1"/>
    <x v="0"/>
    <x v="2"/>
    <s v="Potential Layering"/>
    <x v="1"/>
  </r>
  <r>
    <x v="565"/>
    <x v="0"/>
    <x v="539"/>
    <n v="3770534770"/>
    <n v="3707.74"/>
    <s v="UK pounds"/>
    <s v="UK pounds"/>
    <x v="0"/>
    <s v="UK"/>
    <x v="2"/>
    <x v="0"/>
    <x v="4"/>
    <s v="Consistent"/>
    <x v="0"/>
  </r>
  <r>
    <x v="566"/>
    <x v="0"/>
    <x v="540"/>
    <n v="9432959290"/>
    <n v="2049.02"/>
    <s v="UK pounds"/>
    <s v="UK pounds"/>
    <x v="0"/>
    <s v="UK"/>
    <x v="5"/>
    <x v="0"/>
    <x v="2"/>
    <s v="Consistent"/>
    <x v="0"/>
  </r>
  <r>
    <x v="566"/>
    <x v="0"/>
    <x v="84"/>
    <n v="2489458907"/>
    <n v="4536.47"/>
    <s v="UK pounds"/>
    <s v="UK pounds"/>
    <x v="0"/>
    <s v="UK"/>
    <x v="5"/>
    <x v="0"/>
    <x v="2"/>
    <s v="Consistent"/>
    <x v="0"/>
  </r>
  <r>
    <x v="566"/>
    <x v="0"/>
    <x v="61"/>
    <n v="4528663768"/>
    <n v="7488.6"/>
    <s v="Naira"/>
    <s v="UK pounds"/>
    <x v="0"/>
    <s v="UK"/>
    <x v="3"/>
    <x v="0"/>
    <x v="1"/>
    <s v="Potential Layering"/>
    <x v="0"/>
  </r>
  <r>
    <x v="567"/>
    <x v="0"/>
    <x v="541"/>
    <n v="6647888917"/>
    <n v="2102.15"/>
    <s v="UK pounds"/>
    <s v="UK pounds"/>
    <x v="0"/>
    <s v="UK"/>
    <x v="4"/>
    <x v="0"/>
    <x v="4"/>
    <s v="Consistent"/>
    <x v="0"/>
  </r>
  <r>
    <x v="568"/>
    <x v="0"/>
    <x v="61"/>
    <n v="8954944757"/>
    <n v="7586.68"/>
    <s v="UK pounds"/>
    <s v="UK pounds"/>
    <x v="0"/>
    <s v="UK"/>
    <x v="4"/>
    <x v="0"/>
    <x v="1"/>
    <s v="Consistent"/>
    <x v="0"/>
  </r>
  <r>
    <x v="569"/>
    <x v="0"/>
    <x v="542"/>
    <n v="5628674969"/>
    <n v="8519.1"/>
    <s v="Mexican Peso"/>
    <s v="UK pounds"/>
    <x v="10"/>
    <s v="UK"/>
    <x v="1"/>
    <x v="0"/>
    <x v="3"/>
    <s v="Potential Layering"/>
    <x v="1"/>
  </r>
  <r>
    <x v="570"/>
    <x v="0"/>
    <x v="105"/>
    <n v="1377603863"/>
    <n v="5368.58"/>
    <s v="UK pounds"/>
    <s v="UK pounds"/>
    <x v="0"/>
    <s v="UK"/>
    <x v="3"/>
    <x v="0"/>
    <x v="3"/>
    <s v="Consistent"/>
    <x v="0"/>
  </r>
  <r>
    <x v="571"/>
    <x v="0"/>
    <x v="110"/>
    <n v="7577540230"/>
    <n v="7314.98"/>
    <s v="UK pounds"/>
    <s v="UK pounds"/>
    <x v="0"/>
    <s v="UK"/>
    <x v="2"/>
    <x v="0"/>
    <x v="1"/>
    <s v="Consistent"/>
    <x v="0"/>
  </r>
  <r>
    <x v="572"/>
    <x v="0"/>
    <x v="543"/>
    <n v="8572426655"/>
    <n v="261.89"/>
    <s v="UK pounds"/>
    <s v="UK pounds"/>
    <x v="0"/>
    <s v="UK"/>
    <x v="3"/>
    <x v="0"/>
    <x v="2"/>
    <s v="Consistent"/>
    <x v="0"/>
  </r>
  <r>
    <x v="573"/>
    <x v="0"/>
    <x v="544"/>
    <n v="7209654401"/>
    <n v="424.16"/>
    <s v="UK pounds"/>
    <s v="UK pounds"/>
    <x v="0"/>
    <s v="UK"/>
    <x v="3"/>
    <x v="0"/>
    <x v="2"/>
    <s v="Consistent"/>
    <x v="0"/>
  </r>
  <r>
    <x v="574"/>
    <x v="0"/>
    <x v="545"/>
    <n v="1086503953"/>
    <n v="2472.73"/>
    <s v="UK pounds"/>
    <s v="UK pounds"/>
    <x v="0"/>
    <s v="UK"/>
    <x v="2"/>
    <x v="0"/>
    <x v="2"/>
    <s v="Consistent"/>
    <x v="0"/>
  </r>
  <r>
    <x v="575"/>
    <x v="0"/>
    <x v="546"/>
    <n v="7945213557"/>
    <n v="407.99"/>
    <s v="UK pounds"/>
    <s v="UK pounds"/>
    <x v="0"/>
    <s v="UK"/>
    <x v="3"/>
    <x v="0"/>
    <x v="2"/>
    <s v="Consistent"/>
    <x v="0"/>
  </r>
  <r>
    <x v="576"/>
    <x v="0"/>
    <x v="68"/>
    <n v="4048410232"/>
    <n v="17913.88"/>
    <s v="UK pounds"/>
    <s v="UK pounds"/>
    <x v="0"/>
    <s v="UK"/>
    <x v="5"/>
    <x v="0"/>
    <x v="1"/>
    <s v="Consistent"/>
    <x v="0"/>
  </r>
  <r>
    <x v="577"/>
    <x v="0"/>
    <x v="547"/>
    <n v="1880112406"/>
    <n v="475.54"/>
    <s v="UK pounds"/>
    <s v="Pakistani rupee"/>
    <x v="0"/>
    <s v="UK"/>
    <x v="4"/>
    <x v="0"/>
    <x v="2"/>
    <s v="Potential Layering"/>
    <x v="0"/>
  </r>
  <r>
    <x v="578"/>
    <x v="0"/>
    <x v="548"/>
    <n v="8346024022"/>
    <n v="3190.05"/>
    <s v="UK pounds"/>
    <s v="UK pounds"/>
    <x v="0"/>
    <s v="UK"/>
    <x v="4"/>
    <x v="0"/>
    <x v="2"/>
    <s v="Consistent"/>
    <x v="0"/>
  </r>
  <r>
    <x v="579"/>
    <x v="0"/>
    <x v="549"/>
    <n v="3482203845"/>
    <n v="2220.5100000000002"/>
    <s v="UK pounds"/>
    <s v="UK pounds"/>
    <x v="0"/>
    <s v="UK"/>
    <x v="4"/>
    <x v="0"/>
    <x v="2"/>
    <s v="Consistent"/>
    <x v="0"/>
  </r>
  <r>
    <x v="580"/>
    <x v="0"/>
    <x v="550"/>
    <n v="2401708948"/>
    <n v="20430.29"/>
    <s v="UK pounds"/>
    <s v="UK pounds"/>
    <x v="0"/>
    <s v="UK"/>
    <x v="4"/>
    <x v="0"/>
    <x v="2"/>
    <s v="Consistent"/>
    <x v="0"/>
  </r>
  <r>
    <x v="581"/>
    <x v="0"/>
    <x v="551"/>
    <n v="6781239823"/>
    <n v="15800.42"/>
    <s v="UK pounds"/>
    <s v="UK pounds"/>
    <x v="0"/>
    <s v="UK"/>
    <x v="5"/>
    <x v="0"/>
    <x v="4"/>
    <s v="Consistent"/>
    <x v="0"/>
  </r>
  <r>
    <x v="582"/>
    <x v="0"/>
    <x v="552"/>
    <n v="3299165287"/>
    <n v="1574.93"/>
    <s v="UK pounds"/>
    <s v="UK pounds"/>
    <x v="0"/>
    <s v="UK"/>
    <x v="5"/>
    <x v="0"/>
    <x v="2"/>
    <s v="Consistent"/>
    <x v="0"/>
  </r>
  <r>
    <x v="583"/>
    <x v="0"/>
    <x v="553"/>
    <n v="5268823148"/>
    <n v="12085.8"/>
    <s v="UK pounds"/>
    <s v="UK pounds"/>
    <x v="0"/>
    <s v="UK"/>
    <x v="4"/>
    <x v="0"/>
    <x v="2"/>
    <s v="Consistent"/>
    <x v="0"/>
  </r>
  <r>
    <x v="584"/>
    <x v="0"/>
    <x v="554"/>
    <n v="2279689694"/>
    <n v="8164.87"/>
    <s v="UK pounds"/>
    <s v="UK pounds"/>
    <x v="0"/>
    <s v="UK"/>
    <x v="3"/>
    <x v="0"/>
    <x v="2"/>
    <s v="Consistent"/>
    <x v="0"/>
  </r>
  <r>
    <x v="585"/>
    <x v="0"/>
    <x v="555"/>
    <n v="2289629398"/>
    <n v="3735.21"/>
    <s v="UK pounds"/>
    <s v="UK pounds"/>
    <x v="0"/>
    <s v="UK"/>
    <x v="4"/>
    <x v="0"/>
    <x v="2"/>
    <s v="Consistent"/>
    <x v="0"/>
  </r>
  <r>
    <x v="586"/>
    <x v="0"/>
    <x v="556"/>
    <n v="6070907824"/>
    <n v="2081.4699999999998"/>
    <s v="UK pounds"/>
    <s v="UK pounds"/>
    <x v="0"/>
    <s v="UK"/>
    <x v="3"/>
    <x v="0"/>
    <x v="2"/>
    <s v="Consistent"/>
    <x v="0"/>
  </r>
  <r>
    <x v="587"/>
    <x v="0"/>
    <x v="34"/>
    <n v="1363901484"/>
    <n v="10169.459999999999"/>
    <s v="UK pounds"/>
    <s v="UK pounds"/>
    <x v="0"/>
    <s v="UK"/>
    <x v="4"/>
    <x v="0"/>
    <x v="1"/>
    <s v="Consistent"/>
    <x v="0"/>
  </r>
  <r>
    <x v="588"/>
    <x v="0"/>
    <x v="210"/>
    <n v="7011505686"/>
    <n v="11280.89"/>
    <s v="Dirham"/>
    <s v="Euro"/>
    <x v="0"/>
    <s v="Italy"/>
    <x v="1"/>
    <x v="0"/>
    <x v="1"/>
    <s v="Potential Layering"/>
    <x v="0"/>
  </r>
  <r>
    <x v="588"/>
    <x v="0"/>
    <x v="557"/>
    <n v="2394070720"/>
    <n v="3535.97"/>
    <s v="UK pounds"/>
    <s v="UK pounds"/>
    <x v="0"/>
    <s v="UK"/>
    <x v="2"/>
    <x v="0"/>
    <x v="2"/>
    <s v="Consistent"/>
    <x v="0"/>
  </r>
  <r>
    <x v="589"/>
    <x v="0"/>
    <x v="255"/>
    <n v="4787209426"/>
    <n v="11919.75"/>
    <s v="UK pounds"/>
    <s v="UK pounds"/>
    <x v="0"/>
    <s v="UK"/>
    <x v="2"/>
    <x v="0"/>
    <x v="1"/>
    <s v="Consistent"/>
    <x v="0"/>
  </r>
  <r>
    <x v="590"/>
    <x v="0"/>
    <x v="195"/>
    <n v="3772874052"/>
    <n v="11045.68"/>
    <s v="UK pounds"/>
    <s v="Turkish lira"/>
    <x v="0"/>
    <s v="Turkey"/>
    <x v="1"/>
    <x v="0"/>
    <x v="1"/>
    <s v="Potential Layering"/>
    <x v="0"/>
  </r>
  <r>
    <x v="590"/>
    <x v="0"/>
    <x v="558"/>
    <n v="1324602523"/>
    <n v="97.16"/>
    <s v="UK pounds"/>
    <s v="UK pounds"/>
    <x v="0"/>
    <s v="UK"/>
    <x v="3"/>
    <x v="0"/>
    <x v="2"/>
    <s v="Consistent"/>
    <x v="0"/>
  </r>
  <r>
    <x v="591"/>
    <x v="0"/>
    <x v="559"/>
    <n v="6589505879"/>
    <n v="2652.61"/>
    <s v="UK pounds"/>
    <s v="UK pounds"/>
    <x v="0"/>
    <s v="UK"/>
    <x v="0"/>
    <x v="0"/>
    <x v="0"/>
    <s v="Consistent"/>
    <x v="0"/>
  </r>
  <r>
    <x v="592"/>
    <x v="0"/>
    <x v="81"/>
    <n v="4808988417"/>
    <n v="9293.98"/>
    <s v="UK pounds"/>
    <s v="UK pounds"/>
    <x v="0"/>
    <s v="UK"/>
    <x v="3"/>
    <x v="0"/>
    <x v="1"/>
    <s v="Consistent"/>
    <x v="0"/>
  </r>
  <r>
    <x v="593"/>
    <x v="0"/>
    <x v="560"/>
    <n v="8126009332"/>
    <n v="2552.37"/>
    <s v="UK pounds"/>
    <s v="UK pounds"/>
    <x v="0"/>
    <s v="UK"/>
    <x v="0"/>
    <x v="0"/>
    <x v="0"/>
    <s v="Consistent"/>
    <x v="0"/>
  </r>
  <r>
    <x v="594"/>
    <x v="0"/>
    <x v="561"/>
    <n v="2962679067"/>
    <n v="3059.18"/>
    <s v="UK pounds"/>
    <s v="UK pounds"/>
    <x v="0"/>
    <s v="UK"/>
    <x v="4"/>
    <x v="0"/>
    <x v="2"/>
    <s v="Consistent"/>
    <x v="0"/>
  </r>
  <r>
    <x v="595"/>
    <x v="0"/>
    <x v="562"/>
    <n v="6053702752"/>
    <n v="5124.91"/>
    <s v="UK pounds"/>
    <s v="UK pounds"/>
    <x v="0"/>
    <s v="UK"/>
    <x v="3"/>
    <x v="0"/>
    <x v="2"/>
    <s v="Consistent"/>
    <x v="0"/>
  </r>
  <r>
    <x v="595"/>
    <x v="0"/>
    <x v="86"/>
    <n v="1140410616"/>
    <n v="4993.46"/>
    <s v="UK pounds"/>
    <s v="UK pounds"/>
    <x v="0"/>
    <s v="UK"/>
    <x v="5"/>
    <x v="0"/>
    <x v="1"/>
    <s v="Consistent"/>
    <x v="0"/>
  </r>
  <r>
    <x v="596"/>
    <x v="0"/>
    <x v="563"/>
    <n v="5691150723"/>
    <n v="294.75"/>
    <s v="UK pounds"/>
    <s v="UK pounds"/>
    <x v="0"/>
    <s v="UK"/>
    <x v="2"/>
    <x v="0"/>
    <x v="2"/>
    <s v="Consistent"/>
    <x v="0"/>
  </r>
  <r>
    <x v="597"/>
    <x v="0"/>
    <x v="564"/>
    <n v="6636706962"/>
    <n v="1515.43"/>
    <s v="UK pounds"/>
    <s v="UK pounds"/>
    <x v="0"/>
    <s v="UK"/>
    <x v="4"/>
    <x v="0"/>
    <x v="2"/>
    <s v="Consistent"/>
    <x v="0"/>
  </r>
  <r>
    <x v="598"/>
    <x v="0"/>
    <x v="565"/>
    <n v="3220735304"/>
    <n v="14538.93"/>
    <s v="UK pounds"/>
    <s v="UK pounds"/>
    <x v="0"/>
    <s v="UK"/>
    <x v="2"/>
    <x v="0"/>
    <x v="3"/>
    <s v="Consistent"/>
    <x v="0"/>
  </r>
  <r>
    <x v="599"/>
    <x v="0"/>
    <x v="566"/>
    <n v="2860319172"/>
    <n v="165.39"/>
    <s v="UK pounds"/>
    <s v="UK pounds"/>
    <x v="0"/>
    <s v="UK"/>
    <x v="5"/>
    <x v="0"/>
    <x v="2"/>
    <s v="Consistent"/>
    <x v="0"/>
  </r>
  <r>
    <x v="600"/>
    <x v="0"/>
    <x v="567"/>
    <n v="9907210327"/>
    <n v="391.76"/>
    <s v="UK pounds"/>
    <s v="UK pounds"/>
    <x v="0"/>
    <s v="UK"/>
    <x v="2"/>
    <x v="0"/>
    <x v="2"/>
    <s v="Consistent"/>
    <x v="0"/>
  </r>
  <r>
    <x v="601"/>
    <x v="0"/>
    <x v="161"/>
    <n v="8410469287"/>
    <n v="8816.58"/>
    <s v="UK pounds"/>
    <s v="UK pounds"/>
    <x v="0"/>
    <s v="UK"/>
    <x v="2"/>
    <x v="0"/>
    <x v="1"/>
    <s v="Consistent"/>
    <x v="0"/>
  </r>
  <r>
    <x v="601"/>
    <x v="0"/>
    <x v="210"/>
    <n v="1695365423"/>
    <n v="6492.6"/>
    <s v="UK pounds"/>
    <s v="UK pounds"/>
    <x v="0"/>
    <s v="UK"/>
    <x v="4"/>
    <x v="0"/>
    <x v="1"/>
    <s v="Consistent"/>
    <x v="0"/>
  </r>
  <r>
    <x v="601"/>
    <x v="0"/>
    <x v="8"/>
    <n v="578267324"/>
    <n v="11436.95"/>
    <s v="UK pounds"/>
    <s v="UK pounds"/>
    <x v="0"/>
    <s v="UK"/>
    <x v="3"/>
    <x v="0"/>
    <x v="1"/>
    <s v="Consistent"/>
    <x v="0"/>
  </r>
  <r>
    <x v="602"/>
    <x v="0"/>
    <x v="568"/>
    <n v="4547973270"/>
    <n v="6623.92"/>
    <s v="UK pounds"/>
    <s v="Euro"/>
    <x v="0"/>
    <s v="Italy"/>
    <x v="1"/>
    <x v="0"/>
    <x v="6"/>
    <s v="Potential Layering"/>
    <x v="0"/>
  </r>
  <r>
    <x v="602"/>
    <x v="0"/>
    <x v="569"/>
    <n v="9693438765"/>
    <n v="167.79"/>
    <s v="UK pounds"/>
    <s v="UK pounds"/>
    <x v="0"/>
    <s v="UK"/>
    <x v="6"/>
    <x v="0"/>
    <x v="5"/>
    <s v="Consistent"/>
    <x v="0"/>
  </r>
  <r>
    <x v="603"/>
    <x v="0"/>
    <x v="72"/>
    <n v="8172080174"/>
    <n v="5216.53"/>
    <s v="UK pounds"/>
    <s v="UK pounds"/>
    <x v="0"/>
    <s v="UK"/>
    <x v="5"/>
    <x v="0"/>
    <x v="3"/>
    <s v="Consistent"/>
    <x v="0"/>
  </r>
  <r>
    <x v="604"/>
    <x v="0"/>
    <x v="570"/>
    <n v="3695545812"/>
    <n v="5061.2"/>
    <s v="UK pounds"/>
    <s v="UK pounds"/>
    <x v="0"/>
    <s v="UK"/>
    <x v="3"/>
    <x v="0"/>
    <x v="3"/>
    <s v="Consistent"/>
    <x v="0"/>
  </r>
  <r>
    <x v="605"/>
    <x v="0"/>
    <x v="571"/>
    <n v="8172080174"/>
    <n v="11000.56"/>
    <s v="UK pounds"/>
    <s v="UK pounds"/>
    <x v="0"/>
    <s v="UK"/>
    <x v="4"/>
    <x v="0"/>
    <x v="3"/>
    <s v="Consistent"/>
    <x v="0"/>
  </r>
  <r>
    <x v="606"/>
    <x v="0"/>
    <x v="339"/>
    <n v="2176869707"/>
    <n v="18836.830000000002"/>
    <s v="UK pounds"/>
    <s v="UK pounds"/>
    <x v="0"/>
    <s v="UK"/>
    <x v="3"/>
    <x v="0"/>
    <x v="1"/>
    <s v="Consistent"/>
    <x v="0"/>
  </r>
  <r>
    <x v="607"/>
    <x v="0"/>
    <x v="572"/>
    <n v="1923987358"/>
    <n v="1041.6099999999999"/>
    <s v="UK pounds"/>
    <s v="UK pounds"/>
    <x v="0"/>
    <s v="UK"/>
    <x v="2"/>
    <x v="0"/>
    <x v="4"/>
    <s v="Consistent"/>
    <x v="0"/>
  </r>
  <r>
    <x v="608"/>
    <x v="0"/>
    <x v="573"/>
    <n v="4875029298"/>
    <n v="1568.94"/>
    <s v="UK pounds"/>
    <s v="UK pounds"/>
    <x v="0"/>
    <s v="UK"/>
    <x v="3"/>
    <x v="0"/>
    <x v="2"/>
    <s v="Consistent"/>
    <x v="0"/>
  </r>
  <r>
    <x v="609"/>
    <x v="0"/>
    <x v="574"/>
    <n v="2042062597"/>
    <n v="3645.33"/>
    <s v="UK pounds"/>
    <s v="UK pounds"/>
    <x v="0"/>
    <s v="UK"/>
    <x v="3"/>
    <x v="0"/>
    <x v="6"/>
    <s v="Consistent"/>
    <x v="0"/>
  </r>
  <r>
    <x v="610"/>
    <x v="0"/>
    <x v="575"/>
    <n v="4336977506"/>
    <n v="13189.48"/>
    <s v="UK pounds"/>
    <s v="UK pounds"/>
    <x v="0"/>
    <s v="UK"/>
    <x v="4"/>
    <x v="0"/>
    <x v="3"/>
    <s v="Consistent"/>
    <x v="0"/>
  </r>
  <r>
    <x v="611"/>
    <x v="0"/>
    <x v="561"/>
    <n v="3176941770"/>
    <n v="1082.6300000000001"/>
    <s v="UK pounds"/>
    <s v="UK pounds"/>
    <x v="0"/>
    <s v="UK"/>
    <x v="2"/>
    <x v="0"/>
    <x v="2"/>
    <s v="Consistent"/>
    <x v="0"/>
  </r>
  <r>
    <x v="612"/>
    <x v="0"/>
    <x v="576"/>
    <n v="4704308480"/>
    <n v="11546.34"/>
    <s v="UK pounds"/>
    <s v="UK pounds"/>
    <x v="0"/>
    <s v="UK"/>
    <x v="4"/>
    <x v="0"/>
    <x v="4"/>
    <s v="Consistent"/>
    <x v="0"/>
  </r>
  <r>
    <x v="613"/>
    <x v="0"/>
    <x v="577"/>
    <n v="3333242920"/>
    <n v="19268.37"/>
    <s v="UK pounds"/>
    <s v="UK pounds"/>
    <x v="0"/>
    <s v="UK"/>
    <x v="3"/>
    <x v="0"/>
    <x v="2"/>
    <s v="Consistent"/>
    <x v="0"/>
  </r>
  <r>
    <x v="614"/>
    <x v="0"/>
    <x v="578"/>
    <n v="1801973148"/>
    <n v="222.89"/>
    <s v="UK pounds"/>
    <s v="UK pounds"/>
    <x v="0"/>
    <s v="UK"/>
    <x v="4"/>
    <x v="0"/>
    <x v="2"/>
    <s v="Consistent"/>
    <x v="0"/>
  </r>
  <r>
    <x v="615"/>
    <x v="0"/>
    <x v="579"/>
    <n v="4270865741"/>
    <n v="12663.85"/>
    <s v="UK pounds"/>
    <s v="UK pounds"/>
    <x v="0"/>
    <s v="UK"/>
    <x v="4"/>
    <x v="0"/>
    <x v="3"/>
    <s v="Consistent"/>
    <x v="0"/>
  </r>
  <r>
    <x v="616"/>
    <x v="0"/>
    <x v="210"/>
    <n v="7141835964"/>
    <n v="8028.94"/>
    <s v="UK pounds"/>
    <s v="UK pounds"/>
    <x v="0"/>
    <s v="UK"/>
    <x v="5"/>
    <x v="0"/>
    <x v="1"/>
    <s v="Consistent"/>
    <x v="0"/>
  </r>
  <r>
    <x v="617"/>
    <x v="0"/>
    <x v="580"/>
    <n v="5188417590"/>
    <n v="3454.45"/>
    <s v="UK pounds"/>
    <s v="UK pounds"/>
    <x v="0"/>
    <s v="UK"/>
    <x v="0"/>
    <x v="0"/>
    <x v="0"/>
    <s v="Consistent"/>
    <x v="0"/>
  </r>
  <r>
    <x v="618"/>
    <x v="0"/>
    <x v="581"/>
    <n v="2130725685"/>
    <n v="853.81"/>
    <s v="UK pounds"/>
    <s v="UK pounds"/>
    <x v="0"/>
    <s v="UK"/>
    <x v="5"/>
    <x v="0"/>
    <x v="2"/>
    <s v="Consistent"/>
    <x v="0"/>
  </r>
  <r>
    <x v="619"/>
    <x v="0"/>
    <x v="582"/>
    <n v="4683305616"/>
    <n v="286.58"/>
    <s v="UK pounds"/>
    <s v="UK pounds"/>
    <x v="0"/>
    <s v="UK"/>
    <x v="4"/>
    <x v="0"/>
    <x v="2"/>
    <s v="Consistent"/>
    <x v="0"/>
  </r>
  <r>
    <x v="620"/>
    <x v="0"/>
    <x v="583"/>
    <n v="621060264"/>
    <n v="10456.69"/>
    <s v="UK pounds"/>
    <s v="UK pounds"/>
    <x v="0"/>
    <s v="UK"/>
    <x v="5"/>
    <x v="0"/>
    <x v="3"/>
    <s v="Consistent"/>
    <x v="0"/>
  </r>
  <r>
    <x v="621"/>
    <x v="0"/>
    <x v="339"/>
    <n v="8818164834"/>
    <n v="4730.38"/>
    <s v="UK pounds"/>
    <s v="UK pounds"/>
    <x v="0"/>
    <s v="UK"/>
    <x v="3"/>
    <x v="0"/>
    <x v="1"/>
    <s v="Consistent"/>
    <x v="0"/>
  </r>
  <r>
    <x v="622"/>
    <x v="0"/>
    <x v="584"/>
    <n v="3730833224"/>
    <n v="161.54"/>
    <s v="UK pounds"/>
    <s v="UK pounds"/>
    <x v="0"/>
    <s v="UK"/>
    <x v="2"/>
    <x v="0"/>
    <x v="2"/>
    <s v="Consistent"/>
    <x v="0"/>
  </r>
  <r>
    <x v="623"/>
    <x v="0"/>
    <x v="585"/>
    <n v="2833895088"/>
    <n v="2818.67"/>
    <s v="UK pounds"/>
    <s v="UK pounds"/>
    <x v="0"/>
    <s v="UK"/>
    <x v="3"/>
    <x v="0"/>
    <x v="4"/>
    <s v="Consistent"/>
    <x v="0"/>
  </r>
  <r>
    <x v="624"/>
    <x v="0"/>
    <x v="63"/>
    <n v="7743294128"/>
    <n v="22299.21"/>
    <s v="UK pounds"/>
    <s v="UK pounds"/>
    <x v="0"/>
    <s v="UK"/>
    <x v="4"/>
    <x v="0"/>
    <x v="1"/>
    <s v="Consistent"/>
    <x v="0"/>
  </r>
  <r>
    <x v="625"/>
    <x v="0"/>
    <x v="586"/>
    <n v="9582770365"/>
    <n v="1301.8499999999999"/>
    <s v="UK pounds"/>
    <s v="UK pounds"/>
    <x v="0"/>
    <s v="UK"/>
    <x v="5"/>
    <x v="0"/>
    <x v="2"/>
    <s v="Consistent"/>
    <x v="0"/>
  </r>
  <r>
    <x v="626"/>
    <x v="0"/>
    <x v="587"/>
    <n v="1960345643"/>
    <n v="17166.97"/>
    <s v="UK pounds"/>
    <s v="UK pounds"/>
    <x v="0"/>
    <s v="UK"/>
    <x v="4"/>
    <x v="0"/>
    <x v="4"/>
    <s v="Consistent"/>
    <x v="0"/>
  </r>
  <r>
    <x v="627"/>
    <x v="0"/>
    <x v="195"/>
    <n v="7468510228"/>
    <n v="5331.08"/>
    <s v="UK pounds"/>
    <s v="UK pounds"/>
    <x v="0"/>
    <s v="UK"/>
    <x v="2"/>
    <x v="0"/>
    <x v="1"/>
    <s v="Consistent"/>
    <x v="0"/>
  </r>
  <r>
    <x v="628"/>
    <x v="0"/>
    <x v="588"/>
    <n v="8358075286"/>
    <n v="1707.92"/>
    <s v="UK pounds"/>
    <s v="UK pounds"/>
    <x v="0"/>
    <s v="UK"/>
    <x v="0"/>
    <x v="0"/>
    <x v="0"/>
    <s v="Consistent"/>
    <x v="0"/>
  </r>
  <r>
    <x v="629"/>
    <x v="0"/>
    <x v="161"/>
    <n v="954066234"/>
    <n v="6098"/>
    <s v="UK pounds"/>
    <s v="UK pounds"/>
    <x v="0"/>
    <s v="UK"/>
    <x v="2"/>
    <x v="0"/>
    <x v="1"/>
    <s v="Consistent"/>
    <x v="0"/>
  </r>
  <r>
    <x v="629"/>
    <x v="0"/>
    <x v="589"/>
    <n v="6250134705"/>
    <n v="1391.45"/>
    <s v="UK pounds"/>
    <s v="UK pounds"/>
    <x v="0"/>
    <s v="UK"/>
    <x v="4"/>
    <x v="0"/>
    <x v="2"/>
    <s v="Consistent"/>
    <x v="0"/>
  </r>
  <r>
    <x v="630"/>
    <x v="0"/>
    <x v="590"/>
    <n v="8848119674"/>
    <n v="273.22000000000003"/>
    <s v="UK pounds"/>
    <s v="UK pounds"/>
    <x v="0"/>
    <s v="UK"/>
    <x v="4"/>
    <x v="0"/>
    <x v="2"/>
    <s v="Consistent"/>
    <x v="0"/>
  </r>
  <r>
    <x v="630"/>
    <x v="0"/>
    <x v="591"/>
    <n v="5708936901"/>
    <n v="10140.98"/>
    <s v="UK pounds"/>
    <s v="UK pounds"/>
    <x v="0"/>
    <s v="UK"/>
    <x v="3"/>
    <x v="0"/>
    <x v="3"/>
    <s v="Consistent"/>
    <x v="0"/>
  </r>
  <r>
    <x v="631"/>
    <x v="0"/>
    <x v="592"/>
    <n v="2138505015"/>
    <n v="6691.95"/>
    <s v="UK pounds"/>
    <s v="Dirham"/>
    <x v="0"/>
    <s v="UAE"/>
    <x v="1"/>
    <x v="0"/>
    <x v="3"/>
    <s v="Potential Layering"/>
    <x v="0"/>
  </r>
  <r>
    <x v="631"/>
    <x v="0"/>
    <x v="593"/>
    <n v="3938282574"/>
    <n v="2384.1999999999998"/>
    <s v="UK pounds"/>
    <s v="UK pounds"/>
    <x v="0"/>
    <s v="UK"/>
    <x v="5"/>
    <x v="0"/>
    <x v="6"/>
    <s v="Consistent"/>
    <x v="0"/>
  </r>
  <r>
    <x v="632"/>
    <x v="0"/>
    <x v="20"/>
    <n v="8716511495"/>
    <n v="9839.01"/>
    <s v="UK pounds"/>
    <s v="UK pounds"/>
    <x v="0"/>
    <s v="UK"/>
    <x v="5"/>
    <x v="0"/>
    <x v="1"/>
    <s v="Consistent"/>
    <x v="0"/>
  </r>
  <r>
    <x v="633"/>
    <x v="0"/>
    <x v="594"/>
    <n v="4908949299"/>
    <n v="5521.9"/>
    <s v="UK pounds"/>
    <s v="UK pounds"/>
    <x v="0"/>
    <s v="UK"/>
    <x v="3"/>
    <x v="0"/>
    <x v="4"/>
    <s v="Consistent"/>
    <x v="0"/>
  </r>
  <r>
    <x v="634"/>
    <x v="0"/>
    <x v="595"/>
    <n v="6103470421"/>
    <n v="54.46"/>
    <s v="UK pounds"/>
    <s v="UK pounds"/>
    <x v="0"/>
    <s v="UK"/>
    <x v="5"/>
    <x v="0"/>
    <x v="2"/>
    <s v="Consistent"/>
    <x v="0"/>
  </r>
  <r>
    <x v="635"/>
    <x v="0"/>
    <x v="596"/>
    <n v="7270050124"/>
    <n v="63.52"/>
    <s v="UK pounds"/>
    <s v="UK pounds"/>
    <x v="0"/>
    <s v="UK"/>
    <x v="2"/>
    <x v="0"/>
    <x v="2"/>
    <s v="Consistent"/>
    <x v="0"/>
  </r>
  <r>
    <x v="636"/>
    <x v="0"/>
    <x v="597"/>
    <n v="5794452933"/>
    <n v="2313.9899999999998"/>
    <s v="UK pounds"/>
    <s v="UK pounds"/>
    <x v="0"/>
    <s v="UK"/>
    <x v="5"/>
    <x v="0"/>
    <x v="4"/>
    <s v="Consistent"/>
    <x v="0"/>
  </r>
  <r>
    <x v="637"/>
    <x v="0"/>
    <x v="598"/>
    <n v="427988865"/>
    <n v="17378.39"/>
    <s v="UK pounds"/>
    <s v="UK pounds"/>
    <x v="0"/>
    <s v="UK"/>
    <x v="3"/>
    <x v="0"/>
    <x v="6"/>
    <s v="Consistent"/>
    <x v="0"/>
  </r>
  <r>
    <x v="638"/>
    <x v="0"/>
    <x v="208"/>
    <n v="7199625988"/>
    <n v="15772.75"/>
    <s v="UK pounds"/>
    <s v="UK pounds"/>
    <x v="0"/>
    <s v="UK"/>
    <x v="3"/>
    <x v="0"/>
    <x v="3"/>
    <s v="Consistent"/>
    <x v="0"/>
  </r>
  <r>
    <x v="639"/>
    <x v="0"/>
    <x v="9"/>
    <n v="4009702480"/>
    <n v="12627.54"/>
    <s v="UK pounds"/>
    <s v="UK pounds"/>
    <x v="0"/>
    <s v="UK"/>
    <x v="5"/>
    <x v="0"/>
    <x v="1"/>
    <s v="Consistent"/>
    <x v="0"/>
  </r>
  <r>
    <x v="640"/>
    <x v="0"/>
    <x v="599"/>
    <n v="2284498805"/>
    <n v="6084.07"/>
    <s v="UK pounds"/>
    <s v="UK pounds"/>
    <x v="0"/>
    <s v="UK"/>
    <x v="5"/>
    <x v="0"/>
    <x v="4"/>
    <s v="Consistent"/>
    <x v="0"/>
  </r>
  <r>
    <x v="641"/>
    <x v="0"/>
    <x v="600"/>
    <n v="9073695759"/>
    <n v="5690.55"/>
    <s v="UK pounds"/>
    <s v="UK pounds"/>
    <x v="0"/>
    <s v="UK"/>
    <x v="4"/>
    <x v="0"/>
    <x v="2"/>
    <s v="Consistent"/>
    <x v="0"/>
  </r>
  <r>
    <x v="642"/>
    <x v="0"/>
    <x v="601"/>
    <n v="4376282024"/>
    <n v="2115.2399999999998"/>
    <s v="UK pounds"/>
    <s v="UK pounds"/>
    <x v="0"/>
    <s v="UK"/>
    <x v="2"/>
    <x v="0"/>
    <x v="2"/>
    <s v="Consistent"/>
    <x v="0"/>
  </r>
  <r>
    <x v="643"/>
    <x v="0"/>
    <x v="602"/>
    <n v="6646502650"/>
    <n v="11952.02"/>
    <s v="UK pounds"/>
    <s v="Euro"/>
    <x v="0"/>
    <s v="France"/>
    <x v="1"/>
    <x v="0"/>
    <x v="3"/>
    <s v="Potential Layering"/>
    <x v="0"/>
  </r>
  <r>
    <x v="644"/>
    <x v="0"/>
    <x v="40"/>
    <n v="6127165731"/>
    <n v="10927.97"/>
    <s v="UK pounds"/>
    <s v="UK pounds"/>
    <x v="0"/>
    <s v="UK"/>
    <x v="2"/>
    <x v="0"/>
    <x v="1"/>
    <s v="Consistent"/>
    <x v="0"/>
  </r>
  <r>
    <x v="644"/>
    <x v="0"/>
    <x v="603"/>
    <n v="8440532770"/>
    <n v="11718.07"/>
    <s v="UK pounds"/>
    <s v="UK pounds"/>
    <x v="0"/>
    <s v="UK"/>
    <x v="2"/>
    <x v="0"/>
    <x v="2"/>
    <s v="Consistent"/>
    <x v="0"/>
  </r>
  <r>
    <x v="645"/>
    <x v="0"/>
    <x v="604"/>
    <n v="5143081994"/>
    <n v="3201.9"/>
    <s v="UK pounds"/>
    <s v="UK pounds"/>
    <x v="0"/>
    <s v="UK"/>
    <x v="5"/>
    <x v="0"/>
    <x v="2"/>
    <s v="Consistent"/>
    <x v="0"/>
  </r>
  <r>
    <x v="646"/>
    <x v="0"/>
    <x v="605"/>
    <n v="8822137236"/>
    <n v="6749.11"/>
    <s v="UK pounds"/>
    <s v="UK pounds"/>
    <x v="0"/>
    <s v="UK"/>
    <x v="3"/>
    <x v="0"/>
    <x v="4"/>
    <s v="Consistent"/>
    <x v="0"/>
  </r>
  <r>
    <x v="647"/>
    <x v="0"/>
    <x v="606"/>
    <n v="6538530185"/>
    <n v="17020.3"/>
    <s v="UK pounds"/>
    <s v="UK pounds"/>
    <x v="0"/>
    <s v="UK"/>
    <x v="5"/>
    <x v="0"/>
    <x v="8"/>
    <s v="Consistent"/>
    <x v="0"/>
  </r>
  <r>
    <x v="648"/>
    <x v="0"/>
    <x v="607"/>
    <n v="7220811519"/>
    <n v="26513.17"/>
    <s v="UK pounds"/>
    <s v="UK pounds"/>
    <x v="0"/>
    <s v="UK"/>
    <x v="2"/>
    <x v="0"/>
    <x v="10"/>
    <s v="Consistent"/>
    <x v="0"/>
  </r>
  <r>
    <x v="649"/>
    <x v="0"/>
    <x v="608"/>
    <n v="1980198120"/>
    <n v="1702.04"/>
    <s v="UK pounds"/>
    <s v="UK pounds"/>
    <x v="0"/>
    <s v="UK"/>
    <x v="0"/>
    <x v="0"/>
    <x v="0"/>
    <s v="Consistent"/>
    <x v="0"/>
  </r>
  <r>
    <x v="650"/>
    <x v="0"/>
    <x v="609"/>
    <n v="7199625988"/>
    <n v="9033.5400000000009"/>
    <s v="UK pounds"/>
    <s v="UK pounds"/>
    <x v="0"/>
    <s v="UK"/>
    <x v="4"/>
    <x v="0"/>
    <x v="3"/>
    <s v="Consistent"/>
    <x v="0"/>
  </r>
  <r>
    <x v="651"/>
    <x v="0"/>
    <x v="68"/>
    <n v="8969112643"/>
    <n v="13703.33"/>
    <s v="UK pounds"/>
    <s v="UK pounds"/>
    <x v="0"/>
    <s v="UK"/>
    <x v="4"/>
    <x v="0"/>
    <x v="1"/>
    <s v="Consistent"/>
    <x v="0"/>
  </r>
  <r>
    <x v="652"/>
    <x v="0"/>
    <x v="610"/>
    <n v="5109623450"/>
    <n v="13555.32"/>
    <s v="UK pounds"/>
    <s v="UK pounds"/>
    <x v="0"/>
    <s v="UK"/>
    <x v="4"/>
    <x v="0"/>
    <x v="3"/>
    <s v="Consistent"/>
    <x v="0"/>
  </r>
  <r>
    <x v="652"/>
    <x v="0"/>
    <x v="611"/>
    <n v="3695545812"/>
    <n v="20705.939999999999"/>
    <s v="UK pounds"/>
    <s v="UK pounds"/>
    <x v="0"/>
    <s v="UK"/>
    <x v="5"/>
    <x v="0"/>
    <x v="3"/>
    <s v="Consistent"/>
    <x v="0"/>
  </r>
  <r>
    <x v="653"/>
    <x v="0"/>
    <x v="612"/>
    <n v="7978449239"/>
    <n v="4895.25"/>
    <s v="UK pounds"/>
    <s v="UK pounds"/>
    <x v="0"/>
    <s v="UK"/>
    <x v="0"/>
    <x v="0"/>
    <x v="0"/>
    <s v="Consistent"/>
    <x v="0"/>
  </r>
  <r>
    <x v="654"/>
    <x v="0"/>
    <x v="613"/>
    <n v="7892884492"/>
    <n v="16738.96"/>
    <s v="UK pounds"/>
    <s v="US dollar"/>
    <x v="0"/>
    <s v="USA"/>
    <x v="1"/>
    <x v="0"/>
    <x v="3"/>
    <s v="Potential Layering"/>
    <x v="0"/>
  </r>
  <r>
    <x v="655"/>
    <x v="0"/>
    <x v="614"/>
    <n v="1712828717"/>
    <n v="11502.02"/>
    <s v="UK pounds"/>
    <s v="UK pounds"/>
    <x v="0"/>
    <s v="UK"/>
    <x v="4"/>
    <x v="0"/>
    <x v="4"/>
    <s v="Consistent"/>
    <x v="0"/>
  </r>
  <r>
    <x v="656"/>
    <x v="0"/>
    <x v="615"/>
    <n v="5858369125"/>
    <n v="7769.49"/>
    <s v="UK pounds"/>
    <s v="UK pounds"/>
    <x v="0"/>
    <s v="UK"/>
    <x v="5"/>
    <x v="0"/>
    <x v="3"/>
    <s v="Consistent"/>
    <x v="0"/>
  </r>
  <r>
    <x v="657"/>
    <x v="0"/>
    <x v="616"/>
    <n v="156068548"/>
    <n v="1021.93"/>
    <s v="UK pounds"/>
    <s v="UK pounds"/>
    <x v="0"/>
    <s v="UK"/>
    <x v="4"/>
    <x v="0"/>
    <x v="2"/>
    <s v="Consistent"/>
    <x v="0"/>
  </r>
  <r>
    <x v="657"/>
    <x v="0"/>
    <x v="617"/>
    <n v="6100571572"/>
    <n v="4383.33"/>
    <s v="UK pounds"/>
    <s v="UK pounds"/>
    <x v="0"/>
    <s v="UK"/>
    <x v="3"/>
    <x v="0"/>
    <x v="2"/>
    <s v="Consistent"/>
    <x v="0"/>
  </r>
  <r>
    <x v="658"/>
    <x v="0"/>
    <x v="618"/>
    <n v="8619444777"/>
    <n v="17654.09"/>
    <s v="UK pounds"/>
    <s v="UK pounds"/>
    <x v="0"/>
    <s v="UK"/>
    <x v="2"/>
    <x v="0"/>
    <x v="6"/>
    <s v="Consistent"/>
    <x v="0"/>
  </r>
  <r>
    <x v="659"/>
    <x v="0"/>
    <x v="619"/>
    <n v="5628674969"/>
    <n v="7385.33"/>
    <s v="UK pounds"/>
    <s v="UK pounds"/>
    <x v="0"/>
    <s v="UK"/>
    <x v="5"/>
    <x v="0"/>
    <x v="3"/>
    <s v="Consistent"/>
    <x v="0"/>
  </r>
  <r>
    <x v="660"/>
    <x v="0"/>
    <x v="620"/>
    <n v="1295640104"/>
    <n v="5737.11"/>
    <s v="UK pounds"/>
    <s v="UK pounds"/>
    <x v="0"/>
    <s v="UK"/>
    <x v="5"/>
    <x v="0"/>
    <x v="2"/>
    <s v="Consistent"/>
    <x v="0"/>
  </r>
  <r>
    <x v="660"/>
    <x v="0"/>
    <x v="621"/>
    <n v="336247113"/>
    <n v="2040.95"/>
    <s v="UK pounds"/>
    <s v="UK pounds"/>
    <x v="0"/>
    <s v="UK"/>
    <x v="5"/>
    <x v="0"/>
    <x v="2"/>
    <s v="Consistent"/>
    <x v="0"/>
  </r>
  <r>
    <x v="661"/>
    <x v="0"/>
    <x v="622"/>
    <n v="5466123934"/>
    <n v="14395.38"/>
    <s v="UK pounds"/>
    <s v="UK pounds"/>
    <x v="0"/>
    <s v="UK"/>
    <x v="2"/>
    <x v="0"/>
    <x v="3"/>
    <s v="Consistent"/>
    <x v="0"/>
  </r>
  <r>
    <x v="662"/>
    <x v="0"/>
    <x v="91"/>
    <n v="8939055432"/>
    <n v="4992.63"/>
    <s v="UK pounds"/>
    <s v="UK pounds"/>
    <x v="0"/>
    <s v="UK"/>
    <x v="4"/>
    <x v="0"/>
    <x v="1"/>
    <s v="Consistent"/>
    <x v="0"/>
  </r>
  <r>
    <x v="662"/>
    <x v="0"/>
    <x v="623"/>
    <n v="641750211"/>
    <n v="2540.5700000000002"/>
    <s v="UK pounds"/>
    <s v="UK pounds"/>
    <x v="0"/>
    <s v="UK"/>
    <x v="5"/>
    <x v="0"/>
    <x v="2"/>
    <s v="Consistent"/>
    <x v="0"/>
  </r>
  <r>
    <x v="663"/>
    <x v="0"/>
    <x v="624"/>
    <n v="1549422640"/>
    <n v="6395.93"/>
    <s v="UK pounds"/>
    <s v="UK pounds"/>
    <x v="0"/>
    <s v="UK"/>
    <x v="5"/>
    <x v="0"/>
    <x v="2"/>
    <s v="Consistent"/>
    <x v="0"/>
  </r>
  <r>
    <x v="663"/>
    <x v="0"/>
    <x v="625"/>
    <n v="3487233690"/>
    <n v="32896.269999999997"/>
    <s v="Mexican Peso"/>
    <s v="UK pounds"/>
    <x v="0"/>
    <s v="UK"/>
    <x v="5"/>
    <x v="0"/>
    <x v="2"/>
    <s v="Potential Layering"/>
    <x v="0"/>
  </r>
  <r>
    <x v="664"/>
    <x v="0"/>
    <x v="626"/>
    <n v="1377603863"/>
    <n v="7223.77"/>
    <s v="UK pounds"/>
    <s v="UK pounds"/>
    <x v="0"/>
    <s v="UK"/>
    <x v="3"/>
    <x v="0"/>
    <x v="3"/>
    <s v="Consistent"/>
    <x v="0"/>
  </r>
  <r>
    <x v="664"/>
    <x v="0"/>
    <x v="627"/>
    <n v="941929409"/>
    <n v="307.69"/>
    <s v="UK pounds"/>
    <s v="UK pounds"/>
    <x v="0"/>
    <s v="UK"/>
    <x v="4"/>
    <x v="0"/>
    <x v="2"/>
    <s v="Consistent"/>
    <x v="0"/>
  </r>
  <r>
    <x v="664"/>
    <x v="0"/>
    <x v="628"/>
    <n v="184266234"/>
    <n v="1870.06"/>
    <s v="UK pounds"/>
    <s v="UK pounds"/>
    <x v="0"/>
    <s v="UK"/>
    <x v="5"/>
    <x v="0"/>
    <x v="4"/>
    <s v="Consistent"/>
    <x v="0"/>
  </r>
  <r>
    <x v="665"/>
    <x v="0"/>
    <x v="629"/>
    <n v="5584122533"/>
    <n v="3429.83"/>
    <s v="UK pounds"/>
    <s v="UK pounds"/>
    <x v="0"/>
    <s v="UK"/>
    <x v="4"/>
    <x v="0"/>
    <x v="2"/>
    <s v="Consistent"/>
    <x v="0"/>
  </r>
  <r>
    <x v="666"/>
    <x v="0"/>
    <x v="63"/>
    <n v="4629995866"/>
    <n v="28254.86"/>
    <s v="UK pounds"/>
    <s v="UK pounds"/>
    <x v="0"/>
    <s v="UK"/>
    <x v="3"/>
    <x v="0"/>
    <x v="1"/>
    <s v="Consistent"/>
    <x v="0"/>
  </r>
  <r>
    <x v="667"/>
    <x v="0"/>
    <x v="485"/>
    <n v="5628674969"/>
    <n v="8318.4500000000007"/>
    <s v="UK pounds"/>
    <s v="UK pounds"/>
    <x v="0"/>
    <s v="UK"/>
    <x v="3"/>
    <x v="0"/>
    <x v="3"/>
    <s v="Consistent"/>
    <x v="0"/>
  </r>
  <r>
    <x v="668"/>
    <x v="0"/>
    <x v="630"/>
    <n v="1606853336"/>
    <n v="2599.77"/>
    <s v="UK pounds"/>
    <s v="UK pounds"/>
    <x v="0"/>
    <s v="UK"/>
    <x v="2"/>
    <x v="0"/>
    <x v="2"/>
    <s v="Consistent"/>
    <x v="0"/>
  </r>
  <r>
    <x v="669"/>
    <x v="0"/>
    <x v="631"/>
    <n v="4100194033"/>
    <n v="856.56"/>
    <s v="UK pounds"/>
    <s v="UK pounds"/>
    <x v="0"/>
    <s v="UK"/>
    <x v="5"/>
    <x v="0"/>
    <x v="2"/>
    <s v="Consistent"/>
    <x v="0"/>
  </r>
  <r>
    <x v="669"/>
    <x v="0"/>
    <x v="632"/>
    <n v="1570231448"/>
    <n v="23662.78"/>
    <s v="UK pounds"/>
    <s v="UK pounds"/>
    <x v="0"/>
    <s v="UK"/>
    <x v="3"/>
    <x v="0"/>
    <x v="2"/>
    <s v="Consistent"/>
    <x v="0"/>
  </r>
  <r>
    <x v="670"/>
    <x v="0"/>
    <x v="398"/>
    <n v="3079818547"/>
    <n v="13649.23"/>
    <s v="UK pounds"/>
    <s v="UK pounds"/>
    <x v="0"/>
    <s v="UK"/>
    <x v="4"/>
    <x v="0"/>
    <x v="3"/>
    <s v="Consistent"/>
    <x v="0"/>
  </r>
  <r>
    <x v="671"/>
    <x v="0"/>
    <x v="633"/>
    <n v="5442384483"/>
    <n v="15994.27"/>
    <s v="UK pounds"/>
    <s v="UK pounds"/>
    <x v="0"/>
    <s v="UK"/>
    <x v="2"/>
    <x v="0"/>
    <x v="4"/>
    <s v="Consistent"/>
    <x v="0"/>
  </r>
  <r>
    <x v="672"/>
    <x v="0"/>
    <x v="634"/>
    <n v="8172080174"/>
    <n v="5585.51"/>
    <s v="UK pounds"/>
    <s v="UK pounds"/>
    <x v="0"/>
    <s v="UK"/>
    <x v="5"/>
    <x v="0"/>
    <x v="3"/>
    <s v="Consistent"/>
    <x v="0"/>
  </r>
  <r>
    <x v="673"/>
    <x v="0"/>
    <x v="635"/>
    <n v="5913673572"/>
    <n v="1250.24"/>
    <s v="UK pounds"/>
    <s v="UK pounds"/>
    <x v="0"/>
    <s v="UK"/>
    <x v="5"/>
    <x v="0"/>
    <x v="2"/>
    <s v="Consistent"/>
    <x v="0"/>
  </r>
  <r>
    <x v="674"/>
    <x v="0"/>
    <x v="636"/>
    <n v="4733165071"/>
    <n v="2672.03"/>
    <s v="UK pounds"/>
    <s v="UK pounds"/>
    <x v="0"/>
    <s v="UK"/>
    <x v="5"/>
    <x v="0"/>
    <x v="2"/>
    <s v="Consistent"/>
    <x v="0"/>
  </r>
  <r>
    <x v="675"/>
    <x v="0"/>
    <x v="637"/>
    <n v="6428166813"/>
    <n v="18593.38"/>
    <s v="UK pounds"/>
    <s v="UK pounds"/>
    <x v="0"/>
    <s v="UK"/>
    <x v="4"/>
    <x v="0"/>
    <x v="10"/>
    <s v="Consistent"/>
    <x v="0"/>
  </r>
  <r>
    <x v="675"/>
    <x v="0"/>
    <x v="638"/>
    <n v="2534644942"/>
    <n v="12424.26"/>
    <s v="UK pounds"/>
    <s v="Euro"/>
    <x v="0"/>
    <s v="France"/>
    <x v="1"/>
    <x v="0"/>
    <x v="3"/>
    <s v="Potential Layering"/>
    <x v="0"/>
  </r>
  <r>
    <x v="676"/>
    <x v="0"/>
    <x v="639"/>
    <n v="4505551578"/>
    <n v="2776.85"/>
    <s v="UK pounds"/>
    <s v="UK pounds"/>
    <x v="0"/>
    <s v="UK"/>
    <x v="5"/>
    <x v="0"/>
    <x v="2"/>
    <s v="Consistent"/>
    <x v="0"/>
  </r>
  <r>
    <x v="677"/>
    <x v="0"/>
    <x v="640"/>
    <n v="4221771322"/>
    <n v="4897.93"/>
    <s v="Euro"/>
    <s v="UK pounds"/>
    <x v="11"/>
    <s v="UK"/>
    <x v="1"/>
    <x v="0"/>
    <x v="2"/>
    <s v="Potential Layering"/>
    <x v="0"/>
  </r>
  <r>
    <x v="677"/>
    <x v="0"/>
    <x v="641"/>
    <n v="9982478398"/>
    <n v="36.020000000000003"/>
    <s v="UK pounds"/>
    <s v="UK pounds"/>
    <x v="0"/>
    <s v="UK"/>
    <x v="4"/>
    <x v="0"/>
    <x v="2"/>
    <s v="Consistent"/>
    <x v="0"/>
  </r>
  <r>
    <x v="678"/>
    <x v="0"/>
    <x v="642"/>
    <n v="7160736915"/>
    <n v="5479.68"/>
    <s v="UK pounds"/>
    <s v="UK pounds"/>
    <x v="0"/>
    <s v="UK"/>
    <x v="3"/>
    <x v="0"/>
    <x v="3"/>
    <s v="Consistent"/>
    <x v="0"/>
  </r>
  <r>
    <x v="678"/>
    <x v="0"/>
    <x v="163"/>
    <n v="7623292529"/>
    <n v="15969.58"/>
    <s v="UK pounds"/>
    <s v="UK pounds"/>
    <x v="0"/>
    <s v="UK"/>
    <x v="2"/>
    <x v="0"/>
    <x v="1"/>
    <s v="Consistent"/>
    <x v="0"/>
  </r>
  <r>
    <x v="679"/>
    <x v="0"/>
    <x v="124"/>
    <n v="6357364082"/>
    <n v="5662.63"/>
    <s v="UK pounds"/>
    <s v="UK pounds"/>
    <x v="0"/>
    <s v="UK"/>
    <x v="3"/>
    <x v="0"/>
    <x v="1"/>
    <s v="Consistent"/>
    <x v="0"/>
  </r>
  <r>
    <x v="680"/>
    <x v="0"/>
    <x v="643"/>
    <n v="9583573888"/>
    <n v="1459.87"/>
    <s v="UK pounds"/>
    <s v="UK pounds"/>
    <x v="0"/>
    <s v="UK"/>
    <x v="4"/>
    <x v="0"/>
    <x v="2"/>
    <s v="Consistent"/>
    <x v="0"/>
  </r>
  <r>
    <x v="681"/>
    <x v="0"/>
    <x v="644"/>
    <n v="1465487567"/>
    <n v="17284.13"/>
    <s v="UK pounds"/>
    <s v="UK pounds"/>
    <x v="0"/>
    <s v="UK"/>
    <x v="2"/>
    <x v="0"/>
    <x v="3"/>
    <s v="Consistent"/>
    <x v="0"/>
  </r>
  <r>
    <x v="682"/>
    <x v="0"/>
    <x v="645"/>
    <n v="93642419"/>
    <n v="5065.8"/>
    <s v="UK pounds"/>
    <s v="UK pounds"/>
    <x v="0"/>
    <s v="UK"/>
    <x v="4"/>
    <x v="0"/>
    <x v="4"/>
    <s v="Consistent"/>
    <x v="0"/>
  </r>
  <r>
    <x v="683"/>
    <x v="0"/>
    <x v="646"/>
    <n v="6444220418"/>
    <n v="10425.35"/>
    <s v="UK pounds"/>
    <s v="UK pounds"/>
    <x v="0"/>
    <s v="UK"/>
    <x v="5"/>
    <x v="0"/>
    <x v="3"/>
    <s v="Consistent"/>
    <x v="0"/>
  </r>
  <r>
    <x v="684"/>
    <x v="0"/>
    <x v="647"/>
    <n v="3324246812"/>
    <n v="8094.26"/>
    <s v="UK pounds"/>
    <s v="Turkish lira"/>
    <x v="0"/>
    <s v="Turkey"/>
    <x v="1"/>
    <x v="0"/>
    <x v="2"/>
    <s v="Potential Layering"/>
    <x v="0"/>
  </r>
  <r>
    <x v="685"/>
    <x v="0"/>
    <x v="648"/>
    <n v="7882830295"/>
    <n v="2743.55"/>
    <s v="UK pounds"/>
    <s v="UK pounds"/>
    <x v="0"/>
    <s v="UK"/>
    <x v="0"/>
    <x v="0"/>
    <x v="0"/>
    <s v="Consistent"/>
    <x v="0"/>
  </r>
  <r>
    <x v="686"/>
    <x v="0"/>
    <x v="649"/>
    <n v="3220735304"/>
    <n v="7883.51"/>
    <s v="UK pounds"/>
    <s v="UK pounds"/>
    <x v="0"/>
    <s v="UK"/>
    <x v="2"/>
    <x v="0"/>
    <x v="3"/>
    <s v="Consistent"/>
    <x v="0"/>
  </r>
  <r>
    <x v="687"/>
    <x v="0"/>
    <x v="163"/>
    <n v="2166082350"/>
    <n v="4688.34"/>
    <s v="UK pounds"/>
    <s v="UK pounds"/>
    <x v="0"/>
    <s v="UK"/>
    <x v="2"/>
    <x v="0"/>
    <x v="1"/>
    <s v="Consistent"/>
    <x v="0"/>
  </r>
  <r>
    <x v="688"/>
    <x v="0"/>
    <x v="650"/>
    <n v="1465487567"/>
    <n v="11687.34"/>
    <s v="UK pounds"/>
    <s v="UK pounds"/>
    <x v="0"/>
    <s v="UK"/>
    <x v="2"/>
    <x v="0"/>
    <x v="3"/>
    <s v="Consistent"/>
    <x v="0"/>
  </r>
  <r>
    <x v="689"/>
    <x v="0"/>
    <x v="651"/>
    <n v="8808710985"/>
    <n v="6541.84"/>
    <s v="UK pounds"/>
    <s v="UK pounds"/>
    <x v="0"/>
    <s v="UK"/>
    <x v="2"/>
    <x v="0"/>
    <x v="2"/>
    <s v="Consistent"/>
    <x v="0"/>
  </r>
  <r>
    <x v="690"/>
    <x v="0"/>
    <x v="652"/>
    <n v="8793249496"/>
    <n v="17865.650000000001"/>
    <s v="UK pounds"/>
    <s v="UK pounds"/>
    <x v="0"/>
    <s v="UK"/>
    <x v="2"/>
    <x v="0"/>
    <x v="2"/>
    <s v="Consistent"/>
    <x v="0"/>
  </r>
  <r>
    <x v="691"/>
    <x v="0"/>
    <x v="653"/>
    <n v="1757118638"/>
    <n v="30921.11"/>
    <s v="UK pounds"/>
    <s v="UK pounds"/>
    <x v="0"/>
    <s v="UK"/>
    <x v="4"/>
    <x v="0"/>
    <x v="2"/>
    <s v="Consistent"/>
    <x v="0"/>
  </r>
  <r>
    <x v="692"/>
    <x v="0"/>
    <x v="654"/>
    <n v="7999834197"/>
    <n v="122.82"/>
    <s v="UK pounds"/>
    <s v="UK pounds"/>
    <x v="0"/>
    <s v="UK"/>
    <x v="2"/>
    <x v="0"/>
    <x v="2"/>
    <s v="Consistent"/>
    <x v="0"/>
  </r>
  <r>
    <x v="692"/>
    <x v="0"/>
    <x v="35"/>
    <n v="8722924810"/>
    <n v="8061.51"/>
    <s v="UK pounds"/>
    <s v="Albanian lek"/>
    <x v="0"/>
    <s v="Albania"/>
    <x v="1"/>
    <x v="0"/>
    <x v="1"/>
    <s v="Potential Layering"/>
    <x v="0"/>
  </r>
  <r>
    <x v="693"/>
    <x v="0"/>
    <x v="655"/>
    <n v="2136084447"/>
    <n v="1022.26"/>
    <s v="UK pounds"/>
    <s v="Turkish lira"/>
    <x v="0"/>
    <s v="UK"/>
    <x v="0"/>
    <x v="0"/>
    <x v="0"/>
    <s v="Potential Layering"/>
    <x v="0"/>
  </r>
  <r>
    <x v="693"/>
    <x v="0"/>
    <x v="656"/>
    <n v="7879979420"/>
    <n v="339.59"/>
    <s v="UK pounds"/>
    <s v="US dollar"/>
    <x v="0"/>
    <s v="USA"/>
    <x v="1"/>
    <x v="0"/>
    <x v="2"/>
    <s v="Potential Layering"/>
    <x v="0"/>
  </r>
  <r>
    <x v="694"/>
    <x v="0"/>
    <x v="657"/>
    <n v="2451985850"/>
    <n v="691.68"/>
    <s v="UK pounds"/>
    <s v="UK pounds"/>
    <x v="0"/>
    <s v="UK"/>
    <x v="0"/>
    <x v="0"/>
    <x v="0"/>
    <s v="Consistent"/>
    <x v="0"/>
  </r>
  <r>
    <x v="695"/>
    <x v="0"/>
    <x v="658"/>
    <n v="2683467887"/>
    <n v="730.22"/>
    <s v="UK pounds"/>
    <s v="UK pounds"/>
    <x v="0"/>
    <s v="UK"/>
    <x v="2"/>
    <x v="0"/>
    <x v="2"/>
    <s v="Consistent"/>
    <x v="0"/>
  </r>
  <r>
    <x v="696"/>
    <x v="0"/>
    <x v="659"/>
    <n v="7024626444"/>
    <n v="325.04000000000002"/>
    <s v="UK pounds"/>
    <s v="UK pounds"/>
    <x v="0"/>
    <s v="UK"/>
    <x v="4"/>
    <x v="0"/>
    <x v="2"/>
    <s v="Consistent"/>
    <x v="0"/>
  </r>
  <r>
    <x v="697"/>
    <x v="0"/>
    <x v="660"/>
    <n v="7561906431"/>
    <n v="1051.98"/>
    <s v="UK pounds"/>
    <s v="UK pounds"/>
    <x v="0"/>
    <s v="UK"/>
    <x v="4"/>
    <x v="0"/>
    <x v="2"/>
    <s v="Consistent"/>
    <x v="0"/>
  </r>
  <r>
    <x v="697"/>
    <x v="0"/>
    <x v="533"/>
    <n v="5466123934"/>
    <n v="9139.26"/>
    <s v="UK pounds"/>
    <s v="UK pounds"/>
    <x v="0"/>
    <s v="UK"/>
    <x v="5"/>
    <x v="0"/>
    <x v="3"/>
    <s v="Consistent"/>
    <x v="0"/>
  </r>
  <r>
    <x v="698"/>
    <x v="0"/>
    <x v="661"/>
    <n v="6892426366"/>
    <n v="6949.68"/>
    <s v="UK pounds"/>
    <s v="UK pounds"/>
    <x v="0"/>
    <s v="UK"/>
    <x v="4"/>
    <x v="0"/>
    <x v="2"/>
    <s v="Consistent"/>
    <x v="0"/>
  </r>
  <r>
    <x v="699"/>
    <x v="0"/>
    <x v="662"/>
    <n v="7713641622"/>
    <n v="9890.59"/>
    <s v="UK pounds"/>
    <s v="UK pounds"/>
    <x v="0"/>
    <s v="UK"/>
    <x v="4"/>
    <x v="0"/>
    <x v="6"/>
    <s v="Consistent"/>
    <x v="0"/>
  </r>
  <r>
    <x v="700"/>
    <x v="0"/>
    <x v="663"/>
    <n v="714400692"/>
    <n v="3138.24"/>
    <s v="UK pounds"/>
    <s v="UK pounds"/>
    <x v="0"/>
    <s v="UK"/>
    <x v="4"/>
    <x v="0"/>
    <x v="2"/>
    <s v="Consistent"/>
    <x v="0"/>
  </r>
  <r>
    <x v="701"/>
    <x v="0"/>
    <x v="664"/>
    <n v="7193900903"/>
    <n v="4045.85"/>
    <s v="UK pounds"/>
    <s v="UK pounds"/>
    <x v="0"/>
    <s v="UK"/>
    <x v="3"/>
    <x v="0"/>
    <x v="2"/>
    <s v="Consistent"/>
    <x v="0"/>
  </r>
  <r>
    <x v="701"/>
    <x v="0"/>
    <x v="81"/>
    <n v="5064372260"/>
    <n v="10017.969999999999"/>
    <s v="UK pounds"/>
    <s v="UK pounds"/>
    <x v="0"/>
    <s v="UK"/>
    <x v="3"/>
    <x v="0"/>
    <x v="1"/>
    <s v="Consistent"/>
    <x v="0"/>
  </r>
  <r>
    <x v="701"/>
    <x v="0"/>
    <x v="665"/>
    <n v="6561906114"/>
    <n v="8258.9699999999993"/>
    <s v="UK pounds"/>
    <s v="UK pounds"/>
    <x v="0"/>
    <s v="UK"/>
    <x v="4"/>
    <x v="0"/>
    <x v="4"/>
    <s v="Consistent"/>
    <x v="0"/>
  </r>
  <r>
    <x v="702"/>
    <x v="0"/>
    <x v="63"/>
    <n v="1194597483"/>
    <n v="9362.44"/>
    <s v="UK pounds"/>
    <s v="UK pounds"/>
    <x v="0"/>
    <s v="UK"/>
    <x v="5"/>
    <x v="0"/>
    <x v="1"/>
    <s v="Consistent"/>
    <x v="0"/>
  </r>
  <r>
    <x v="703"/>
    <x v="0"/>
    <x v="666"/>
    <n v="3098258591"/>
    <n v="1332.59"/>
    <s v="UK pounds"/>
    <s v="UK pounds"/>
    <x v="0"/>
    <s v="UK"/>
    <x v="0"/>
    <x v="0"/>
    <x v="0"/>
    <s v="Consistent"/>
    <x v="0"/>
  </r>
  <r>
    <x v="704"/>
    <x v="0"/>
    <x v="667"/>
    <n v="7892884492"/>
    <n v="9204.7800000000007"/>
    <s v="UK pounds"/>
    <s v="US dollar"/>
    <x v="0"/>
    <s v="USA"/>
    <x v="1"/>
    <x v="0"/>
    <x v="3"/>
    <s v="Potential Layering"/>
    <x v="0"/>
  </r>
  <r>
    <x v="705"/>
    <x v="0"/>
    <x v="668"/>
    <n v="4417393799"/>
    <n v="770.65"/>
    <s v="UK pounds"/>
    <s v="UK pounds"/>
    <x v="0"/>
    <s v="UK"/>
    <x v="5"/>
    <x v="0"/>
    <x v="2"/>
    <s v="Consistent"/>
    <x v="0"/>
  </r>
  <r>
    <x v="706"/>
    <x v="0"/>
    <x v="669"/>
    <n v="7160736915"/>
    <n v="6639.77"/>
    <s v="UK pounds"/>
    <s v="UK pounds"/>
    <x v="0"/>
    <s v="UK"/>
    <x v="4"/>
    <x v="0"/>
    <x v="3"/>
    <s v="Consistent"/>
    <x v="0"/>
  </r>
  <r>
    <x v="707"/>
    <x v="0"/>
    <x v="339"/>
    <n v="9897263201"/>
    <n v="12866.62"/>
    <s v="UK pounds"/>
    <s v="UK pounds"/>
    <x v="0"/>
    <s v="UK"/>
    <x v="4"/>
    <x v="0"/>
    <x v="1"/>
    <s v="Consistent"/>
    <x v="0"/>
  </r>
  <r>
    <x v="708"/>
    <x v="0"/>
    <x v="670"/>
    <n v="741570783"/>
    <n v="412.47"/>
    <s v="UK pounds"/>
    <s v="UK pounds"/>
    <x v="0"/>
    <s v="UK"/>
    <x v="4"/>
    <x v="0"/>
    <x v="2"/>
    <s v="Consistent"/>
    <x v="0"/>
  </r>
  <r>
    <x v="708"/>
    <x v="0"/>
    <x v="671"/>
    <n v="2959192529"/>
    <n v="21664.05"/>
    <s v="UK pounds"/>
    <s v="UK pounds"/>
    <x v="0"/>
    <s v="UK"/>
    <x v="5"/>
    <x v="0"/>
    <x v="2"/>
    <s v="Consistent"/>
    <x v="0"/>
  </r>
  <r>
    <x v="709"/>
    <x v="0"/>
    <x v="672"/>
    <n v="2138505015"/>
    <n v="7200.8"/>
    <s v="UK pounds"/>
    <s v="Dirham"/>
    <x v="0"/>
    <s v="UAE"/>
    <x v="1"/>
    <x v="0"/>
    <x v="3"/>
    <s v="Potential Layering"/>
    <x v="0"/>
  </r>
  <r>
    <x v="710"/>
    <x v="0"/>
    <x v="243"/>
    <n v="3732455271"/>
    <n v="9627.19"/>
    <s v="Euro"/>
    <s v="UK pounds"/>
    <x v="4"/>
    <s v="UK"/>
    <x v="1"/>
    <x v="0"/>
    <x v="1"/>
    <s v="Potential Layering"/>
    <x v="0"/>
  </r>
  <r>
    <x v="710"/>
    <x v="0"/>
    <x v="673"/>
    <n v="6298543467"/>
    <n v="598.87"/>
    <s v="UK pounds"/>
    <s v="UK pounds"/>
    <x v="0"/>
    <s v="UK"/>
    <x v="3"/>
    <x v="0"/>
    <x v="2"/>
    <s v="Consistent"/>
    <x v="0"/>
  </r>
  <r>
    <x v="711"/>
    <x v="0"/>
    <x v="674"/>
    <n v="5561830373"/>
    <n v="16829.259999999998"/>
    <s v="UK pounds"/>
    <s v="UK pounds"/>
    <x v="0"/>
    <s v="UK"/>
    <x v="5"/>
    <x v="0"/>
    <x v="2"/>
    <s v="Consistent"/>
    <x v="0"/>
  </r>
  <r>
    <x v="711"/>
    <x v="0"/>
    <x v="675"/>
    <n v="1881336524"/>
    <n v="4802.8599999999997"/>
    <s v="UK pounds"/>
    <s v="UK pounds"/>
    <x v="0"/>
    <s v="UK"/>
    <x v="2"/>
    <x v="0"/>
    <x v="4"/>
    <s v="Consistent"/>
    <x v="0"/>
  </r>
  <r>
    <x v="712"/>
    <x v="0"/>
    <x v="676"/>
    <n v="7805822905"/>
    <n v="5485.08"/>
    <s v="UK pounds"/>
    <s v="UK pounds"/>
    <x v="0"/>
    <s v="UK"/>
    <x v="3"/>
    <x v="0"/>
    <x v="2"/>
    <s v="Consistent"/>
    <x v="0"/>
  </r>
  <r>
    <x v="713"/>
    <x v="0"/>
    <x v="677"/>
    <n v="8766539897"/>
    <n v="21983.75"/>
    <s v="UK pounds"/>
    <s v="UK pounds"/>
    <x v="0"/>
    <s v="UK"/>
    <x v="2"/>
    <x v="0"/>
    <x v="4"/>
    <s v="Consistent"/>
    <x v="0"/>
  </r>
  <r>
    <x v="714"/>
    <x v="0"/>
    <x v="678"/>
    <n v="3095652062"/>
    <n v="807.77"/>
    <s v="UK pounds"/>
    <s v="UK pounds"/>
    <x v="0"/>
    <s v="UK"/>
    <x v="3"/>
    <x v="0"/>
    <x v="2"/>
    <s v="Consistent"/>
    <x v="0"/>
  </r>
  <r>
    <x v="715"/>
    <x v="0"/>
    <x v="679"/>
    <n v="6609117934"/>
    <n v="2850.53"/>
    <s v="UK pounds"/>
    <s v="UK pounds"/>
    <x v="0"/>
    <s v="UK"/>
    <x v="4"/>
    <x v="0"/>
    <x v="4"/>
    <s v="Consistent"/>
    <x v="0"/>
  </r>
  <r>
    <x v="716"/>
    <x v="0"/>
    <x v="680"/>
    <n v="8998967958"/>
    <n v="960.61"/>
    <s v="UK pounds"/>
    <s v="UK pounds"/>
    <x v="0"/>
    <s v="UK"/>
    <x v="5"/>
    <x v="0"/>
    <x v="2"/>
    <s v="Consistent"/>
    <x v="0"/>
  </r>
  <r>
    <x v="716"/>
    <x v="0"/>
    <x v="681"/>
    <n v="9781717277"/>
    <n v="3282.59"/>
    <s v="UK pounds"/>
    <s v="UK pounds"/>
    <x v="0"/>
    <s v="UK"/>
    <x v="4"/>
    <x v="0"/>
    <x v="4"/>
    <s v="Consistent"/>
    <x v="0"/>
  </r>
  <r>
    <x v="717"/>
    <x v="0"/>
    <x v="368"/>
    <n v="7140265767"/>
    <n v="5324.7"/>
    <s v="UK pounds"/>
    <s v="UK pounds"/>
    <x v="0"/>
    <s v="UK"/>
    <x v="3"/>
    <x v="0"/>
    <x v="1"/>
    <s v="Consistent"/>
    <x v="0"/>
  </r>
  <r>
    <x v="718"/>
    <x v="0"/>
    <x v="682"/>
    <n v="4173195094"/>
    <n v="6047.72"/>
    <s v="UK pounds"/>
    <s v="UK pounds"/>
    <x v="0"/>
    <s v="UK"/>
    <x v="4"/>
    <x v="0"/>
    <x v="3"/>
    <s v="Consistent"/>
    <x v="0"/>
  </r>
  <r>
    <x v="718"/>
    <x v="0"/>
    <x v="683"/>
    <n v="6943673047"/>
    <n v="1180.2"/>
    <s v="UK pounds"/>
    <s v="UK pounds"/>
    <x v="0"/>
    <s v="UK"/>
    <x v="5"/>
    <x v="0"/>
    <x v="2"/>
    <s v="Consistent"/>
    <x v="0"/>
  </r>
  <r>
    <x v="719"/>
    <x v="0"/>
    <x v="236"/>
    <n v="7080357663"/>
    <n v="27492.73"/>
    <s v="Yen"/>
    <s v="UK pounds"/>
    <x v="3"/>
    <s v="UK"/>
    <x v="1"/>
    <x v="0"/>
    <x v="3"/>
    <s v="Potential Layering"/>
    <x v="2"/>
  </r>
  <r>
    <x v="719"/>
    <x v="0"/>
    <x v="684"/>
    <n v="5466123934"/>
    <n v="10335.4"/>
    <s v="UK pounds"/>
    <s v="UK pounds"/>
    <x v="0"/>
    <s v="UK"/>
    <x v="4"/>
    <x v="0"/>
    <x v="3"/>
    <s v="Consistent"/>
    <x v="0"/>
  </r>
  <r>
    <x v="720"/>
    <x v="0"/>
    <x v="161"/>
    <n v="7373473711"/>
    <n v="10893.97"/>
    <s v="UK pounds"/>
    <s v="UK pounds"/>
    <x v="0"/>
    <s v="UK"/>
    <x v="4"/>
    <x v="0"/>
    <x v="1"/>
    <s v="Consistent"/>
    <x v="0"/>
  </r>
  <r>
    <x v="721"/>
    <x v="0"/>
    <x v="685"/>
    <n v="3066321263"/>
    <n v="13028.43"/>
    <s v="UK pounds"/>
    <s v="UK pounds"/>
    <x v="0"/>
    <s v="UK"/>
    <x v="3"/>
    <x v="0"/>
    <x v="3"/>
    <s v="Consistent"/>
    <x v="0"/>
  </r>
  <r>
    <x v="722"/>
    <x v="0"/>
    <x v="686"/>
    <n v="2714399420"/>
    <n v="23282.12"/>
    <s v="Yen"/>
    <s v="UK pounds"/>
    <x v="3"/>
    <s v="UK"/>
    <x v="1"/>
    <x v="0"/>
    <x v="2"/>
    <s v="Potential Layering"/>
    <x v="2"/>
  </r>
  <r>
    <x v="723"/>
    <x v="0"/>
    <x v="687"/>
    <n v="3555966786"/>
    <n v="2299.85"/>
    <s v="UK pounds"/>
    <s v="UK pounds"/>
    <x v="0"/>
    <s v="UK"/>
    <x v="2"/>
    <x v="0"/>
    <x v="6"/>
    <s v="Consistent"/>
    <x v="0"/>
  </r>
  <r>
    <x v="724"/>
    <x v="0"/>
    <x v="688"/>
    <n v="7759603524"/>
    <n v="125.5"/>
    <s v="UK pounds"/>
    <s v="UK pounds"/>
    <x v="0"/>
    <s v="UK"/>
    <x v="6"/>
    <x v="0"/>
    <x v="5"/>
    <s v="Consistent"/>
    <x v="0"/>
  </r>
  <r>
    <x v="725"/>
    <x v="0"/>
    <x v="689"/>
    <n v="1426810755"/>
    <n v="6747.2"/>
    <s v="UK pounds"/>
    <s v="UK pounds"/>
    <x v="0"/>
    <s v="UK"/>
    <x v="3"/>
    <x v="0"/>
    <x v="2"/>
    <s v="Consistent"/>
    <x v="0"/>
  </r>
  <r>
    <x v="726"/>
    <x v="0"/>
    <x v="633"/>
    <n v="5442384483"/>
    <n v="14826.24"/>
    <s v="UK pounds"/>
    <s v="UK pounds"/>
    <x v="0"/>
    <s v="UK"/>
    <x v="5"/>
    <x v="0"/>
    <x v="4"/>
    <s v="Consistent"/>
    <x v="0"/>
  </r>
  <r>
    <x v="727"/>
    <x v="0"/>
    <x v="690"/>
    <n v="7633688538"/>
    <n v="27227.599999999999"/>
    <s v="UK pounds"/>
    <s v="UK pounds"/>
    <x v="0"/>
    <s v="UK"/>
    <x v="5"/>
    <x v="0"/>
    <x v="2"/>
    <s v="Consistent"/>
    <x v="0"/>
  </r>
  <r>
    <x v="728"/>
    <x v="0"/>
    <x v="691"/>
    <n v="3540794456"/>
    <n v="9417.49"/>
    <s v="UK pounds"/>
    <s v="UK pounds"/>
    <x v="0"/>
    <s v="UK"/>
    <x v="5"/>
    <x v="0"/>
    <x v="2"/>
    <s v="Consistent"/>
    <x v="0"/>
  </r>
  <r>
    <x v="729"/>
    <x v="0"/>
    <x v="692"/>
    <n v="7050327878"/>
    <n v="1406.63"/>
    <s v="UK pounds"/>
    <s v="UK pounds"/>
    <x v="0"/>
    <s v="UK"/>
    <x v="5"/>
    <x v="0"/>
    <x v="2"/>
    <s v="Consistent"/>
    <x v="0"/>
  </r>
  <r>
    <x v="730"/>
    <x v="0"/>
    <x v="693"/>
    <n v="8630546365"/>
    <n v="2472.19"/>
    <s v="UK pounds"/>
    <s v="UK pounds"/>
    <x v="0"/>
    <s v="UK"/>
    <x v="0"/>
    <x v="0"/>
    <x v="0"/>
    <s v="Consistent"/>
    <x v="0"/>
  </r>
  <r>
    <x v="731"/>
    <x v="0"/>
    <x v="694"/>
    <n v="3066321263"/>
    <n v="18669.189999999999"/>
    <s v="UK pounds"/>
    <s v="UK pounds"/>
    <x v="0"/>
    <s v="UK"/>
    <x v="4"/>
    <x v="0"/>
    <x v="3"/>
    <s v="Consistent"/>
    <x v="0"/>
  </r>
  <r>
    <x v="732"/>
    <x v="0"/>
    <x v="695"/>
    <n v="9809273177"/>
    <n v="6463.51"/>
    <s v="UK pounds"/>
    <s v="UK pounds"/>
    <x v="0"/>
    <s v="UK"/>
    <x v="2"/>
    <x v="0"/>
    <x v="2"/>
    <s v="Consistent"/>
    <x v="0"/>
  </r>
  <r>
    <x v="733"/>
    <x v="0"/>
    <x v="479"/>
    <n v="8518184956"/>
    <n v="6965.77"/>
    <s v="UK pounds"/>
    <s v="UK pounds"/>
    <x v="0"/>
    <s v="UK"/>
    <x v="5"/>
    <x v="0"/>
    <x v="3"/>
    <s v="Consistent"/>
    <x v="0"/>
  </r>
  <r>
    <x v="734"/>
    <x v="0"/>
    <x v="696"/>
    <n v="9278139252"/>
    <n v="85.91"/>
    <s v="UK pounds"/>
    <s v="Euro"/>
    <x v="0"/>
    <s v="Germany"/>
    <x v="1"/>
    <x v="0"/>
    <x v="2"/>
    <s v="Potential Layering"/>
    <x v="0"/>
  </r>
  <r>
    <x v="735"/>
    <x v="0"/>
    <x v="697"/>
    <n v="3697911326"/>
    <n v="2231.29"/>
    <s v="UK pounds"/>
    <s v="UK pounds"/>
    <x v="0"/>
    <s v="UK"/>
    <x v="0"/>
    <x v="0"/>
    <x v="0"/>
    <s v="Consistent"/>
    <x v="0"/>
  </r>
  <r>
    <x v="736"/>
    <x v="0"/>
    <x v="698"/>
    <n v="4706850245"/>
    <n v="2476.12"/>
    <s v="UK pounds"/>
    <s v="UK pounds"/>
    <x v="0"/>
    <s v="UK"/>
    <x v="5"/>
    <x v="0"/>
    <x v="2"/>
    <s v="Consistent"/>
    <x v="0"/>
  </r>
  <r>
    <x v="736"/>
    <x v="0"/>
    <x v="699"/>
    <n v="2514923246"/>
    <n v="4445.74"/>
    <s v="UK pounds"/>
    <s v="UK pounds"/>
    <x v="0"/>
    <s v="UK"/>
    <x v="5"/>
    <x v="0"/>
    <x v="4"/>
    <s v="Consistent"/>
    <x v="0"/>
  </r>
  <r>
    <x v="737"/>
    <x v="0"/>
    <x v="700"/>
    <n v="5522856978"/>
    <n v="276.79000000000002"/>
    <s v="UK pounds"/>
    <s v="UK pounds"/>
    <x v="0"/>
    <s v="UK"/>
    <x v="5"/>
    <x v="0"/>
    <x v="2"/>
    <s v="Consistent"/>
    <x v="0"/>
  </r>
  <r>
    <x v="737"/>
    <x v="0"/>
    <x v="701"/>
    <n v="1320927231"/>
    <n v="5273.31"/>
    <s v="UK pounds"/>
    <s v="UK pounds"/>
    <x v="0"/>
    <s v="UK"/>
    <x v="3"/>
    <x v="0"/>
    <x v="3"/>
    <s v="Consistent"/>
    <x v="0"/>
  </r>
  <r>
    <x v="737"/>
    <x v="0"/>
    <x v="702"/>
    <n v="2931562863"/>
    <n v="1720.19"/>
    <s v="UK pounds"/>
    <s v="UK pounds"/>
    <x v="0"/>
    <s v="UK"/>
    <x v="3"/>
    <x v="0"/>
    <x v="4"/>
    <s v="Consistent"/>
    <x v="0"/>
  </r>
  <r>
    <x v="738"/>
    <x v="0"/>
    <x v="85"/>
    <n v="5363117119"/>
    <n v="17314.95"/>
    <s v="UK pounds"/>
    <s v="UK pounds"/>
    <x v="0"/>
    <s v="UK"/>
    <x v="3"/>
    <x v="0"/>
    <x v="3"/>
    <s v="Consistent"/>
    <x v="0"/>
  </r>
  <r>
    <x v="738"/>
    <x v="0"/>
    <x v="210"/>
    <n v="4967072739"/>
    <n v="4813.84"/>
    <s v="UK pounds"/>
    <s v="UK pounds"/>
    <x v="0"/>
    <s v="UK"/>
    <x v="4"/>
    <x v="0"/>
    <x v="1"/>
    <s v="Consistent"/>
    <x v="0"/>
  </r>
  <r>
    <x v="739"/>
    <x v="0"/>
    <x v="161"/>
    <n v="8410469287"/>
    <n v="9035.0499999999993"/>
    <s v="UK pounds"/>
    <s v="UK pounds"/>
    <x v="0"/>
    <s v="UK"/>
    <x v="4"/>
    <x v="0"/>
    <x v="1"/>
    <s v="Consistent"/>
    <x v="0"/>
  </r>
  <r>
    <x v="739"/>
    <x v="0"/>
    <x v="703"/>
    <n v="9063994130"/>
    <n v="1324.7"/>
    <s v="UK pounds"/>
    <s v="UK pounds"/>
    <x v="0"/>
    <s v="UK"/>
    <x v="2"/>
    <x v="0"/>
    <x v="2"/>
    <s v="Consistent"/>
    <x v="0"/>
  </r>
  <r>
    <x v="739"/>
    <x v="0"/>
    <x v="704"/>
    <n v="7080357663"/>
    <n v="13679.33"/>
    <s v="UK pounds"/>
    <s v="UK pounds"/>
    <x v="0"/>
    <s v="UK"/>
    <x v="4"/>
    <x v="0"/>
    <x v="3"/>
    <s v="Consistent"/>
    <x v="0"/>
  </r>
  <r>
    <x v="739"/>
    <x v="0"/>
    <x v="705"/>
    <n v="8475316869"/>
    <n v="7474.58"/>
    <s v="UK pounds"/>
    <s v="UK pounds"/>
    <x v="0"/>
    <s v="UK"/>
    <x v="2"/>
    <x v="0"/>
    <x v="4"/>
    <s v="Consistent"/>
    <x v="0"/>
  </r>
  <r>
    <x v="740"/>
    <x v="0"/>
    <x v="706"/>
    <n v="5708936901"/>
    <n v="12725.26"/>
    <s v="UK pounds"/>
    <s v="UK pounds"/>
    <x v="0"/>
    <s v="UK"/>
    <x v="4"/>
    <x v="0"/>
    <x v="3"/>
    <s v="Consistent"/>
    <x v="0"/>
  </r>
  <r>
    <x v="741"/>
    <x v="0"/>
    <x v="707"/>
    <n v="473341337"/>
    <n v="3036.81"/>
    <s v="UK pounds"/>
    <s v="UK pounds"/>
    <x v="0"/>
    <s v="UK"/>
    <x v="3"/>
    <x v="0"/>
    <x v="2"/>
    <s v="Consistent"/>
    <x v="0"/>
  </r>
  <r>
    <x v="742"/>
    <x v="0"/>
    <x v="708"/>
    <n v="163477257"/>
    <n v="7334.49"/>
    <s v="UK pounds"/>
    <s v="UK pounds"/>
    <x v="0"/>
    <s v="UK"/>
    <x v="3"/>
    <x v="0"/>
    <x v="2"/>
    <s v="Consistent"/>
    <x v="0"/>
  </r>
  <r>
    <x v="743"/>
    <x v="0"/>
    <x v="709"/>
    <n v="8355436243"/>
    <n v="3231.15"/>
    <s v="UK pounds"/>
    <s v="UK pounds"/>
    <x v="0"/>
    <s v="UK"/>
    <x v="4"/>
    <x v="0"/>
    <x v="2"/>
    <s v="Consistent"/>
    <x v="0"/>
  </r>
  <r>
    <x v="743"/>
    <x v="0"/>
    <x v="710"/>
    <n v="7913365138"/>
    <n v="42769.2"/>
    <s v="UK pounds"/>
    <s v="UK pounds"/>
    <x v="0"/>
    <s v="UK"/>
    <x v="4"/>
    <x v="0"/>
    <x v="2"/>
    <s v="Consistent"/>
    <x v="0"/>
  </r>
  <r>
    <x v="744"/>
    <x v="0"/>
    <x v="711"/>
    <n v="7570488238"/>
    <n v="187.98"/>
    <s v="UK pounds"/>
    <s v="UK pounds"/>
    <x v="0"/>
    <s v="UK"/>
    <x v="6"/>
    <x v="0"/>
    <x v="5"/>
    <s v="Consistent"/>
    <x v="0"/>
  </r>
  <r>
    <x v="745"/>
    <x v="0"/>
    <x v="712"/>
    <n v="6051541355"/>
    <n v="979.83"/>
    <s v="UK pounds"/>
    <s v="UK pounds"/>
    <x v="0"/>
    <s v="UK"/>
    <x v="3"/>
    <x v="0"/>
    <x v="2"/>
    <s v="Consistent"/>
    <x v="0"/>
  </r>
  <r>
    <x v="746"/>
    <x v="0"/>
    <x v="713"/>
    <n v="320635316"/>
    <n v="159.87"/>
    <s v="UK pounds"/>
    <s v="UK pounds"/>
    <x v="0"/>
    <s v="UK"/>
    <x v="6"/>
    <x v="0"/>
    <x v="5"/>
    <s v="Consistent"/>
    <x v="0"/>
  </r>
  <r>
    <x v="747"/>
    <x v="0"/>
    <x v="368"/>
    <n v="338940099"/>
    <n v="8440.4500000000007"/>
    <s v="UK pounds"/>
    <s v="UK pounds"/>
    <x v="0"/>
    <s v="UK"/>
    <x v="2"/>
    <x v="0"/>
    <x v="1"/>
    <s v="Consistent"/>
    <x v="0"/>
  </r>
  <r>
    <x v="748"/>
    <x v="0"/>
    <x v="255"/>
    <n v="6566600689"/>
    <n v="20661.939999999999"/>
    <s v="UK pounds"/>
    <s v="UK pounds"/>
    <x v="0"/>
    <s v="UK"/>
    <x v="5"/>
    <x v="0"/>
    <x v="1"/>
    <s v="Consistent"/>
    <x v="0"/>
  </r>
  <r>
    <x v="749"/>
    <x v="0"/>
    <x v="714"/>
    <n v="4640981576"/>
    <n v="1374.04"/>
    <s v="UK pounds"/>
    <s v="UK pounds"/>
    <x v="0"/>
    <s v="UK"/>
    <x v="5"/>
    <x v="0"/>
    <x v="2"/>
    <s v="Consistent"/>
    <x v="0"/>
  </r>
  <r>
    <x v="750"/>
    <x v="0"/>
    <x v="715"/>
    <n v="5621851649"/>
    <n v="968.05"/>
    <s v="UK pounds"/>
    <s v="UK pounds"/>
    <x v="0"/>
    <s v="UK"/>
    <x v="3"/>
    <x v="0"/>
    <x v="2"/>
    <s v="Consistent"/>
    <x v="0"/>
  </r>
  <r>
    <x v="751"/>
    <x v="0"/>
    <x v="716"/>
    <n v="4539693457"/>
    <n v="7394.15"/>
    <s v="UK pounds"/>
    <s v="UK pounds"/>
    <x v="0"/>
    <s v="UK"/>
    <x v="4"/>
    <x v="0"/>
    <x v="2"/>
    <s v="Consistent"/>
    <x v="0"/>
  </r>
  <r>
    <x v="751"/>
    <x v="0"/>
    <x v="671"/>
    <n v="2959192529"/>
    <n v="2464.34"/>
    <s v="UK pounds"/>
    <s v="UK pounds"/>
    <x v="0"/>
    <s v="UK"/>
    <x v="3"/>
    <x v="0"/>
    <x v="2"/>
    <s v="Consistent"/>
    <x v="0"/>
  </r>
  <r>
    <x v="752"/>
    <x v="0"/>
    <x v="717"/>
    <n v="9307113198"/>
    <n v="3133.86"/>
    <s v="UK pounds"/>
    <s v="UK pounds"/>
    <x v="0"/>
    <s v="UK"/>
    <x v="3"/>
    <x v="0"/>
    <x v="2"/>
    <s v="Consistent"/>
    <x v="0"/>
  </r>
  <r>
    <x v="753"/>
    <x v="0"/>
    <x v="718"/>
    <n v="6911723931"/>
    <n v="1737.71"/>
    <s v="UK pounds"/>
    <s v="UK pounds"/>
    <x v="0"/>
    <s v="UK"/>
    <x v="3"/>
    <x v="0"/>
    <x v="2"/>
    <s v="Consistent"/>
    <x v="0"/>
  </r>
  <r>
    <x v="754"/>
    <x v="0"/>
    <x v="719"/>
    <n v="5858369125"/>
    <n v="6005.88"/>
    <s v="UK pounds"/>
    <s v="UK pounds"/>
    <x v="0"/>
    <s v="UK"/>
    <x v="5"/>
    <x v="0"/>
    <x v="3"/>
    <s v="Consistent"/>
    <x v="0"/>
  </r>
  <r>
    <x v="755"/>
    <x v="0"/>
    <x v="720"/>
    <n v="9141049561"/>
    <n v="265.26"/>
    <s v="UK pounds"/>
    <s v="UK pounds"/>
    <x v="0"/>
    <s v="UK"/>
    <x v="4"/>
    <x v="0"/>
    <x v="2"/>
    <s v="Consistent"/>
    <x v="0"/>
  </r>
  <r>
    <x v="756"/>
    <x v="0"/>
    <x v="721"/>
    <n v="9772730467"/>
    <n v="41.66"/>
    <s v="UK pounds"/>
    <s v="UK pounds"/>
    <x v="0"/>
    <s v="UK"/>
    <x v="5"/>
    <x v="0"/>
    <x v="2"/>
    <s v="Consistent"/>
    <x v="0"/>
  </r>
  <r>
    <x v="757"/>
    <x v="0"/>
    <x v="75"/>
    <n v="9923312753"/>
    <n v="12412.93"/>
    <s v="UK pounds"/>
    <s v="UK pounds"/>
    <x v="0"/>
    <s v="UK"/>
    <x v="3"/>
    <x v="0"/>
    <x v="1"/>
    <s v="Consistent"/>
    <x v="0"/>
  </r>
  <r>
    <x v="758"/>
    <x v="0"/>
    <x v="61"/>
    <n v="210242051"/>
    <n v="7646.32"/>
    <s v="UK pounds"/>
    <s v="UK pounds"/>
    <x v="0"/>
    <s v="UK"/>
    <x v="4"/>
    <x v="0"/>
    <x v="1"/>
    <s v="Consistent"/>
    <x v="0"/>
  </r>
  <r>
    <x v="759"/>
    <x v="0"/>
    <x v="75"/>
    <n v="365650600"/>
    <n v="8172.69"/>
    <s v="UK pounds"/>
    <s v="UK pounds"/>
    <x v="0"/>
    <s v="UK"/>
    <x v="5"/>
    <x v="0"/>
    <x v="1"/>
    <s v="Consistent"/>
    <x v="0"/>
  </r>
  <r>
    <x v="759"/>
    <x v="0"/>
    <x v="722"/>
    <n v="2952755323"/>
    <n v="3902.28"/>
    <s v="UK pounds"/>
    <s v="UK pounds"/>
    <x v="0"/>
    <s v="UK"/>
    <x v="2"/>
    <x v="0"/>
    <x v="2"/>
    <s v="Consistent"/>
    <x v="0"/>
  </r>
  <r>
    <x v="760"/>
    <x v="0"/>
    <x v="34"/>
    <n v="2815444709"/>
    <n v="5170.5"/>
    <s v="UK pounds"/>
    <s v="UK pounds"/>
    <x v="0"/>
    <s v="UK"/>
    <x v="5"/>
    <x v="0"/>
    <x v="1"/>
    <s v="Consistent"/>
    <x v="0"/>
  </r>
  <r>
    <x v="761"/>
    <x v="0"/>
    <x v="75"/>
    <n v="9923312753"/>
    <n v="12276.99"/>
    <s v="UK pounds"/>
    <s v="UK pounds"/>
    <x v="0"/>
    <s v="UK"/>
    <x v="4"/>
    <x v="0"/>
    <x v="1"/>
    <s v="Consistent"/>
    <x v="0"/>
  </r>
  <r>
    <x v="762"/>
    <x v="0"/>
    <x v="723"/>
    <n v="3725179699"/>
    <n v="3751.94"/>
    <s v="UK pounds"/>
    <s v="UK pounds"/>
    <x v="0"/>
    <s v="UK"/>
    <x v="0"/>
    <x v="0"/>
    <x v="0"/>
    <s v="Consistent"/>
    <x v="0"/>
  </r>
  <r>
    <x v="762"/>
    <x v="0"/>
    <x v="46"/>
    <n v="7629589738"/>
    <n v="5727.58"/>
    <s v="UK pounds"/>
    <s v="UK pounds"/>
    <x v="0"/>
    <s v="UK"/>
    <x v="2"/>
    <x v="0"/>
    <x v="1"/>
    <s v="Consistent"/>
    <x v="0"/>
  </r>
  <r>
    <x v="763"/>
    <x v="0"/>
    <x v="164"/>
    <n v="4336977506"/>
    <n v="7204.84"/>
    <s v="UK pounds"/>
    <s v="UK pounds"/>
    <x v="0"/>
    <s v="UK"/>
    <x v="3"/>
    <x v="0"/>
    <x v="3"/>
    <s v="Consistent"/>
    <x v="0"/>
  </r>
  <r>
    <x v="764"/>
    <x v="0"/>
    <x v="243"/>
    <n v="1321335569"/>
    <n v="8452.5300000000007"/>
    <s v="Euro"/>
    <s v="UK pounds"/>
    <x v="4"/>
    <s v="UK"/>
    <x v="1"/>
    <x v="0"/>
    <x v="1"/>
    <s v="Potential Layering"/>
    <x v="0"/>
  </r>
  <r>
    <x v="764"/>
    <x v="0"/>
    <x v="344"/>
    <n v="5708936901"/>
    <n v="10437.879999999999"/>
    <s v="UK pounds"/>
    <s v="UK pounds"/>
    <x v="0"/>
    <s v="UK"/>
    <x v="2"/>
    <x v="0"/>
    <x v="3"/>
    <s v="Consistent"/>
    <x v="0"/>
  </r>
  <r>
    <x v="765"/>
    <x v="0"/>
    <x v="724"/>
    <n v="7803705021"/>
    <n v="1633.47"/>
    <s v="UK pounds"/>
    <s v="UK pounds"/>
    <x v="0"/>
    <s v="UK"/>
    <x v="0"/>
    <x v="0"/>
    <x v="0"/>
    <s v="Consistent"/>
    <x v="0"/>
  </r>
  <r>
    <x v="766"/>
    <x v="0"/>
    <x v="472"/>
    <n v="2534644942"/>
    <n v="13405.1"/>
    <s v="UK pounds"/>
    <s v="Euro"/>
    <x v="0"/>
    <s v="France"/>
    <x v="1"/>
    <x v="0"/>
    <x v="3"/>
    <s v="Potential Layering"/>
    <x v="0"/>
  </r>
  <r>
    <x v="767"/>
    <x v="0"/>
    <x v="725"/>
    <n v="4270865741"/>
    <n v="8669.2000000000007"/>
    <s v="UK pounds"/>
    <s v="UK pounds"/>
    <x v="0"/>
    <s v="UK"/>
    <x v="4"/>
    <x v="0"/>
    <x v="3"/>
    <s v="Consistent"/>
    <x v="0"/>
  </r>
  <r>
    <x v="768"/>
    <x v="0"/>
    <x v="726"/>
    <n v="6278601433"/>
    <n v="1095.8699999999999"/>
    <s v="UK pounds"/>
    <s v="UK pounds"/>
    <x v="0"/>
    <s v="UK"/>
    <x v="5"/>
    <x v="0"/>
    <x v="2"/>
    <s v="Consistent"/>
    <x v="0"/>
  </r>
  <r>
    <x v="769"/>
    <x v="0"/>
    <x v="727"/>
    <n v="152587544"/>
    <n v="227.61"/>
    <s v="UK pounds"/>
    <s v="UK pounds"/>
    <x v="0"/>
    <s v="UK"/>
    <x v="3"/>
    <x v="0"/>
    <x v="2"/>
    <s v="Consistent"/>
    <x v="0"/>
  </r>
  <r>
    <x v="770"/>
    <x v="0"/>
    <x v="382"/>
    <n v="4175678432"/>
    <n v="2027.11"/>
    <s v="UK pounds"/>
    <s v="Mexican Peso"/>
    <x v="0"/>
    <s v="UK"/>
    <x v="3"/>
    <x v="0"/>
    <x v="2"/>
    <s v="Potential Layering"/>
    <x v="0"/>
  </r>
  <r>
    <x v="771"/>
    <x v="0"/>
    <x v="314"/>
    <n v="621060264"/>
    <n v="7017.58"/>
    <s v="Euro"/>
    <s v="UK pounds"/>
    <x v="0"/>
    <s v="UK"/>
    <x v="3"/>
    <x v="0"/>
    <x v="3"/>
    <s v="Potential Layering"/>
    <x v="0"/>
  </r>
  <r>
    <x v="771"/>
    <x v="0"/>
    <x v="49"/>
    <n v="1377603863"/>
    <n v="7577.22"/>
    <s v="UK pounds"/>
    <s v="UK pounds"/>
    <x v="0"/>
    <s v="UK"/>
    <x v="4"/>
    <x v="0"/>
    <x v="3"/>
    <s v="Consistent"/>
    <x v="0"/>
  </r>
  <r>
    <x v="772"/>
    <x v="0"/>
    <x v="425"/>
    <n v="6034997194"/>
    <n v="33667.870000000003"/>
    <s v="UK pounds"/>
    <s v="UK pounds"/>
    <x v="0"/>
    <s v="UK"/>
    <x v="2"/>
    <x v="0"/>
    <x v="3"/>
    <s v="Consistent"/>
    <x v="0"/>
  </r>
  <r>
    <x v="773"/>
    <x v="0"/>
    <x v="20"/>
    <n v="2300358725"/>
    <n v="12497.1"/>
    <s v="UK pounds"/>
    <s v="UK pounds"/>
    <x v="0"/>
    <s v="UK"/>
    <x v="2"/>
    <x v="0"/>
    <x v="1"/>
    <s v="Consistent"/>
    <x v="0"/>
  </r>
  <r>
    <x v="774"/>
    <x v="0"/>
    <x v="728"/>
    <n v="5275284342"/>
    <n v="1591.64"/>
    <s v="UK pounds"/>
    <s v="UK pounds"/>
    <x v="0"/>
    <s v="UK"/>
    <x v="2"/>
    <x v="0"/>
    <x v="4"/>
    <s v="Consistent"/>
    <x v="0"/>
  </r>
  <r>
    <x v="775"/>
    <x v="0"/>
    <x v="729"/>
    <n v="245020670"/>
    <n v="331.57"/>
    <s v="UK pounds"/>
    <s v="UK pounds"/>
    <x v="0"/>
    <s v="UK"/>
    <x v="4"/>
    <x v="0"/>
    <x v="2"/>
    <s v="Consistent"/>
    <x v="0"/>
  </r>
  <r>
    <x v="776"/>
    <x v="0"/>
    <x v="730"/>
    <n v="8858401300"/>
    <n v="2991.18"/>
    <s v="UK pounds"/>
    <s v="UK pounds"/>
    <x v="0"/>
    <s v="UK"/>
    <x v="0"/>
    <x v="0"/>
    <x v="0"/>
    <s v="Consistent"/>
    <x v="0"/>
  </r>
  <r>
    <x v="777"/>
    <x v="0"/>
    <x v="731"/>
    <n v="5233263857"/>
    <n v="5627.25"/>
    <s v="UK pounds"/>
    <s v="UK pounds"/>
    <x v="0"/>
    <s v="UK"/>
    <x v="2"/>
    <x v="0"/>
    <x v="2"/>
    <s v="Consistent"/>
    <x v="0"/>
  </r>
  <r>
    <x v="778"/>
    <x v="0"/>
    <x v="732"/>
    <n v="3302664906"/>
    <n v="12145.86"/>
    <s v="UK pounds"/>
    <s v="UK pounds"/>
    <x v="0"/>
    <s v="UK"/>
    <x v="4"/>
    <x v="0"/>
    <x v="2"/>
    <s v="Consistent"/>
    <x v="0"/>
  </r>
  <r>
    <x v="779"/>
    <x v="0"/>
    <x v="733"/>
    <n v="8851167144"/>
    <n v="1462.57"/>
    <s v="UK pounds"/>
    <s v="UK pounds"/>
    <x v="0"/>
    <s v="UK"/>
    <x v="4"/>
    <x v="0"/>
    <x v="2"/>
    <s v="Consistent"/>
    <x v="0"/>
  </r>
  <r>
    <x v="780"/>
    <x v="0"/>
    <x v="734"/>
    <n v="6034997194"/>
    <n v="13325.37"/>
    <s v="Euro"/>
    <s v="UK pounds"/>
    <x v="12"/>
    <s v="UK"/>
    <x v="1"/>
    <x v="0"/>
    <x v="3"/>
    <s v="Potential Layering"/>
    <x v="0"/>
  </r>
  <r>
    <x v="780"/>
    <x v="0"/>
    <x v="51"/>
    <n v="6424463145"/>
    <n v="12477.96"/>
    <s v="UK pounds"/>
    <s v="UK pounds"/>
    <x v="0"/>
    <s v="UK"/>
    <x v="4"/>
    <x v="0"/>
    <x v="1"/>
    <s v="Consistent"/>
    <x v="0"/>
  </r>
  <r>
    <x v="780"/>
    <x v="0"/>
    <x v="735"/>
    <n v="9170792542"/>
    <n v="1610.11"/>
    <s v="UK pounds"/>
    <s v="UK pounds"/>
    <x v="0"/>
    <s v="UK"/>
    <x v="2"/>
    <x v="0"/>
    <x v="4"/>
    <s v="Consistent"/>
    <x v="0"/>
  </r>
  <r>
    <x v="781"/>
    <x v="0"/>
    <x v="75"/>
    <n v="5677353991"/>
    <n v="4878.1499999999996"/>
    <s v="UK pounds"/>
    <s v="UK pounds"/>
    <x v="0"/>
    <s v="UK"/>
    <x v="5"/>
    <x v="0"/>
    <x v="1"/>
    <s v="Consistent"/>
    <x v="0"/>
  </r>
  <r>
    <x v="782"/>
    <x v="0"/>
    <x v="736"/>
    <n v="3695545812"/>
    <n v="7359.35"/>
    <s v="UK pounds"/>
    <s v="UK pounds"/>
    <x v="0"/>
    <s v="UK"/>
    <x v="4"/>
    <x v="0"/>
    <x v="3"/>
    <s v="Consistent"/>
    <x v="0"/>
  </r>
  <r>
    <x v="783"/>
    <x v="0"/>
    <x v="737"/>
    <n v="7892884492"/>
    <n v="24469.22"/>
    <s v="UK pounds"/>
    <s v="US dollar"/>
    <x v="0"/>
    <s v="USA"/>
    <x v="1"/>
    <x v="0"/>
    <x v="3"/>
    <s v="Potential Layering"/>
    <x v="0"/>
  </r>
  <r>
    <x v="784"/>
    <x v="0"/>
    <x v="738"/>
    <n v="5628674969"/>
    <n v="8978.58"/>
    <s v="UK pounds"/>
    <s v="UK pounds"/>
    <x v="0"/>
    <s v="UK"/>
    <x v="3"/>
    <x v="0"/>
    <x v="3"/>
    <s v="Consistent"/>
    <x v="0"/>
  </r>
  <r>
    <x v="784"/>
    <x v="0"/>
    <x v="68"/>
    <n v="9088520781"/>
    <n v="4509"/>
    <s v="UK pounds"/>
    <s v="UK pounds"/>
    <x v="0"/>
    <s v="UK"/>
    <x v="2"/>
    <x v="0"/>
    <x v="1"/>
    <s v="Consistent"/>
    <x v="0"/>
  </r>
  <r>
    <x v="785"/>
    <x v="0"/>
    <x v="739"/>
    <n v="4524191742"/>
    <n v="2571.0700000000002"/>
    <s v="UK pounds"/>
    <s v="UK pounds"/>
    <x v="0"/>
    <s v="UK"/>
    <x v="4"/>
    <x v="0"/>
    <x v="2"/>
    <s v="Consistent"/>
    <x v="0"/>
  </r>
  <r>
    <x v="785"/>
    <x v="0"/>
    <x v="740"/>
    <n v="1316458123"/>
    <n v="4560.82"/>
    <s v="UK pounds"/>
    <s v="Mexican Peso"/>
    <x v="0"/>
    <s v="Mexico"/>
    <x v="1"/>
    <x v="0"/>
    <x v="3"/>
    <s v="Potential Layering"/>
    <x v="0"/>
  </r>
  <r>
    <x v="786"/>
    <x v="0"/>
    <x v="741"/>
    <n v="1623849740"/>
    <n v="2814.86"/>
    <s v="UK pounds"/>
    <s v="UK pounds"/>
    <x v="0"/>
    <s v="UK"/>
    <x v="2"/>
    <x v="0"/>
    <x v="2"/>
    <s v="Consistent"/>
    <x v="0"/>
  </r>
  <r>
    <x v="787"/>
    <x v="0"/>
    <x v="742"/>
    <n v="4270865741"/>
    <n v="10555.19"/>
    <s v="UK pounds"/>
    <s v="UK pounds"/>
    <x v="0"/>
    <s v="UK"/>
    <x v="5"/>
    <x v="0"/>
    <x v="3"/>
    <s v="Consistent"/>
    <x v="0"/>
  </r>
  <r>
    <x v="788"/>
    <x v="0"/>
    <x v="743"/>
    <n v="329930572"/>
    <n v="5160.59"/>
    <s v="UK pounds"/>
    <s v="UK pounds"/>
    <x v="0"/>
    <s v="UK"/>
    <x v="3"/>
    <x v="0"/>
    <x v="2"/>
    <s v="Consistent"/>
    <x v="0"/>
  </r>
  <r>
    <x v="789"/>
    <x v="0"/>
    <x v="744"/>
    <n v="3378942578"/>
    <n v="63.14"/>
    <s v="UK pounds"/>
    <s v="UK pounds"/>
    <x v="0"/>
    <s v="UK"/>
    <x v="4"/>
    <x v="0"/>
    <x v="2"/>
    <s v="Consistent"/>
    <x v="0"/>
  </r>
  <r>
    <x v="790"/>
    <x v="0"/>
    <x v="745"/>
    <n v="5466123934"/>
    <n v="8556.2800000000007"/>
    <s v="UK pounds"/>
    <s v="UK pounds"/>
    <x v="0"/>
    <s v="UK"/>
    <x v="5"/>
    <x v="0"/>
    <x v="3"/>
    <s v="Consistent"/>
    <x v="0"/>
  </r>
  <r>
    <x v="791"/>
    <x v="0"/>
    <x v="746"/>
    <n v="8966349114"/>
    <n v="1965.61"/>
    <s v="UK pounds"/>
    <s v="UK pounds"/>
    <x v="0"/>
    <s v="UK"/>
    <x v="0"/>
    <x v="0"/>
    <x v="0"/>
    <s v="Consistent"/>
    <x v="0"/>
  </r>
  <r>
    <x v="791"/>
    <x v="0"/>
    <x v="176"/>
    <n v="1377603863"/>
    <n v="10061.73"/>
    <s v="UK pounds"/>
    <s v="UK pounds"/>
    <x v="0"/>
    <s v="UK"/>
    <x v="3"/>
    <x v="0"/>
    <x v="3"/>
    <s v="Consistent"/>
    <x v="0"/>
  </r>
  <r>
    <x v="792"/>
    <x v="0"/>
    <x v="255"/>
    <n v="8950761727"/>
    <n v="6906.88"/>
    <s v="UK pounds"/>
    <s v="UK pounds"/>
    <x v="0"/>
    <s v="UK"/>
    <x v="3"/>
    <x v="0"/>
    <x v="1"/>
    <s v="Consistent"/>
    <x v="0"/>
  </r>
  <r>
    <x v="793"/>
    <x v="0"/>
    <x v="747"/>
    <n v="5708936901"/>
    <n v="5719.48"/>
    <s v="UK pounds"/>
    <s v="UK pounds"/>
    <x v="0"/>
    <s v="UK"/>
    <x v="5"/>
    <x v="0"/>
    <x v="3"/>
    <s v="Consistent"/>
    <x v="0"/>
  </r>
  <r>
    <x v="794"/>
    <x v="0"/>
    <x v="748"/>
    <n v="2131509992"/>
    <n v="23696.46"/>
    <s v="Naira"/>
    <s v="UK pounds"/>
    <x v="0"/>
    <s v="UK"/>
    <x v="4"/>
    <x v="0"/>
    <x v="2"/>
    <s v="Potential Layering"/>
    <x v="0"/>
  </r>
  <r>
    <x v="795"/>
    <x v="0"/>
    <x v="749"/>
    <n v="8585368092"/>
    <n v="6948.76"/>
    <s v="UK pounds"/>
    <s v="UK pounds"/>
    <x v="0"/>
    <s v="UK"/>
    <x v="2"/>
    <x v="0"/>
    <x v="2"/>
    <s v="Consistent"/>
    <x v="0"/>
  </r>
  <r>
    <x v="796"/>
    <x v="0"/>
    <x v="750"/>
    <n v="5886355580"/>
    <n v="3189.41"/>
    <s v="UK pounds"/>
    <s v="UK pounds"/>
    <x v="0"/>
    <s v="UK"/>
    <x v="2"/>
    <x v="0"/>
    <x v="2"/>
    <s v="Consistent"/>
    <x v="0"/>
  </r>
  <r>
    <x v="797"/>
    <x v="0"/>
    <x v="751"/>
    <n v="7230775790"/>
    <n v="1562.4"/>
    <s v="UK pounds"/>
    <s v="UK pounds"/>
    <x v="0"/>
    <s v="UK"/>
    <x v="4"/>
    <x v="0"/>
    <x v="4"/>
    <s v="Consistent"/>
    <x v="0"/>
  </r>
  <r>
    <x v="798"/>
    <x v="0"/>
    <x v="161"/>
    <n v="7897279705"/>
    <n v="5268.26"/>
    <s v="UK pounds"/>
    <s v="UK pounds"/>
    <x v="0"/>
    <s v="UK"/>
    <x v="4"/>
    <x v="0"/>
    <x v="1"/>
    <s v="Consistent"/>
    <x v="0"/>
  </r>
  <r>
    <x v="799"/>
    <x v="0"/>
    <x v="9"/>
    <n v="3557538160"/>
    <n v="4227.51"/>
    <s v="UK pounds"/>
    <s v="UK pounds"/>
    <x v="0"/>
    <s v="UK"/>
    <x v="3"/>
    <x v="0"/>
    <x v="1"/>
    <s v="Consistent"/>
    <x v="0"/>
  </r>
  <r>
    <x v="799"/>
    <x v="0"/>
    <x v="752"/>
    <n v="6071083181"/>
    <n v="504.11"/>
    <s v="UK pounds"/>
    <s v="UK pounds"/>
    <x v="0"/>
    <s v="UK"/>
    <x v="4"/>
    <x v="0"/>
    <x v="2"/>
    <s v="Consistent"/>
    <x v="0"/>
  </r>
  <r>
    <x v="800"/>
    <x v="0"/>
    <x v="753"/>
    <n v="5109623450"/>
    <n v="8411.73"/>
    <s v="UK pounds"/>
    <s v="UK pounds"/>
    <x v="0"/>
    <s v="UK"/>
    <x v="2"/>
    <x v="0"/>
    <x v="3"/>
    <s v="Consistent"/>
    <x v="0"/>
  </r>
  <r>
    <x v="800"/>
    <x v="0"/>
    <x v="407"/>
    <n v="6325553499"/>
    <n v="3186.59"/>
    <s v="UK pounds"/>
    <s v="UK pounds"/>
    <x v="0"/>
    <s v="UK"/>
    <x v="3"/>
    <x v="0"/>
    <x v="2"/>
    <s v="Consistent"/>
    <x v="0"/>
  </r>
  <r>
    <x v="801"/>
    <x v="0"/>
    <x v="754"/>
    <n v="1198080698"/>
    <n v="148.26"/>
    <s v="UK pounds"/>
    <s v="UK pounds"/>
    <x v="0"/>
    <s v="UK"/>
    <x v="6"/>
    <x v="0"/>
    <x v="5"/>
    <s v="Consistent"/>
    <x v="0"/>
  </r>
  <r>
    <x v="802"/>
    <x v="0"/>
    <x v="755"/>
    <n v="2534644942"/>
    <n v="5412.81"/>
    <s v="UK pounds"/>
    <s v="Euro"/>
    <x v="0"/>
    <s v="France"/>
    <x v="1"/>
    <x v="0"/>
    <x v="3"/>
    <s v="Potential Layering"/>
    <x v="0"/>
  </r>
  <r>
    <x v="803"/>
    <x v="0"/>
    <x v="756"/>
    <n v="3731026923"/>
    <n v="1721.68"/>
    <s v="UK pounds"/>
    <s v="UK pounds"/>
    <x v="0"/>
    <s v="UK"/>
    <x v="5"/>
    <x v="0"/>
    <x v="2"/>
    <s v="Consistent"/>
    <x v="0"/>
  </r>
  <r>
    <x v="804"/>
    <x v="0"/>
    <x v="757"/>
    <n v="8306180896"/>
    <n v="126.53"/>
    <s v="UK pounds"/>
    <s v="UK pounds"/>
    <x v="0"/>
    <s v="UK"/>
    <x v="3"/>
    <x v="0"/>
    <x v="2"/>
    <s v="Consistent"/>
    <x v="0"/>
  </r>
  <r>
    <x v="804"/>
    <x v="0"/>
    <x v="124"/>
    <n v="8061984977"/>
    <n v="9540.51"/>
    <s v="UK pounds"/>
    <s v="UK pounds"/>
    <x v="0"/>
    <s v="UK"/>
    <x v="3"/>
    <x v="0"/>
    <x v="1"/>
    <s v="Consistent"/>
    <x v="0"/>
  </r>
  <r>
    <x v="805"/>
    <x v="0"/>
    <x v="758"/>
    <n v="399899327"/>
    <n v="3204.39"/>
    <s v="UK pounds"/>
    <s v="UK pounds"/>
    <x v="0"/>
    <s v="UK"/>
    <x v="5"/>
    <x v="0"/>
    <x v="2"/>
    <s v="Consistent"/>
    <x v="0"/>
  </r>
  <r>
    <x v="805"/>
    <x v="0"/>
    <x v="759"/>
    <n v="5551993114"/>
    <n v="9837.2199999999993"/>
    <s v="UK pounds"/>
    <s v="UK pounds"/>
    <x v="0"/>
    <s v="UK"/>
    <x v="5"/>
    <x v="0"/>
    <x v="2"/>
    <s v="Consistent"/>
    <x v="0"/>
  </r>
  <r>
    <x v="806"/>
    <x v="0"/>
    <x v="760"/>
    <n v="8295014793"/>
    <n v="6156.95"/>
    <s v="UK pounds"/>
    <s v="UK pounds"/>
    <x v="0"/>
    <s v="UK"/>
    <x v="4"/>
    <x v="0"/>
    <x v="4"/>
    <s v="Consistent"/>
    <x v="0"/>
  </r>
  <r>
    <x v="807"/>
    <x v="0"/>
    <x v="761"/>
    <n v="9721097883"/>
    <n v="203.01"/>
    <s v="UK pounds"/>
    <s v="UK pounds"/>
    <x v="0"/>
    <s v="UK"/>
    <x v="0"/>
    <x v="0"/>
    <x v="0"/>
    <s v="Consistent"/>
    <x v="0"/>
  </r>
  <r>
    <x v="808"/>
    <x v="0"/>
    <x v="762"/>
    <n v="155800702"/>
    <n v="4510.42"/>
    <s v="UK pounds"/>
    <s v="UK pounds"/>
    <x v="0"/>
    <s v="UK"/>
    <x v="3"/>
    <x v="0"/>
    <x v="2"/>
    <s v="Consistent"/>
    <x v="0"/>
  </r>
  <r>
    <x v="809"/>
    <x v="0"/>
    <x v="763"/>
    <n v="1592846762"/>
    <n v="21854.15"/>
    <s v="UK pounds"/>
    <s v="UK pounds"/>
    <x v="0"/>
    <s v="UK"/>
    <x v="2"/>
    <x v="0"/>
    <x v="2"/>
    <s v="Consistent"/>
    <x v="0"/>
  </r>
  <r>
    <x v="810"/>
    <x v="0"/>
    <x v="764"/>
    <n v="5688491007"/>
    <n v="21378.85"/>
    <s v="UK pounds"/>
    <s v="UK pounds"/>
    <x v="0"/>
    <s v="UK"/>
    <x v="2"/>
    <x v="0"/>
    <x v="2"/>
    <s v="Consistent"/>
    <x v="0"/>
  </r>
  <r>
    <x v="811"/>
    <x v="0"/>
    <x v="765"/>
    <n v="1465487567"/>
    <n v="16467.689999999999"/>
    <s v="UK pounds"/>
    <s v="UK pounds"/>
    <x v="0"/>
    <s v="UK"/>
    <x v="4"/>
    <x v="0"/>
    <x v="3"/>
    <s v="Consistent"/>
    <x v="0"/>
  </r>
  <r>
    <x v="811"/>
    <x v="0"/>
    <x v="766"/>
    <n v="3091109715"/>
    <n v="12104.43"/>
    <s v="UK pounds"/>
    <s v="UK pounds"/>
    <x v="0"/>
    <s v="UK"/>
    <x v="3"/>
    <x v="0"/>
    <x v="2"/>
    <s v="Consistent"/>
    <x v="0"/>
  </r>
  <r>
    <x v="812"/>
    <x v="0"/>
    <x v="767"/>
    <n v="1102186400"/>
    <n v="317.29000000000002"/>
    <s v="UK pounds"/>
    <s v="UK pounds"/>
    <x v="0"/>
    <s v="UK"/>
    <x v="2"/>
    <x v="0"/>
    <x v="2"/>
    <s v="Consistent"/>
    <x v="0"/>
  </r>
  <r>
    <x v="813"/>
    <x v="0"/>
    <x v="768"/>
    <n v="137271780"/>
    <n v="6503.94"/>
    <s v="UK pounds"/>
    <s v="UK pounds"/>
    <x v="0"/>
    <s v="UK"/>
    <x v="3"/>
    <x v="0"/>
    <x v="4"/>
    <s v="Consistent"/>
    <x v="0"/>
  </r>
  <r>
    <x v="814"/>
    <x v="0"/>
    <x v="34"/>
    <n v="2753383263"/>
    <n v="5628.41"/>
    <s v="UK pounds"/>
    <s v="UK pounds"/>
    <x v="0"/>
    <s v="UK"/>
    <x v="3"/>
    <x v="0"/>
    <x v="1"/>
    <s v="Consistent"/>
    <x v="0"/>
  </r>
  <r>
    <x v="815"/>
    <x v="0"/>
    <x v="769"/>
    <n v="9689826880"/>
    <n v="60840.88"/>
    <s v="UK pounds"/>
    <s v="UK pounds"/>
    <x v="0"/>
    <s v="UK"/>
    <x v="4"/>
    <x v="0"/>
    <x v="10"/>
    <s v="Consistent"/>
    <x v="0"/>
  </r>
  <r>
    <x v="816"/>
    <x v="0"/>
    <x v="770"/>
    <n v="3448193802"/>
    <n v="2888.65"/>
    <s v="UK pounds"/>
    <s v="UK pounds"/>
    <x v="0"/>
    <s v="UK"/>
    <x v="4"/>
    <x v="0"/>
    <x v="7"/>
    <s v="Consistent"/>
    <x v="0"/>
  </r>
  <r>
    <x v="817"/>
    <x v="0"/>
    <x v="149"/>
    <n v="9018284593"/>
    <n v="5706.9"/>
    <s v="UK pounds"/>
    <s v="UK pounds"/>
    <x v="0"/>
    <s v="UK"/>
    <x v="4"/>
    <x v="0"/>
    <x v="1"/>
    <s v="Consistent"/>
    <x v="0"/>
  </r>
  <r>
    <x v="818"/>
    <x v="0"/>
    <x v="474"/>
    <n v="4336977506"/>
    <n v="6830.88"/>
    <s v="UK pounds"/>
    <s v="UK pounds"/>
    <x v="0"/>
    <s v="UK"/>
    <x v="4"/>
    <x v="0"/>
    <x v="3"/>
    <s v="Consistent"/>
    <x v="0"/>
  </r>
  <r>
    <x v="819"/>
    <x v="0"/>
    <x v="771"/>
    <n v="709886403"/>
    <n v="1313.64"/>
    <s v="UK pounds"/>
    <s v="UK pounds"/>
    <x v="0"/>
    <s v="UK"/>
    <x v="0"/>
    <x v="0"/>
    <x v="0"/>
    <s v="Consistent"/>
    <x v="0"/>
  </r>
  <r>
    <x v="820"/>
    <x v="0"/>
    <x v="772"/>
    <n v="8172080174"/>
    <n v="7759.82"/>
    <s v="Pakistani rupee"/>
    <s v="UK pounds"/>
    <x v="9"/>
    <s v="UK"/>
    <x v="1"/>
    <x v="0"/>
    <x v="3"/>
    <s v="Potential Layering"/>
    <x v="1"/>
  </r>
  <r>
    <x v="821"/>
    <x v="0"/>
    <x v="773"/>
    <n v="7733136101"/>
    <n v="1203.01"/>
    <s v="UK pounds"/>
    <s v="UK pounds"/>
    <x v="0"/>
    <s v="UK"/>
    <x v="3"/>
    <x v="0"/>
    <x v="2"/>
    <s v="Consistent"/>
    <x v="0"/>
  </r>
  <r>
    <x v="821"/>
    <x v="0"/>
    <x v="774"/>
    <n v="4012599528"/>
    <n v="7095.39"/>
    <s v="UK pounds"/>
    <s v="UK pounds"/>
    <x v="0"/>
    <s v="UK"/>
    <x v="3"/>
    <x v="0"/>
    <x v="2"/>
    <s v="Consistent"/>
    <x v="0"/>
  </r>
  <r>
    <x v="822"/>
    <x v="0"/>
    <x v="775"/>
    <n v="5103043844"/>
    <n v="4966.0600000000004"/>
    <s v="UK pounds"/>
    <s v="Naira"/>
    <x v="0"/>
    <s v="Nigeria"/>
    <x v="1"/>
    <x v="0"/>
    <x v="3"/>
    <s v="Potential Layering"/>
    <x v="0"/>
  </r>
  <r>
    <x v="823"/>
    <x v="0"/>
    <x v="776"/>
    <n v="8658528241"/>
    <n v="9141.73"/>
    <s v="UK pounds"/>
    <s v="UK pounds"/>
    <x v="0"/>
    <s v="UK"/>
    <x v="4"/>
    <x v="0"/>
    <x v="2"/>
    <s v="Consistent"/>
    <x v="0"/>
  </r>
  <r>
    <x v="823"/>
    <x v="0"/>
    <x v="777"/>
    <n v="1771641007"/>
    <n v="9455.77"/>
    <s v="UK pounds"/>
    <s v="UK pounds"/>
    <x v="0"/>
    <s v="UK"/>
    <x v="3"/>
    <x v="0"/>
    <x v="2"/>
    <s v="Consistent"/>
    <x v="0"/>
  </r>
  <r>
    <x v="824"/>
    <x v="0"/>
    <x v="778"/>
    <n v="8126009332"/>
    <n v="47379.67"/>
    <s v="UK pounds"/>
    <s v="UK pounds"/>
    <x v="0"/>
    <s v="UK"/>
    <x v="2"/>
    <x v="0"/>
    <x v="8"/>
    <s v="Consistent"/>
    <x v="0"/>
  </r>
  <r>
    <x v="825"/>
    <x v="0"/>
    <x v="163"/>
    <n v="2695185687"/>
    <n v="7981.01"/>
    <s v="UK pounds"/>
    <s v="UK pounds"/>
    <x v="0"/>
    <s v="UK"/>
    <x v="3"/>
    <x v="0"/>
    <x v="1"/>
    <s v="Consistent"/>
    <x v="0"/>
  </r>
  <r>
    <x v="826"/>
    <x v="0"/>
    <x v="779"/>
    <n v="1377603863"/>
    <n v="7469.35"/>
    <s v="UK pounds"/>
    <s v="UK pounds"/>
    <x v="0"/>
    <s v="UK"/>
    <x v="3"/>
    <x v="0"/>
    <x v="3"/>
    <s v="Consistent"/>
    <x v="0"/>
  </r>
  <r>
    <x v="827"/>
    <x v="0"/>
    <x v="780"/>
    <n v="1018744300"/>
    <n v="59.81"/>
    <s v="UK pounds"/>
    <s v="UK pounds"/>
    <x v="0"/>
    <s v="UK"/>
    <x v="2"/>
    <x v="0"/>
    <x v="2"/>
    <s v="Consistent"/>
    <x v="0"/>
  </r>
  <r>
    <x v="828"/>
    <x v="0"/>
    <x v="68"/>
    <n v="4313894778"/>
    <n v="6617.37"/>
    <s v="UK pounds"/>
    <s v="UK pounds"/>
    <x v="0"/>
    <s v="UK"/>
    <x v="3"/>
    <x v="0"/>
    <x v="1"/>
    <s v="Consistent"/>
    <x v="0"/>
  </r>
  <r>
    <x v="828"/>
    <x v="0"/>
    <x v="781"/>
    <n v="3765235312"/>
    <n v="2924.66"/>
    <s v="UK pounds"/>
    <s v="UK pounds"/>
    <x v="0"/>
    <s v="UK"/>
    <x v="0"/>
    <x v="0"/>
    <x v="0"/>
    <s v="Consistent"/>
    <x v="0"/>
  </r>
  <r>
    <x v="829"/>
    <x v="0"/>
    <x v="59"/>
    <n v="5109623450"/>
    <n v="9850.16"/>
    <s v="UK pounds"/>
    <s v="UK pounds"/>
    <x v="0"/>
    <s v="UK"/>
    <x v="2"/>
    <x v="0"/>
    <x v="3"/>
    <s v="Consistent"/>
    <x v="0"/>
  </r>
  <r>
    <x v="830"/>
    <x v="0"/>
    <x v="782"/>
    <n v="3449625647"/>
    <n v="5494.69"/>
    <s v="UK pounds"/>
    <s v="UK pounds"/>
    <x v="0"/>
    <s v="UK"/>
    <x v="3"/>
    <x v="0"/>
    <x v="4"/>
    <s v="Consistent"/>
    <x v="0"/>
  </r>
  <r>
    <x v="831"/>
    <x v="0"/>
    <x v="209"/>
    <n v="5628674969"/>
    <n v="6634.66"/>
    <s v="UK pounds"/>
    <s v="UK pounds"/>
    <x v="0"/>
    <s v="UK"/>
    <x v="4"/>
    <x v="0"/>
    <x v="3"/>
    <s v="Consistent"/>
    <x v="0"/>
  </r>
  <r>
    <x v="832"/>
    <x v="0"/>
    <x v="783"/>
    <n v="1233768601"/>
    <n v="7367.42"/>
    <s v="UK pounds"/>
    <s v="UK pounds"/>
    <x v="0"/>
    <s v="UK"/>
    <x v="2"/>
    <x v="0"/>
    <x v="2"/>
    <s v="Consistent"/>
    <x v="0"/>
  </r>
  <r>
    <x v="833"/>
    <x v="0"/>
    <x v="368"/>
    <n v="4344045246"/>
    <n v="10024.19"/>
    <s v="UK pounds"/>
    <s v="Swiss franc"/>
    <x v="0"/>
    <s v="Switzerland"/>
    <x v="1"/>
    <x v="0"/>
    <x v="1"/>
    <s v="Potential Layering"/>
    <x v="0"/>
  </r>
  <r>
    <x v="834"/>
    <x v="0"/>
    <x v="784"/>
    <n v="8365819134"/>
    <n v="6123.14"/>
    <s v="UK pounds"/>
    <s v="UK pounds"/>
    <x v="0"/>
    <s v="UK"/>
    <x v="4"/>
    <x v="0"/>
    <x v="2"/>
    <s v="Consistent"/>
    <x v="0"/>
  </r>
  <r>
    <x v="835"/>
    <x v="0"/>
    <x v="592"/>
    <n v="2138505015"/>
    <n v="6689.59"/>
    <s v="UK pounds"/>
    <s v="Dirham"/>
    <x v="0"/>
    <s v="UAE"/>
    <x v="1"/>
    <x v="0"/>
    <x v="3"/>
    <s v="Potential Layering"/>
    <x v="0"/>
  </r>
  <r>
    <x v="835"/>
    <x v="0"/>
    <x v="8"/>
    <n v="4551716885"/>
    <n v="9369.4599999999991"/>
    <s v="UK pounds"/>
    <s v="UK pounds"/>
    <x v="0"/>
    <s v="UK"/>
    <x v="2"/>
    <x v="0"/>
    <x v="1"/>
    <s v="Consistent"/>
    <x v="0"/>
  </r>
  <r>
    <x v="836"/>
    <x v="0"/>
    <x v="785"/>
    <n v="6491106472"/>
    <n v="998453.63"/>
    <s v="UK pounds"/>
    <s v="UK pounds"/>
    <x v="0"/>
    <s v="UK"/>
    <x v="5"/>
    <x v="0"/>
    <x v="11"/>
    <s v="Consistent"/>
    <x v="0"/>
  </r>
  <r>
    <x v="836"/>
    <x v="0"/>
    <x v="46"/>
    <n v="6615626527"/>
    <n v="22304.23"/>
    <s v="UK pounds"/>
    <s v="UK pounds"/>
    <x v="0"/>
    <s v="UK"/>
    <x v="3"/>
    <x v="0"/>
    <x v="1"/>
    <s v="Consistent"/>
    <x v="0"/>
  </r>
  <r>
    <x v="837"/>
    <x v="0"/>
    <x v="786"/>
    <n v="166463576"/>
    <n v="27855.54"/>
    <s v="UK pounds"/>
    <s v="UK pounds"/>
    <x v="0"/>
    <s v="UK"/>
    <x v="5"/>
    <x v="0"/>
    <x v="2"/>
    <s v="Consistent"/>
    <x v="0"/>
  </r>
  <r>
    <x v="838"/>
    <x v="0"/>
    <x v="787"/>
    <n v="6601473562"/>
    <n v="5452.58"/>
    <s v="UK pounds"/>
    <s v="UK pounds"/>
    <x v="0"/>
    <s v="UK"/>
    <x v="0"/>
    <x v="0"/>
    <x v="0"/>
    <s v="Consistent"/>
    <x v="0"/>
  </r>
  <r>
    <x v="838"/>
    <x v="0"/>
    <x v="788"/>
    <n v="5312740443"/>
    <n v="3071.63"/>
    <s v="UK pounds"/>
    <s v="UK pounds"/>
    <x v="0"/>
    <s v="UK"/>
    <x v="4"/>
    <x v="0"/>
    <x v="2"/>
    <s v="Consistent"/>
    <x v="0"/>
  </r>
  <r>
    <x v="839"/>
    <x v="0"/>
    <x v="533"/>
    <n v="5466123934"/>
    <n v="9154.39"/>
    <s v="UK pounds"/>
    <s v="UK pounds"/>
    <x v="0"/>
    <s v="UK"/>
    <x v="2"/>
    <x v="0"/>
    <x v="3"/>
    <s v="Consistent"/>
    <x v="0"/>
  </r>
  <r>
    <x v="840"/>
    <x v="0"/>
    <x v="789"/>
    <n v="3221983588"/>
    <n v="1156.92"/>
    <s v="UK pounds"/>
    <s v="UK pounds"/>
    <x v="0"/>
    <s v="UK"/>
    <x v="3"/>
    <x v="0"/>
    <x v="4"/>
    <s v="Consistent"/>
    <x v="0"/>
  </r>
  <r>
    <x v="841"/>
    <x v="0"/>
    <x v="243"/>
    <n v="8135174919"/>
    <n v="10781.3"/>
    <s v="Euro"/>
    <s v="UK pounds"/>
    <x v="4"/>
    <s v="UK"/>
    <x v="1"/>
    <x v="0"/>
    <x v="1"/>
    <s v="Potential Layering"/>
    <x v="0"/>
  </r>
  <r>
    <x v="842"/>
    <x v="0"/>
    <x v="81"/>
    <n v="9745680135"/>
    <n v="12703.36"/>
    <s v="UK pounds"/>
    <s v="Yen"/>
    <x v="0"/>
    <s v="Japan"/>
    <x v="1"/>
    <x v="0"/>
    <x v="1"/>
    <s v="Potential Layering"/>
    <x v="0"/>
  </r>
  <r>
    <x v="843"/>
    <x v="0"/>
    <x v="790"/>
    <n v="5735522529"/>
    <n v="321.91000000000003"/>
    <s v="UK pounds"/>
    <s v="UK pounds"/>
    <x v="0"/>
    <s v="UK"/>
    <x v="3"/>
    <x v="0"/>
    <x v="2"/>
    <s v="Consistent"/>
    <x v="0"/>
  </r>
  <r>
    <x v="844"/>
    <x v="0"/>
    <x v="791"/>
    <n v="444750223"/>
    <n v="8351.66"/>
    <s v="UK pounds"/>
    <s v="UK pounds"/>
    <x v="0"/>
    <s v="UK"/>
    <x v="5"/>
    <x v="0"/>
    <x v="4"/>
    <s v="Consistent"/>
    <x v="0"/>
  </r>
  <r>
    <x v="845"/>
    <x v="0"/>
    <x v="195"/>
    <n v="3772874052"/>
    <n v="11173.36"/>
    <s v="UK pounds"/>
    <s v="Turkish lira"/>
    <x v="0"/>
    <s v="Turkey"/>
    <x v="1"/>
    <x v="0"/>
    <x v="1"/>
    <s v="Potential Layering"/>
    <x v="0"/>
  </r>
  <r>
    <x v="846"/>
    <x v="0"/>
    <x v="86"/>
    <n v="2055564858"/>
    <n v="4407.8500000000004"/>
    <s v="UK pounds"/>
    <s v="UK pounds"/>
    <x v="0"/>
    <s v="UK"/>
    <x v="2"/>
    <x v="0"/>
    <x v="1"/>
    <s v="Consistent"/>
    <x v="0"/>
  </r>
  <r>
    <x v="847"/>
    <x v="0"/>
    <x v="792"/>
    <n v="7357970931"/>
    <n v="37.799999999999997"/>
    <s v="UK pounds"/>
    <s v="UK pounds"/>
    <x v="0"/>
    <s v="UK"/>
    <x v="6"/>
    <x v="0"/>
    <x v="5"/>
    <s v="Consistent"/>
    <x v="0"/>
  </r>
  <r>
    <x v="848"/>
    <x v="0"/>
    <x v="793"/>
    <n v="7764825563"/>
    <n v="7205.61"/>
    <s v="UK pounds"/>
    <s v="UK pounds"/>
    <x v="0"/>
    <s v="UK"/>
    <x v="5"/>
    <x v="0"/>
    <x v="2"/>
    <s v="Consistent"/>
    <x v="0"/>
  </r>
  <r>
    <x v="849"/>
    <x v="0"/>
    <x v="794"/>
    <n v="8352571580"/>
    <n v="5857.02"/>
    <s v="UK pounds"/>
    <s v="UK pounds"/>
    <x v="0"/>
    <s v="UK"/>
    <x v="4"/>
    <x v="0"/>
    <x v="3"/>
    <s v="Consistent"/>
    <x v="0"/>
  </r>
  <r>
    <x v="850"/>
    <x v="0"/>
    <x v="52"/>
    <n v="5517479211"/>
    <n v="13467.44"/>
    <s v="UK pounds"/>
    <s v="UK pounds"/>
    <x v="0"/>
    <s v="UK"/>
    <x v="5"/>
    <x v="0"/>
    <x v="1"/>
    <s v="Consistent"/>
    <x v="0"/>
  </r>
  <r>
    <x v="850"/>
    <x v="0"/>
    <x v="795"/>
    <n v="5466123934"/>
    <n v="7486.2"/>
    <s v="UK pounds"/>
    <s v="UK pounds"/>
    <x v="0"/>
    <s v="UK"/>
    <x v="3"/>
    <x v="0"/>
    <x v="3"/>
    <s v="Consistent"/>
    <x v="0"/>
  </r>
  <r>
    <x v="851"/>
    <x v="0"/>
    <x v="275"/>
    <n v="5628674969"/>
    <n v="5522.27"/>
    <s v="UK pounds"/>
    <s v="UK pounds"/>
    <x v="0"/>
    <s v="UK"/>
    <x v="5"/>
    <x v="0"/>
    <x v="3"/>
    <s v="Consistent"/>
    <x v="0"/>
  </r>
  <r>
    <x v="852"/>
    <x v="0"/>
    <x v="796"/>
    <n v="3724841177"/>
    <n v="16750.3"/>
    <s v="UK pounds"/>
    <s v="UK pounds"/>
    <x v="0"/>
    <s v="UK"/>
    <x v="4"/>
    <x v="0"/>
    <x v="2"/>
    <s v="Consistent"/>
    <x v="0"/>
  </r>
  <r>
    <x v="853"/>
    <x v="0"/>
    <x v="9"/>
    <n v="3557538160"/>
    <n v="4277.92"/>
    <s v="UK pounds"/>
    <s v="UK pounds"/>
    <x v="0"/>
    <s v="UK"/>
    <x v="4"/>
    <x v="0"/>
    <x v="1"/>
    <s v="Consistent"/>
    <x v="0"/>
  </r>
  <r>
    <x v="854"/>
    <x v="0"/>
    <x v="797"/>
    <n v="6855935396"/>
    <n v="8401.77"/>
    <s v="UK pounds"/>
    <s v="UK pounds"/>
    <x v="0"/>
    <s v="UK"/>
    <x v="4"/>
    <x v="0"/>
    <x v="3"/>
    <s v="Consistent"/>
    <x v="0"/>
  </r>
  <r>
    <x v="854"/>
    <x v="0"/>
    <x v="163"/>
    <n v="7142479189"/>
    <n v="24477.15"/>
    <s v="UK pounds"/>
    <s v="UK pounds"/>
    <x v="0"/>
    <s v="UK"/>
    <x v="3"/>
    <x v="0"/>
    <x v="1"/>
    <s v="Consistent"/>
    <x v="0"/>
  </r>
  <r>
    <x v="855"/>
    <x v="0"/>
    <x v="248"/>
    <n v="6705037126"/>
    <n v="10964.74"/>
    <s v="UK pounds"/>
    <s v="UK pounds"/>
    <x v="0"/>
    <s v="UK"/>
    <x v="4"/>
    <x v="0"/>
    <x v="1"/>
    <s v="Consistent"/>
    <x v="0"/>
  </r>
  <r>
    <x v="855"/>
    <x v="0"/>
    <x v="81"/>
    <n v="3167188969"/>
    <n v="5652.02"/>
    <s v="UK pounds"/>
    <s v="UK pounds"/>
    <x v="0"/>
    <s v="UK"/>
    <x v="5"/>
    <x v="0"/>
    <x v="1"/>
    <s v="Consistent"/>
    <x v="0"/>
  </r>
  <r>
    <x v="856"/>
    <x v="0"/>
    <x v="798"/>
    <n v="9729451408"/>
    <n v="11232.99"/>
    <s v="UK pounds"/>
    <s v="UK pounds"/>
    <x v="0"/>
    <s v="UK"/>
    <x v="5"/>
    <x v="0"/>
    <x v="4"/>
    <s v="Consistent"/>
    <x v="0"/>
  </r>
  <r>
    <x v="857"/>
    <x v="0"/>
    <x v="799"/>
    <n v="3637796552"/>
    <n v="725.32"/>
    <s v="UK pounds"/>
    <s v="UK pounds"/>
    <x v="0"/>
    <s v="UK"/>
    <x v="5"/>
    <x v="0"/>
    <x v="2"/>
    <s v="Consistent"/>
    <x v="0"/>
  </r>
  <r>
    <x v="857"/>
    <x v="0"/>
    <x v="800"/>
    <n v="5708936901"/>
    <n v="5017.46"/>
    <s v="UK pounds"/>
    <s v="UK pounds"/>
    <x v="0"/>
    <s v="UK"/>
    <x v="3"/>
    <x v="0"/>
    <x v="3"/>
    <s v="Consistent"/>
    <x v="0"/>
  </r>
  <r>
    <x v="858"/>
    <x v="0"/>
    <x v="801"/>
    <n v="8247392100"/>
    <n v="3205.85"/>
    <s v="UK pounds"/>
    <s v="UK pounds"/>
    <x v="0"/>
    <s v="UK"/>
    <x v="5"/>
    <x v="0"/>
    <x v="4"/>
    <s v="Consistent"/>
    <x v="0"/>
  </r>
  <r>
    <x v="859"/>
    <x v="0"/>
    <x v="802"/>
    <n v="3695545812"/>
    <n v="6029.34"/>
    <s v="UK pounds"/>
    <s v="UK pounds"/>
    <x v="0"/>
    <s v="UK"/>
    <x v="2"/>
    <x v="0"/>
    <x v="3"/>
    <s v="Consistent"/>
    <x v="0"/>
  </r>
  <r>
    <x v="860"/>
    <x v="0"/>
    <x v="46"/>
    <n v="7629589738"/>
    <n v="5671.45"/>
    <s v="UK pounds"/>
    <s v="UK pounds"/>
    <x v="0"/>
    <s v="UK"/>
    <x v="4"/>
    <x v="0"/>
    <x v="1"/>
    <s v="Consistent"/>
    <x v="0"/>
  </r>
  <r>
    <x v="861"/>
    <x v="0"/>
    <x v="248"/>
    <n v="4348868412"/>
    <n v="7285.9"/>
    <s v="UK pounds"/>
    <s v="UK pounds"/>
    <x v="0"/>
    <s v="UK"/>
    <x v="2"/>
    <x v="0"/>
    <x v="1"/>
    <s v="Consistent"/>
    <x v="0"/>
  </r>
  <r>
    <x v="862"/>
    <x v="0"/>
    <x v="163"/>
    <n v="9797294707"/>
    <n v="8940.51"/>
    <s v="UK pounds"/>
    <s v="UK pounds"/>
    <x v="0"/>
    <s v="UK"/>
    <x v="4"/>
    <x v="0"/>
    <x v="1"/>
    <s v="Consistent"/>
    <x v="0"/>
  </r>
  <r>
    <x v="863"/>
    <x v="0"/>
    <x v="803"/>
    <n v="6289259988"/>
    <n v="1503.64"/>
    <s v="UK pounds"/>
    <s v="UK pounds"/>
    <x v="0"/>
    <s v="UK"/>
    <x v="3"/>
    <x v="0"/>
    <x v="2"/>
    <s v="Consistent"/>
    <x v="0"/>
  </r>
  <r>
    <x v="864"/>
    <x v="0"/>
    <x v="804"/>
    <n v="621060264"/>
    <n v="6841.29"/>
    <s v="UK pounds"/>
    <s v="UK pounds"/>
    <x v="0"/>
    <s v="UK"/>
    <x v="5"/>
    <x v="0"/>
    <x v="3"/>
    <s v="Consistent"/>
    <x v="0"/>
  </r>
  <r>
    <x v="864"/>
    <x v="0"/>
    <x v="805"/>
    <n v="1786927494"/>
    <n v="15615.19"/>
    <s v="UK pounds"/>
    <s v="UK pounds"/>
    <x v="0"/>
    <s v="UK"/>
    <x v="2"/>
    <x v="0"/>
    <x v="2"/>
    <s v="Consistent"/>
    <x v="0"/>
  </r>
  <r>
    <x v="865"/>
    <x v="0"/>
    <x v="806"/>
    <n v="4125306791"/>
    <n v="708.92"/>
    <s v="UK pounds"/>
    <s v="UK pounds"/>
    <x v="0"/>
    <s v="UK"/>
    <x v="2"/>
    <x v="0"/>
    <x v="2"/>
    <s v="Consistent"/>
    <x v="0"/>
  </r>
  <r>
    <x v="865"/>
    <x v="0"/>
    <x v="161"/>
    <n v="5224271258"/>
    <n v="17067.84"/>
    <s v="UK pounds"/>
    <s v="UK pounds"/>
    <x v="0"/>
    <s v="UK"/>
    <x v="2"/>
    <x v="0"/>
    <x v="1"/>
    <s v="Consistent"/>
    <x v="0"/>
  </r>
  <r>
    <x v="866"/>
    <x v="0"/>
    <x v="68"/>
    <n v="9940921949"/>
    <n v="9079.43"/>
    <s v="UK pounds"/>
    <s v="UK pounds"/>
    <x v="0"/>
    <s v="UK"/>
    <x v="2"/>
    <x v="0"/>
    <x v="1"/>
    <s v="Consistent"/>
    <x v="0"/>
  </r>
  <r>
    <x v="867"/>
    <x v="0"/>
    <x v="807"/>
    <n v="5457238392"/>
    <n v="132.88"/>
    <s v="UK pounds"/>
    <s v="UK pounds"/>
    <x v="0"/>
    <s v="UK"/>
    <x v="6"/>
    <x v="0"/>
    <x v="5"/>
    <s v="Consistent"/>
    <x v="0"/>
  </r>
  <r>
    <x v="868"/>
    <x v="0"/>
    <x v="808"/>
    <n v="2454620686"/>
    <n v="897.19"/>
    <s v="UK pounds"/>
    <s v="UK pounds"/>
    <x v="0"/>
    <s v="UK"/>
    <x v="2"/>
    <x v="0"/>
    <x v="2"/>
    <s v="Consistent"/>
    <x v="0"/>
  </r>
  <r>
    <x v="868"/>
    <x v="0"/>
    <x v="809"/>
    <n v="1785963713"/>
    <n v="3493.89"/>
    <s v="UK pounds"/>
    <s v="UK pounds"/>
    <x v="0"/>
    <s v="UK"/>
    <x v="2"/>
    <x v="0"/>
    <x v="2"/>
    <s v="Consistent"/>
    <x v="0"/>
  </r>
  <r>
    <x v="869"/>
    <x v="0"/>
    <x v="810"/>
    <n v="6476585772"/>
    <n v="2502.46"/>
    <s v="UK pounds"/>
    <s v="UK pounds"/>
    <x v="0"/>
    <s v="UK"/>
    <x v="0"/>
    <x v="0"/>
    <x v="0"/>
    <s v="Consistent"/>
    <x v="0"/>
  </r>
  <r>
    <x v="870"/>
    <x v="0"/>
    <x v="811"/>
    <n v="399407811"/>
    <n v="1835.76"/>
    <s v="UK pounds"/>
    <s v="UK pounds"/>
    <x v="0"/>
    <s v="UK"/>
    <x v="2"/>
    <x v="0"/>
    <x v="2"/>
    <s v="Consistent"/>
    <x v="0"/>
  </r>
  <r>
    <x v="871"/>
    <x v="0"/>
    <x v="812"/>
    <n v="7738246427"/>
    <n v="2777.32"/>
    <s v="UK pounds"/>
    <s v="UK pounds"/>
    <x v="0"/>
    <s v="UK"/>
    <x v="5"/>
    <x v="0"/>
    <x v="2"/>
    <s v="Consistent"/>
    <x v="0"/>
  </r>
  <r>
    <x v="872"/>
    <x v="0"/>
    <x v="813"/>
    <n v="8985341710"/>
    <n v="979.89"/>
    <s v="UK pounds"/>
    <s v="UK pounds"/>
    <x v="0"/>
    <s v="UK"/>
    <x v="4"/>
    <x v="0"/>
    <x v="2"/>
    <s v="Consistent"/>
    <x v="0"/>
  </r>
  <r>
    <x v="873"/>
    <x v="0"/>
    <x v="161"/>
    <n v="9278521151"/>
    <n v="6887.36"/>
    <s v="UK pounds"/>
    <s v="UK pounds"/>
    <x v="0"/>
    <s v="UK"/>
    <x v="4"/>
    <x v="0"/>
    <x v="1"/>
    <s v="Consistent"/>
    <x v="0"/>
  </r>
  <r>
    <x v="874"/>
    <x v="0"/>
    <x v="814"/>
    <n v="9972129920"/>
    <n v="825.71"/>
    <s v="UK pounds"/>
    <s v="UK pounds"/>
    <x v="0"/>
    <s v="UK"/>
    <x v="5"/>
    <x v="0"/>
    <x v="2"/>
    <s v="Consistent"/>
    <x v="0"/>
  </r>
  <r>
    <x v="875"/>
    <x v="0"/>
    <x v="124"/>
    <n v="3230579354"/>
    <n v="11179.46"/>
    <s v="UK pounds"/>
    <s v="UK pounds"/>
    <x v="0"/>
    <s v="UK"/>
    <x v="2"/>
    <x v="0"/>
    <x v="1"/>
    <s v="Consistent"/>
    <x v="0"/>
  </r>
  <r>
    <x v="876"/>
    <x v="0"/>
    <x v="815"/>
    <n v="7400128597"/>
    <n v="9614.2900000000009"/>
    <s v="UK pounds"/>
    <s v="UK pounds"/>
    <x v="0"/>
    <s v="UK"/>
    <x v="4"/>
    <x v="0"/>
    <x v="2"/>
    <s v="Consistent"/>
    <x v="0"/>
  </r>
  <r>
    <x v="877"/>
    <x v="0"/>
    <x v="816"/>
    <n v="398142807"/>
    <n v="122.3"/>
    <s v="UK pounds"/>
    <s v="UK pounds"/>
    <x v="0"/>
    <s v="UK"/>
    <x v="6"/>
    <x v="0"/>
    <x v="5"/>
    <s v="Consistent"/>
    <x v="0"/>
  </r>
  <r>
    <x v="877"/>
    <x v="0"/>
    <x v="817"/>
    <n v="1228571638"/>
    <n v="679.34"/>
    <s v="UK pounds"/>
    <s v="UK pounds"/>
    <x v="0"/>
    <s v="UK"/>
    <x v="5"/>
    <x v="0"/>
    <x v="2"/>
    <s v="Consistent"/>
    <x v="0"/>
  </r>
  <r>
    <x v="878"/>
    <x v="0"/>
    <x v="818"/>
    <n v="2582312191"/>
    <n v="1473.24"/>
    <s v="UK pounds"/>
    <s v="UK pounds"/>
    <x v="0"/>
    <s v="UK"/>
    <x v="3"/>
    <x v="0"/>
    <x v="2"/>
    <s v="Consistent"/>
    <x v="0"/>
  </r>
  <r>
    <x v="879"/>
    <x v="0"/>
    <x v="819"/>
    <n v="3695545812"/>
    <n v="4594.26"/>
    <s v="UK pounds"/>
    <s v="UK pounds"/>
    <x v="0"/>
    <s v="UK"/>
    <x v="3"/>
    <x v="0"/>
    <x v="3"/>
    <s v="Consistent"/>
    <x v="0"/>
  </r>
  <r>
    <x v="880"/>
    <x v="0"/>
    <x v="820"/>
    <n v="8264808687"/>
    <n v="2677.84"/>
    <s v="UK pounds"/>
    <s v="UK pounds"/>
    <x v="0"/>
    <s v="UK"/>
    <x v="2"/>
    <x v="0"/>
    <x v="2"/>
    <s v="Consistent"/>
    <x v="0"/>
  </r>
  <r>
    <x v="881"/>
    <x v="0"/>
    <x v="821"/>
    <n v="5103043844"/>
    <n v="5048.04"/>
    <s v="UK pounds"/>
    <s v="Naira"/>
    <x v="0"/>
    <s v="Nigeria"/>
    <x v="1"/>
    <x v="0"/>
    <x v="3"/>
    <s v="Potential Layering"/>
    <x v="0"/>
  </r>
  <r>
    <x v="882"/>
    <x v="0"/>
    <x v="822"/>
    <n v="1013392507"/>
    <n v="649.29999999999995"/>
    <s v="UK pounds"/>
    <s v="UK pounds"/>
    <x v="0"/>
    <s v="UK"/>
    <x v="5"/>
    <x v="0"/>
    <x v="2"/>
    <s v="Consistent"/>
    <x v="0"/>
  </r>
  <r>
    <x v="883"/>
    <x v="0"/>
    <x v="1"/>
    <n v="7160767531"/>
    <n v="8284.5300000000007"/>
    <s v="UK pounds"/>
    <s v="UK pounds"/>
    <x v="0"/>
    <s v="UK"/>
    <x v="2"/>
    <x v="0"/>
    <x v="1"/>
    <s v="Consistent"/>
    <x v="0"/>
  </r>
  <r>
    <x v="884"/>
    <x v="0"/>
    <x v="823"/>
    <n v="286799236"/>
    <n v="1952.01"/>
    <s v="UK pounds"/>
    <s v="UK pounds"/>
    <x v="0"/>
    <s v="UK"/>
    <x v="2"/>
    <x v="0"/>
    <x v="2"/>
    <s v="Consistent"/>
    <x v="0"/>
  </r>
  <r>
    <x v="885"/>
    <x v="0"/>
    <x v="371"/>
    <n v="1377603863"/>
    <n v="10539.29"/>
    <s v="UK pounds"/>
    <s v="UK pounds"/>
    <x v="0"/>
    <s v="UK"/>
    <x v="3"/>
    <x v="0"/>
    <x v="3"/>
    <s v="Consistent"/>
    <x v="0"/>
  </r>
  <r>
    <x v="886"/>
    <x v="0"/>
    <x v="52"/>
    <n v="4889103394"/>
    <n v="14667.66"/>
    <s v="UK pounds"/>
    <s v="UK pounds"/>
    <x v="0"/>
    <s v="UK"/>
    <x v="5"/>
    <x v="0"/>
    <x v="1"/>
    <s v="Consistent"/>
    <x v="0"/>
  </r>
  <r>
    <x v="886"/>
    <x v="0"/>
    <x v="86"/>
    <n v="2361327503"/>
    <n v="7445.22"/>
    <s v="UK pounds"/>
    <s v="UK pounds"/>
    <x v="0"/>
    <s v="UK"/>
    <x v="2"/>
    <x v="0"/>
    <x v="1"/>
    <s v="Consistent"/>
    <x v="0"/>
  </r>
  <r>
    <x v="887"/>
    <x v="0"/>
    <x v="824"/>
    <n v="4575475794"/>
    <n v="938.67"/>
    <s v="UK pounds"/>
    <s v="UK pounds"/>
    <x v="0"/>
    <s v="UK"/>
    <x v="0"/>
    <x v="0"/>
    <x v="0"/>
    <s v="Consistent"/>
    <x v="0"/>
  </r>
  <r>
    <x v="887"/>
    <x v="0"/>
    <x v="61"/>
    <n v="3623805856"/>
    <n v="4975.25"/>
    <s v="UK pounds"/>
    <s v="UK pounds"/>
    <x v="0"/>
    <s v="UK"/>
    <x v="4"/>
    <x v="0"/>
    <x v="1"/>
    <s v="Consistent"/>
    <x v="0"/>
  </r>
  <r>
    <x v="888"/>
    <x v="0"/>
    <x v="825"/>
    <n v="8678802420"/>
    <n v="10562.1"/>
    <s v="UK pounds"/>
    <s v="UK pounds"/>
    <x v="0"/>
    <s v="UK"/>
    <x v="4"/>
    <x v="0"/>
    <x v="3"/>
    <s v="Consistent"/>
    <x v="0"/>
  </r>
  <r>
    <x v="888"/>
    <x v="0"/>
    <x v="826"/>
    <n v="5466123934"/>
    <n v="7655.97"/>
    <s v="UK pounds"/>
    <s v="UK pounds"/>
    <x v="0"/>
    <s v="UK"/>
    <x v="2"/>
    <x v="0"/>
    <x v="3"/>
    <s v="Consistent"/>
    <x v="0"/>
  </r>
  <r>
    <x v="889"/>
    <x v="0"/>
    <x v="63"/>
    <n v="3889335486"/>
    <n v="14545.75"/>
    <s v="UK pounds"/>
    <s v="UK pounds"/>
    <x v="0"/>
    <s v="UK"/>
    <x v="2"/>
    <x v="0"/>
    <x v="1"/>
    <s v="Consistent"/>
    <x v="0"/>
  </r>
  <r>
    <x v="889"/>
    <x v="0"/>
    <x v="827"/>
    <n v="6855935396"/>
    <n v="5065.1000000000004"/>
    <s v="UK pounds"/>
    <s v="UK pounds"/>
    <x v="0"/>
    <s v="UK"/>
    <x v="2"/>
    <x v="0"/>
    <x v="3"/>
    <s v="Consistent"/>
    <x v="0"/>
  </r>
  <r>
    <x v="890"/>
    <x v="0"/>
    <x v="828"/>
    <n v="7214622038"/>
    <n v="4921.93"/>
    <s v="UK pounds"/>
    <s v="UK pounds"/>
    <x v="0"/>
    <s v="UK"/>
    <x v="2"/>
    <x v="0"/>
    <x v="7"/>
    <s v="Consistent"/>
    <x v="0"/>
  </r>
  <r>
    <x v="891"/>
    <x v="0"/>
    <x v="829"/>
    <n v="5853162563"/>
    <n v="56.21"/>
    <s v="UK pounds"/>
    <s v="UK pounds"/>
    <x v="0"/>
    <s v="UK"/>
    <x v="6"/>
    <x v="0"/>
    <x v="5"/>
    <s v="Consistent"/>
    <x v="0"/>
  </r>
  <r>
    <x v="891"/>
    <x v="0"/>
    <x v="830"/>
    <n v="9673720029"/>
    <n v="2487.73"/>
    <s v="UK pounds"/>
    <s v="UK pounds"/>
    <x v="0"/>
    <s v="UK"/>
    <x v="4"/>
    <x v="0"/>
    <x v="2"/>
    <s v="Consistent"/>
    <x v="0"/>
  </r>
  <r>
    <x v="892"/>
    <x v="0"/>
    <x v="70"/>
    <n v="4336977506"/>
    <n v="12747.4"/>
    <s v="UK pounds"/>
    <s v="UK pounds"/>
    <x v="0"/>
    <s v="UK"/>
    <x v="2"/>
    <x v="0"/>
    <x v="3"/>
    <s v="Consistent"/>
    <x v="0"/>
  </r>
  <r>
    <x v="893"/>
    <x v="0"/>
    <x v="831"/>
    <n v="1105549394"/>
    <n v="14659.86"/>
    <s v="UK pounds"/>
    <s v="UK pounds"/>
    <x v="0"/>
    <s v="UK"/>
    <x v="2"/>
    <x v="0"/>
    <x v="8"/>
    <s v="Consistent"/>
    <x v="0"/>
  </r>
  <r>
    <x v="893"/>
    <x v="0"/>
    <x v="61"/>
    <n v="4528663768"/>
    <n v="7433.53"/>
    <s v="UK pounds"/>
    <s v="UK pounds"/>
    <x v="0"/>
    <s v="UK"/>
    <x v="5"/>
    <x v="0"/>
    <x v="1"/>
    <s v="Consistent"/>
    <x v="0"/>
  </r>
  <r>
    <x v="894"/>
    <x v="0"/>
    <x v="832"/>
    <n v="621060264"/>
    <n v="35549.08"/>
    <s v="UK pounds"/>
    <s v="UK pounds"/>
    <x v="0"/>
    <s v="UK"/>
    <x v="3"/>
    <x v="0"/>
    <x v="3"/>
    <s v="Consistent"/>
    <x v="0"/>
  </r>
  <r>
    <x v="895"/>
    <x v="0"/>
    <x v="833"/>
    <n v="5970426514"/>
    <n v="153.15"/>
    <s v="UK pounds"/>
    <s v="UK pounds"/>
    <x v="0"/>
    <s v="UK"/>
    <x v="4"/>
    <x v="0"/>
    <x v="2"/>
    <s v="Consistent"/>
    <x v="0"/>
  </r>
  <r>
    <x v="896"/>
    <x v="0"/>
    <x v="834"/>
    <n v="3220735304"/>
    <n v="19856.68"/>
    <s v="UK pounds"/>
    <s v="UK pounds"/>
    <x v="0"/>
    <s v="UK"/>
    <x v="5"/>
    <x v="0"/>
    <x v="3"/>
    <s v="Consistent"/>
    <x v="0"/>
  </r>
  <r>
    <x v="897"/>
    <x v="0"/>
    <x v="765"/>
    <n v="1465487567"/>
    <n v="16576.310000000001"/>
    <s v="UK pounds"/>
    <s v="UK pounds"/>
    <x v="0"/>
    <s v="UK"/>
    <x v="5"/>
    <x v="0"/>
    <x v="3"/>
    <s v="Consistent"/>
    <x v="0"/>
  </r>
  <r>
    <x v="898"/>
    <x v="0"/>
    <x v="835"/>
    <n v="3960072922"/>
    <n v="2682.16"/>
    <s v="UK pounds"/>
    <s v="UK pounds"/>
    <x v="0"/>
    <s v="UK"/>
    <x v="0"/>
    <x v="0"/>
    <x v="0"/>
    <s v="Consistent"/>
    <x v="0"/>
  </r>
  <r>
    <x v="898"/>
    <x v="0"/>
    <x v="68"/>
    <n v="7889074144"/>
    <n v="26492"/>
    <s v="UK pounds"/>
    <s v="UK pounds"/>
    <x v="0"/>
    <s v="UK"/>
    <x v="3"/>
    <x v="0"/>
    <x v="1"/>
    <s v="Consistent"/>
    <x v="0"/>
  </r>
  <r>
    <x v="899"/>
    <x v="0"/>
    <x v="836"/>
    <n v="7080357663"/>
    <n v="7586.59"/>
    <s v="UK pounds"/>
    <s v="UK pounds"/>
    <x v="0"/>
    <s v="UK"/>
    <x v="3"/>
    <x v="0"/>
    <x v="3"/>
    <s v="Consistent"/>
    <x v="0"/>
  </r>
  <r>
    <x v="900"/>
    <x v="0"/>
    <x v="837"/>
    <n v="5466123934"/>
    <n v="4744.68"/>
    <s v="UK pounds"/>
    <s v="UK pounds"/>
    <x v="0"/>
    <s v="UK"/>
    <x v="5"/>
    <x v="0"/>
    <x v="3"/>
    <s v="Consistent"/>
    <x v="0"/>
  </r>
  <r>
    <x v="901"/>
    <x v="0"/>
    <x v="838"/>
    <n v="8352571580"/>
    <n v="9730.27"/>
    <s v="UK pounds"/>
    <s v="UK pounds"/>
    <x v="0"/>
    <s v="UK"/>
    <x v="5"/>
    <x v="0"/>
    <x v="3"/>
    <s v="Consistent"/>
    <x v="0"/>
  </r>
  <r>
    <x v="902"/>
    <x v="0"/>
    <x v="839"/>
    <n v="5677524970"/>
    <n v="39761.17"/>
    <s v="UK pounds"/>
    <s v="UK pounds"/>
    <x v="0"/>
    <s v="UK"/>
    <x v="5"/>
    <x v="0"/>
    <x v="2"/>
    <s v="Consistent"/>
    <x v="0"/>
  </r>
  <r>
    <x v="902"/>
    <x v="0"/>
    <x v="840"/>
    <n v="8570419342"/>
    <n v="4016.43"/>
    <s v="UK pounds"/>
    <s v="Swiss franc"/>
    <x v="0"/>
    <s v="Switzerland"/>
    <x v="1"/>
    <x v="0"/>
    <x v="2"/>
    <s v="Potential Layering"/>
    <x v="0"/>
  </r>
  <r>
    <x v="903"/>
    <x v="0"/>
    <x v="841"/>
    <n v="6953672776"/>
    <n v="8598.6"/>
    <s v="UK pounds"/>
    <s v="Mexican Peso"/>
    <x v="0"/>
    <s v="Mexico"/>
    <x v="1"/>
    <x v="0"/>
    <x v="3"/>
    <s v="Potential Layering"/>
    <x v="0"/>
  </r>
  <r>
    <x v="904"/>
    <x v="0"/>
    <x v="842"/>
    <n v="4276741351"/>
    <n v="44824.58"/>
    <s v="UK pounds"/>
    <s v="UK pounds"/>
    <x v="0"/>
    <s v="UK"/>
    <x v="3"/>
    <x v="0"/>
    <x v="2"/>
    <s v="Consistent"/>
    <x v="0"/>
  </r>
  <r>
    <x v="905"/>
    <x v="0"/>
    <x v="843"/>
    <n v="3079818547"/>
    <n v="6074.5"/>
    <s v="UK pounds"/>
    <s v="UK pounds"/>
    <x v="0"/>
    <s v="UK"/>
    <x v="2"/>
    <x v="0"/>
    <x v="3"/>
    <s v="Consistent"/>
    <x v="0"/>
  </r>
  <r>
    <x v="906"/>
    <x v="0"/>
    <x v="248"/>
    <n v="4348868412"/>
    <n v="7312.72"/>
    <s v="UK pounds"/>
    <s v="UK pounds"/>
    <x v="0"/>
    <s v="UK"/>
    <x v="2"/>
    <x v="0"/>
    <x v="1"/>
    <s v="Consistent"/>
    <x v="0"/>
  </r>
  <r>
    <x v="906"/>
    <x v="0"/>
    <x v="844"/>
    <n v="8135523919"/>
    <n v="4081.01"/>
    <s v="UK pounds"/>
    <s v="UK pounds"/>
    <x v="0"/>
    <s v="UK"/>
    <x v="2"/>
    <x v="0"/>
    <x v="2"/>
    <s v="Consistent"/>
    <x v="0"/>
  </r>
  <r>
    <x v="907"/>
    <x v="0"/>
    <x v="845"/>
    <n v="5858369125"/>
    <n v="9390.18"/>
    <s v="UK pounds"/>
    <s v="UK pounds"/>
    <x v="0"/>
    <s v="UK"/>
    <x v="5"/>
    <x v="0"/>
    <x v="3"/>
    <s v="Consistent"/>
    <x v="0"/>
  </r>
  <r>
    <x v="908"/>
    <x v="0"/>
    <x v="846"/>
    <n v="410990902"/>
    <n v="6407.78"/>
    <s v="UK pounds"/>
    <s v="UK pounds"/>
    <x v="0"/>
    <s v="UK"/>
    <x v="4"/>
    <x v="0"/>
    <x v="2"/>
    <s v="Consistent"/>
    <x v="0"/>
  </r>
  <r>
    <x v="909"/>
    <x v="0"/>
    <x v="847"/>
    <n v="4336819054"/>
    <n v="451.8"/>
    <s v="UK pounds"/>
    <s v="UK pounds"/>
    <x v="0"/>
    <s v="UK"/>
    <x v="4"/>
    <x v="0"/>
    <x v="2"/>
    <s v="Consistent"/>
    <x v="0"/>
  </r>
  <r>
    <x v="909"/>
    <x v="0"/>
    <x v="848"/>
    <n v="9187930371"/>
    <n v="3676.42"/>
    <s v="UK pounds"/>
    <s v="UK pounds"/>
    <x v="0"/>
    <s v="UK"/>
    <x v="3"/>
    <x v="0"/>
    <x v="2"/>
    <s v="Consistent"/>
    <x v="0"/>
  </r>
  <r>
    <x v="910"/>
    <x v="0"/>
    <x v="40"/>
    <n v="9544469020"/>
    <n v="7319.29"/>
    <s v="UK pounds"/>
    <s v="UK pounds"/>
    <x v="0"/>
    <s v="UK"/>
    <x v="5"/>
    <x v="0"/>
    <x v="1"/>
    <s v="Consistent"/>
    <x v="0"/>
  </r>
  <r>
    <x v="911"/>
    <x v="0"/>
    <x v="849"/>
    <n v="5290760855"/>
    <n v="136.49"/>
    <s v="UK pounds"/>
    <s v="UK pounds"/>
    <x v="0"/>
    <s v="UK"/>
    <x v="4"/>
    <x v="0"/>
    <x v="2"/>
    <s v="Consistent"/>
    <x v="0"/>
  </r>
  <r>
    <x v="912"/>
    <x v="0"/>
    <x v="850"/>
    <n v="3383662247"/>
    <n v="1381.34"/>
    <s v="UK pounds"/>
    <s v="UK pounds"/>
    <x v="0"/>
    <s v="UK"/>
    <x v="4"/>
    <x v="0"/>
    <x v="2"/>
    <s v="Consistent"/>
    <x v="0"/>
  </r>
  <r>
    <x v="913"/>
    <x v="0"/>
    <x v="149"/>
    <n v="8861171324"/>
    <n v="10802.03"/>
    <s v="UK pounds"/>
    <s v="UK pounds"/>
    <x v="0"/>
    <s v="UK"/>
    <x v="3"/>
    <x v="0"/>
    <x v="1"/>
    <s v="Consistent"/>
    <x v="0"/>
  </r>
  <r>
    <x v="914"/>
    <x v="0"/>
    <x v="127"/>
    <n v="6646502650"/>
    <n v="14309.19"/>
    <s v="UK pounds"/>
    <s v="Euro"/>
    <x v="0"/>
    <s v="France"/>
    <x v="1"/>
    <x v="0"/>
    <x v="3"/>
    <s v="Potential Layering"/>
    <x v="0"/>
  </r>
  <r>
    <x v="915"/>
    <x v="0"/>
    <x v="851"/>
    <n v="170086039"/>
    <n v="1209.82"/>
    <s v="UK pounds"/>
    <s v="UK pounds"/>
    <x v="0"/>
    <s v="UK"/>
    <x v="5"/>
    <x v="0"/>
    <x v="6"/>
    <s v="Consistent"/>
    <x v="0"/>
  </r>
  <r>
    <x v="916"/>
    <x v="0"/>
    <x v="852"/>
    <n v="2534644942"/>
    <n v="16768.39"/>
    <s v="UK pounds"/>
    <s v="Euro"/>
    <x v="0"/>
    <s v="France"/>
    <x v="1"/>
    <x v="0"/>
    <x v="3"/>
    <s v="Potential Layering"/>
    <x v="0"/>
  </r>
  <r>
    <x v="917"/>
    <x v="0"/>
    <x v="853"/>
    <n v="9921675572"/>
    <n v="374.31"/>
    <s v="UK pounds"/>
    <s v="UK pounds"/>
    <x v="0"/>
    <s v="UK"/>
    <x v="0"/>
    <x v="0"/>
    <x v="0"/>
    <s v="Consistent"/>
    <x v="0"/>
  </r>
  <r>
    <x v="918"/>
    <x v="0"/>
    <x v="854"/>
    <n v="8217526210"/>
    <n v="4855.72"/>
    <s v="UK pounds"/>
    <s v="UK pounds"/>
    <x v="0"/>
    <s v="UK"/>
    <x v="3"/>
    <x v="0"/>
    <x v="2"/>
    <s v="Consistent"/>
    <x v="0"/>
  </r>
  <r>
    <x v="919"/>
    <x v="0"/>
    <x v="149"/>
    <n v="8237840407"/>
    <n v="7485.71"/>
    <s v="UK pounds"/>
    <s v="UK pounds"/>
    <x v="0"/>
    <s v="UK"/>
    <x v="4"/>
    <x v="0"/>
    <x v="1"/>
    <s v="Consistent"/>
    <x v="0"/>
  </r>
  <r>
    <x v="920"/>
    <x v="0"/>
    <x v="855"/>
    <n v="6223365730"/>
    <n v="11926.21"/>
    <s v="UK pounds"/>
    <s v="UK pounds"/>
    <x v="0"/>
    <s v="UK"/>
    <x v="5"/>
    <x v="0"/>
    <x v="3"/>
    <s v="Consistent"/>
    <x v="0"/>
  </r>
  <r>
    <x v="921"/>
    <x v="0"/>
    <x v="579"/>
    <n v="4270865741"/>
    <n v="12275.31"/>
    <s v="UK pounds"/>
    <s v="UK pounds"/>
    <x v="0"/>
    <s v="UK"/>
    <x v="4"/>
    <x v="0"/>
    <x v="3"/>
    <s v="Consistent"/>
    <x v="0"/>
  </r>
  <r>
    <x v="922"/>
    <x v="0"/>
    <x v="856"/>
    <n v="6409276743"/>
    <n v="14602.96"/>
    <s v="UK pounds"/>
    <s v="UK pounds"/>
    <x v="0"/>
    <s v="UK"/>
    <x v="3"/>
    <x v="0"/>
    <x v="2"/>
    <s v="Consistent"/>
    <x v="0"/>
  </r>
  <r>
    <x v="923"/>
    <x v="0"/>
    <x v="857"/>
    <n v="4185592767"/>
    <n v="3891.48"/>
    <s v="UK pounds"/>
    <s v="UK pounds"/>
    <x v="0"/>
    <s v="UK"/>
    <x v="3"/>
    <x v="0"/>
    <x v="2"/>
    <s v="Consistent"/>
    <x v="0"/>
  </r>
  <r>
    <x v="924"/>
    <x v="0"/>
    <x v="858"/>
    <n v="3013629202"/>
    <n v="287.62"/>
    <s v="UK pounds"/>
    <s v="UK pounds"/>
    <x v="0"/>
    <s v="UK"/>
    <x v="6"/>
    <x v="0"/>
    <x v="5"/>
    <s v="Consistent"/>
    <x v="0"/>
  </r>
  <r>
    <x v="925"/>
    <x v="0"/>
    <x v="859"/>
    <n v="6444220418"/>
    <n v="8166.92"/>
    <s v="UK pounds"/>
    <s v="UK pounds"/>
    <x v="0"/>
    <s v="UK"/>
    <x v="4"/>
    <x v="0"/>
    <x v="3"/>
    <s v="Consistent"/>
    <x v="0"/>
  </r>
  <r>
    <x v="926"/>
    <x v="0"/>
    <x v="75"/>
    <n v="7611326985"/>
    <n v="4298.88"/>
    <s v="UK pounds"/>
    <s v="Indian rupee"/>
    <x v="0"/>
    <s v="India"/>
    <x v="1"/>
    <x v="0"/>
    <x v="1"/>
    <s v="Potential Layering"/>
    <x v="0"/>
  </r>
  <r>
    <x v="927"/>
    <x v="0"/>
    <x v="860"/>
    <n v="6849298455"/>
    <n v="290.39999999999998"/>
    <s v="UK pounds"/>
    <s v="UK pounds"/>
    <x v="0"/>
    <s v="UK"/>
    <x v="2"/>
    <x v="0"/>
    <x v="2"/>
    <s v="Consistent"/>
    <x v="0"/>
  </r>
  <r>
    <x v="927"/>
    <x v="0"/>
    <x v="861"/>
    <n v="5775263176"/>
    <n v="11357.6"/>
    <s v="UK pounds"/>
    <s v="UK pounds"/>
    <x v="0"/>
    <s v="UK"/>
    <x v="5"/>
    <x v="0"/>
    <x v="8"/>
    <s v="Consistent"/>
    <x v="0"/>
  </r>
  <r>
    <x v="928"/>
    <x v="0"/>
    <x v="157"/>
    <n v="6444220418"/>
    <n v="8530.3700000000008"/>
    <s v="UK pounds"/>
    <s v="UK pounds"/>
    <x v="0"/>
    <s v="UK"/>
    <x v="2"/>
    <x v="0"/>
    <x v="3"/>
    <s v="Consistent"/>
    <x v="0"/>
  </r>
  <r>
    <x v="929"/>
    <x v="0"/>
    <x v="862"/>
    <n v="2748710907"/>
    <n v="164.42"/>
    <s v="UK pounds"/>
    <s v="UK pounds"/>
    <x v="0"/>
    <s v="UK"/>
    <x v="3"/>
    <x v="0"/>
    <x v="2"/>
    <s v="Consistent"/>
    <x v="0"/>
  </r>
  <r>
    <x v="930"/>
    <x v="0"/>
    <x v="168"/>
    <n v="8172080174"/>
    <n v="7895.65"/>
    <s v="UK pounds"/>
    <s v="UK pounds"/>
    <x v="0"/>
    <s v="UK"/>
    <x v="5"/>
    <x v="0"/>
    <x v="3"/>
    <s v="Consistent"/>
    <x v="0"/>
  </r>
  <r>
    <x v="931"/>
    <x v="0"/>
    <x v="346"/>
    <n v="9600420220"/>
    <n v="7261.89"/>
    <s v="UK pounds"/>
    <s v="UK pounds"/>
    <x v="0"/>
    <s v="UK"/>
    <x v="5"/>
    <x v="0"/>
    <x v="3"/>
    <s v="Consistent"/>
    <x v="0"/>
  </r>
  <r>
    <x v="932"/>
    <x v="0"/>
    <x v="863"/>
    <n v="1117735790"/>
    <n v="752.61"/>
    <s v="UK pounds"/>
    <s v="UK pounds"/>
    <x v="0"/>
    <s v="UK"/>
    <x v="0"/>
    <x v="0"/>
    <x v="0"/>
    <s v="Consistent"/>
    <x v="0"/>
  </r>
  <r>
    <x v="933"/>
    <x v="0"/>
    <x v="864"/>
    <n v="5748489103"/>
    <n v="11278.46"/>
    <s v="UK pounds"/>
    <s v="UK pounds"/>
    <x v="0"/>
    <s v="UK"/>
    <x v="2"/>
    <x v="0"/>
    <x v="4"/>
    <s v="Consistent"/>
    <x v="0"/>
  </r>
  <r>
    <x v="934"/>
    <x v="0"/>
    <x v="81"/>
    <n v="4135708880"/>
    <n v="7782.37"/>
    <s v="UK pounds"/>
    <s v="UK pounds"/>
    <x v="0"/>
    <s v="UK"/>
    <x v="3"/>
    <x v="0"/>
    <x v="1"/>
    <s v="Consistent"/>
    <x v="0"/>
  </r>
  <r>
    <x v="935"/>
    <x v="0"/>
    <x v="865"/>
    <n v="4967318432"/>
    <n v="470.71"/>
    <s v="UK pounds"/>
    <s v="UK pounds"/>
    <x v="0"/>
    <s v="UK"/>
    <x v="4"/>
    <x v="0"/>
    <x v="2"/>
    <s v="Consistent"/>
    <x v="0"/>
  </r>
  <r>
    <x v="936"/>
    <x v="0"/>
    <x v="866"/>
    <n v="1316458123"/>
    <n v="6451.27"/>
    <s v="UK pounds"/>
    <s v="Mexican Peso"/>
    <x v="0"/>
    <s v="Mexico"/>
    <x v="1"/>
    <x v="0"/>
    <x v="3"/>
    <s v="Potential Layering"/>
    <x v="0"/>
  </r>
  <r>
    <x v="937"/>
    <x v="0"/>
    <x v="34"/>
    <n v="2392468436"/>
    <n v="15873.34"/>
    <s v="UK pounds"/>
    <s v="UK pounds"/>
    <x v="0"/>
    <s v="UK"/>
    <x v="4"/>
    <x v="0"/>
    <x v="1"/>
    <s v="Consistent"/>
    <x v="0"/>
  </r>
  <r>
    <x v="938"/>
    <x v="0"/>
    <x v="867"/>
    <n v="7715749367"/>
    <n v="788.4"/>
    <s v="UK pounds"/>
    <s v="UK pounds"/>
    <x v="0"/>
    <s v="UK"/>
    <x v="4"/>
    <x v="0"/>
    <x v="2"/>
    <s v="Consistent"/>
    <x v="0"/>
  </r>
  <r>
    <x v="939"/>
    <x v="0"/>
    <x v="868"/>
    <n v="6646502650"/>
    <n v="8451.6299999999992"/>
    <s v="UK pounds"/>
    <s v="Euro"/>
    <x v="0"/>
    <s v="France"/>
    <x v="1"/>
    <x v="0"/>
    <x v="3"/>
    <s v="Potential Layering"/>
    <x v="0"/>
  </r>
  <r>
    <x v="940"/>
    <x v="0"/>
    <x v="869"/>
    <n v="6077418943"/>
    <n v="373.49"/>
    <s v="UK pounds"/>
    <s v="UK pounds"/>
    <x v="0"/>
    <s v="UK"/>
    <x v="4"/>
    <x v="0"/>
    <x v="2"/>
    <s v="Consistent"/>
    <x v="0"/>
  </r>
  <r>
    <x v="941"/>
    <x v="0"/>
    <x v="870"/>
    <n v="6034997194"/>
    <n v="7061.09"/>
    <s v="UK pounds"/>
    <s v="UK pounds"/>
    <x v="0"/>
    <s v="UK"/>
    <x v="3"/>
    <x v="0"/>
    <x v="3"/>
    <s v="Consistent"/>
    <x v="0"/>
  </r>
  <r>
    <x v="942"/>
    <x v="0"/>
    <x v="871"/>
    <n v="1465487567"/>
    <n v="7266.37"/>
    <s v="UK pounds"/>
    <s v="UK pounds"/>
    <x v="0"/>
    <s v="UK"/>
    <x v="5"/>
    <x v="0"/>
    <x v="3"/>
    <s v="Consistent"/>
    <x v="0"/>
  </r>
  <r>
    <x v="943"/>
    <x v="0"/>
    <x v="872"/>
    <n v="3339772548"/>
    <n v="118.83"/>
    <s v="UK pounds"/>
    <s v="Euro"/>
    <x v="0"/>
    <s v="Netherlands"/>
    <x v="1"/>
    <x v="0"/>
    <x v="5"/>
    <s v="Potential Layering"/>
    <x v="0"/>
  </r>
  <r>
    <x v="944"/>
    <x v="0"/>
    <x v="873"/>
    <n v="1316458123"/>
    <n v="12801.57"/>
    <s v="UK pounds"/>
    <s v="Mexican Peso"/>
    <x v="0"/>
    <s v="Mexico"/>
    <x v="1"/>
    <x v="0"/>
    <x v="3"/>
    <s v="Potential Layering"/>
    <x v="0"/>
  </r>
  <r>
    <x v="945"/>
    <x v="0"/>
    <x v="874"/>
    <n v="8804997596"/>
    <n v="5851.03"/>
    <s v="UK pounds"/>
    <s v="UK pounds"/>
    <x v="0"/>
    <s v="UK"/>
    <x v="2"/>
    <x v="0"/>
    <x v="2"/>
    <s v="Consistent"/>
    <x v="0"/>
  </r>
  <r>
    <x v="946"/>
    <x v="0"/>
    <x v="68"/>
    <n v="5660302132"/>
    <n v="5083.33"/>
    <s v="UK pounds"/>
    <s v="UK pounds"/>
    <x v="0"/>
    <s v="UK"/>
    <x v="5"/>
    <x v="0"/>
    <x v="1"/>
    <s v="Consistent"/>
    <x v="0"/>
  </r>
  <r>
    <x v="947"/>
    <x v="0"/>
    <x v="875"/>
    <n v="1531726841"/>
    <n v="60.08"/>
    <s v="UK pounds"/>
    <s v="UK pounds"/>
    <x v="0"/>
    <s v="UK"/>
    <x v="6"/>
    <x v="0"/>
    <x v="5"/>
    <s v="Consistent"/>
    <x v="0"/>
  </r>
  <r>
    <x v="948"/>
    <x v="0"/>
    <x v="350"/>
    <n v="3695545812"/>
    <n v="4890.95"/>
    <s v="UK pounds"/>
    <s v="UK pounds"/>
    <x v="0"/>
    <s v="UK"/>
    <x v="5"/>
    <x v="0"/>
    <x v="3"/>
    <s v="Consistent"/>
    <x v="0"/>
  </r>
  <r>
    <x v="949"/>
    <x v="0"/>
    <x v="876"/>
    <n v="791543661"/>
    <n v="718.79"/>
    <s v="UK pounds"/>
    <s v="UK pounds"/>
    <x v="0"/>
    <s v="UK"/>
    <x v="5"/>
    <x v="0"/>
    <x v="2"/>
    <s v="Consistent"/>
    <x v="0"/>
  </r>
  <r>
    <x v="950"/>
    <x v="0"/>
    <x v="210"/>
    <n v="8140432476"/>
    <n v="7878.22"/>
    <s v="UK pounds"/>
    <s v="UK pounds"/>
    <x v="0"/>
    <s v="UK"/>
    <x v="3"/>
    <x v="0"/>
    <x v="1"/>
    <s v="Consistent"/>
    <x v="0"/>
  </r>
  <r>
    <x v="951"/>
    <x v="0"/>
    <x v="68"/>
    <n v="7505089539"/>
    <n v="8475.6299999999992"/>
    <s v="UK pounds"/>
    <s v="UK pounds"/>
    <x v="0"/>
    <s v="UK"/>
    <x v="4"/>
    <x v="0"/>
    <x v="1"/>
    <s v="Consistent"/>
    <x v="0"/>
  </r>
  <r>
    <x v="952"/>
    <x v="0"/>
    <x v="877"/>
    <n v="8589673226"/>
    <n v="399.25"/>
    <s v="UK pounds"/>
    <s v="UK pounds"/>
    <x v="0"/>
    <s v="UK"/>
    <x v="3"/>
    <x v="0"/>
    <x v="2"/>
    <s v="Consistent"/>
    <x v="0"/>
  </r>
  <r>
    <x v="953"/>
    <x v="0"/>
    <x v="878"/>
    <n v="3690749166"/>
    <n v="613.41"/>
    <s v="UK pounds"/>
    <s v="UK pounds"/>
    <x v="0"/>
    <s v="UK"/>
    <x v="4"/>
    <x v="0"/>
    <x v="2"/>
    <s v="Consistent"/>
    <x v="0"/>
  </r>
  <r>
    <x v="954"/>
    <x v="0"/>
    <x v="879"/>
    <n v="5858369125"/>
    <n v="6855.15"/>
    <s v="UK pounds"/>
    <s v="UK pounds"/>
    <x v="0"/>
    <s v="UK"/>
    <x v="2"/>
    <x v="0"/>
    <x v="3"/>
    <s v="Consistent"/>
    <x v="0"/>
  </r>
  <r>
    <x v="955"/>
    <x v="0"/>
    <x v="61"/>
    <n v="9982628328"/>
    <n v="7257.23"/>
    <s v="UK pounds"/>
    <s v="UK pounds"/>
    <x v="0"/>
    <s v="UK"/>
    <x v="3"/>
    <x v="0"/>
    <x v="1"/>
    <s v="Consistent"/>
    <x v="0"/>
  </r>
  <r>
    <x v="956"/>
    <x v="0"/>
    <x v="317"/>
    <n v="5466123934"/>
    <n v="7896.44"/>
    <s v="UK pounds"/>
    <s v="UK pounds"/>
    <x v="0"/>
    <s v="UK"/>
    <x v="2"/>
    <x v="0"/>
    <x v="3"/>
    <s v="Consistent"/>
    <x v="0"/>
  </r>
  <r>
    <x v="957"/>
    <x v="0"/>
    <x v="880"/>
    <n v="5097110343"/>
    <n v="10007.41"/>
    <s v="UK pounds"/>
    <s v="UK pounds"/>
    <x v="0"/>
    <s v="UK"/>
    <x v="2"/>
    <x v="0"/>
    <x v="2"/>
    <s v="Consistent"/>
    <x v="0"/>
  </r>
  <r>
    <x v="958"/>
    <x v="0"/>
    <x v="881"/>
    <n v="8953782028"/>
    <n v="944.5"/>
    <s v="UK pounds"/>
    <s v="UK pounds"/>
    <x v="0"/>
    <s v="UK"/>
    <x v="5"/>
    <x v="0"/>
    <x v="2"/>
    <s v="Consistent"/>
    <x v="0"/>
  </r>
  <r>
    <x v="959"/>
    <x v="0"/>
    <x v="745"/>
    <n v="5466123934"/>
    <n v="8402.32"/>
    <s v="UK pounds"/>
    <s v="UK pounds"/>
    <x v="0"/>
    <s v="UK"/>
    <x v="3"/>
    <x v="0"/>
    <x v="3"/>
    <s v="Consistent"/>
    <x v="0"/>
  </r>
  <r>
    <x v="960"/>
    <x v="0"/>
    <x v="882"/>
    <n v="6562641535"/>
    <n v="2460.71"/>
    <s v="UK pounds"/>
    <s v="UK pounds"/>
    <x v="0"/>
    <s v="UK"/>
    <x v="4"/>
    <x v="0"/>
    <x v="2"/>
    <s v="Consistent"/>
    <x v="0"/>
  </r>
  <r>
    <x v="961"/>
    <x v="0"/>
    <x v="883"/>
    <n v="2512444633"/>
    <n v="2931.94"/>
    <s v="UK pounds"/>
    <s v="UK pounds"/>
    <x v="0"/>
    <s v="UK"/>
    <x v="4"/>
    <x v="0"/>
    <x v="2"/>
    <s v="Consistent"/>
    <x v="0"/>
  </r>
  <r>
    <x v="962"/>
    <x v="0"/>
    <x v="228"/>
    <n v="6444220418"/>
    <n v="9536.5300000000007"/>
    <s v="UK pounds"/>
    <s v="UK pounds"/>
    <x v="0"/>
    <s v="UK"/>
    <x v="4"/>
    <x v="0"/>
    <x v="3"/>
    <s v="Consistent"/>
    <x v="0"/>
  </r>
  <r>
    <x v="963"/>
    <x v="0"/>
    <x v="884"/>
    <n v="7311790898"/>
    <n v="154.1"/>
    <s v="UK pounds"/>
    <s v="UK pounds"/>
    <x v="0"/>
    <s v="UK"/>
    <x v="5"/>
    <x v="0"/>
    <x v="2"/>
    <s v="Consistent"/>
    <x v="0"/>
  </r>
  <r>
    <x v="963"/>
    <x v="0"/>
    <x v="885"/>
    <n v="7080357663"/>
    <n v="13780.22"/>
    <s v="UK pounds"/>
    <s v="UK pounds"/>
    <x v="0"/>
    <s v="UK"/>
    <x v="5"/>
    <x v="0"/>
    <x v="3"/>
    <s v="Consistent"/>
    <x v="0"/>
  </r>
  <r>
    <x v="963"/>
    <x v="0"/>
    <x v="886"/>
    <n v="8323355303"/>
    <n v="1478.61"/>
    <s v="UK pounds"/>
    <s v="UK pounds"/>
    <x v="0"/>
    <s v="UK"/>
    <x v="3"/>
    <x v="0"/>
    <x v="4"/>
    <s v="Consistent"/>
    <x v="0"/>
  </r>
  <r>
    <x v="964"/>
    <x v="0"/>
    <x v="887"/>
    <n v="8944568728"/>
    <n v="26766.03"/>
    <s v="UK pounds"/>
    <s v="UK pounds"/>
    <x v="0"/>
    <s v="UK"/>
    <x v="5"/>
    <x v="0"/>
    <x v="2"/>
    <s v="Consistent"/>
    <x v="0"/>
  </r>
  <r>
    <x v="965"/>
    <x v="0"/>
    <x v="888"/>
    <n v="8673917867"/>
    <n v="8321.74"/>
    <s v="UK pounds"/>
    <s v="UK pounds"/>
    <x v="0"/>
    <s v="UK"/>
    <x v="2"/>
    <x v="0"/>
    <x v="3"/>
    <s v="Consistent"/>
    <x v="0"/>
  </r>
  <r>
    <x v="966"/>
    <x v="0"/>
    <x v="889"/>
    <n v="8617716810"/>
    <n v="2264.23"/>
    <s v="UK pounds"/>
    <s v="UK pounds"/>
    <x v="0"/>
    <s v="UK"/>
    <x v="2"/>
    <x v="0"/>
    <x v="4"/>
    <s v="Consistent"/>
    <x v="0"/>
  </r>
  <r>
    <x v="967"/>
    <x v="0"/>
    <x v="890"/>
    <n v="8656044056"/>
    <n v="2217.73"/>
    <s v="UK pounds"/>
    <s v="UK pounds"/>
    <x v="0"/>
    <s v="UK"/>
    <x v="3"/>
    <x v="0"/>
    <x v="2"/>
    <s v="Consistent"/>
    <x v="0"/>
  </r>
  <r>
    <x v="968"/>
    <x v="0"/>
    <x v="414"/>
    <n v="5103043844"/>
    <n v="7367.11"/>
    <s v="UK pounds"/>
    <s v="Naira"/>
    <x v="0"/>
    <s v="Nigeria"/>
    <x v="1"/>
    <x v="0"/>
    <x v="3"/>
    <s v="Potential Layering"/>
    <x v="0"/>
  </r>
  <r>
    <x v="969"/>
    <x v="0"/>
    <x v="891"/>
    <n v="7388995962"/>
    <n v="772.84"/>
    <s v="UK pounds"/>
    <s v="UK pounds"/>
    <x v="0"/>
    <s v="UK"/>
    <x v="3"/>
    <x v="0"/>
    <x v="2"/>
    <s v="Consistent"/>
    <x v="0"/>
  </r>
  <r>
    <x v="970"/>
    <x v="0"/>
    <x v="634"/>
    <n v="8172080174"/>
    <n v="5594"/>
    <s v="UK pounds"/>
    <s v="UK pounds"/>
    <x v="0"/>
    <s v="UK"/>
    <x v="4"/>
    <x v="0"/>
    <x v="3"/>
    <s v="Consistent"/>
    <x v="0"/>
  </r>
  <r>
    <x v="971"/>
    <x v="0"/>
    <x v="892"/>
    <n v="8518184956"/>
    <n v="7499.42"/>
    <s v="UK pounds"/>
    <s v="UK pounds"/>
    <x v="0"/>
    <s v="UK"/>
    <x v="2"/>
    <x v="0"/>
    <x v="3"/>
    <s v="Consistent"/>
    <x v="0"/>
  </r>
  <r>
    <x v="972"/>
    <x v="0"/>
    <x v="35"/>
    <n v="1625701030"/>
    <n v="6276.88"/>
    <s v="UK pounds"/>
    <s v="UK pounds"/>
    <x v="0"/>
    <s v="UK"/>
    <x v="3"/>
    <x v="0"/>
    <x v="1"/>
    <s v="Consistent"/>
    <x v="0"/>
  </r>
  <r>
    <x v="973"/>
    <x v="0"/>
    <x v="893"/>
    <n v="2191071426"/>
    <n v="1942.78"/>
    <s v="UK pounds"/>
    <s v="UK pounds"/>
    <x v="0"/>
    <s v="UK"/>
    <x v="5"/>
    <x v="0"/>
    <x v="2"/>
    <s v="Consistent"/>
    <x v="0"/>
  </r>
  <r>
    <x v="974"/>
    <x v="0"/>
    <x v="894"/>
    <n v="3163618355"/>
    <n v="12554.48"/>
    <s v="UK pounds"/>
    <s v="UK pounds"/>
    <x v="0"/>
    <s v="UK"/>
    <x v="4"/>
    <x v="0"/>
    <x v="2"/>
    <s v="Consistent"/>
    <x v="0"/>
  </r>
  <r>
    <x v="974"/>
    <x v="0"/>
    <x v="466"/>
    <n v="7080357663"/>
    <n v="5907.95"/>
    <s v="UK pounds"/>
    <s v="UK pounds"/>
    <x v="0"/>
    <s v="UK"/>
    <x v="2"/>
    <x v="0"/>
    <x v="3"/>
    <s v="Consistent"/>
    <x v="0"/>
  </r>
  <r>
    <x v="975"/>
    <x v="0"/>
    <x v="161"/>
    <n v="8430883282"/>
    <n v="4968.6099999999997"/>
    <s v="UK pounds"/>
    <s v="Mexican Peso"/>
    <x v="0"/>
    <s v="Mexico"/>
    <x v="1"/>
    <x v="0"/>
    <x v="1"/>
    <s v="Potential Layering"/>
    <x v="0"/>
  </r>
  <r>
    <x v="976"/>
    <x v="0"/>
    <x v="895"/>
    <n v="1431561040"/>
    <n v="12170.92"/>
    <s v="UK pounds"/>
    <s v="UK pounds"/>
    <x v="0"/>
    <s v="UK"/>
    <x v="2"/>
    <x v="0"/>
    <x v="3"/>
    <s v="Consistent"/>
    <x v="0"/>
  </r>
  <r>
    <x v="976"/>
    <x v="0"/>
    <x v="859"/>
    <n v="6444220418"/>
    <n v="8138.3"/>
    <s v="UK pounds"/>
    <s v="UK pounds"/>
    <x v="0"/>
    <s v="UK"/>
    <x v="4"/>
    <x v="0"/>
    <x v="3"/>
    <s v="Consistent"/>
    <x v="0"/>
  </r>
  <r>
    <x v="976"/>
    <x v="0"/>
    <x v="896"/>
    <n v="9880450680"/>
    <n v="551.16"/>
    <s v="UK pounds"/>
    <s v="UK pounds"/>
    <x v="0"/>
    <s v="UK"/>
    <x v="4"/>
    <x v="0"/>
    <x v="2"/>
    <s v="Consistent"/>
    <x v="0"/>
  </r>
  <r>
    <x v="977"/>
    <x v="0"/>
    <x v="897"/>
    <n v="2192295697"/>
    <n v="797.33"/>
    <s v="UK pounds"/>
    <s v="UK pounds"/>
    <x v="0"/>
    <s v="UK"/>
    <x v="0"/>
    <x v="0"/>
    <x v="0"/>
    <s v="Consistent"/>
    <x v="0"/>
  </r>
  <r>
    <x v="978"/>
    <x v="0"/>
    <x v="898"/>
    <n v="1783791298"/>
    <n v="288.11"/>
    <s v="UK pounds"/>
    <s v="UK pounds"/>
    <x v="0"/>
    <s v="UK"/>
    <x v="2"/>
    <x v="0"/>
    <x v="2"/>
    <s v="Consistent"/>
    <x v="0"/>
  </r>
  <r>
    <x v="978"/>
    <x v="0"/>
    <x v="619"/>
    <n v="5628674969"/>
    <n v="7401.24"/>
    <s v="UK pounds"/>
    <s v="UK pounds"/>
    <x v="0"/>
    <s v="UK"/>
    <x v="2"/>
    <x v="0"/>
    <x v="3"/>
    <s v="Consistent"/>
    <x v="0"/>
  </r>
  <r>
    <x v="979"/>
    <x v="0"/>
    <x v="899"/>
    <n v="1320927231"/>
    <n v="9660.19"/>
    <s v="UK pounds"/>
    <s v="UK pounds"/>
    <x v="0"/>
    <s v="UK"/>
    <x v="3"/>
    <x v="0"/>
    <x v="3"/>
    <s v="Consistent"/>
    <x v="0"/>
  </r>
  <r>
    <x v="980"/>
    <x v="0"/>
    <x v="900"/>
    <n v="9282684202"/>
    <n v="1559.14"/>
    <s v="UK pounds"/>
    <s v="UK pounds"/>
    <x v="0"/>
    <s v="UK"/>
    <x v="5"/>
    <x v="0"/>
    <x v="2"/>
    <s v="Consistent"/>
    <x v="0"/>
  </r>
  <r>
    <x v="981"/>
    <x v="0"/>
    <x v="901"/>
    <n v="4383827460"/>
    <n v="1043.23"/>
    <s v="UK pounds"/>
    <s v="UK pounds"/>
    <x v="0"/>
    <s v="UK"/>
    <x v="2"/>
    <x v="0"/>
    <x v="2"/>
    <s v="Consistent"/>
    <x v="0"/>
  </r>
  <r>
    <x v="982"/>
    <x v="0"/>
    <x v="902"/>
    <n v="5216531044"/>
    <n v="4544.4799999999996"/>
    <s v="UK pounds"/>
    <s v="UK pounds"/>
    <x v="0"/>
    <s v="UK"/>
    <x v="5"/>
    <x v="0"/>
    <x v="4"/>
    <s v="Consistent"/>
    <x v="0"/>
  </r>
  <r>
    <x v="983"/>
    <x v="0"/>
    <x v="46"/>
    <n v="9491670243"/>
    <n v="9663.1299999999992"/>
    <s v="UK pounds"/>
    <s v="UK pounds"/>
    <x v="0"/>
    <s v="UK"/>
    <x v="2"/>
    <x v="0"/>
    <x v="1"/>
    <s v="Consistent"/>
    <x v="0"/>
  </r>
  <r>
    <x v="984"/>
    <x v="0"/>
    <x v="68"/>
    <n v="6000485397"/>
    <n v="9352.2099999999991"/>
    <s v="UK pounds"/>
    <s v="UK pounds"/>
    <x v="0"/>
    <s v="UK"/>
    <x v="4"/>
    <x v="0"/>
    <x v="1"/>
    <s v="Consistent"/>
    <x v="0"/>
  </r>
  <r>
    <x v="985"/>
    <x v="0"/>
    <x v="903"/>
    <n v="3606734702"/>
    <n v="6296.7"/>
    <s v="UK pounds"/>
    <s v="UK pounds"/>
    <x v="0"/>
    <s v="UK"/>
    <x v="2"/>
    <x v="0"/>
    <x v="4"/>
    <s v="Consistent"/>
    <x v="0"/>
  </r>
  <r>
    <x v="986"/>
    <x v="0"/>
    <x v="904"/>
    <n v="9852654030"/>
    <n v="2196.2199999999998"/>
    <s v="UK pounds"/>
    <s v="UK pounds"/>
    <x v="0"/>
    <s v="UK"/>
    <x v="5"/>
    <x v="0"/>
    <x v="2"/>
    <s v="Consistent"/>
    <x v="0"/>
  </r>
  <r>
    <x v="986"/>
    <x v="0"/>
    <x v="905"/>
    <n v="81382229"/>
    <n v="2986.62"/>
    <s v="UK pounds"/>
    <s v="UK pounds"/>
    <x v="0"/>
    <s v="UK"/>
    <x v="3"/>
    <x v="0"/>
    <x v="2"/>
    <s v="Consistent"/>
    <x v="0"/>
  </r>
  <r>
    <x v="987"/>
    <x v="0"/>
    <x v="426"/>
    <n v="4336977506"/>
    <n v="5935.86"/>
    <s v="UK pounds"/>
    <s v="UK pounds"/>
    <x v="0"/>
    <s v="UK"/>
    <x v="2"/>
    <x v="0"/>
    <x v="3"/>
    <s v="Consistent"/>
    <x v="0"/>
  </r>
  <r>
    <x v="988"/>
    <x v="0"/>
    <x v="906"/>
    <n v="4316483340"/>
    <n v="106.04"/>
    <s v="UK pounds"/>
    <s v="Indian rupee"/>
    <x v="0"/>
    <s v="India"/>
    <x v="6"/>
    <x v="1"/>
    <x v="12"/>
    <s v="Potential Layering"/>
    <x v="0"/>
  </r>
  <r>
    <x v="989"/>
    <x v="0"/>
    <x v="34"/>
    <n v="3009426762"/>
    <n v="5449.2"/>
    <s v="UK pounds"/>
    <s v="UK pounds"/>
    <x v="0"/>
    <s v="UK"/>
    <x v="3"/>
    <x v="0"/>
    <x v="1"/>
    <s v="Consistent"/>
    <x v="0"/>
  </r>
  <r>
    <x v="989"/>
    <x v="0"/>
    <x v="907"/>
    <n v="6034997194"/>
    <n v="5357.08"/>
    <s v="UK pounds"/>
    <s v="UK pounds"/>
    <x v="0"/>
    <s v="UK"/>
    <x v="5"/>
    <x v="0"/>
    <x v="3"/>
    <s v="Consistent"/>
    <x v="0"/>
  </r>
  <r>
    <x v="989"/>
    <x v="0"/>
    <x v="472"/>
    <n v="2534644942"/>
    <n v="13176.52"/>
    <s v="UK pounds"/>
    <s v="Euro"/>
    <x v="0"/>
    <s v="France"/>
    <x v="1"/>
    <x v="0"/>
    <x v="3"/>
    <s v="Potential Layering"/>
    <x v="0"/>
  </r>
  <r>
    <x v="990"/>
    <x v="0"/>
    <x v="908"/>
    <n v="5858369125"/>
    <n v="8762"/>
    <s v="UK pounds"/>
    <s v="UK pounds"/>
    <x v="0"/>
    <s v="UK"/>
    <x v="3"/>
    <x v="0"/>
    <x v="3"/>
    <s v="Consistent"/>
    <x v="0"/>
  </r>
  <r>
    <x v="991"/>
    <x v="0"/>
    <x v="163"/>
    <n v="7142479189"/>
    <n v="24530.9"/>
    <s v="UK pounds"/>
    <s v="UK pounds"/>
    <x v="0"/>
    <s v="UK"/>
    <x v="5"/>
    <x v="0"/>
    <x v="1"/>
    <s v="Consistent"/>
    <x v="0"/>
  </r>
  <r>
    <x v="992"/>
    <x v="0"/>
    <x v="909"/>
    <n v="7160736915"/>
    <n v="5094.28"/>
    <s v="UK pounds"/>
    <s v="UK pounds"/>
    <x v="0"/>
    <s v="UK"/>
    <x v="2"/>
    <x v="0"/>
    <x v="3"/>
    <s v="Consistent"/>
    <x v="0"/>
  </r>
  <r>
    <x v="993"/>
    <x v="0"/>
    <x v="910"/>
    <n v="7080357663"/>
    <n v="12284.06"/>
    <s v="UK pounds"/>
    <s v="UK pounds"/>
    <x v="0"/>
    <s v="UK"/>
    <x v="2"/>
    <x v="0"/>
    <x v="3"/>
    <s v="Consistent"/>
    <x v="0"/>
  </r>
  <r>
    <x v="994"/>
    <x v="0"/>
    <x v="124"/>
    <n v="3546968911"/>
    <n v="5068.46"/>
    <s v="UK pounds"/>
    <s v="Euro"/>
    <x v="0"/>
    <s v="Germany"/>
    <x v="1"/>
    <x v="0"/>
    <x v="1"/>
    <s v="Potential Layering"/>
    <x v="0"/>
  </r>
  <r>
    <x v="995"/>
    <x v="0"/>
    <x v="193"/>
    <n v="4270865741"/>
    <n v="6234.9"/>
    <s v="UK pounds"/>
    <s v="UK pounds"/>
    <x v="0"/>
    <s v="UK"/>
    <x v="3"/>
    <x v="0"/>
    <x v="3"/>
    <s v="Consistent"/>
    <x v="0"/>
  </r>
  <r>
    <x v="996"/>
    <x v="0"/>
    <x v="911"/>
    <n v="8678802420"/>
    <n v="7868.71"/>
    <s v="UK pounds"/>
    <s v="UK pounds"/>
    <x v="0"/>
    <s v="UK"/>
    <x v="3"/>
    <x v="0"/>
    <x v="3"/>
    <s v="Consistent"/>
    <x v="0"/>
  </r>
  <r>
    <x v="997"/>
    <x v="0"/>
    <x v="912"/>
    <n v="3205718917"/>
    <n v="9844.27"/>
    <s v="UK pounds"/>
    <s v="UK pounds"/>
    <x v="0"/>
    <s v="UK"/>
    <x v="4"/>
    <x v="0"/>
    <x v="2"/>
    <s v="Consistent"/>
    <x v="0"/>
  </r>
  <r>
    <x v="998"/>
    <x v="0"/>
    <x v="913"/>
    <n v="9673253200"/>
    <n v="846.67"/>
    <s v="UK pounds"/>
    <s v="UK pounds"/>
    <x v="0"/>
    <s v="UK"/>
    <x v="5"/>
    <x v="0"/>
    <x v="4"/>
    <s v="Consistent"/>
    <x v="0"/>
  </r>
  <r>
    <x v="999"/>
    <x v="0"/>
    <x v="914"/>
    <n v="2224626267"/>
    <n v="325.20999999999998"/>
    <s v="UK pounds"/>
    <s v="UK pounds"/>
    <x v="0"/>
    <s v="UK"/>
    <x v="6"/>
    <x v="0"/>
    <x v="5"/>
    <s v="Consistent"/>
    <x v="0"/>
  </r>
  <r>
    <x v="999"/>
    <x v="0"/>
    <x v="1"/>
    <n v="3755103279"/>
    <n v="7340.98"/>
    <s v="UK pounds"/>
    <s v="UK pounds"/>
    <x v="0"/>
    <s v="UK"/>
    <x v="3"/>
    <x v="0"/>
    <x v="1"/>
    <s v="Consistent"/>
    <x v="0"/>
  </r>
  <r>
    <x v="1000"/>
    <x v="0"/>
    <x v="470"/>
    <n v="5628674969"/>
    <n v="9593.82"/>
    <s v="UK pounds"/>
    <s v="UK pounds"/>
    <x v="0"/>
    <s v="UK"/>
    <x v="4"/>
    <x v="0"/>
    <x v="3"/>
    <s v="Consistent"/>
    <x v="0"/>
  </r>
  <r>
    <x v="1001"/>
    <x v="0"/>
    <x v="915"/>
    <n v="1616215875"/>
    <n v="3188.32"/>
    <s v="UK pounds"/>
    <s v="UK pounds"/>
    <x v="0"/>
    <s v="UK"/>
    <x v="3"/>
    <x v="0"/>
    <x v="4"/>
    <s v="Consistent"/>
    <x v="0"/>
  </r>
  <r>
    <x v="1002"/>
    <x v="0"/>
    <x v="916"/>
    <n v="7080357663"/>
    <n v="19924.47"/>
    <s v="UK pounds"/>
    <s v="UK pounds"/>
    <x v="0"/>
    <s v="UK"/>
    <x v="5"/>
    <x v="0"/>
    <x v="3"/>
    <s v="Consistent"/>
    <x v="0"/>
  </r>
  <r>
    <x v="1003"/>
    <x v="0"/>
    <x v="917"/>
    <n v="1123187068"/>
    <n v="15057.3"/>
    <s v="UK pounds"/>
    <s v="UK pounds"/>
    <x v="0"/>
    <s v="UK"/>
    <x v="3"/>
    <x v="0"/>
    <x v="2"/>
    <s v="Consistent"/>
    <x v="0"/>
  </r>
  <r>
    <x v="1004"/>
    <x v="0"/>
    <x v="918"/>
    <n v="2617387410"/>
    <n v="484.35"/>
    <s v="UK pounds"/>
    <s v="UK pounds"/>
    <x v="0"/>
    <s v="UK"/>
    <x v="0"/>
    <x v="0"/>
    <x v="0"/>
    <s v="Consistent"/>
    <x v="0"/>
  </r>
  <r>
    <x v="1005"/>
    <x v="0"/>
    <x v="919"/>
    <n v="6844017836"/>
    <n v="277.18"/>
    <s v="UK pounds"/>
    <s v="UK pounds"/>
    <x v="0"/>
    <s v="UK"/>
    <x v="6"/>
    <x v="0"/>
    <x v="5"/>
    <s v="Consistent"/>
    <x v="0"/>
  </r>
  <r>
    <x v="1006"/>
    <x v="0"/>
    <x v="920"/>
    <n v="5363117119"/>
    <n v="9663.48"/>
    <s v="UK pounds"/>
    <s v="UK pounds"/>
    <x v="0"/>
    <s v="UK"/>
    <x v="4"/>
    <x v="0"/>
    <x v="3"/>
    <s v="Consistent"/>
    <x v="0"/>
  </r>
  <r>
    <x v="1007"/>
    <x v="0"/>
    <x v="921"/>
    <n v="1197393451"/>
    <n v="7551.01"/>
    <s v="UK pounds"/>
    <s v="UK pounds"/>
    <x v="0"/>
    <s v="UK"/>
    <x v="2"/>
    <x v="0"/>
    <x v="2"/>
    <s v="Consistent"/>
    <x v="0"/>
  </r>
  <r>
    <x v="1008"/>
    <x v="0"/>
    <x v="51"/>
    <n v="3031188286"/>
    <n v="11864.26"/>
    <s v="UK pounds"/>
    <s v="UK pounds"/>
    <x v="0"/>
    <s v="UK"/>
    <x v="3"/>
    <x v="0"/>
    <x v="1"/>
    <s v="Consistent"/>
    <x v="0"/>
  </r>
  <r>
    <x v="1009"/>
    <x v="0"/>
    <x v="195"/>
    <n v="1020934931"/>
    <n v="5220.4799999999996"/>
    <s v="UK pounds"/>
    <s v="UK pounds"/>
    <x v="0"/>
    <s v="UK"/>
    <x v="5"/>
    <x v="0"/>
    <x v="1"/>
    <s v="Consistent"/>
    <x v="0"/>
  </r>
  <r>
    <x v="1010"/>
    <x v="0"/>
    <x v="922"/>
    <n v="2794147563"/>
    <n v="903.89"/>
    <s v="UK pounds"/>
    <s v="UK pounds"/>
    <x v="0"/>
    <s v="UK"/>
    <x v="2"/>
    <x v="0"/>
    <x v="2"/>
    <s v="Consistent"/>
    <x v="0"/>
  </r>
  <r>
    <x v="1011"/>
    <x v="0"/>
    <x v="923"/>
    <n v="1726639525"/>
    <n v="2938.4"/>
    <s v="UK pounds"/>
    <s v="UK pounds"/>
    <x v="0"/>
    <s v="UK"/>
    <x v="0"/>
    <x v="0"/>
    <x v="0"/>
    <s v="Consistent"/>
    <x v="0"/>
  </r>
  <r>
    <x v="1011"/>
    <x v="0"/>
    <x v="924"/>
    <n v="6945267083"/>
    <n v="8563.7199999999993"/>
    <s v="UK pounds"/>
    <s v="UK pounds"/>
    <x v="0"/>
    <s v="UK"/>
    <x v="2"/>
    <x v="0"/>
    <x v="2"/>
    <s v="Consistent"/>
    <x v="0"/>
  </r>
  <r>
    <x v="1012"/>
    <x v="0"/>
    <x v="925"/>
    <n v="5103043844"/>
    <n v="10634.57"/>
    <s v="UK pounds"/>
    <s v="Naira"/>
    <x v="0"/>
    <s v="Nigeria"/>
    <x v="1"/>
    <x v="0"/>
    <x v="3"/>
    <s v="Potential Layering"/>
    <x v="0"/>
  </r>
  <r>
    <x v="1013"/>
    <x v="0"/>
    <x v="926"/>
    <n v="497786955"/>
    <n v="6673.92"/>
    <s v="UK pounds"/>
    <s v="Indian rupee"/>
    <x v="0"/>
    <s v="India"/>
    <x v="1"/>
    <x v="0"/>
    <x v="2"/>
    <s v="Potential Layering"/>
    <x v="0"/>
  </r>
  <r>
    <x v="1014"/>
    <x v="0"/>
    <x v="927"/>
    <n v="2284498805"/>
    <n v="4473.7"/>
    <s v="UK pounds"/>
    <s v="UK pounds"/>
    <x v="0"/>
    <s v="UK"/>
    <x v="2"/>
    <x v="0"/>
    <x v="4"/>
    <s v="Consistent"/>
    <x v="0"/>
  </r>
  <r>
    <x v="1015"/>
    <x v="0"/>
    <x v="928"/>
    <n v="6646502650"/>
    <n v="5395.01"/>
    <s v="UK pounds"/>
    <s v="Euro"/>
    <x v="0"/>
    <s v="France"/>
    <x v="1"/>
    <x v="0"/>
    <x v="3"/>
    <s v="Potential Layering"/>
    <x v="0"/>
  </r>
  <r>
    <x v="1016"/>
    <x v="0"/>
    <x v="399"/>
    <n v="1431561040"/>
    <n v="19786.349999999999"/>
    <s v="UK pounds"/>
    <s v="UK pounds"/>
    <x v="0"/>
    <s v="UK"/>
    <x v="2"/>
    <x v="0"/>
    <x v="3"/>
    <s v="Consistent"/>
    <x v="0"/>
  </r>
  <r>
    <x v="1016"/>
    <x v="0"/>
    <x v="929"/>
    <n v="8116165846"/>
    <n v="118.16"/>
    <s v="UK pounds"/>
    <s v="UK pounds"/>
    <x v="0"/>
    <s v="UK"/>
    <x v="6"/>
    <x v="0"/>
    <x v="5"/>
    <s v="Consistent"/>
    <x v="0"/>
  </r>
  <r>
    <x v="1016"/>
    <x v="0"/>
    <x v="930"/>
    <n v="668971934"/>
    <n v="1839.45"/>
    <s v="UK pounds"/>
    <s v="UK pounds"/>
    <x v="0"/>
    <s v="UK"/>
    <x v="4"/>
    <x v="0"/>
    <x v="2"/>
    <s v="Consistent"/>
    <x v="0"/>
  </r>
  <r>
    <x v="1017"/>
    <x v="0"/>
    <x v="931"/>
    <n v="5091851687"/>
    <n v="18325.75"/>
    <s v="UK pounds"/>
    <s v="UK pounds"/>
    <x v="0"/>
    <s v="UK"/>
    <x v="2"/>
    <x v="0"/>
    <x v="2"/>
    <s v="Consistent"/>
    <x v="0"/>
  </r>
  <r>
    <x v="1018"/>
    <x v="0"/>
    <x v="197"/>
    <n v="1493436023"/>
    <n v="7569.32"/>
    <s v="UK pounds"/>
    <s v="UK pounds"/>
    <x v="0"/>
    <s v="UK"/>
    <x v="5"/>
    <x v="0"/>
    <x v="3"/>
    <s v="Consistent"/>
    <x v="0"/>
  </r>
  <r>
    <x v="1019"/>
    <x v="0"/>
    <x v="932"/>
    <n v="508467541"/>
    <n v="5181.76"/>
    <s v="UK pounds"/>
    <s v="UK pounds"/>
    <x v="0"/>
    <s v="UK"/>
    <x v="5"/>
    <x v="0"/>
    <x v="2"/>
    <s v="Consistent"/>
    <x v="0"/>
  </r>
  <r>
    <x v="1020"/>
    <x v="0"/>
    <x v="933"/>
    <n v="8294852198"/>
    <n v="1200.06"/>
    <s v="UK pounds"/>
    <s v="UK pounds"/>
    <x v="0"/>
    <s v="UK"/>
    <x v="3"/>
    <x v="0"/>
    <x v="2"/>
    <s v="Consistent"/>
    <x v="0"/>
  </r>
  <r>
    <x v="1021"/>
    <x v="0"/>
    <x v="35"/>
    <n v="5975019683"/>
    <n v="187.59"/>
    <s v="UK pounds"/>
    <s v="UK pounds"/>
    <x v="0"/>
    <s v="UK"/>
    <x v="6"/>
    <x v="0"/>
    <x v="5"/>
    <s v="Consistent"/>
    <x v="0"/>
  </r>
  <r>
    <x v="1022"/>
    <x v="0"/>
    <x v="51"/>
    <n v="4447848214"/>
    <n v="8017.62"/>
    <s v="UK pounds"/>
    <s v="UK pounds"/>
    <x v="0"/>
    <s v="UK"/>
    <x v="5"/>
    <x v="0"/>
    <x v="1"/>
    <s v="Consistent"/>
    <x v="0"/>
  </r>
  <r>
    <x v="1022"/>
    <x v="0"/>
    <x v="910"/>
    <n v="7080357663"/>
    <n v="12364.14"/>
    <s v="UK pounds"/>
    <s v="UK pounds"/>
    <x v="0"/>
    <s v="UK"/>
    <x v="3"/>
    <x v="0"/>
    <x v="3"/>
    <s v="Consistent"/>
    <x v="0"/>
  </r>
  <r>
    <x v="1023"/>
    <x v="0"/>
    <x v="934"/>
    <n v="909255728"/>
    <n v="812.66"/>
    <s v="UK pounds"/>
    <s v="UK pounds"/>
    <x v="0"/>
    <s v="UK"/>
    <x v="4"/>
    <x v="0"/>
    <x v="2"/>
    <s v="Consistent"/>
    <x v="0"/>
  </r>
  <r>
    <x v="1024"/>
    <x v="0"/>
    <x v="935"/>
    <n v="4985209646"/>
    <n v="858.34"/>
    <s v="UK pounds"/>
    <s v="UK pounds"/>
    <x v="0"/>
    <s v="UK"/>
    <x v="4"/>
    <x v="0"/>
    <x v="2"/>
    <s v="Consistent"/>
    <x v="0"/>
  </r>
  <r>
    <x v="1025"/>
    <x v="0"/>
    <x v="936"/>
    <n v="5103043844"/>
    <n v="6399.51"/>
    <s v="UK pounds"/>
    <s v="Naira"/>
    <x v="0"/>
    <s v="Nigeria"/>
    <x v="1"/>
    <x v="0"/>
    <x v="3"/>
    <s v="Potential Layering"/>
    <x v="0"/>
  </r>
  <r>
    <x v="1026"/>
    <x v="0"/>
    <x v="937"/>
    <n v="2624357754"/>
    <n v="2495.9699999999998"/>
    <s v="UK pounds"/>
    <s v="UK pounds"/>
    <x v="0"/>
    <s v="UK"/>
    <x v="2"/>
    <x v="0"/>
    <x v="4"/>
    <s v="Consistent"/>
    <x v="0"/>
  </r>
  <r>
    <x v="1027"/>
    <x v="0"/>
    <x v="51"/>
    <n v="4269977194"/>
    <n v="7513.18"/>
    <s v="UK pounds"/>
    <s v="UK pounds"/>
    <x v="0"/>
    <s v="UK"/>
    <x v="5"/>
    <x v="0"/>
    <x v="1"/>
    <s v="Consistent"/>
    <x v="0"/>
  </r>
  <r>
    <x v="1028"/>
    <x v="0"/>
    <x v="938"/>
    <n v="356423482"/>
    <n v="1901.56"/>
    <s v="UK pounds"/>
    <s v="UK pounds"/>
    <x v="0"/>
    <s v="UK"/>
    <x v="3"/>
    <x v="0"/>
    <x v="2"/>
    <s v="Consistent"/>
    <x v="0"/>
  </r>
  <r>
    <x v="1029"/>
    <x v="0"/>
    <x v="939"/>
    <n v="1563211938"/>
    <n v="4687.37"/>
    <s v="UK pounds"/>
    <s v="UK pounds"/>
    <x v="0"/>
    <s v="UK"/>
    <x v="2"/>
    <x v="0"/>
    <x v="2"/>
    <s v="Consistent"/>
    <x v="0"/>
  </r>
  <r>
    <x v="1029"/>
    <x v="0"/>
    <x v="121"/>
    <n v="5858369125"/>
    <n v="21019.22"/>
    <s v="UK pounds"/>
    <s v="UK pounds"/>
    <x v="0"/>
    <s v="UK"/>
    <x v="3"/>
    <x v="0"/>
    <x v="3"/>
    <s v="Consistent"/>
    <x v="0"/>
  </r>
  <r>
    <x v="1030"/>
    <x v="0"/>
    <x v="940"/>
    <n v="5594682841"/>
    <n v="8358.5"/>
    <s v="UK pounds"/>
    <s v="UK pounds"/>
    <x v="0"/>
    <s v="UK"/>
    <x v="4"/>
    <x v="0"/>
    <x v="2"/>
    <s v="Consistent"/>
    <x v="0"/>
  </r>
  <r>
    <x v="1031"/>
    <x v="0"/>
    <x v="941"/>
    <n v="1320927231"/>
    <n v="9490.6"/>
    <s v="UK pounds"/>
    <s v="UK pounds"/>
    <x v="0"/>
    <s v="UK"/>
    <x v="3"/>
    <x v="0"/>
    <x v="3"/>
    <s v="Consistent"/>
    <x v="0"/>
  </r>
  <r>
    <x v="1031"/>
    <x v="0"/>
    <x v="68"/>
    <n v="4389103342"/>
    <n v="9438.94"/>
    <s v="UK pounds"/>
    <s v="UK pounds"/>
    <x v="0"/>
    <s v="UK"/>
    <x v="5"/>
    <x v="0"/>
    <x v="1"/>
    <s v="Consistent"/>
    <x v="0"/>
  </r>
  <r>
    <x v="1032"/>
    <x v="0"/>
    <x v="942"/>
    <n v="8078423981"/>
    <n v="20693.28"/>
    <s v="UK pounds"/>
    <s v="UK pounds"/>
    <x v="0"/>
    <s v="UK"/>
    <x v="4"/>
    <x v="0"/>
    <x v="2"/>
    <s v="Consistent"/>
    <x v="0"/>
  </r>
  <r>
    <x v="1033"/>
    <x v="0"/>
    <x v="943"/>
    <n v="5024517169"/>
    <n v="4572.71"/>
    <s v="UK pounds"/>
    <s v="UK pounds"/>
    <x v="0"/>
    <s v="UK"/>
    <x v="0"/>
    <x v="0"/>
    <x v="0"/>
    <s v="Consistent"/>
    <x v="0"/>
  </r>
  <r>
    <x v="1034"/>
    <x v="0"/>
    <x v="944"/>
    <n v="9828041222"/>
    <n v="1399.77"/>
    <s v="UK pounds"/>
    <s v="UK pounds"/>
    <x v="0"/>
    <s v="UK"/>
    <x v="0"/>
    <x v="0"/>
    <x v="0"/>
    <s v="Consistent"/>
    <x v="0"/>
  </r>
  <r>
    <x v="1034"/>
    <x v="0"/>
    <x v="945"/>
    <n v="7080357663"/>
    <n v="6777.35"/>
    <s v="UK pounds"/>
    <s v="UK pounds"/>
    <x v="0"/>
    <s v="UK"/>
    <x v="4"/>
    <x v="0"/>
    <x v="3"/>
    <s v="Consistent"/>
    <x v="0"/>
  </r>
  <r>
    <x v="1035"/>
    <x v="0"/>
    <x v="394"/>
    <n v="6256496387"/>
    <n v="203.67"/>
    <s v="UK pounds"/>
    <s v="UK pounds"/>
    <x v="0"/>
    <s v="UK"/>
    <x v="6"/>
    <x v="0"/>
    <x v="5"/>
    <s v="Consistent"/>
    <x v="0"/>
  </r>
  <r>
    <x v="1036"/>
    <x v="0"/>
    <x v="946"/>
    <n v="3758118046"/>
    <n v="778.19"/>
    <s v="UK pounds"/>
    <s v="UK pounds"/>
    <x v="0"/>
    <s v="UK"/>
    <x v="2"/>
    <x v="0"/>
    <x v="4"/>
    <s v="Consistent"/>
    <x v="0"/>
  </r>
  <r>
    <x v="1037"/>
    <x v="0"/>
    <x v="947"/>
    <n v="7145265219"/>
    <n v="8433.7000000000007"/>
    <s v="UK pounds"/>
    <s v="UK pounds"/>
    <x v="0"/>
    <s v="UK"/>
    <x v="2"/>
    <x v="0"/>
    <x v="2"/>
    <s v="Consistent"/>
    <x v="0"/>
  </r>
  <r>
    <x v="1038"/>
    <x v="0"/>
    <x v="210"/>
    <n v="7011505686"/>
    <n v="11299.14"/>
    <s v="UK pounds"/>
    <s v="Euro"/>
    <x v="0"/>
    <s v="Italy"/>
    <x v="1"/>
    <x v="0"/>
    <x v="1"/>
    <s v="Potential Layering"/>
    <x v="0"/>
  </r>
  <r>
    <x v="1039"/>
    <x v="0"/>
    <x v="150"/>
    <n v="2877832458"/>
    <n v="6868.28"/>
    <s v="UK pounds"/>
    <s v="Moroccan dirham"/>
    <x v="0"/>
    <s v="Morocco"/>
    <x v="1"/>
    <x v="0"/>
    <x v="1"/>
    <s v="Potential Layering"/>
    <x v="0"/>
  </r>
  <r>
    <x v="1039"/>
    <x v="0"/>
    <x v="837"/>
    <n v="5466123934"/>
    <n v="4688.47"/>
    <s v="UK pounds"/>
    <s v="UK pounds"/>
    <x v="0"/>
    <s v="UK"/>
    <x v="5"/>
    <x v="0"/>
    <x v="3"/>
    <s v="Consistent"/>
    <x v="0"/>
  </r>
  <r>
    <x v="1040"/>
    <x v="0"/>
    <x v="948"/>
    <n v="1255543523"/>
    <n v="1961.56"/>
    <s v="UK pounds"/>
    <s v="UK pounds"/>
    <x v="0"/>
    <s v="UK"/>
    <x v="2"/>
    <x v="0"/>
    <x v="2"/>
    <s v="Consistent"/>
    <x v="0"/>
  </r>
  <r>
    <x v="1040"/>
    <x v="0"/>
    <x v="949"/>
    <n v="182328433"/>
    <n v="5546.64"/>
    <s v="UK pounds"/>
    <s v="UK pounds"/>
    <x v="0"/>
    <s v="UK"/>
    <x v="2"/>
    <x v="0"/>
    <x v="2"/>
    <s v="Consistent"/>
    <x v="0"/>
  </r>
  <r>
    <x v="1041"/>
    <x v="0"/>
    <x v="950"/>
    <n v="6953672776"/>
    <n v="6721.51"/>
    <s v="UK pounds"/>
    <s v="Mexican Peso"/>
    <x v="0"/>
    <s v="Mexico"/>
    <x v="1"/>
    <x v="0"/>
    <x v="3"/>
    <s v="Potential Layering"/>
    <x v="0"/>
  </r>
  <r>
    <x v="1042"/>
    <x v="0"/>
    <x v="951"/>
    <n v="7650934701"/>
    <n v="101.46"/>
    <s v="UK pounds"/>
    <s v="UK pounds"/>
    <x v="0"/>
    <s v="UK"/>
    <x v="0"/>
    <x v="0"/>
    <x v="0"/>
    <s v="Consistent"/>
    <x v="0"/>
  </r>
  <r>
    <x v="1043"/>
    <x v="0"/>
    <x v="952"/>
    <n v="3066321263"/>
    <n v="13131.39"/>
    <s v="UK pounds"/>
    <s v="UK pounds"/>
    <x v="0"/>
    <s v="UK"/>
    <x v="3"/>
    <x v="0"/>
    <x v="3"/>
    <s v="Consistent"/>
    <x v="0"/>
  </r>
  <r>
    <x v="1044"/>
    <x v="0"/>
    <x v="953"/>
    <n v="7862563842"/>
    <n v="2219.5700000000002"/>
    <s v="UK pounds"/>
    <s v="UK pounds"/>
    <x v="0"/>
    <s v="UK"/>
    <x v="2"/>
    <x v="0"/>
    <x v="2"/>
    <s v="Consistent"/>
    <x v="0"/>
  </r>
  <r>
    <x v="1044"/>
    <x v="0"/>
    <x v="954"/>
    <n v="8120048129"/>
    <n v="5666.45"/>
    <s v="UK pounds"/>
    <s v="UK pounds"/>
    <x v="0"/>
    <s v="UK"/>
    <x v="3"/>
    <x v="0"/>
    <x v="2"/>
    <s v="Consistent"/>
    <x v="0"/>
  </r>
  <r>
    <x v="1044"/>
    <x v="0"/>
    <x v="955"/>
    <n v="133522171"/>
    <n v="340.48"/>
    <s v="UK pounds"/>
    <s v="UK pounds"/>
    <x v="0"/>
    <s v="UK"/>
    <x v="4"/>
    <x v="0"/>
    <x v="2"/>
    <s v="Consistent"/>
    <x v="0"/>
  </r>
  <r>
    <x v="1045"/>
    <x v="0"/>
    <x v="956"/>
    <n v="5139534598"/>
    <n v="5461.44"/>
    <s v="UK pounds"/>
    <s v="UK pounds"/>
    <x v="0"/>
    <s v="UK"/>
    <x v="4"/>
    <x v="0"/>
    <x v="2"/>
    <s v="Consistent"/>
    <x v="0"/>
  </r>
  <r>
    <x v="1046"/>
    <x v="0"/>
    <x v="957"/>
    <n v="1076785690"/>
    <n v="2870.2"/>
    <s v="UK pounds"/>
    <s v="UK pounds"/>
    <x v="0"/>
    <s v="UK"/>
    <x v="2"/>
    <x v="0"/>
    <x v="2"/>
    <s v="Consistent"/>
    <x v="0"/>
  </r>
  <r>
    <x v="1047"/>
    <x v="0"/>
    <x v="958"/>
    <n v="9909847186"/>
    <n v="1622.51"/>
    <s v="UK pounds"/>
    <s v="UK pounds"/>
    <x v="0"/>
    <s v="UK"/>
    <x v="0"/>
    <x v="0"/>
    <x v="0"/>
    <s v="Consistent"/>
    <x v="0"/>
  </r>
  <r>
    <x v="1048"/>
    <x v="0"/>
    <x v="959"/>
    <n v="6364275595"/>
    <n v="1725.41"/>
    <s v="UK pounds"/>
    <s v="UK pounds"/>
    <x v="0"/>
    <s v="UK"/>
    <x v="0"/>
    <x v="0"/>
    <x v="0"/>
    <s v="Consistent"/>
    <x v="0"/>
  </r>
  <r>
    <x v="1049"/>
    <x v="0"/>
    <x v="960"/>
    <n v="4336977506"/>
    <n v="8620.92"/>
    <s v="UK pounds"/>
    <s v="UK pounds"/>
    <x v="0"/>
    <s v="UK"/>
    <x v="4"/>
    <x v="0"/>
    <x v="3"/>
    <s v="Consistent"/>
    <x v="0"/>
  </r>
  <r>
    <x v="1050"/>
    <x v="0"/>
    <x v="961"/>
    <n v="2534644942"/>
    <n v="5137.3900000000003"/>
    <s v="UK pounds"/>
    <s v="Euro"/>
    <x v="0"/>
    <s v="France"/>
    <x v="1"/>
    <x v="0"/>
    <x v="3"/>
    <s v="Potential Layering"/>
    <x v="0"/>
  </r>
  <r>
    <x v="1051"/>
    <x v="0"/>
    <x v="401"/>
    <n v="3661025271"/>
    <n v="8919.7800000000007"/>
    <s v="Euro"/>
    <s v="UK pounds"/>
    <x v="7"/>
    <s v="UK"/>
    <x v="1"/>
    <x v="0"/>
    <x v="6"/>
    <s v="Potential Layering"/>
    <x v="0"/>
  </r>
  <r>
    <x v="1052"/>
    <x v="0"/>
    <x v="962"/>
    <n v="509504616"/>
    <n v="340.26"/>
    <s v="UK pounds"/>
    <s v="UK pounds"/>
    <x v="0"/>
    <s v="UK"/>
    <x v="5"/>
    <x v="0"/>
    <x v="2"/>
    <s v="Consistent"/>
    <x v="0"/>
  </r>
  <r>
    <x v="1052"/>
    <x v="0"/>
    <x v="963"/>
    <n v="1117983911"/>
    <n v="5486.12"/>
    <s v="UK pounds"/>
    <s v="UK pounds"/>
    <x v="0"/>
    <s v="UK"/>
    <x v="5"/>
    <x v="0"/>
    <x v="4"/>
    <s v="Consistent"/>
    <x v="0"/>
  </r>
  <r>
    <x v="1053"/>
    <x v="0"/>
    <x v="941"/>
    <n v="1320927231"/>
    <n v="9599.17"/>
    <s v="UK pounds"/>
    <s v="UK pounds"/>
    <x v="0"/>
    <s v="UK"/>
    <x v="4"/>
    <x v="0"/>
    <x v="3"/>
    <s v="Consistent"/>
    <x v="0"/>
  </r>
  <r>
    <x v="1054"/>
    <x v="0"/>
    <x v="964"/>
    <n v="8846899491"/>
    <n v="452.29"/>
    <s v="UK pounds"/>
    <s v="UK pounds"/>
    <x v="0"/>
    <s v="UK"/>
    <x v="4"/>
    <x v="0"/>
    <x v="2"/>
    <s v="Consistent"/>
    <x v="0"/>
  </r>
  <r>
    <x v="1054"/>
    <x v="0"/>
    <x v="965"/>
    <n v="3362650763"/>
    <n v="6318.27"/>
    <s v="UK pounds"/>
    <s v="UK pounds"/>
    <x v="0"/>
    <s v="UK"/>
    <x v="3"/>
    <x v="0"/>
    <x v="2"/>
    <s v="Consistent"/>
    <x v="0"/>
  </r>
  <r>
    <x v="1055"/>
    <x v="0"/>
    <x v="339"/>
    <n v="7963107269"/>
    <n v="8612.4699999999993"/>
    <s v="UK pounds"/>
    <s v="UK pounds"/>
    <x v="0"/>
    <s v="UK"/>
    <x v="5"/>
    <x v="0"/>
    <x v="1"/>
    <s v="Consistent"/>
    <x v="0"/>
  </r>
  <r>
    <x v="1056"/>
    <x v="0"/>
    <x v="195"/>
    <n v="2088570270"/>
    <n v="18234.689999999999"/>
    <s v="UK pounds"/>
    <s v="UK pounds"/>
    <x v="0"/>
    <s v="UK"/>
    <x v="4"/>
    <x v="0"/>
    <x v="1"/>
    <s v="Consistent"/>
    <x v="0"/>
  </r>
  <r>
    <x v="1057"/>
    <x v="0"/>
    <x v="966"/>
    <n v="318637045"/>
    <n v="800.65"/>
    <s v="UK pounds"/>
    <s v="UK pounds"/>
    <x v="0"/>
    <s v="UK"/>
    <x v="4"/>
    <x v="0"/>
    <x v="2"/>
    <s v="Consistent"/>
    <x v="0"/>
  </r>
  <r>
    <x v="1058"/>
    <x v="0"/>
    <x v="967"/>
    <n v="2624123113"/>
    <n v="10781.33"/>
    <s v="UK pounds"/>
    <s v="UK pounds"/>
    <x v="0"/>
    <s v="UK"/>
    <x v="3"/>
    <x v="0"/>
    <x v="2"/>
    <s v="Consistent"/>
    <x v="0"/>
  </r>
  <r>
    <x v="1059"/>
    <x v="0"/>
    <x v="35"/>
    <n v="2436228903"/>
    <n v="7037.43"/>
    <s v="UK pounds"/>
    <s v="Mexican Peso"/>
    <x v="0"/>
    <s v="Mexico"/>
    <x v="1"/>
    <x v="0"/>
    <x v="1"/>
    <s v="Potential Layering"/>
    <x v="0"/>
  </r>
  <r>
    <x v="1060"/>
    <x v="0"/>
    <x v="210"/>
    <n v="1253036863"/>
    <n v="23977.34"/>
    <s v="UK pounds"/>
    <s v="Mexican Peso"/>
    <x v="0"/>
    <s v="Mexico"/>
    <x v="1"/>
    <x v="0"/>
    <x v="1"/>
    <s v="Potential Layering"/>
    <x v="0"/>
  </r>
  <r>
    <x v="1061"/>
    <x v="0"/>
    <x v="968"/>
    <n v="5800246902"/>
    <n v="4580.72"/>
    <s v="UK pounds"/>
    <s v="UK pounds"/>
    <x v="0"/>
    <s v="UK"/>
    <x v="2"/>
    <x v="0"/>
    <x v="4"/>
    <s v="Consistent"/>
    <x v="0"/>
  </r>
  <r>
    <x v="1062"/>
    <x v="0"/>
    <x v="969"/>
    <n v="9682128907"/>
    <n v="101.93"/>
    <s v="UK pounds"/>
    <s v="UK pounds"/>
    <x v="0"/>
    <s v="UK"/>
    <x v="2"/>
    <x v="0"/>
    <x v="2"/>
    <s v="Consistent"/>
    <x v="0"/>
  </r>
  <r>
    <x v="1063"/>
    <x v="0"/>
    <x v="61"/>
    <n v="4525312913"/>
    <n v="12808.01"/>
    <s v="UK pounds"/>
    <s v="UK pounds"/>
    <x v="0"/>
    <s v="UK"/>
    <x v="4"/>
    <x v="0"/>
    <x v="1"/>
    <s v="Consistent"/>
    <x v="0"/>
  </r>
  <r>
    <x v="1064"/>
    <x v="0"/>
    <x v="970"/>
    <n v="4561903097"/>
    <n v="256915.91"/>
    <s v="UK pounds"/>
    <s v="UK pounds"/>
    <x v="0"/>
    <s v="UK"/>
    <x v="3"/>
    <x v="0"/>
    <x v="11"/>
    <s v="Consistent"/>
    <x v="0"/>
  </r>
  <r>
    <x v="1065"/>
    <x v="0"/>
    <x v="63"/>
    <n v="3461031378"/>
    <n v="1108.18"/>
    <s v="UK pounds"/>
    <s v="UK pounds"/>
    <x v="0"/>
    <s v="UK"/>
    <x v="5"/>
    <x v="0"/>
    <x v="2"/>
    <s v="Consistent"/>
    <x v="0"/>
  </r>
  <r>
    <x v="1066"/>
    <x v="0"/>
    <x v="44"/>
    <n v="8518184956"/>
    <n v="39105.82"/>
    <s v="UK pounds"/>
    <s v="UK pounds"/>
    <x v="0"/>
    <s v="UK"/>
    <x v="3"/>
    <x v="0"/>
    <x v="3"/>
    <s v="Consistent"/>
    <x v="0"/>
  </r>
  <r>
    <x v="1067"/>
    <x v="0"/>
    <x v="971"/>
    <n v="5957334674"/>
    <n v="3890.46"/>
    <s v="UK pounds"/>
    <s v="UK pounds"/>
    <x v="0"/>
    <s v="UK"/>
    <x v="5"/>
    <x v="0"/>
    <x v="2"/>
    <s v="Consistent"/>
    <x v="0"/>
  </r>
  <r>
    <x v="1068"/>
    <x v="0"/>
    <x v="972"/>
    <n v="1431561040"/>
    <n v="12330.07"/>
    <s v="UK pounds"/>
    <s v="UK pounds"/>
    <x v="0"/>
    <s v="UK"/>
    <x v="2"/>
    <x v="0"/>
    <x v="3"/>
    <s v="Consistent"/>
    <x v="0"/>
  </r>
  <r>
    <x v="1069"/>
    <x v="0"/>
    <x v="739"/>
    <n v="840214522"/>
    <n v="1021.47"/>
    <s v="UK pounds"/>
    <s v="UK pounds"/>
    <x v="0"/>
    <s v="UK"/>
    <x v="3"/>
    <x v="0"/>
    <x v="2"/>
    <s v="Consistent"/>
    <x v="0"/>
  </r>
  <r>
    <x v="1070"/>
    <x v="0"/>
    <x v="973"/>
    <n v="7223854145"/>
    <n v="2524.61"/>
    <s v="UK pounds"/>
    <s v="UK pounds"/>
    <x v="0"/>
    <s v="UK"/>
    <x v="3"/>
    <x v="0"/>
    <x v="2"/>
    <s v="Consistent"/>
    <x v="0"/>
  </r>
  <r>
    <x v="1071"/>
    <x v="0"/>
    <x v="974"/>
    <n v="2358786715"/>
    <n v="7907.12"/>
    <s v="UK pounds"/>
    <s v="UK pounds"/>
    <x v="0"/>
    <s v="UK"/>
    <x v="3"/>
    <x v="0"/>
    <x v="2"/>
    <s v="Consistent"/>
    <x v="0"/>
  </r>
  <r>
    <x v="1072"/>
    <x v="0"/>
    <x v="975"/>
    <n v="2077669666"/>
    <n v="21771.73"/>
    <s v="UK pounds"/>
    <s v="UK pounds"/>
    <x v="0"/>
    <s v="UK"/>
    <x v="4"/>
    <x v="0"/>
    <x v="2"/>
    <s v="Consistent"/>
    <x v="0"/>
  </r>
  <r>
    <x v="1073"/>
    <x v="0"/>
    <x v="124"/>
    <n v="8061984977"/>
    <n v="9468.7099999999991"/>
    <s v="UK pounds"/>
    <s v="UK pounds"/>
    <x v="0"/>
    <s v="UK"/>
    <x v="5"/>
    <x v="0"/>
    <x v="1"/>
    <s v="Consistent"/>
    <x v="0"/>
  </r>
  <r>
    <x v="1074"/>
    <x v="0"/>
    <x v="976"/>
    <n v="6752804650"/>
    <n v="56.52"/>
    <s v="UK pounds"/>
    <s v="UK pounds"/>
    <x v="0"/>
    <s v="UK"/>
    <x v="3"/>
    <x v="0"/>
    <x v="2"/>
    <s v="Consistent"/>
    <x v="0"/>
  </r>
  <r>
    <x v="1075"/>
    <x v="0"/>
    <x v="977"/>
    <n v="5086203814"/>
    <n v="328.09"/>
    <s v="UK pounds"/>
    <s v="UK pounds"/>
    <x v="0"/>
    <s v="UK"/>
    <x v="4"/>
    <x v="0"/>
    <x v="2"/>
    <s v="Consistent"/>
    <x v="0"/>
  </r>
  <r>
    <x v="1076"/>
    <x v="0"/>
    <x v="978"/>
    <n v="2315973363"/>
    <n v="4304.6400000000003"/>
    <s v="UK pounds"/>
    <s v="UK pounds"/>
    <x v="0"/>
    <s v="UK"/>
    <x v="0"/>
    <x v="0"/>
    <x v="0"/>
    <s v="Consistent"/>
    <x v="0"/>
  </r>
  <r>
    <x v="1077"/>
    <x v="0"/>
    <x v="979"/>
    <n v="7080357663"/>
    <n v="10640.09"/>
    <s v="UK pounds"/>
    <s v="UK pounds"/>
    <x v="0"/>
    <s v="UK"/>
    <x v="5"/>
    <x v="0"/>
    <x v="3"/>
    <s v="Consistent"/>
    <x v="0"/>
  </r>
  <r>
    <x v="1078"/>
    <x v="0"/>
    <x v="262"/>
    <n v="2138505015"/>
    <n v="10179.93"/>
    <s v="UK pounds"/>
    <s v="Dirham"/>
    <x v="0"/>
    <s v="UAE"/>
    <x v="1"/>
    <x v="0"/>
    <x v="3"/>
    <s v="Potential Layering"/>
    <x v="0"/>
  </r>
  <r>
    <x v="1079"/>
    <x v="0"/>
    <x v="980"/>
    <n v="6034997194"/>
    <n v="5181.93"/>
    <s v="UK pounds"/>
    <s v="UK pounds"/>
    <x v="0"/>
    <s v="UK"/>
    <x v="4"/>
    <x v="0"/>
    <x v="3"/>
    <s v="Consistent"/>
    <x v="0"/>
  </r>
  <r>
    <x v="1080"/>
    <x v="0"/>
    <x v="981"/>
    <n v="7892884492"/>
    <n v="9088.0499999999993"/>
    <s v="UK pounds"/>
    <s v="US dollar"/>
    <x v="0"/>
    <s v="USA"/>
    <x v="1"/>
    <x v="0"/>
    <x v="3"/>
    <s v="Potential Layering"/>
    <x v="0"/>
  </r>
  <r>
    <x v="1080"/>
    <x v="0"/>
    <x v="982"/>
    <n v="4005549524"/>
    <n v="175632.26"/>
    <s v="Euro"/>
    <s v="UK pounds"/>
    <x v="0"/>
    <s v="UK"/>
    <x v="4"/>
    <x v="0"/>
    <x v="10"/>
    <s v="Potential Layering"/>
    <x v="0"/>
  </r>
  <r>
    <x v="1080"/>
    <x v="0"/>
    <x v="68"/>
    <n v="6000485397"/>
    <n v="9305.7199999999993"/>
    <s v="UK pounds"/>
    <s v="UK pounds"/>
    <x v="0"/>
    <s v="UK"/>
    <x v="4"/>
    <x v="0"/>
    <x v="1"/>
    <s v="Consistent"/>
    <x v="0"/>
  </r>
  <r>
    <x v="1081"/>
    <x v="0"/>
    <x v="983"/>
    <n v="5429542073"/>
    <n v="3468.06"/>
    <s v="UK pounds"/>
    <s v="UK pounds"/>
    <x v="0"/>
    <s v="UK"/>
    <x v="5"/>
    <x v="0"/>
    <x v="2"/>
    <s v="Consistent"/>
    <x v="0"/>
  </r>
  <r>
    <x v="1081"/>
    <x v="0"/>
    <x v="75"/>
    <n v="6160971830"/>
    <n v="5856.33"/>
    <s v="UK pounds"/>
    <s v="UK pounds"/>
    <x v="0"/>
    <s v="UK"/>
    <x v="5"/>
    <x v="0"/>
    <x v="1"/>
    <s v="Consistent"/>
    <x v="0"/>
  </r>
  <r>
    <x v="1081"/>
    <x v="0"/>
    <x v="984"/>
    <n v="4075469126"/>
    <n v="2213.5700000000002"/>
    <s v="UK pounds"/>
    <s v="UK pounds"/>
    <x v="0"/>
    <s v="UK"/>
    <x v="2"/>
    <x v="0"/>
    <x v="2"/>
    <s v="Consistent"/>
    <x v="0"/>
  </r>
  <r>
    <x v="1082"/>
    <x v="0"/>
    <x v="985"/>
    <n v="1928158606"/>
    <n v="3418.37"/>
    <s v="UK pounds"/>
    <s v="UK pounds"/>
    <x v="0"/>
    <s v="UK"/>
    <x v="0"/>
    <x v="0"/>
    <x v="0"/>
    <s v="Consistent"/>
    <x v="0"/>
  </r>
  <r>
    <x v="1083"/>
    <x v="0"/>
    <x v="986"/>
    <n v="960080488"/>
    <n v="3994.64"/>
    <s v="UK pounds"/>
    <s v="UK pounds"/>
    <x v="0"/>
    <s v="UK"/>
    <x v="2"/>
    <x v="0"/>
    <x v="6"/>
    <s v="Consistent"/>
    <x v="0"/>
  </r>
  <r>
    <x v="1083"/>
    <x v="0"/>
    <x v="987"/>
    <n v="9020866719"/>
    <n v="2767.73"/>
    <s v="UK pounds"/>
    <s v="UK pounds"/>
    <x v="0"/>
    <s v="UK"/>
    <x v="0"/>
    <x v="0"/>
    <x v="0"/>
    <s v="Consistent"/>
    <x v="0"/>
  </r>
  <r>
    <x v="1083"/>
    <x v="0"/>
    <x v="988"/>
    <n v="6932637269"/>
    <n v="9005.41"/>
    <s v="UK pounds"/>
    <s v="UK pounds"/>
    <x v="0"/>
    <s v="UK"/>
    <x v="5"/>
    <x v="0"/>
    <x v="2"/>
    <s v="Consistent"/>
    <x v="0"/>
  </r>
  <r>
    <x v="1084"/>
    <x v="0"/>
    <x v="989"/>
    <n v="8687258534"/>
    <n v="4882.47"/>
    <s v="UK pounds"/>
    <s v="UK pounds"/>
    <x v="0"/>
    <s v="UK"/>
    <x v="2"/>
    <x v="0"/>
    <x v="4"/>
    <s v="Consistent"/>
    <x v="0"/>
  </r>
  <r>
    <x v="1085"/>
    <x v="0"/>
    <x v="163"/>
    <n v="8015553278"/>
    <n v="6915.95"/>
    <s v="UK pounds"/>
    <s v="Moroccan dirham"/>
    <x v="0"/>
    <s v="UK"/>
    <x v="2"/>
    <x v="0"/>
    <x v="1"/>
    <s v="Potential Layering"/>
    <x v="0"/>
  </r>
  <r>
    <x v="1086"/>
    <x v="0"/>
    <x v="990"/>
    <n v="5475645880"/>
    <n v="896.81"/>
    <s v="UK pounds"/>
    <s v="UK pounds"/>
    <x v="0"/>
    <s v="UK"/>
    <x v="3"/>
    <x v="0"/>
    <x v="2"/>
    <s v="Consistent"/>
    <x v="0"/>
  </r>
  <r>
    <x v="1087"/>
    <x v="0"/>
    <x v="991"/>
    <n v="7013250027"/>
    <n v="5601.06"/>
    <s v="UK pounds"/>
    <s v="UK pounds"/>
    <x v="0"/>
    <s v="UK"/>
    <x v="3"/>
    <x v="0"/>
    <x v="2"/>
    <s v="Consistent"/>
    <x v="0"/>
  </r>
  <r>
    <x v="1088"/>
    <x v="0"/>
    <x v="747"/>
    <n v="5708936901"/>
    <n v="5793.8"/>
    <s v="UK pounds"/>
    <s v="UK pounds"/>
    <x v="0"/>
    <s v="UK"/>
    <x v="2"/>
    <x v="0"/>
    <x v="3"/>
    <s v="Consistent"/>
    <x v="0"/>
  </r>
  <r>
    <x v="1088"/>
    <x v="0"/>
    <x v="992"/>
    <n v="9187254272"/>
    <n v="121.53"/>
    <s v="UK pounds"/>
    <s v="UK pounds"/>
    <x v="0"/>
    <s v="UK"/>
    <x v="4"/>
    <x v="0"/>
    <x v="2"/>
    <s v="Consistent"/>
    <x v="0"/>
  </r>
  <r>
    <x v="1089"/>
    <x v="0"/>
    <x v="993"/>
    <n v="3220735304"/>
    <n v="9750.4599999999991"/>
    <s v="UK pounds"/>
    <s v="UK pounds"/>
    <x v="0"/>
    <s v="UK"/>
    <x v="5"/>
    <x v="0"/>
    <x v="3"/>
    <s v="Consistent"/>
    <x v="0"/>
  </r>
  <r>
    <x v="1090"/>
    <x v="0"/>
    <x v="52"/>
    <n v="5517479211"/>
    <n v="13529.2"/>
    <s v="UK pounds"/>
    <s v="Moroccan dirham"/>
    <x v="0"/>
    <s v="UK"/>
    <x v="3"/>
    <x v="0"/>
    <x v="1"/>
    <s v="Potential Layering"/>
    <x v="0"/>
  </r>
  <r>
    <x v="1091"/>
    <x v="0"/>
    <x v="994"/>
    <n v="6016364895"/>
    <n v="4967.05"/>
    <s v="UK pounds"/>
    <s v="UK pounds"/>
    <x v="0"/>
    <s v="UK"/>
    <x v="2"/>
    <x v="0"/>
    <x v="2"/>
    <s v="Consistent"/>
    <x v="0"/>
  </r>
  <r>
    <x v="1092"/>
    <x v="0"/>
    <x v="995"/>
    <n v="6444220418"/>
    <n v="20038.849999999999"/>
    <s v="UK pounds"/>
    <s v="UK pounds"/>
    <x v="0"/>
    <s v="UK"/>
    <x v="3"/>
    <x v="0"/>
    <x v="3"/>
    <s v="Consistent"/>
    <x v="0"/>
  </r>
  <r>
    <x v="1093"/>
    <x v="0"/>
    <x v="996"/>
    <n v="5585788028"/>
    <n v="4208.9399999999996"/>
    <s v="UK pounds"/>
    <s v="UK pounds"/>
    <x v="0"/>
    <s v="UK"/>
    <x v="3"/>
    <x v="0"/>
    <x v="2"/>
    <s v="Consistent"/>
    <x v="0"/>
  </r>
  <r>
    <x v="1093"/>
    <x v="0"/>
    <x v="997"/>
    <n v="1377603863"/>
    <n v="8937.3700000000008"/>
    <s v="UK pounds"/>
    <s v="UK pounds"/>
    <x v="0"/>
    <s v="UK"/>
    <x v="3"/>
    <x v="0"/>
    <x v="3"/>
    <s v="Consistent"/>
    <x v="0"/>
  </r>
  <r>
    <x v="1094"/>
    <x v="0"/>
    <x v="998"/>
    <n v="1493436023"/>
    <n v="7676.37"/>
    <s v="UK pounds"/>
    <s v="UK pounds"/>
    <x v="0"/>
    <s v="UK"/>
    <x v="3"/>
    <x v="0"/>
    <x v="3"/>
    <s v="Consistent"/>
    <x v="0"/>
  </r>
  <r>
    <x v="1095"/>
    <x v="0"/>
    <x v="999"/>
    <n v="6829585528"/>
    <n v="17548.07"/>
    <s v="UK pounds"/>
    <s v="UK pounds"/>
    <x v="0"/>
    <s v="UK"/>
    <x v="4"/>
    <x v="0"/>
    <x v="4"/>
    <s v="Consistent"/>
    <x v="0"/>
  </r>
  <r>
    <x v="1096"/>
    <x v="0"/>
    <x v="1000"/>
    <n v="2377605575"/>
    <n v="692.88"/>
    <s v="UK pounds"/>
    <s v="UK pounds"/>
    <x v="0"/>
    <s v="UK"/>
    <x v="0"/>
    <x v="0"/>
    <x v="0"/>
    <s v="Consistent"/>
    <x v="0"/>
  </r>
  <r>
    <x v="1097"/>
    <x v="0"/>
    <x v="866"/>
    <n v="1316458123"/>
    <n v="6412.57"/>
    <s v="UK pounds"/>
    <s v="Mexican Peso"/>
    <x v="0"/>
    <s v="Mexico"/>
    <x v="1"/>
    <x v="0"/>
    <x v="3"/>
    <s v="Potential Layering"/>
    <x v="0"/>
  </r>
  <r>
    <x v="1098"/>
    <x v="0"/>
    <x v="1001"/>
    <n v="9383279530"/>
    <n v="2640.24"/>
    <s v="UK pounds"/>
    <s v="UK pounds"/>
    <x v="0"/>
    <s v="UK"/>
    <x v="4"/>
    <x v="0"/>
    <x v="2"/>
    <s v="Consistent"/>
    <x v="0"/>
  </r>
  <r>
    <x v="1099"/>
    <x v="0"/>
    <x v="1002"/>
    <n v="393778790"/>
    <n v="4261.97"/>
    <s v="UK pounds"/>
    <s v="UK pounds"/>
    <x v="0"/>
    <s v="UK"/>
    <x v="4"/>
    <x v="0"/>
    <x v="7"/>
    <s v="Consistent"/>
    <x v="0"/>
  </r>
  <r>
    <x v="1099"/>
    <x v="0"/>
    <x v="1003"/>
    <n v="8189670742"/>
    <n v="9244.5499999999993"/>
    <s v="UK pounds"/>
    <s v="UK pounds"/>
    <x v="0"/>
    <s v="UK"/>
    <x v="3"/>
    <x v="0"/>
    <x v="2"/>
    <s v="Consistent"/>
    <x v="0"/>
  </r>
  <r>
    <x v="1100"/>
    <x v="0"/>
    <x v="1004"/>
    <n v="2886347067"/>
    <n v="4734.6099999999997"/>
    <s v="UK pounds"/>
    <s v="UK pounds"/>
    <x v="0"/>
    <s v="UK"/>
    <x v="4"/>
    <x v="0"/>
    <x v="2"/>
    <s v="Consistent"/>
    <x v="0"/>
  </r>
  <r>
    <x v="1101"/>
    <x v="0"/>
    <x v="1005"/>
    <n v="6586021733"/>
    <n v="171.38"/>
    <s v="UK pounds"/>
    <s v="UK pounds"/>
    <x v="0"/>
    <s v="UK"/>
    <x v="6"/>
    <x v="0"/>
    <x v="5"/>
    <s v="Consistent"/>
    <x v="0"/>
  </r>
  <r>
    <x v="1102"/>
    <x v="0"/>
    <x v="1006"/>
    <n v="4798130884"/>
    <n v="953.71"/>
    <s v="UK pounds"/>
    <s v="UK pounds"/>
    <x v="0"/>
    <s v="UK"/>
    <x v="5"/>
    <x v="0"/>
    <x v="2"/>
    <s v="Consistent"/>
    <x v="0"/>
  </r>
  <r>
    <x v="1103"/>
    <x v="0"/>
    <x v="1007"/>
    <n v="409707192"/>
    <n v="15622.36"/>
    <s v="UK pounds"/>
    <s v="UK pounds"/>
    <x v="0"/>
    <s v="UK"/>
    <x v="5"/>
    <x v="0"/>
    <x v="3"/>
    <s v="Consistent"/>
    <x v="0"/>
  </r>
  <r>
    <x v="1104"/>
    <x v="0"/>
    <x v="1008"/>
    <n v="9023303777"/>
    <n v="782.24"/>
    <s v="Euro"/>
    <s v="UK pounds"/>
    <x v="7"/>
    <s v="UK"/>
    <x v="1"/>
    <x v="0"/>
    <x v="2"/>
    <s v="Potential Layering"/>
    <x v="0"/>
  </r>
  <r>
    <x v="1105"/>
    <x v="0"/>
    <x v="476"/>
    <n v="7160736915"/>
    <n v="13389.43"/>
    <s v="UK pounds"/>
    <s v="UK pounds"/>
    <x v="0"/>
    <s v="UK"/>
    <x v="2"/>
    <x v="0"/>
    <x v="3"/>
    <s v="Consistent"/>
    <x v="0"/>
  </r>
  <r>
    <x v="1105"/>
    <x v="0"/>
    <x v="86"/>
    <n v="3087234008"/>
    <n v="4959.51"/>
    <s v="UK pounds"/>
    <s v="UK pounds"/>
    <x v="0"/>
    <s v="UK"/>
    <x v="2"/>
    <x v="0"/>
    <x v="1"/>
    <s v="Consistent"/>
    <x v="0"/>
  </r>
  <r>
    <x v="1106"/>
    <x v="0"/>
    <x v="1009"/>
    <n v="1184309847"/>
    <n v="4746.1000000000004"/>
    <s v="UK pounds"/>
    <s v="UK pounds"/>
    <x v="0"/>
    <s v="UK"/>
    <x v="2"/>
    <x v="0"/>
    <x v="2"/>
    <s v="Consistent"/>
    <x v="0"/>
  </r>
  <r>
    <x v="1107"/>
    <x v="0"/>
    <x v="1010"/>
    <n v="5228043856"/>
    <n v="76.89"/>
    <s v="UK pounds"/>
    <s v="UK pounds"/>
    <x v="0"/>
    <s v="UK"/>
    <x v="6"/>
    <x v="0"/>
    <x v="5"/>
    <s v="Consistent"/>
    <x v="0"/>
  </r>
  <r>
    <x v="1107"/>
    <x v="0"/>
    <x v="1011"/>
    <n v="5206282034"/>
    <n v="2777.72"/>
    <s v="UK pounds"/>
    <s v="UK pounds"/>
    <x v="0"/>
    <s v="UK"/>
    <x v="2"/>
    <x v="0"/>
    <x v="2"/>
    <s v="Consistent"/>
    <x v="0"/>
  </r>
  <r>
    <x v="1108"/>
    <x v="0"/>
    <x v="1012"/>
    <n v="5608196035"/>
    <n v="13783.96"/>
    <s v="UK pounds"/>
    <s v="UK pounds"/>
    <x v="0"/>
    <s v="UK"/>
    <x v="2"/>
    <x v="0"/>
    <x v="2"/>
    <s v="Consistent"/>
    <x v="0"/>
  </r>
  <r>
    <x v="1109"/>
    <x v="0"/>
    <x v="1013"/>
    <n v="3200758318"/>
    <n v="517.36"/>
    <s v="UK pounds"/>
    <s v="UK pounds"/>
    <x v="0"/>
    <s v="UK"/>
    <x v="0"/>
    <x v="0"/>
    <x v="0"/>
    <s v="Consistent"/>
    <x v="0"/>
  </r>
  <r>
    <x v="1110"/>
    <x v="0"/>
    <x v="1014"/>
    <n v="4938894139"/>
    <n v="351.59"/>
    <s v="UK pounds"/>
    <s v="UK pounds"/>
    <x v="0"/>
    <s v="UK"/>
    <x v="4"/>
    <x v="0"/>
    <x v="2"/>
    <s v="Consistent"/>
    <x v="0"/>
  </r>
  <r>
    <x v="1110"/>
    <x v="0"/>
    <x v="1015"/>
    <n v="9105769228"/>
    <n v="5897.23"/>
    <s v="UK pounds"/>
    <s v="UK pounds"/>
    <x v="0"/>
    <s v="UK"/>
    <x v="5"/>
    <x v="0"/>
    <x v="3"/>
    <s v="Consistent"/>
    <x v="0"/>
  </r>
  <r>
    <x v="1111"/>
    <x v="0"/>
    <x v="255"/>
    <n v="8091763232"/>
    <n v="5959.69"/>
    <s v="UK pounds"/>
    <s v="UK pounds"/>
    <x v="0"/>
    <s v="UK"/>
    <x v="3"/>
    <x v="0"/>
    <x v="1"/>
    <s v="Consistent"/>
    <x v="0"/>
  </r>
  <r>
    <x v="1112"/>
    <x v="0"/>
    <x v="626"/>
    <n v="1377603863"/>
    <n v="7171.3"/>
    <s v="UK pounds"/>
    <s v="UK pounds"/>
    <x v="0"/>
    <s v="UK"/>
    <x v="4"/>
    <x v="0"/>
    <x v="3"/>
    <s v="Consistent"/>
    <x v="0"/>
  </r>
  <r>
    <x v="1113"/>
    <x v="0"/>
    <x v="1016"/>
    <n v="2962433233"/>
    <n v="2454.98"/>
    <s v="UK pounds"/>
    <s v="UK pounds"/>
    <x v="0"/>
    <s v="UK"/>
    <x v="5"/>
    <x v="0"/>
    <x v="2"/>
    <s v="Consistent"/>
    <x v="0"/>
  </r>
  <r>
    <x v="1114"/>
    <x v="0"/>
    <x v="63"/>
    <n v="1194597483"/>
    <n v="9307.2199999999993"/>
    <s v="UK pounds"/>
    <s v="Albanian lek"/>
    <x v="0"/>
    <s v="UK"/>
    <x v="3"/>
    <x v="0"/>
    <x v="1"/>
    <s v="Potential Layering"/>
    <x v="0"/>
  </r>
  <r>
    <x v="1114"/>
    <x v="0"/>
    <x v="1017"/>
    <n v="2398834865"/>
    <n v="760.47"/>
    <s v="UK pounds"/>
    <s v="UK pounds"/>
    <x v="0"/>
    <s v="UK"/>
    <x v="0"/>
    <x v="0"/>
    <x v="0"/>
    <s v="Consistent"/>
    <x v="0"/>
  </r>
  <r>
    <x v="1115"/>
    <x v="0"/>
    <x v="1018"/>
    <n v="6144510455"/>
    <n v="1811.33"/>
    <s v="UK pounds"/>
    <s v="UK pounds"/>
    <x v="0"/>
    <s v="UK"/>
    <x v="0"/>
    <x v="0"/>
    <x v="0"/>
    <s v="Consistent"/>
    <x v="0"/>
  </r>
  <r>
    <x v="1116"/>
    <x v="0"/>
    <x v="1019"/>
    <n v="9128833874"/>
    <n v="966.4"/>
    <s v="UK pounds"/>
    <s v="UK pounds"/>
    <x v="0"/>
    <s v="UK"/>
    <x v="2"/>
    <x v="0"/>
    <x v="2"/>
    <s v="Consistent"/>
    <x v="0"/>
  </r>
  <r>
    <x v="1117"/>
    <x v="0"/>
    <x v="1020"/>
    <n v="6646502650"/>
    <n v="5664.27"/>
    <s v="UK pounds"/>
    <s v="Euro"/>
    <x v="0"/>
    <s v="France"/>
    <x v="1"/>
    <x v="0"/>
    <x v="3"/>
    <s v="Potential Layering"/>
    <x v="0"/>
  </r>
  <r>
    <x v="1118"/>
    <x v="0"/>
    <x v="1021"/>
    <n v="3855446173"/>
    <n v="451.17"/>
    <s v="UK pounds"/>
    <s v="UK pounds"/>
    <x v="0"/>
    <s v="UK"/>
    <x v="3"/>
    <x v="0"/>
    <x v="2"/>
    <s v="Consistent"/>
    <x v="0"/>
  </r>
  <r>
    <x v="1119"/>
    <x v="0"/>
    <x v="1022"/>
    <n v="1465487567"/>
    <n v="28965.35"/>
    <s v="UK pounds"/>
    <s v="UK pounds"/>
    <x v="0"/>
    <s v="UK"/>
    <x v="3"/>
    <x v="0"/>
    <x v="3"/>
    <s v="Consistent"/>
    <x v="0"/>
  </r>
  <r>
    <x v="1119"/>
    <x v="0"/>
    <x v="211"/>
    <n v="551907699"/>
    <n v="8623.32"/>
    <s v="UK pounds"/>
    <s v="UK pounds"/>
    <x v="0"/>
    <s v="UK"/>
    <x v="2"/>
    <x v="0"/>
    <x v="6"/>
    <s v="Consistent"/>
    <x v="0"/>
  </r>
  <r>
    <x v="1120"/>
    <x v="0"/>
    <x v="1023"/>
    <n v="4088358193"/>
    <n v="2188.21"/>
    <s v="UK pounds"/>
    <s v="UK pounds"/>
    <x v="0"/>
    <s v="UK"/>
    <x v="2"/>
    <x v="0"/>
    <x v="10"/>
    <s v="Consistent"/>
    <x v="0"/>
  </r>
  <r>
    <x v="1121"/>
    <x v="0"/>
    <x v="1024"/>
    <n v="6852801514"/>
    <n v="4499.97"/>
    <s v="UK pounds"/>
    <s v="UK pounds"/>
    <x v="0"/>
    <s v="UK"/>
    <x v="0"/>
    <x v="0"/>
    <x v="0"/>
    <s v="Consistent"/>
    <x v="0"/>
  </r>
  <r>
    <x v="1122"/>
    <x v="0"/>
    <x v="1025"/>
    <n v="6444220418"/>
    <n v="9501.48"/>
    <s v="UK pounds"/>
    <s v="UK pounds"/>
    <x v="0"/>
    <s v="UK"/>
    <x v="5"/>
    <x v="0"/>
    <x v="3"/>
    <s v="Consistent"/>
    <x v="0"/>
  </r>
  <r>
    <x v="1123"/>
    <x v="0"/>
    <x v="238"/>
    <n v="3833545196"/>
    <n v="15340.28"/>
    <s v="UK pounds"/>
    <s v="UK pounds"/>
    <x v="0"/>
    <s v="UK"/>
    <x v="5"/>
    <x v="0"/>
    <x v="1"/>
    <s v="Consistent"/>
    <x v="0"/>
  </r>
  <r>
    <x v="1124"/>
    <x v="0"/>
    <x v="1026"/>
    <n v="848260779"/>
    <n v="10604.07"/>
    <s v="UK pounds"/>
    <s v="UK pounds"/>
    <x v="0"/>
    <s v="UK"/>
    <x v="2"/>
    <x v="0"/>
    <x v="2"/>
    <s v="Consistent"/>
    <x v="0"/>
  </r>
  <r>
    <x v="1124"/>
    <x v="0"/>
    <x v="1027"/>
    <n v="3677805310"/>
    <n v="14041.97"/>
    <s v="UK pounds"/>
    <s v="UK pounds"/>
    <x v="0"/>
    <s v="UK"/>
    <x v="5"/>
    <x v="0"/>
    <x v="2"/>
    <s v="Consistent"/>
    <x v="0"/>
  </r>
  <r>
    <x v="1125"/>
    <x v="0"/>
    <x v="248"/>
    <n v="9462027504"/>
    <n v="9719"/>
    <s v="UK pounds"/>
    <s v="UK pounds"/>
    <x v="0"/>
    <s v="UK"/>
    <x v="2"/>
    <x v="0"/>
    <x v="1"/>
    <s v="Consistent"/>
    <x v="0"/>
  </r>
  <r>
    <x v="1125"/>
    <x v="0"/>
    <x v="1028"/>
    <n v="8838875420"/>
    <n v="3607.45"/>
    <s v="UK pounds"/>
    <s v="UK pounds"/>
    <x v="0"/>
    <s v="UK"/>
    <x v="2"/>
    <x v="0"/>
    <x v="2"/>
    <s v="Consistent"/>
    <x v="0"/>
  </r>
  <r>
    <x v="1126"/>
    <x v="0"/>
    <x v="1029"/>
    <n v="1418836768"/>
    <n v="7617.18"/>
    <s v="UK pounds"/>
    <s v="UK pounds"/>
    <x v="0"/>
    <s v="UK"/>
    <x v="3"/>
    <x v="0"/>
    <x v="2"/>
    <s v="Consistent"/>
    <x v="0"/>
  </r>
  <r>
    <x v="1127"/>
    <x v="0"/>
    <x v="1030"/>
    <n v="1309453058"/>
    <n v="8708.2900000000009"/>
    <s v="UK pounds"/>
    <s v="UK pounds"/>
    <x v="0"/>
    <s v="UK"/>
    <x v="4"/>
    <x v="0"/>
    <x v="2"/>
    <s v="Consistent"/>
    <x v="0"/>
  </r>
  <r>
    <x v="1128"/>
    <x v="0"/>
    <x v="243"/>
    <n v="8777101435"/>
    <n v="18469.73"/>
    <s v="Euro"/>
    <s v="UK pounds"/>
    <x v="4"/>
    <s v="UK"/>
    <x v="1"/>
    <x v="0"/>
    <x v="1"/>
    <s v="Potential Layering"/>
    <x v="0"/>
  </r>
  <r>
    <x v="1128"/>
    <x v="0"/>
    <x v="255"/>
    <n v="6566600689"/>
    <n v="20574.18"/>
    <s v="UK pounds"/>
    <s v="UK pounds"/>
    <x v="0"/>
    <s v="UK"/>
    <x v="5"/>
    <x v="0"/>
    <x v="1"/>
    <s v="Consistent"/>
    <x v="0"/>
  </r>
  <r>
    <x v="1129"/>
    <x v="0"/>
    <x v="86"/>
    <n v="9440622206"/>
    <n v="7650.48"/>
    <s v="UK pounds"/>
    <s v="UK pounds"/>
    <x v="0"/>
    <s v="UK"/>
    <x v="2"/>
    <x v="0"/>
    <x v="1"/>
    <s v="Consistent"/>
    <x v="0"/>
  </r>
  <r>
    <x v="1130"/>
    <x v="0"/>
    <x v="1031"/>
    <n v="3104409213"/>
    <n v="17709.400000000001"/>
    <s v="UK pounds"/>
    <s v="UK pounds"/>
    <x v="0"/>
    <s v="UK"/>
    <x v="5"/>
    <x v="0"/>
    <x v="2"/>
    <s v="Consistent"/>
    <x v="0"/>
  </r>
  <r>
    <x v="1131"/>
    <x v="0"/>
    <x v="1032"/>
    <n v="206717570"/>
    <n v="6878.71"/>
    <s v="UK pounds"/>
    <s v="UK pounds"/>
    <x v="0"/>
    <s v="UK"/>
    <x v="5"/>
    <x v="0"/>
    <x v="2"/>
    <s v="Consistent"/>
    <x v="0"/>
  </r>
  <r>
    <x v="1131"/>
    <x v="0"/>
    <x v="1033"/>
    <n v="5003020706"/>
    <n v="286.69"/>
    <s v="UK pounds"/>
    <s v="UK pounds"/>
    <x v="0"/>
    <s v="UK"/>
    <x v="4"/>
    <x v="0"/>
    <x v="2"/>
    <s v="Consistent"/>
    <x v="0"/>
  </r>
  <r>
    <x v="1132"/>
    <x v="0"/>
    <x v="873"/>
    <n v="1316458123"/>
    <n v="12910.74"/>
    <s v="UK pounds"/>
    <s v="Mexican Peso"/>
    <x v="0"/>
    <s v="Mexico"/>
    <x v="1"/>
    <x v="0"/>
    <x v="3"/>
    <s v="Potential Layering"/>
    <x v="0"/>
  </r>
  <r>
    <x v="1133"/>
    <x v="0"/>
    <x v="892"/>
    <n v="8518184956"/>
    <n v="7513.86"/>
    <s v="UK pounds"/>
    <s v="UK pounds"/>
    <x v="0"/>
    <s v="UK"/>
    <x v="3"/>
    <x v="0"/>
    <x v="3"/>
    <s v="Consistent"/>
    <x v="0"/>
  </r>
  <r>
    <x v="1133"/>
    <x v="0"/>
    <x v="1034"/>
    <n v="409707192"/>
    <n v="8647.35"/>
    <s v="UK pounds"/>
    <s v="UK pounds"/>
    <x v="0"/>
    <s v="UK"/>
    <x v="2"/>
    <x v="0"/>
    <x v="3"/>
    <s v="Consistent"/>
    <x v="0"/>
  </r>
  <r>
    <x v="1134"/>
    <x v="0"/>
    <x v="1035"/>
    <n v="2900009696"/>
    <n v="3055.28"/>
    <s v="UK pounds"/>
    <s v="UK pounds"/>
    <x v="0"/>
    <s v="UK"/>
    <x v="0"/>
    <x v="0"/>
    <x v="0"/>
    <s v="Consistent"/>
    <x v="0"/>
  </r>
  <r>
    <x v="1135"/>
    <x v="0"/>
    <x v="1036"/>
    <n v="409707192"/>
    <n v="6355.03"/>
    <s v="UK pounds"/>
    <s v="UK pounds"/>
    <x v="0"/>
    <s v="UK"/>
    <x v="5"/>
    <x v="0"/>
    <x v="3"/>
    <s v="Consistent"/>
    <x v="0"/>
  </r>
  <r>
    <x v="1136"/>
    <x v="0"/>
    <x v="210"/>
    <n v="6624920676"/>
    <n v="6259.99"/>
    <s v="UK pounds"/>
    <s v="UK pounds"/>
    <x v="0"/>
    <s v="UK"/>
    <x v="5"/>
    <x v="0"/>
    <x v="1"/>
    <s v="Consistent"/>
    <x v="0"/>
  </r>
  <r>
    <x v="1136"/>
    <x v="0"/>
    <x v="124"/>
    <n v="1073749339"/>
    <n v="15856.21"/>
    <s v="UK pounds"/>
    <s v="UK pounds"/>
    <x v="0"/>
    <s v="UK"/>
    <x v="4"/>
    <x v="0"/>
    <x v="1"/>
    <s v="Consistent"/>
    <x v="0"/>
  </r>
  <r>
    <x v="1137"/>
    <x v="0"/>
    <x v="1037"/>
    <n v="9677012133"/>
    <n v="133287.44"/>
    <s v="UK pounds"/>
    <s v="UK pounds"/>
    <x v="0"/>
    <s v="UK"/>
    <x v="3"/>
    <x v="0"/>
    <x v="10"/>
    <s v="Consistent"/>
    <x v="0"/>
  </r>
  <r>
    <x v="1137"/>
    <x v="0"/>
    <x v="1038"/>
    <n v="979251512"/>
    <n v="3698.02"/>
    <s v="UK pounds"/>
    <s v="UK pounds"/>
    <x v="0"/>
    <s v="UK"/>
    <x v="3"/>
    <x v="0"/>
    <x v="2"/>
    <s v="Consistent"/>
    <x v="0"/>
  </r>
  <r>
    <x v="1137"/>
    <x v="0"/>
    <x v="1039"/>
    <n v="6764368893"/>
    <n v="778.03"/>
    <s v="UK pounds"/>
    <s v="UK pounds"/>
    <x v="0"/>
    <s v="UK"/>
    <x v="3"/>
    <x v="0"/>
    <x v="2"/>
    <s v="Consistent"/>
    <x v="0"/>
  </r>
  <r>
    <x v="1138"/>
    <x v="0"/>
    <x v="150"/>
    <n v="7752965423"/>
    <n v="11238.42"/>
    <s v="UK pounds"/>
    <s v="UK pounds"/>
    <x v="0"/>
    <s v="UK"/>
    <x v="3"/>
    <x v="0"/>
    <x v="1"/>
    <s v="Consistent"/>
    <x v="0"/>
  </r>
  <r>
    <x v="1138"/>
    <x v="0"/>
    <x v="1040"/>
    <n v="9076373256"/>
    <n v="10144.01"/>
    <s v="UK pounds"/>
    <s v="UK pounds"/>
    <x v="0"/>
    <s v="UK"/>
    <x v="5"/>
    <x v="0"/>
    <x v="4"/>
    <s v="Consistent"/>
    <x v="0"/>
  </r>
  <r>
    <x v="1139"/>
    <x v="0"/>
    <x v="485"/>
    <n v="5628674969"/>
    <n v="8341.08"/>
    <s v="UK pounds"/>
    <s v="UK pounds"/>
    <x v="0"/>
    <s v="UK"/>
    <x v="4"/>
    <x v="0"/>
    <x v="3"/>
    <s v="Consistent"/>
    <x v="0"/>
  </r>
  <r>
    <x v="1139"/>
    <x v="0"/>
    <x v="1041"/>
    <n v="6435257316"/>
    <n v="621.16"/>
    <s v="UK pounds"/>
    <s v="UK pounds"/>
    <x v="0"/>
    <s v="UK"/>
    <x v="3"/>
    <x v="0"/>
    <x v="2"/>
    <s v="Consistent"/>
    <x v="0"/>
  </r>
  <r>
    <x v="1140"/>
    <x v="0"/>
    <x v="1042"/>
    <n v="5571403856"/>
    <n v="500.83"/>
    <s v="UK pounds"/>
    <s v="UK pounds"/>
    <x v="0"/>
    <s v="UK"/>
    <x v="5"/>
    <x v="0"/>
    <x v="2"/>
    <s v="Consistent"/>
    <x v="0"/>
  </r>
  <r>
    <x v="1141"/>
    <x v="0"/>
    <x v="67"/>
    <n v="1612314007"/>
    <n v="14556.67"/>
    <s v="UK pounds"/>
    <s v="UK pounds"/>
    <x v="0"/>
    <s v="UK"/>
    <x v="2"/>
    <x v="0"/>
    <x v="6"/>
    <s v="Consistent"/>
    <x v="0"/>
  </r>
  <r>
    <x v="1142"/>
    <x v="0"/>
    <x v="1043"/>
    <n v="7199625988"/>
    <n v="10797.35"/>
    <s v="UK pounds"/>
    <s v="UK pounds"/>
    <x v="0"/>
    <s v="UK"/>
    <x v="4"/>
    <x v="0"/>
    <x v="3"/>
    <s v="Consistent"/>
    <x v="0"/>
  </r>
  <r>
    <x v="1143"/>
    <x v="0"/>
    <x v="124"/>
    <n v="6357364082"/>
    <n v="5653.43"/>
    <s v="UK pounds"/>
    <s v="UK pounds"/>
    <x v="0"/>
    <s v="UK"/>
    <x v="5"/>
    <x v="0"/>
    <x v="1"/>
    <s v="Consistent"/>
    <x v="0"/>
  </r>
  <r>
    <x v="1144"/>
    <x v="0"/>
    <x v="239"/>
    <n v="1377603863"/>
    <n v="22044.35"/>
    <s v="UK pounds"/>
    <s v="UK pounds"/>
    <x v="0"/>
    <s v="UK"/>
    <x v="5"/>
    <x v="0"/>
    <x v="3"/>
    <s v="Consistent"/>
    <x v="0"/>
  </r>
  <r>
    <x v="1145"/>
    <x v="0"/>
    <x v="1044"/>
    <n v="3733600285"/>
    <n v="1490.74"/>
    <s v="UK pounds"/>
    <s v="UK pounds"/>
    <x v="0"/>
    <s v="UK"/>
    <x v="3"/>
    <x v="0"/>
    <x v="2"/>
    <s v="Consistent"/>
    <x v="0"/>
  </r>
  <r>
    <x v="1146"/>
    <x v="0"/>
    <x v="1045"/>
    <n v="2477907704"/>
    <n v="4355.57"/>
    <s v="UK pounds"/>
    <s v="UK pounds"/>
    <x v="0"/>
    <s v="UK"/>
    <x v="4"/>
    <x v="0"/>
    <x v="4"/>
    <s v="Consistent"/>
    <x v="0"/>
  </r>
  <r>
    <x v="1147"/>
    <x v="0"/>
    <x v="1046"/>
    <n v="4115065228"/>
    <n v="2119.84"/>
    <s v="UK pounds"/>
    <s v="UK pounds"/>
    <x v="0"/>
    <s v="UK"/>
    <x v="0"/>
    <x v="0"/>
    <x v="0"/>
    <s v="Consistent"/>
    <x v="0"/>
  </r>
  <r>
    <x v="1148"/>
    <x v="0"/>
    <x v="1047"/>
    <n v="8782918179"/>
    <n v="5979.22"/>
    <s v="UK pounds"/>
    <s v="UK pounds"/>
    <x v="0"/>
    <s v="UK"/>
    <x v="2"/>
    <x v="0"/>
    <x v="2"/>
    <s v="Consistent"/>
    <x v="0"/>
  </r>
  <r>
    <x v="1148"/>
    <x v="0"/>
    <x v="90"/>
    <n v="409707192"/>
    <n v="10715.77"/>
    <s v="UK pounds"/>
    <s v="UK pounds"/>
    <x v="0"/>
    <s v="UK"/>
    <x v="4"/>
    <x v="0"/>
    <x v="3"/>
    <s v="Consistent"/>
    <x v="0"/>
  </r>
  <r>
    <x v="1149"/>
    <x v="0"/>
    <x v="68"/>
    <n v="1709703404"/>
    <n v="5484.64"/>
    <s v="UK pounds"/>
    <s v="UK pounds"/>
    <x v="0"/>
    <s v="UK"/>
    <x v="4"/>
    <x v="0"/>
    <x v="1"/>
    <s v="Consistent"/>
    <x v="0"/>
  </r>
  <r>
    <x v="1149"/>
    <x v="0"/>
    <x v="1048"/>
    <n v="409707192"/>
    <n v="6065.58"/>
    <s v="UK pounds"/>
    <s v="UK pounds"/>
    <x v="0"/>
    <s v="UK"/>
    <x v="5"/>
    <x v="0"/>
    <x v="3"/>
    <s v="Consistent"/>
    <x v="0"/>
  </r>
  <r>
    <x v="1150"/>
    <x v="0"/>
    <x v="1049"/>
    <n v="4818981805"/>
    <n v="6771.02"/>
    <s v="UK pounds"/>
    <s v="UK pounds"/>
    <x v="0"/>
    <s v="UK"/>
    <x v="4"/>
    <x v="0"/>
    <x v="4"/>
    <s v="Consistent"/>
    <x v="0"/>
  </r>
  <r>
    <x v="1151"/>
    <x v="0"/>
    <x v="339"/>
    <n v="7963107269"/>
    <n v="8527.8700000000008"/>
    <s v="UK pounds"/>
    <s v="UK pounds"/>
    <x v="0"/>
    <s v="UK"/>
    <x v="5"/>
    <x v="0"/>
    <x v="1"/>
    <s v="Consistent"/>
    <x v="0"/>
  </r>
  <r>
    <x v="1152"/>
    <x v="0"/>
    <x v="1050"/>
    <n v="1431561040"/>
    <n v="5973.3"/>
    <s v="UK pounds"/>
    <s v="UK pounds"/>
    <x v="0"/>
    <s v="UK"/>
    <x v="5"/>
    <x v="0"/>
    <x v="3"/>
    <s v="Consistent"/>
    <x v="0"/>
  </r>
  <r>
    <x v="1153"/>
    <x v="0"/>
    <x v="344"/>
    <n v="5708936901"/>
    <n v="10510.89"/>
    <s v="UK pounds"/>
    <s v="UK pounds"/>
    <x v="0"/>
    <s v="UK"/>
    <x v="2"/>
    <x v="0"/>
    <x v="3"/>
    <s v="Consistent"/>
    <x v="0"/>
  </r>
  <r>
    <x v="1154"/>
    <x v="0"/>
    <x v="243"/>
    <n v="114960068"/>
    <n v="8552.0499999999993"/>
    <s v="Euro"/>
    <s v="Dirham"/>
    <x v="4"/>
    <s v="UAE"/>
    <x v="1"/>
    <x v="0"/>
    <x v="1"/>
    <s v="Potential Layering"/>
    <x v="0"/>
  </r>
  <r>
    <x v="1155"/>
    <x v="0"/>
    <x v="1051"/>
    <n v="5644680287"/>
    <n v="482.68"/>
    <s v="UK pounds"/>
    <s v="UK pounds"/>
    <x v="0"/>
    <s v="UK"/>
    <x v="3"/>
    <x v="0"/>
    <x v="2"/>
    <s v="Consistent"/>
    <x v="0"/>
  </r>
  <r>
    <x v="1155"/>
    <x v="0"/>
    <x v="149"/>
    <n v="7534790776"/>
    <n v="5542.57"/>
    <s v="UK pounds"/>
    <s v="UK pounds"/>
    <x v="0"/>
    <s v="UK"/>
    <x v="2"/>
    <x v="0"/>
    <x v="1"/>
    <s v="Consistent"/>
    <x v="0"/>
  </r>
  <r>
    <x v="1156"/>
    <x v="0"/>
    <x v="41"/>
    <n v="2437535257"/>
    <n v="2028.31"/>
    <s v="UK pounds"/>
    <s v="UK pounds"/>
    <x v="0"/>
    <s v="UK"/>
    <x v="3"/>
    <x v="0"/>
    <x v="2"/>
    <s v="Consistent"/>
    <x v="0"/>
  </r>
  <r>
    <x v="1157"/>
    <x v="0"/>
    <x v="1052"/>
    <n v="4400610505"/>
    <n v="5512.68"/>
    <s v="UK pounds"/>
    <s v="UK pounds"/>
    <x v="0"/>
    <s v="UK"/>
    <x v="5"/>
    <x v="0"/>
    <x v="2"/>
    <s v="Consistent"/>
    <x v="0"/>
  </r>
  <r>
    <x v="1158"/>
    <x v="0"/>
    <x v="1053"/>
    <n v="7516271485"/>
    <n v="1503.18"/>
    <s v="UK pounds"/>
    <s v="UK pounds"/>
    <x v="0"/>
    <s v="UK"/>
    <x v="2"/>
    <x v="0"/>
    <x v="2"/>
    <s v="Consistent"/>
    <x v="0"/>
  </r>
  <r>
    <x v="1159"/>
    <x v="0"/>
    <x v="70"/>
    <n v="4336977506"/>
    <n v="12634.95"/>
    <s v="UK pounds"/>
    <s v="UK pounds"/>
    <x v="0"/>
    <s v="UK"/>
    <x v="4"/>
    <x v="0"/>
    <x v="3"/>
    <s v="Consistent"/>
    <x v="0"/>
  </r>
  <r>
    <x v="1160"/>
    <x v="0"/>
    <x v="1054"/>
    <n v="7871246050"/>
    <n v="14246.5"/>
    <s v="UK pounds"/>
    <s v="UK pounds"/>
    <x v="0"/>
    <s v="UK"/>
    <x v="3"/>
    <x v="0"/>
    <x v="2"/>
    <s v="Consistent"/>
    <x v="0"/>
  </r>
  <r>
    <x v="1161"/>
    <x v="0"/>
    <x v="86"/>
    <n v="1546051426"/>
    <n v="5641.75"/>
    <s v="UK pounds"/>
    <s v="UK pounds"/>
    <x v="0"/>
    <s v="UK"/>
    <x v="4"/>
    <x v="0"/>
    <x v="1"/>
    <s v="Consistent"/>
    <x v="0"/>
  </r>
  <r>
    <x v="1162"/>
    <x v="0"/>
    <x v="1055"/>
    <n v="3605646126"/>
    <n v="1256.06"/>
    <s v="UK pounds"/>
    <s v="UK pounds"/>
    <x v="0"/>
    <s v="UK"/>
    <x v="0"/>
    <x v="0"/>
    <x v="0"/>
    <s v="Consistent"/>
    <x v="0"/>
  </r>
  <r>
    <x v="1162"/>
    <x v="0"/>
    <x v="1056"/>
    <n v="8032454675"/>
    <n v="2168.64"/>
    <s v="UK pounds"/>
    <s v="UK pounds"/>
    <x v="0"/>
    <s v="UK"/>
    <x v="4"/>
    <x v="0"/>
    <x v="2"/>
    <s v="Consistent"/>
    <x v="0"/>
  </r>
  <r>
    <x v="1163"/>
    <x v="0"/>
    <x v="1057"/>
    <n v="5053780136"/>
    <n v="1348.6"/>
    <s v="UK pounds"/>
    <s v="UK pounds"/>
    <x v="0"/>
    <s v="UK"/>
    <x v="0"/>
    <x v="0"/>
    <x v="0"/>
    <s v="Consistent"/>
    <x v="0"/>
  </r>
  <r>
    <x v="1164"/>
    <x v="0"/>
    <x v="1058"/>
    <n v="6966828816"/>
    <n v="1402.83"/>
    <s v="UK pounds"/>
    <s v="UK pounds"/>
    <x v="0"/>
    <s v="UK"/>
    <x v="5"/>
    <x v="0"/>
    <x v="2"/>
    <s v="Consistent"/>
    <x v="0"/>
  </r>
  <r>
    <x v="1165"/>
    <x v="0"/>
    <x v="1059"/>
    <n v="717744113"/>
    <n v="5127.33"/>
    <s v="UK pounds"/>
    <s v="UK pounds"/>
    <x v="0"/>
    <s v="UK"/>
    <x v="0"/>
    <x v="0"/>
    <x v="0"/>
    <s v="Consistent"/>
    <x v="0"/>
  </r>
  <r>
    <x v="1166"/>
    <x v="0"/>
    <x v="1060"/>
    <n v="1465487567"/>
    <n v="8445.5400000000009"/>
    <s v="UK pounds"/>
    <s v="UK pounds"/>
    <x v="0"/>
    <s v="UK"/>
    <x v="5"/>
    <x v="0"/>
    <x v="3"/>
    <s v="Consistent"/>
    <x v="0"/>
  </r>
  <r>
    <x v="1166"/>
    <x v="0"/>
    <x v="85"/>
    <n v="5363117119"/>
    <n v="17324.599999999999"/>
    <s v="UK pounds"/>
    <s v="UK pounds"/>
    <x v="0"/>
    <s v="UK"/>
    <x v="2"/>
    <x v="0"/>
    <x v="3"/>
    <s v="Consistent"/>
    <x v="0"/>
  </r>
  <r>
    <x v="1167"/>
    <x v="0"/>
    <x v="1061"/>
    <n v="8706601992"/>
    <n v="10604.45"/>
    <s v="UK pounds"/>
    <s v="UK pounds"/>
    <x v="0"/>
    <s v="UK"/>
    <x v="3"/>
    <x v="0"/>
    <x v="2"/>
    <s v="Consistent"/>
    <x v="0"/>
  </r>
  <r>
    <x v="1168"/>
    <x v="0"/>
    <x v="113"/>
    <n v="4143157809"/>
    <n v="5360.63"/>
    <s v="UK pounds"/>
    <s v="UK pounds"/>
    <x v="0"/>
    <s v="UK"/>
    <x v="4"/>
    <x v="0"/>
    <x v="6"/>
    <s v="Consistent"/>
    <x v="0"/>
  </r>
  <r>
    <x v="1169"/>
    <x v="0"/>
    <x v="1062"/>
    <n v="3008027775"/>
    <n v="519.07000000000005"/>
    <s v="UK pounds"/>
    <s v="UK pounds"/>
    <x v="0"/>
    <s v="UK"/>
    <x v="4"/>
    <x v="0"/>
    <x v="2"/>
    <s v="Consistent"/>
    <x v="0"/>
  </r>
  <r>
    <x v="1170"/>
    <x v="0"/>
    <x v="1063"/>
    <n v="409707192"/>
    <n v="5501.15"/>
    <s v="UK pounds"/>
    <s v="UK pounds"/>
    <x v="0"/>
    <s v="UK"/>
    <x v="4"/>
    <x v="0"/>
    <x v="3"/>
    <s v="Consistent"/>
    <x v="0"/>
  </r>
  <r>
    <x v="1171"/>
    <x v="0"/>
    <x v="1064"/>
    <n v="2534644942"/>
    <n v="13085.62"/>
    <s v="UK pounds"/>
    <s v="Euro"/>
    <x v="0"/>
    <s v="France"/>
    <x v="1"/>
    <x v="0"/>
    <x v="3"/>
    <s v="Potential Layering"/>
    <x v="0"/>
  </r>
  <r>
    <x v="1172"/>
    <x v="0"/>
    <x v="243"/>
    <n v="3405158611"/>
    <n v="6494.05"/>
    <s v="Euro"/>
    <s v="UK pounds"/>
    <x v="4"/>
    <s v="UK"/>
    <x v="1"/>
    <x v="0"/>
    <x v="1"/>
    <s v="Potential Layering"/>
    <x v="0"/>
  </r>
  <r>
    <x v="1173"/>
    <x v="0"/>
    <x v="85"/>
    <n v="5363117119"/>
    <n v="17349.95"/>
    <s v="UK pounds"/>
    <s v="UK pounds"/>
    <x v="0"/>
    <s v="UK"/>
    <x v="5"/>
    <x v="0"/>
    <x v="3"/>
    <s v="Consistent"/>
    <x v="0"/>
  </r>
  <r>
    <x v="1174"/>
    <x v="0"/>
    <x v="210"/>
    <n v="1695365423"/>
    <n v="6503.58"/>
    <s v="UK pounds"/>
    <s v="UK pounds"/>
    <x v="0"/>
    <s v="UK"/>
    <x v="4"/>
    <x v="0"/>
    <x v="1"/>
    <s v="Consistent"/>
    <x v="0"/>
  </r>
  <r>
    <x v="1175"/>
    <x v="0"/>
    <x v="1065"/>
    <n v="7080357663"/>
    <n v="6879.86"/>
    <s v="UK pounds"/>
    <s v="UK pounds"/>
    <x v="0"/>
    <s v="UK"/>
    <x v="5"/>
    <x v="0"/>
    <x v="3"/>
    <s v="Consistent"/>
    <x v="0"/>
  </r>
  <r>
    <x v="1176"/>
    <x v="0"/>
    <x v="164"/>
    <n v="4336977506"/>
    <n v="7219.86"/>
    <s v="UK pounds"/>
    <s v="UK pounds"/>
    <x v="0"/>
    <s v="UK"/>
    <x v="2"/>
    <x v="0"/>
    <x v="3"/>
    <s v="Consistent"/>
    <x v="0"/>
  </r>
  <r>
    <x v="1177"/>
    <x v="0"/>
    <x v="899"/>
    <n v="1320927231"/>
    <n v="9681.51"/>
    <s v="UK pounds"/>
    <s v="UK pounds"/>
    <x v="0"/>
    <s v="UK"/>
    <x v="3"/>
    <x v="0"/>
    <x v="3"/>
    <s v="Consistent"/>
    <x v="0"/>
  </r>
  <r>
    <x v="1177"/>
    <x v="0"/>
    <x v="1066"/>
    <n v="5785452477"/>
    <n v="473.48"/>
    <s v="UK pounds"/>
    <s v="UK pounds"/>
    <x v="0"/>
    <s v="UK"/>
    <x v="3"/>
    <x v="0"/>
    <x v="2"/>
    <s v="Consistent"/>
    <x v="0"/>
  </r>
  <r>
    <x v="1178"/>
    <x v="0"/>
    <x v="52"/>
    <n v="4833559204"/>
    <n v="10293.23"/>
    <s v="UK pounds"/>
    <s v="UK pounds"/>
    <x v="0"/>
    <s v="UK"/>
    <x v="3"/>
    <x v="0"/>
    <x v="1"/>
    <s v="Consistent"/>
    <x v="0"/>
  </r>
  <r>
    <x v="1179"/>
    <x v="0"/>
    <x v="196"/>
    <n v="2584568182"/>
    <n v="2753.64"/>
    <s v="UK pounds"/>
    <s v="UK pounds"/>
    <x v="0"/>
    <s v="UK"/>
    <x v="4"/>
    <x v="0"/>
    <x v="6"/>
    <s v="Consistent"/>
    <x v="0"/>
  </r>
  <r>
    <x v="1179"/>
    <x v="0"/>
    <x v="626"/>
    <n v="1377603863"/>
    <n v="7090.59"/>
    <s v="UK pounds"/>
    <s v="UK pounds"/>
    <x v="0"/>
    <s v="UK"/>
    <x v="4"/>
    <x v="0"/>
    <x v="3"/>
    <s v="Consistent"/>
    <x v="0"/>
  </r>
  <r>
    <x v="1179"/>
    <x v="0"/>
    <x v="1067"/>
    <n v="5466123934"/>
    <n v="5646.55"/>
    <s v="UK pounds"/>
    <s v="UK pounds"/>
    <x v="0"/>
    <s v="UK"/>
    <x v="2"/>
    <x v="0"/>
    <x v="3"/>
    <s v="Consistent"/>
    <x v="0"/>
  </r>
  <r>
    <x v="1180"/>
    <x v="0"/>
    <x v="1068"/>
    <n v="3154451638"/>
    <n v="1360.52"/>
    <s v="UK pounds"/>
    <s v="UK pounds"/>
    <x v="0"/>
    <s v="UK"/>
    <x v="5"/>
    <x v="0"/>
    <x v="4"/>
    <s v="Consistent"/>
    <x v="0"/>
  </r>
  <r>
    <x v="1181"/>
    <x v="0"/>
    <x v="1069"/>
    <n v="8134019453"/>
    <n v="146.49"/>
    <s v="UK pounds"/>
    <s v="UK pounds"/>
    <x v="0"/>
    <s v="UK"/>
    <x v="3"/>
    <x v="0"/>
    <x v="2"/>
    <s v="Consistent"/>
    <x v="0"/>
  </r>
  <r>
    <x v="1182"/>
    <x v="0"/>
    <x v="34"/>
    <n v="7489694854"/>
    <n v="23159.96"/>
    <s v="UK pounds"/>
    <s v="Euro"/>
    <x v="0"/>
    <s v="Italy"/>
    <x v="1"/>
    <x v="0"/>
    <x v="1"/>
    <s v="Potential Layering"/>
    <x v="0"/>
  </r>
  <r>
    <x v="1182"/>
    <x v="0"/>
    <x v="1070"/>
    <n v="7199625988"/>
    <n v="5959.93"/>
    <s v="UK pounds"/>
    <s v="UK pounds"/>
    <x v="0"/>
    <s v="UK"/>
    <x v="4"/>
    <x v="0"/>
    <x v="3"/>
    <s v="Consistent"/>
    <x v="0"/>
  </r>
  <r>
    <x v="1183"/>
    <x v="0"/>
    <x v="1071"/>
    <n v="6180364664"/>
    <n v="7546.5"/>
    <s v="UK pounds"/>
    <s v="UK pounds"/>
    <x v="0"/>
    <s v="UK"/>
    <x v="2"/>
    <x v="0"/>
    <x v="2"/>
    <s v="Consistent"/>
    <x v="0"/>
  </r>
  <r>
    <x v="1184"/>
    <x v="0"/>
    <x v="1072"/>
    <n v="6615179883"/>
    <n v="16605.72"/>
    <s v="UK pounds"/>
    <s v="UK pounds"/>
    <x v="0"/>
    <s v="UK"/>
    <x v="4"/>
    <x v="0"/>
    <x v="6"/>
    <s v="Consistent"/>
    <x v="0"/>
  </r>
  <r>
    <x v="1185"/>
    <x v="0"/>
    <x v="1073"/>
    <n v="3748279258"/>
    <n v="4509.96"/>
    <s v="UK pounds"/>
    <s v="UK pounds"/>
    <x v="0"/>
    <s v="UK"/>
    <x v="2"/>
    <x v="0"/>
    <x v="2"/>
    <s v="Consistent"/>
    <x v="0"/>
  </r>
  <r>
    <x v="1185"/>
    <x v="0"/>
    <x v="1074"/>
    <n v="3203801265"/>
    <n v="155.02000000000001"/>
    <s v="UK pounds"/>
    <s v="UK pounds"/>
    <x v="0"/>
    <s v="UK"/>
    <x v="6"/>
    <x v="0"/>
    <x v="5"/>
    <s v="Consistent"/>
    <x v="0"/>
  </r>
  <r>
    <x v="1186"/>
    <x v="0"/>
    <x v="1075"/>
    <n v="9753557589"/>
    <n v="618.04"/>
    <s v="UK pounds"/>
    <s v="UK pounds"/>
    <x v="0"/>
    <s v="UK"/>
    <x v="2"/>
    <x v="0"/>
    <x v="2"/>
    <s v="Consistent"/>
    <x v="0"/>
  </r>
  <r>
    <x v="1186"/>
    <x v="0"/>
    <x v="1076"/>
    <n v="2451278156"/>
    <n v="321.26"/>
    <s v="UK pounds"/>
    <s v="UK pounds"/>
    <x v="0"/>
    <s v="UK"/>
    <x v="2"/>
    <x v="0"/>
    <x v="4"/>
    <s v="Consistent"/>
    <x v="0"/>
  </r>
  <r>
    <x v="1187"/>
    <x v="0"/>
    <x v="649"/>
    <n v="3220735304"/>
    <n v="8076.14"/>
    <s v="UK pounds"/>
    <s v="UK pounds"/>
    <x v="0"/>
    <s v="UK"/>
    <x v="3"/>
    <x v="0"/>
    <x v="3"/>
    <s v="Consistent"/>
    <x v="0"/>
  </r>
  <r>
    <x v="1188"/>
    <x v="0"/>
    <x v="90"/>
    <n v="409707192"/>
    <n v="10634.1"/>
    <s v="UK pounds"/>
    <s v="UK pounds"/>
    <x v="0"/>
    <s v="UK"/>
    <x v="3"/>
    <x v="0"/>
    <x v="3"/>
    <s v="Consistent"/>
    <x v="0"/>
  </r>
  <r>
    <x v="1189"/>
    <x v="0"/>
    <x v="1077"/>
    <n v="6034997194"/>
    <n v="5087.78"/>
    <s v="UK pounds"/>
    <s v="UK pounds"/>
    <x v="0"/>
    <s v="UK"/>
    <x v="5"/>
    <x v="0"/>
    <x v="3"/>
    <s v="Consistent"/>
    <x v="0"/>
  </r>
  <r>
    <x v="1190"/>
    <x v="0"/>
    <x v="868"/>
    <n v="6646502650"/>
    <n v="8535.66"/>
    <s v="UK pounds"/>
    <s v="Euro"/>
    <x v="0"/>
    <s v="France"/>
    <x v="1"/>
    <x v="0"/>
    <x v="3"/>
    <s v="Potential Layering"/>
    <x v="0"/>
  </r>
  <r>
    <x v="1191"/>
    <x v="0"/>
    <x v="1078"/>
    <n v="9941300304"/>
    <n v="21006.04"/>
    <s v="UK pounds"/>
    <s v="UK pounds"/>
    <x v="0"/>
    <s v="UK"/>
    <x v="4"/>
    <x v="0"/>
    <x v="2"/>
    <s v="Consistent"/>
    <x v="0"/>
  </r>
  <r>
    <x v="1192"/>
    <x v="0"/>
    <x v="1079"/>
    <n v="9706779146"/>
    <n v="12853.31"/>
    <s v="UK pounds"/>
    <s v="UK pounds"/>
    <x v="0"/>
    <s v="UK"/>
    <x v="4"/>
    <x v="0"/>
    <x v="2"/>
    <s v="Consistent"/>
    <x v="0"/>
  </r>
  <r>
    <x v="1192"/>
    <x v="0"/>
    <x v="1080"/>
    <n v="88079829"/>
    <n v="1567.43"/>
    <s v="UK pounds"/>
    <s v="UK pounds"/>
    <x v="0"/>
    <s v="UK"/>
    <x v="5"/>
    <x v="0"/>
    <x v="2"/>
    <s v="Consistent"/>
    <x v="0"/>
  </r>
  <r>
    <x v="1193"/>
    <x v="0"/>
    <x v="1081"/>
    <n v="8203619517"/>
    <n v="2058.15"/>
    <s v="UK pounds"/>
    <s v="UK pounds"/>
    <x v="0"/>
    <s v="UK"/>
    <x v="3"/>
    <x v="0"/>
    <x v="2"/>
    <s v="Consistent"/>
    <x v="0"/>
  </r>
  <r>
    <x v="1194"/>
    <x v="0"/>
    <x v="1082"/>
    <n v="669525031"/>
    <n v="14097.79"/>
    <s v="UK pounds"/>
    <s v="UK pounds"/>
    <x v="0"/>
    <s v="UK"/>
    <x v="3"/>
    <x v="0"/>
    <x v="2"/>
    <s v="Consistent"/>
    <x v="0"/>
  </r>
  <r>
    <x v="1194"/>
    <x v="0"/>
    <x v="13"/>
    <n v="3256886500"/>
    <n v="2326.79"/>
    <s v="UK pounds"/>
    <s v="UK pounds"/>
    <x v="0"/>
    <s v="UK"/>
    <x v="2"/>
    <x v="0"/>
    <x v="2"/>
    <s v="Consistent"/>
    <x v="0"/>
  </r>
  <r>
    <x v="1195"/>
    <x v="0"/>
    <x v="379"/>
    <n v="8900742620"/>
    <n v="6214.34"/>
    <s v="UK pounds"/>
    <s v="Swiss franc"/>
    <x v="0"/>
    <s v="Switzerland"/>
    <x v="1"/>
    <x v="0"/>
    <x v="1"/>
    <s v="Potential Layering"/>
    <x v="0"/>
  </r>
  <r>
    <x v="1195"/>
    <x v="0"/>
    <x v="1083"/>
    <n v="8933985194"/>
    <n v="4297.71"/>
    <s v="UK pounds"/>
    <s v="UK pounds"/>
    <x v="0"/>
    <s v="UK"/>
    <x v="4"/>
    <x v="0"/>
    <x v="2"/>
    <s v="Consistent"/>
    <x v="0"/>
  </r>
  <r>
    <x v="1196"/>
    <x v="0"/>
    <x v="1084"/>
    <n v="8867663323"/>
    <n v="995.39"/>
    <s v="Turkish lira"/>
    <s v="UK pounds"/>
    <x v="13"/>
    <s v="UK"/>
    <x v="1"/>
    <x v="0"/>
    <x v="2"/>
    <s v="Potential Layering"/>
    <x v="1"/>
  </r>
  <r>
    <x v="1196"/>
    <x v="0"/>
    <x v="1085"/>
    <n v="6035562025"/>
    <n v="1850.31"/>
    <s v="UK pounds"/>
    <s v="UK pounds"/>
    <x v="0"/>
    <s v="UK"/>
    <x v="3"/>
    <x v="0"/>
    <x v="2"/>
    <s v="Consistent"/>
    <x v="0"/>
  </r>
  <r>
    <x v="1197"/>
    <x v="0"/>
    <x v="210"/>
    <n v="7909637145"/>
    <n v="5813.31"/>
    <s v="UK pounds"/>
    <s v="UK pounds"/>
    <x v="0"/>
    <s v="UK"/>
    <x v="4"/>
    <x v="0"/>
    <x v="1"/>
    <s v="Consistent"/>
    <x v="0"/>
  </r>
  <r>
    <x v="1198"/>
    <x v="0"/>
    <x v="1086"/>
    <n v="6959783468"/>
    <n v="135.76"/>
    <s v="UK pounds"/>
    <s v="UK pounds"/>
    <x v="0"/>
    <s v="UK"/>
    <x v="6"/>
    <x v="0"/>
    <x v="5"/>
    <s v="Consistent"/>
    <x v="0"/>
  </r>
  <r>
    <x v="1198"/>
    <x v="0"/>
    <x v="1087"/>
    <n v="9296687933"/>
    <n v="1428.6"/>
    <s v="Yen"/>
    <s v="UK pounds"/>
    <x v="3"/>
    <s v="UK"/>
    <x v="1"/>
    <x v="0"/>
    <x v="2"/>
    <s v="Potential Layering"/>
    <x v="2"/>
  </r>
  <r>
    <x v="1198"/>
    <x v="0"/>
    <x v="1088"/>
    <n v="4475817950"/>
    <n v="1016.16"/>
    <s v="UK pounds"/>
    <s v="UK pounds"/>
    <x v="0"/>
    <s v="UK"/>
    <x v="3"/>
    <x v="0"/>
    <x v="2"/>
    <s v="Consistent"/>
    <x v="0"/>
  </r>
  <r>
    <x v="1199"/>
    <x v="0"/>
    <x v="1089"/>
    <n v="7033361188"/>
    <n v="2260.5100000000002"/>
    <s v="UK pounds"/>
    <s v="UK pounds"/>
    <x v="0"/>
    <s v="UK"/>
    <x v="5"/>
    <x v="0"/>
    <x v="2"/>
    <s v="Consistent"/>
    <x v="0"/>
  </r>
  <r>
    <x v="1200"/>
    <x v="0"/>
    <x v="1090"/>
    <n v="8527745568"/>
    <n v="10465.129999999999"/>
    <s v="UK pounds"/>
    <s v="UK pounds"/>
    <x v="0"/>
    <s v="UK"/>
    <x v="4"/>
    <x v="0"/>
    <x v="2"/>
    <s v="Consistent"/>
    <x v="0"/>
  </r>
  <r>
    <x v="1201"/>
    <x v="0"/>
    <x v="1091"/>
    <n v="7892884492"/>
    <n v="8773.0400000000009"/>
    <s v="UK pounds"/>
    <s v="US dollar"/>
    <x v="0"/>
    <s v="USA"/>
    <x v="1"/>
    <x v="0"/>
    <x v="3"/>
    <s v="Potential Layering"/>
    <x v="0"/>
  </r>
  <r>
    <x v="1202"/>
    <x v="0"/>
    <x v="1092"/>
    <n v="8973155008"/>
    <n v="2260.2199999999998"/>
    <s v="UK pounds"/>
    <s v="UK pounds"/>
    <x v="0"/>
    <s v="UK"/>
    <x v="4"/>
    <x v="0"/>
    <x v="2"/>
    <s v="Consistent"/>
    <x v="0"/>
  </r>
  <r>
    <x v="1203"/>
    <x v="0"/>
    <x v="1093"/>
    <n v="6401860693"/>
    <n v="7746.73"/>
    <s v="UK pounds"/>
    <s v="UK pounds"/>
    <x v="0"/>
    <s v="UK"/>
    <x v="4"/>
    <x v="0"/>
    <x v="4"/>
    <s v="Consistent"/>
    <x v="0"/>
  </r>
  <r>
    <x v="1204"/>
    <x v="0"/>
    <x v="1094"/>
    <n v="2248657279"/>
    <n v="1527.58"/>
    <s v="UK pounds"/>
    <s v="UK pounds"/>
    <x v="0"/>
    <s v="UK"/>
    <x v="4"/>
    <x v="0"/>
    <x v="2"/>
    <s v="Consistent"/>
    <x v="0"/>
  </r>
  <r>
    <x v="1205"/>
    <x v="0"/>
    <x v="447"/>
    <n v="1431561040"/>
    <n v="10280.08"/>
    <s v="Euro"/>
    <s v="UK pounds"/>
    <x v="8"/>
    <s v="UK"/>
    <x v="1"/>
    <x v="0"/>
    <x v="3"/>
    <s v="Potential Layering"/>
    <x v="0"/>
  </r>
  <r>
    <x v="1206"/>
    <x v="0"/>
    <x v="1095"/>
    <n v="8673917867"/>
    <n v="5038.51"/>
    <s v="UK pounds"/>
    <s v="UK pounds"/>
    <x v="0"/>
    <s v="UK"/>
    <x v="3"/>
    <x v="0"/>
    <x v="3"/>
    <s v="Consistent"/>
    <x v="0"/>
  </r>
  <r>
    <x v="1207"/>
    <x v="0"/>
    <x v="116"/>
    <n v="8407065812"/>
    <n v="16195.44"/>
    <s v="UK pounds"/>
    <s v="Turkish lira"/>
    <x v="0"/>
    <s v="Turkey"/>
    <x v="1"/>
    <x v="0"/>
    <x v="6"/>
    <s v="Potential Layering"/>
    <x v="0"/>
  </r>
  <r>
    <x v="1208"/>
    <x v="0"/>
    <x v="68"/>
    <n v="9609750441"/>
    <n v="16625.96"/>
    <s v="UK pounds"/>
    <s v="Naira"/>
    <x v="0"/>
    <s v="Nigeria"/>
    <x v="1"/>
    <x v="0"/>
    <x v="1"/>
    <s v="Potential Layering"/>
    <x v="0"/>
  </r>
  <r>
    <x v="1209"/>
    <x v="0"/>
    <x v="1036"/>
    <n v="409707192"/>
    <n v="6333.59"/>
    <s v="UK pounds"/>
    <s v="UK pounds"/>
    <x v="0"/>
    <s v="UK"/>
    <x v="3"/>
    <x v="0"/>
    <x v="3"/>
    <s v="Consistent"/>
    <x v="0"/>
  </r>
  <r>
    <x v="1210"/>
    <x v="0"/>
    <x v="255"/>
    <n v="7689295746"/>
    <n v="5378.38"/>
    <s v="UK pounds"/>
    <s v="UK pounds"/>
    <x v="0"/>
    <s v="UK"/>
    <x v="3"/>
    <x v="0"/>
    <x v="1"/>
    <s v="Consistent"/>
    <x v="0"/>
  </r>
  <r>
    <x v="1211"/>
    <x v="0"/>
    <x v="1096"/>
    <n v="1431561040"/>
    <n v="16490.240000000002"/>
    <s v="UK pounds"/>
    <s v="UK pounds"/>
    <x v="0"/>
    <s v="UK"/>
    <x v="4"/>
    <x v="0"/>
    <x v="3"/>
    <s v="Consistent"/>
    <x v="0"/>
  </r>
  <r>
    <x v="1212"/>
    <x v="0"/>
    <x v="243"/>
    <n v="114960068"/>
    <n v="8567.2000000000007"/>
    <s v="Euro"/>
    <s v="Dirham"/>
    <x v="4"/>
    <s v="UAE"/>
    <x v="1"/>
    <x v="0"/>
    <x v="1"/>
    <s v="Potential Layering"/>
    <x v="0"/>
  </r>
  <r>
    <x v="1213"/>
    <x v="0"/>
    <x v="1097"/>
    <n v="5896180453"/>
    <n v="10569.5"/>
    <s v="UK pounds"/>
    <s v="UK pounds"/>
    <x v="0"/>
    <s v="UK"/>
    <x v="4"/>
    <x v="0"/>
    <x v="3"/>
    <s v="Consistent"/>
    <x v="0"/>
  </r>
  <r>
    <x v="1214"/>
    <x v="0"/>
    <x v="1098"/>
    <n v="9249336869"/>
    <n v="2958.27"/>
    <s v="UK pounds"/>
    <s v="UK pounds"/>
    <x v="0"/>
    <s v="UK"/>
    <x v="0"/>
    <x v="0"/>
    <x v="0"/>
    <s v="Consistent"/>
    <x v="0"/>
  </r>
  <r>
    <x v="1215"/>
    <x v="0"/>
    <x v="236"/>
    <n v="7080357663"/>
    <n v="27378.48"/>
    <s v="Yen"/>
    <s v="UK pounds"/>
    <x v="3"/>
    <s v="UK"/>
    <x v="1"/>
    <x v="0"/>
    <x v="3"/>
    <s v="Potential Layering"/>
    <x v="2"/>
  </r>
  <r>
    <x v="1216"/>
    <x v="0"/>
    <x v="1099"/>
    <n v="156476808"/>
    <n v="4218.6400000000003"/>
    <s v="UK pounds"/>
    <s v="UK pounds"/>
    <x v="0"/>
    <s v="UK"/>
    <x v="2"/>
    <x v="0"/>
    <x v="2"/>
    <s v="Consistent"/>
    <x v="0"/>
  </r>
  <r>
    <x v="1216"/>
    <x v="0"/>
    <x v="1100"/>
    <n v="5469557323"/>
    <n v="1568.78"/>
    <s v="UK pounds"/>
    <s v="UK pounds"/>
    <x v="0"/>
    <s v="UK"/>
    <x v="4"/>
    <x v="0"/>
    <x v="2"/>
    <s v="Consistent"/>
    <x v="0"/>
  </r>
  <r>
    <x v="1217"/>
    <x v="0"/>
    <x v="1101"/>
    <n v="2692434781"/>
    <n v="2629.03"/>
    <s v="UK pounds"/>
    <s v="UK pounds"/>
    <x v="0"/>
    <s v="UK"/>
    <x v="4"/>
    <x v="0"/>
    <x v="2"/>
    <s v="Consistent"/>
    <x v="0"/>
  </r>
  <r>
    <x v="1218"/>
    <x v="0"/>
    <x v="1102"/>
    <n v="65205551"/>
    <n v="148.65"/>
    <s v="UK pounds"/>
    <s v="UK pounds"/>
    <x v="0"/>
    <s v="UK"/>
    <x v="3"/>
    <x v="0"/>
    <x v="2"/>
    <s v="Consistent"/>
    <x v="0"/>
  </r>
  <r>
    <x v="1219"/>
    <x v="0"/>
    <x v="1103"/>
    <n v="8172080174"/>
    <n v="21063.21"/>
    <s v="UK pounds"/>
    <s v="UK pounds"/>
    <x v="0"/>
    <s v="UK"/>
    <x v="3"/>
    <x v="0"/>
    <x v="3"/>
    <s v="Consistent"/>
    <x v="0"/>
  </r>
  <r>
    <x v="1220"/>
    <x v="0"/>
    <x v="86"/>
    <n v="1378700258"/>
    <n v="15248.59"/>
    <s v="UK pounds"/>
    <s v="UK pounds"/>
    <x v="0"/>
    <s v="UK"/>
    <x v="5"/>
    <x v="0"/>
    <x v="1"/>
    <s v="Consistent"/>
    <x v="0"/>
  </r>
  <r>
    <x v="1221"/>
    <x v="0"/>
    <x v="34"/>
    <n v="3487686607"/>
    <n v="8413.52"/>
    <s v="UK pounds"/>
    <s v="UK pounds"/>
    <x v="0"/>
    <s v="UK"/>
    <x v="3"/>
    <x v="0"/>
    <x v="1"/>
    <s v="Consistent"/>
    <x v="0"/>
  </r>
  <r>
    <x v="1222"/>
    <x v="0"/>
    <x v="68"/>
    <n v="9940921949"/>
    <n v="9142.17"/>
    <s v="UK pounds"/>
    <s v="UK pounds"/>
    <x v="0"/>
    <s v="UK"/>
    <x v="3"/>
    <x v="0"/>
    <x v="1"/>
    <s v="Consistent"/>
    <x v="0"/>
  </r>
  <r>
    <x v="1223"/>
    <x v="0"/>
    <x v="86"/>
    <n v="3087234008"/>
    <n v="5050.8999999999996"/>
    <s v="UK pounds"/>
    <s v="UK pounds"/>
    <x v="0"/>
    <s v="UK"/>
    <x v="4"/>
    <x v="0"/>
    <x v="1"/>
    <s v="Consistent"/>
    <x v="0"/>
  </r>
  <r>
    <x v="1224"/>
    <x v="0"/>
    <x v="1104"/>
    <n v="8518184956"/>
    <n v="8924.0400000000009"/>
    <s v="UK pounds"/>
    <s v="UK pounds"/>
    <x v="0"/>
    <s v="UK"/>
    <x v="2"/>
    <x v="0"/>
    <x v="3"/>
    <s v="Consistent"/>
    <x v="0"/>
  </r>
  <r>
    <x v="1225"/>
    <x v="0"/>
    <x v="1105"/>
    <n v="4559361467"/>
    <n v="133.94"/>
    <s v="UK pounds"/>
    <s v="UK pounds"/>
    <x v="0"/>
    <s v="UK"/>
    <x v="6"/>
    <x v="0"/>
    <x v="5"/>
    <s v="Consistent"/>
    <x v="0"/>
  </r>
  <r>
    <x v="1226"/>
    <x v="0"/>
    <x v="1106"/>
    <n v="1241856377"/>
    <n v="3794.68"/>
    <s v="UK pounds"/>
    <s v="UK pounds"/>
    <x v="0"/>
    <s v="UK"/>
    <x v="2"/>
    <x v="0"/>
    <x v="2"/>
    <s v="Consistent"/>
    <x v="0"/>
  </r>
  <r>
    <x v="1227"/>
    <x v="0"/>
    <x v="188"/>
    <n v="8352571580"/>
    <n v="14860.76"/>
    <s v="UK pounds"/>
    <s v="UK pounds"/>
    <x v="0"/>
    <s v="UK"/>
    <x v="4"/>
    <x v="0"/>
    <x v="3"/>
    <s v="Consistent"/>
    <x v="0"/>
  </r>
  <r>
    <x v="1228"/>
    <x v="0"/>
    <x v="1107"/>
    <n v="8246415425"/>
    <n v="1329.5"/>
    <s v="UK pounds"/>
    <s v="UK pounds"/>
    <x v="0"/>
    <s v="UK"/>
    <x v="3"/>
    <x v="0"/>
    <x v="2"/>
    <s v="Consistent"/>
    <x v="0"/>
  </r>
  <r>
    <x v="1229"/>
    <x v="0"/>
    <x v="1108"/>
    <n v="2806740273"/>
    <n v="6861.49"/>
    <s v="UK pounds"/>
    <s v="UK pounds"/>
    <x v="0"/>
    <s v="UK"/>
    <x v="2"/>
    <x v="0"/>
    <x v="4"/>
    <s v="Consistent"/>
    <x v="0"/>
  </r>
  <r>
    <x v="1230"/>
    <x v="0"/>
    <x v="1109"/>
    <n v="599606329"/>
    <n v="2904.2"/>
    <s v="UK pounds"/>
    <s v="UK pounds"/>
    <x v="0"/>
    <s v="UK"/>
    <x v="0"/>
    <x v="0"/>
    <x v="0"/>
    <s v="Consistent"/>
    <x v="0"/>
  </r>
  <r>
    <x v="1231"/>
    <x v="0"/>
    <x v="1110"/>
    <n v="271164597"/>
    <n v="1130.67"/>
    <s v="UK pounds"/>
    <s v="UK pounds"/>
    <x v="0"/>
    <s v="UK"/>
    <x v="5"/>
    <x v="0"/>
    <x v="2"/>
    <s v="Consistent"/>
    <x v="0"/>
  </r>
  <r>
    <x v="1232"/>
    <x v="0"/>
    <x v="63"/>
    <n v="2341493832"/>
    <n v="7852.82"/>
    <s v="UK pounds"/>
    <s v="UK pounds"/>
    <x v="0"/>
    <s v="UK"/>
    <x v="4"/>
    <x v="0"/>
    <x v="1"/>
    <s v="Consistent"/>
    <x v="0"/>
  </r>
  <r>
    <x v="1232"/>
    <x v="0"/>
    <x v="1111"/>
    <n v="4662117326"/>
    <n v="47306.32"/>
    <s v="Pakistani rupee"/>
    <s v="UK pounds"/>
    <x v="9"/>
    <s v="UK"/>
    <x v="1"/>
    <x v="0"/>
    <x v="2"/>
    <s v="Potential Layering"/>
    <x v="1"/>
  </r>
  <r>
    <x v="1233"/>
    <x v="0"/>
    <x v="991"/>
    <n v="8124790867"/>
    <n v="968.82"/>
    <s v="UK pounds"/>
    <s v="UK pounds"/>
    <x v="0"/>
    <s v="UK"/>
    <x v="3"/>
    <x v="0"/>
    <x v="2"/>
    <s v="Consistent"/>
    <x v="0"/>
  </r>
  <r>
    <x v="1233"/>
    <x v="0"/>
    <x v="1112"/>
    <n v="4852416524"/>
    <n v="195.4"/>
    <s v="UK pounds"/>
    <s v="UK pounds"/>
    <x v="0"/>
    <s v="UK"/>
    <x v="3"/>
    <x v="0"/>
    <x v="2"/>
    <s v="Consistent"/>
    <x v="0"/>
  </r>
  <r>
    <x v="1233"/>
    <x v="0"/>
    <x v="1113"/>
    <n v="6444220418"/>
    <n v="9801.77"/>
    <s v="UK pounds"/>
    <s v="UK pounds"/>
    <x v="0"/>
    <s v="UK"/>
    <x v="5"/>
    <x v="0"/>
    <x v="3"/>
    <s v="Consistent"/>
    <x v="0"/>
  </r>
  <r>
    <x v="1234"/>
    <x v="0"/>
    <x v="248"/>
    <n v="9462027504"/>
    <n v="9736.08"/>
    <s v="UK pounds"/>
    <s v="UK pounds"/>
    <x v="0"/>
    <s v="UK"/>
    <x v="4"/>
    <x v="0"/>
    <x v="1"/>
    <s v="Consistent"/>
    <x v="0"/>
  </r>
  <r>
    <x v="1235"/>
    <x v="0"/>
    <x v="826"/>
    <n v="5466123934"/>
    <n v="7741.41"/>
    <s v="UK pounds"/>
    <s v="UK pounds"/>
    <x v="0"/>
    <s v="UK"/>
    <x v="3"/>
    <x v="0"/>
    <x v="3"/>
    <s v="Consistent"/>
    <x v="0"/>
  </r>
  <r>
    <x v="1236"/>
    <x v="0"/>
    <x v="40"/>
    <n v="2685958910"/>
    <n v="4589.6000000000004"/>
    <s v="UK pounds"/>
    <s v="UK pounds"/>
    <x v="0"/>
    <s v="UK"/>
    <x v="3"/>
    <x v="0"/>
    <x v="1"/>
    <s v="Consistent"/>
    <x v="0"/>
  </r>
  <r>
    <x v="1237"/>
    <x v="0"/>
    <x v="1114"/>
    <n v="6223365730"/>
    <n v="24885.24"/>
    <s v="UK pounds"/>
    <s v="UK pounds"/>
    <x v="0"/>
    <s v="UK"/>
    <x v="2"/>
    <x v="0"/>
    <x v="3"/>
    <s v="Consistent"/>
    <x v="0"/>
  </r>
  <r>
    <x v="1237"/>
    <x v="0"/>
    <x v="1115"/>
    <n v="4494252192"/>
    <n v="5827.84"/>
    <s v="UK pounds"/>
    <s v="Indian rupee"/>
    <x v="0"/>
    <s v="India"/>
    <x v="1"/>
    <x v="0"/>
    <x v="2"/>
    <s v="Potential Layering"/>
    <x v="0"/>
  </r>
  <r>
    <x v="1237"/>
    <x v="0"/>
    <x v="593"/>
    <n v="3938282574"/>
    <n v="2441.5500000000002"/>
    <s v="UK pounds"/>
    <s v="UK pounds"/>
    <x v="0"/>
    <s v="UK"/>
    <x v="5"/>
    <x v="0"/>
    <x v="6"/>
    <s v="Consistent"/>
    <x v="0"/>
  </r>
  <r>
    <x v="1237"/>
    <x v="0"/>
    <x v="1116"/>
    <n v="8498645435"/>
    <n v="12565.72"/>
    <s v="UK pounds"/>
    <s v="UK pounds"/>
    <x v="0"/>
    <s v="UK"/>
    <x v="4"/>
    <x v="0"/>
    <x v="4"/>
    <s v="Consistent"/>
    <x v="0"/>
  </r>
  <r>
    <x v="1238"/>
    <x v="0"/>
    <x v="1117"/>
    <n v="1585147590"/>
    <n v="154.16"/>
    <s v="UK pounds"/>
    <s v="UK pounds"/>
    <x v="0"/>
    <s v="UK"/>
    <x v="5"/>
    <x v="0"/>
    <x v="2"/>
    <s v="Consistent"/>
    <x v="0"/>
  </r>
  <r>
    <x v="1239"/>
    <x v="0"/>
    <x v="1118"/>
    <n v="7391734039"/>
    <n v="1575.15"/>
    <s v="UK pounds"/>
    <s v="UK pounds"/>
    <x v="0"/>
    <s v="UK"/>
    <x v="0"/>
    <x v="0"/>
    <x v="0"/>
    <s v="Consistent"/>
    <x v="0"/>
  </r>
  <r>
    <x v="1240"/>
    <x v="0"/>
    <x v="755"/>
    <n v="2534644942"/>
    <n v="5399.53"/>
    <s v="UK pounds"/>
    <s v="Euro"/>
    <x v="0"/>
    <s v="France"/>
    <x v="1"/>
    <x v="0"/>
    <x v="3"/>
    <s v="Potential Layering"/>
    <x v="0"/>
  </r>
  <r>
    <x v="1241"/>
    <x v="0"/>
    <x v="360"/>
    <n v="5103043844"/>
    <n v="12215.92"/>
    <s v="UK pounds"/>
    <s v="Naira"/>
    <x v="0"/>
    <s v="Nigeria"/>
    <x v="1"/>
    <x v="0"/>
    <x v="3"/>
    <s v="Potential Layering"/>
    <x v="0"/>
  </r>
  <r>
    <x v="1242"/>
    <x v="0"/>
    <x v="1119"/>
    <n v="8678802420"/>
    <n v="22234.43"/>
    <s v="UK pounds"/>
    <s v="UK pounds"/>
    <x v="0"/>
    <s v="UK"/>
    <x v="3"/>
    <x v="0"/>
    <x v="3"/>
    <s v="Consistent"/>
    <x v="0"/>
  </r>
  <r>
    <x v="1243"/>
    <x v="0"/>
    <x v="1120"/>
    <n v="5103043844"/>
    <n v="6712.96"/>
    <s v="UK pounds"/>
    <s v="Naira"/>
    <x v="0"/>
    <s v="Nigeria"/>
    <x v="1"/>
    <x v="0"/>
    <x v="3"/>
    <s v="Potential Layering"/>
    <x v="0"/>
  </r>
  <r>
    <x v="1243"/>
    <x v="0"/>
    <x v="255"/>
    <n v="8091763232"/>
    <n v="5898.67"/>
    <s v="UK pounds"/>
    <s v="UK pounds"/>
    <x v="0"/>
    <s v="UK"/>
    <x v="5"/>
    <x v="0"/>
    <x v="1"/>
    <s v="Consistent"/>
    <x v="0"/>
  </r>
  <r>
    <x v="1244"/>
    <x v="0"/>
    <x v="1121"/>
    <n v="4903447200"/>
    <n v="3185.52"/>
    <s v="UK pounds"/>
    <s v="UK pounds"/>
    <x v="0"/>
    <s v="UK"/>
    <x v="0"/>
    <x v="0"/>
    <x v="0"/>
    <s v="Consistent"/>
    <x v="0"/>
  </r>
  <r>
    <x v="1245"/>
    <x v="0"/>
    <x v="1122"/>
    <n v="6636084525"/>
    <n v="4161.78"/>
    <s v="UK pounds"/>
    <s v="UK pounds"/>
    <x v="0"/>
    <s v="UK"/>
    <x v="3"/>
    <x v="0"/>
    <x v="4"/>
    <s v="Consistent"/>
    <x v="0"/>
  </r>
  <r>
    <x v="1246"/>
    <x v="0"/>
    <x v="1123"/>
    <n v="4336977506"/>
    <n v="5171.3100000000004"/>
    <s v="UK pounds"/>
    <s v="UK pounds"/>
    <x v="0"/>
    <s v="UK"/>
    <x v="3"/>
    <x v="0"/>
    <x v="3"/>
    <s v="Consistent"/>
    <x v="0"/>
  </r>
  <r>
    <x v="1247"/>
    <x v="0"/>
    <x v="1124"/>
    <n v="764476155"/>
    <n v="6124.16"/>
    <s v="UK pounds"/>
    <s v="UK pounds"/>
    <x v="0"/>
    <s v="UK"/>
    <x v="2"/>
    <x v="0"/>
    <x v="7"/>
    <s v="Consistent"/>
    <x v="0"/>
  </r>
  <r>
    <x v="1248"/>
    <x v="0"/>
    <x v="1125"/>
    <n v="5062007826"/>
    <n v="224.07"/>
    <s v="UK pounds"/>
    <s v="UK pounds"/>
    <x v="0"/>
    <s v="UK"/>
    <x v="6"/>
    <x v="0"/>
    <x v="5"/>
    <s v="Consistent"/>
    <x v="0"/>
  </r>
  <r>
    <x v="1249"/>
    <x v="0"/>
    <x v="284"/>
    <n v="3695545812"/>
    <n v="6045.1"/>
    <s v="UK pounds"/>
    <s v="UK pounds"/>
    <x v="0"/>
    <s v="UK"/>
    <x v="5"/>
    <x v="0"/>
    <x v="3"/>
    <s v="Consistent"/>
    <x v="0"/>
  </r>
  <r>
    <x v="1250"/>
    <x v="0"/>
    <x v="51"/>
    <n v="4269977194"/>
    <n v="7387.01"/>
    <s v="UK pounds"/>
    <s v="UK pounds"/>
    <x v="0"/>
    <s v="UK"/>
    <x v="4"/>
    <x v="0"/>
    <x v="1"/>
    <s v="Consistent"/>
    <x v="0"/>
  </r>
  <r>
    <x v="1251"/>
    <x v="0"/>
    <x v="1126"/>
    <n v="2321079122"/>
    <n v="249.73"/>
    <s v="UK pounds"/>
    <s v="UK pounds"/>
    <x v="0"/>
    <s v="UK"/>
    <x v="6"/>
    <x v="0"/>
    <x v="5"/>
    <s v="Consistent"/>
    <x v="0"/>
  </r>
  <r>
    <x v="1252"/>
    <x v="0"/>
    <x v="1127"/>
    <n v="6470357508"/>
    <n v="1388.14"/>
    <s v="UK pounds"/>
    <s v="Pakistani rupee"/>
    <x v="0"/>
    <s v="UK"/>
    <x v="4"/>
    <x v="0"/>
    <x v="2"/>
    <s v="Potential Layering"/>
    <x v="0"/>
  </r>
  <r>
    <x v="1253"/>
    <x v="0"/>
    <x v="51"/>
    <n v="6345374341"/>
    <n v="8175.99"/>
    <s v="UK pounds"/>
    <s v="UK pounds"/>
    <x v="0"/>
    <s v="UK"/>
    <x v="3"/>
    <x v="0"/>
    <x v="1"/>
    <s v="Consistent"/>
    <x v="0"/>
  </r>
  <r>
    <x v="1254"/>
    <x v="0"/>
    <x v="1128"/>
    <n v="5390541976"/>
    <n v="1058.28"/>
    <s v="UK pounds"/>
    <s v="UK pounds"/>
    <x v="0"/>
    <s v="UK"/>
    <x v="2"/>
    <x v="0"/>
    <x v="2"/>
    <s v="Consistent"/>
    <x v="0"/>
  </r>
  <r>
    <x v="1255"/>
    <x v="0"/>
    <x v="1043"/>
    <n v="7199625988"/>
    <n v="10658.28"/>
    <s v="UK pounds"/>
    <s v="UK pounds"/>
    <x v="0"/>
    <s v="UK"/>
    <x v="3"/>
    <x v="0"/>
    <x v="3"/>
    <s v="Consistent"/>
    <x v="0"/>
  </r>
  <r>
    <x v="1255"/>
    <x v="0"/>
    <x v="1129"/>
    <n v="6678650623"/>
    <n v="3295.69"/>
    <s v="UK pounds"/>
    <s v="UK pounds"/>
    <x v="0"/>
    <s v="UK"/>
    <x v="0"/>
    <x v="0"/>
    <x v="0"/>
    <s v="Consistent"/>
    <x v="0"/>
  </r>
  <r>
    <x v="1256"/>
    <x v="0"/>
    <x v="243"/>
    <n v="9281561360"/>
    <n v="22306.49"/>
    <s v="Euro"/>
    <s v="UK pounds"/>
    <x v="4"/>
    <s v="UK"/>
    <x v="1"/>
    <x v="0"/>
    <x v="1"/>
    <s v="Potential Layering"/>
    <x v="0"/>
  </r>
  <r>
    <x v="1256"/>
    <x v="0"/>
    <x v="1130"/>
    <n v="2083746184"/>
    <n v="7614.05"/>
    <s v="UK pounds"/>
    <s v="UK pounds"/>
    <x v="0"/>
    <s v="UK"/>
    <x v="4"/>
    <x v="0"/>
    <x v="4"/>
    <s v="Consistent"/>
    <x v="0"/>
  </r>
  <r>
    <x v="1257"/>
    <x v="0"/>
    <x v="1131"/>
    <n v="1431561040"/>
    <n v="8666.06"/>
    <s v="UK pounds"/>
    <s v="UK pounds"/>
    <x v="0"/>
    <s v="UK"/>
    <x v="3"/>
    <x v="0"/>
    <x v="3"/>
    <s v="Consistent"/>
    <x v="0"/>
  </r>
  <r>
    <x v="1257"/>
    <x v="0"/>
    <x v="634"/>
    <n v="8172080174"/>
    <n v="5581.4"/>
    <s v="UK pounds"/>
    <s v="UK pounds"/>
    <x v="0"/>
    <s v="UK"/>
    <x v="4"/>
    <x v="0"/>
    <x v="3"/>
    <s v="Consistent"/>
    <x v="0"/>
  </r>
  <r>
    <x v="1258"/>
    <x v="0"/>
    <x v="1132"/>
    <n v="1725245008"/>
    <n v="1640.79"/>
    <s v="UK pounds"/>
    <s v="UK pounds"/>
    <x v="0"/>
    <s v="UK"/>
    <x v="0"/>
    <x v="0"/>
    <x v="0"/>
    <s v="Consistent"/>
    <x v="0"/>
  </r>
  <r>
    <x v="1259"/>
    <x v="0"/>
    <x v="34"/>
    <n v="2753383263"/>
    <n v="5655.3"/>
    <s v="UK pounds"/>
    <s v="UK pounds"/>
    <x v="0"/>
    <s v="UK"/>
    <x v="3"/>
    <x v="0"/>
    <x v="1"/>
    <s v="Consistent"/>
    <x v="0"/>
  </r>
  <r>
    <x v="1260"/>
    <x v="0"/>
    <x v="1133"/>
    <n v="6662033896"/>
    <n v="691.77"/>
    <s v="UK pounds"/>
    <s v="UK pounds"/>
    <x v="0"/>
    <s v="UK"/>
    <x v="2"/>
    <x v="0"/>
    <x v="2"/>
    <s v="Consistent"/>
    <x v="0"/>
  </r>
  <r>
    <x v="1261"/>
    <x v="0"/>
    <x v="870"/>
    <n v="6034997194"/>
    <n v="7031.37"/>
    <s v="UK pounds"/>
    <s v="UK pounds"/>
    <x v="0"/>
    <s v="UK"/>
    <x v="2"/>
    <x v="0"/>
    <x v="3"/>
    <s v="Consistent"/>
    <x v="0"/>
  </r>
  <r>
    <x v="1261"/>
    <x v="0"/>
    <x v="149"/>
    <n v="9549349263"/>
    <n v="11069.15"/>
    <s v="UK pounds"/>
    <s v="UK pounds"/>
    <x v="0"/>
    <s v="UK"/>
    <x v="5"/>
    <x v="0"/>
    <x v="1"/>
    <s v="Consistent"/>
    <x v="0"/>
  </r>
  <r>
    <x v="1262"/>
    <x v="0"/>
    <x v="368"/>
    <n v="685567924"/>
    <n v="10896.96"/>
    <s v="UK pounds"/>
    <s v="UK pounds"/>
    <x v="0"/>
    <s v="UK"/>
    <x v="4"/>
    <x v="0"/>
    <x v="1"/>
    <s v="Consistent"/>
    <x v="0"/>
  </r>
  <r>
    <x v="1263"/>
    <x v="0"/>
    <x v="68"/>
    <n v="7889074144"/>
    <n v="26689.279999999999"/>
    <s v="UK pounds"/>
    <s v="UK pounds"/>
    <x v="0"/>
    <s v="UK"/>
    <x v="5"/>
    <x v="0"/>
    <x v="1"/>
    <s v="Consistent"/>
    <x v="0"/>
  </r>
  <r>
    <x v="1263"/>
    <x v="0"/>
    <x v="1134"/>
    <n v="4173136393"/>
    <n v="3523.43"/>
    <s v="UK pounds"/>
    <s v="UK pounds"/>
    <x v="0"/>
    <s v="UK"/>
    <x v="4"/>
    <x v="0"/>
    <x v="4"/>
    <s v="Consistent"/>
    <x v="0"/>
  </r>
  <r>
    <x v="1264"/>
    <x v="0"/>
    <x v="1135"/>
    <n v="4092099585"/>
    <n v="4512.3100000000004"/>
    <s v="UK pounds"/>
    <s v="UK pounds"/>
    <x v="0"/>
    <s v="UK"/>
    <x v="4"/>
    <x v="0"/>
    <x v="2"/>
    <s v="Consistent"/>
    <x v="0"/>
  </r>
  <r>
    <x v="1264"/>
    <x v="0"/>
    <x v="1136"/>
    <n v="4270865741"/>
    <n v="5785.32"/>
    <s v="UK pounds"/>
    <s v="UK pounds"/>
    <x v="0"/>
    <s v="UK"/>
    <x v="5"/>
    <x v="0"/>
    <x v="3"/>
    <s v="Consistent"/>
    <x v="0"/>
  </r>
  <r>
    <x v="1265"/>
    <x v="0"/>
    <x v="1137"/>
    <n v="3220735304"/>
    <n v="8165.87"/>
    <s v="UK pounds"/>
    <s v="UK pounds"/>
    <x v="0"/>
    <s v="UK"/>
    <x v="4"/>
    <x v="0"/>
    <x v="3"/>
    <s v="Consistent"/>
    <x v="0"/>
  </r>
  <r>
    <x v="1266"/>
    <x v="0"/>
    <x v="1138"/>
    <n v="3954995196"/>
    <n v="2718.18"/>
    <s v="UK pounds"/>
    <s v="UK pounds"/>
    <x v="0"/>
    <s v="UK"/>
    <x v="2"/>
    <x v="0"/>
    <x v="2"/>
    <s v="Consistent"/>
    <x v="0"/>
  </r>
  <r>
    <x v="1267"/>
    <x v="0"/>
    <x v="358"/>
    <n v="433433286"/>
    <n v="5210.97"/>
    <s v="UK pounds"/>
    <s v="UK pounds"/>
    <x v="0"/>
    <s v="UK"/>
    <x v="5"/>
    <x v="0"/>
    <x v="2"/>
    <s v="Consistent"/>
    <x v="0"/>
  </r>
  <r>
    <x v="1268"/>
    <x v="0"/>
    <x v="1139"/>
    <n v="2013911363"/>
    <n v="7287.99"/>
    <s v="UK pounds"/>
    <s v="UK pounds"/>
    <x v="0"/>
    <s v="UK"/>
    <x v="2"/>
    <x v="0"/>
    <x v="2"/>
    <s v="Consistent"/>
    <x v="0"/>
  </r>
  <r>
    <x v="1269"/>
    <x v="0"/>
    <x v="1140"/>
    <n v="3613897186"/>
    <n v="6980.28"/>
    <s v="UK pounds"/>
    <s v="UK pounds"/>
    <x v="0"/>
    <s v="UK"/>
    <x v="2"/>
    <x v="0"/>
    <x v="2"/>
    <s v="Consistent"/>
    <x v="0"/>
  </r>
  <r>
    <x v="1269"/>
    <x v="0"/>
    <x v="1141"/>
    <n v="8595873924"/>
    <n v="4081.25"/>
    <s v="UK pounds"/>
    <s v="UK pounds"/>
    <x v="0"/>
    <s v="UK"/>
    <x v="4"/>
    <x v="0"/>
    <x v="2"/>
    <s v="Consistent"/>
    <x v="0"/>
  </r>
  <r>
    <x v="1270"/>
    <x v="0"/>
    <x v="1142"/>
    <n v="8560918363"/>
    <n v="1312.05"/>
    <s v="UK pounds"/>
    <s v="UK pounds"/>
    <x v="0"/>
    <s v="UK"/>
    <x v="2"/>
    <x v="0"/>
    <x v="2"/>
    <s v="Consistent"/>
    <x v="0"/>
  </r>
  <r>
    <x v="1271"/>
    <x v="0"/>
    <x v="1143"/>
    <n v="8678802420"/>
    <n v="10028.5"/>
    <s v="UK pounds"/>
    <s v="UK pounds"/>
    <x v="0"/>
    <s v="UK"/>
    <x v="5"/>
    <x v="0"/>
    <x v="3"/>
    <s v="Consistent"/>
    <x v="0"/>
  </r>
  <r>
    <x v="1272"/>
    <x v="0"/>
    <x v="46"/>
    <n v="4409725873"/>
    <n v="8265.34"/>
    <s v="UK pounds"/>
    <s v="UK pounds"/>
    <x v="0"/>
    <s v="UK"/>
    <x v="2"/>
    <x v="0"/>
    <x v="1"/>
    <s v="Consistent"/>
    <x v="0"/>
  </r>
  <r>
    <x v="1272"/>
    <x v="0"/>
    <x v="1144"/>
    <n v="6744768229"/>
    <n v="91.68"/>
    <s v="UK pounds"/>
    <s v="UK pounds"/>
    <x v="0"/>
    <s v="UK"/>
    <x v="4"/>
    <x v="0"/>
    <x v="2"/>
    <s v="Consistent"/>
    <x v="0"/>
  </r>
  <r>
    <x v="1273"/>
    <x v="0"/>
    <x v="1145"/>
    <n v="6794004081"/>
    <n v="4670.99"/>
    <s v="UK pounds"/>
    <s v="UK pounds"/>
    <x v="0"/>
    <s v="UK"/>
    <x v="4"/>
    <x v="0"/>
    <x v="2"/>
    <s v="Consistent"/>
    <x v="0"/>
  </r>
  <r>
    <x v="1274"/>
    <x v="0"/>
    <x v="1146"/>
    <n v="394735429"/>
    <n v="3952.96"/>
    <s v="UK pounds"/>
    <s v="UK pounds"/>
    <x v="0"/>
    <s v="UK"/>
    <x v="4"/>
    <x v="0"/>
    <x v="2"/>
    <s v="Consistent"/>
    <x v="0"/>
  </r>
  <r>
    <x v="1275"/>
    <x v="0"/>
    <x v="534"/>
    <n v="1320927231"/>
    <n v="10240.49"/>
    <s v="UK pounds"/>
    <s v="UK pounds"/>
    <x v="0"/>
    <s v="UK"/>
    <x v="3"/>
    <x v="0"/>
    <x v="3"/>
    <s v="Consistent"/>
    <x v="0"/>
  </r>
  <r>
    <x v="1275"/>
    <x v="0"/>
    <x v="331"/>
    <n v="5466123934"/>
    <n v="7483.05"/>
    <s v="UK pounds"/>
    <s v="UK pounds"/>
    <x v="0"/>
    <s v="UK"/>
    <x v="2"/>
    <x v="0"/>
    <x v="3"/>
    <s v="Consistent"/>
    <x v="0"/>
  </r>
  <r>
    <x v="1276"/>
    <x v="0"/>
    <x v="1147"/>
    <n v="8348194481"/>
    <n v="2872.54"/>
    <s v="UK pounds"/>
    <s v="UK pounds"/>
    <x v="0"/>
    <s v="UK"/>
    <x v="4"/>
    <x v="0"/>
    <x v="2"/>
    <s v="Consistent"/>
    <x v="0"/>
  </r>
  <r>
    <x v="1277"/>
    <x v="0"/>
    <x v="870"/>
    <n v="6034997194"/>
    <n v="6915.04"/>
    <s v="UK pounds"/>
    <s v="UK pounds"/>
    <x v="0"/>
    <s v="UK"/>
    <x v="4"/>
    <x v="0"/>
    <x v="3"/>
    <s v="Consistent"/>
    <x v="0"/>
  </r>
  <r>
    <x v="1278"/>
    <x v="0"/>
    <x v="1148"/>
    <n v="6669743146"/>
    <n v="484.25"/>
    <s v="UK pounds"/>
    <s v="UK pounds"/>
    <x v="0"/>
    <s v="UK"/>
    <x v="0"/>
    <x v="0"/>
    <x v="0"/>
    <s v="Consistent"/>
    <x v="0"/>
  </r>
  <r>
    <x v="1279"/>
    <x v="0"/>
    <x v="1149"/>
    <n v="5062559251"/>
    <n v="160.87"/>
    <s v="UK pounds"/>
    <s v="UK pounds"/>
    <x v="0"/>
    <s v="UK"/>
    <x v="5"/>
    <x v="0"/>
    <x v="2"/>
    <s v="Consistent"/>
    <x v="0"/>
  </r>
  <r>
    <x v="1280"/>
    <x v="0"/>
    <x v="1150"/>
    <n v="1861204667"/>
    <n v="3740.45"/>
    <s v="UK pounds"/>
    <s v="UK pounds"/>
    <x v="0"/>
    <s v="UK"/>
    <x v="2"/>
    <x v="0"/>
    <x v="2"/>
    <s v="Consistent"/>
    <x v="0"/>
  </r>
  <r>
    <x v="1281"/>
    <x v="0"/>
    <x v="86"/>
    <n v="3087234008"/>
    <n v="4955.8900000000003"/>
    <s v="UK pounds"/>
    <s v="UK pounds"/>
    <x v="0"/>
    <s v="UK"/>
    <x v="2"/>
    <x v="0"/>
    <x v="1"/>
    <s v="Consistent"/>
    <x v="0"/>
  </r>
  <r>
    <x v="1281"/>
    <x v="0"/>
    <x v="332"/>
    <n v="1316458123"/>
    <n v="13455.79"/>
    <s v="UK pounds"/>
    <s v="Mexican Peso"/>
    <x v="0"/>
    <s v="Mexico"/>
    <x v="1"/>
    <x v="0"/>
    <x v="3"/>
    <s v="Potential Layering"/>
    <x v="0"/>
  </r>
  <r>
    <x v="1282"/>
    <x v="0"/>
    <x v="1151"/>
    <n v="6343965120"/>
    <n v="653.28"/>
    <s v="UK pounds"/>
    <s v="UK pounds"/>
    <x v="0"/>
    <s v="UK"/>
    <x v="4"/>
    <x v="0"/>
    <x v="2"/>
    <s v="Consistent"/>
    <x v="0"/>
  </r>
  <r>
    <x v="1282"/>
    <x v="0"/>
    <x v="163"/>
    <n v="2812285491"/>
    <n v="13120.85"/>
    <s v="UK pounds"/>
    <s v="UK pounds"/>
    <x v="0"/>
    <s v="UK"/>
    <x v="2"/>
    <x v="0"/>
    <x v="1"/>
    <s v="Consistent"/>
    <x v="0"/>
  </r>
  <r>
    <x v="1283"/>
    <x v="0"/>
    <x v="195"/>
    <n v="8816009605"/>
    <n v="8226.5499999999993"/>
    <s v="UK pounds"/>
    <s v="UK pounds"/>
    <x v="0"/>
    <s v="UK"/>
    <x v="4"/>
    <x v="0"/>
    <x v="1"/>
    <s v="Consistent"/>
    <x v="0"/>
  </r>
  <r>
    <x v="1283"/>
    <x v="0"/>
    <x v="1152"/>
    <n v="5019647946"/>
    <n v="1879.64"/>
    <s v="UK pounds"/>
    <s v="UK pounds"/>
    <x v="0"/>
    <s v="UK"/>
    <x v="3"/>
    <x v="0"/>
    <x v="2"/>
    <s v="Consistent"/>
    <x v="0"/>
  </r>
  <r>
    <x v="1284"/>
    <x v="0"/>
    <x v="1153"/>
    <n v="3401242421"/>
    <n v="9349.7900000000009"/>
    <s v="UK pounds"/>
    <s v="UK pounds"/>
    <x v="0"/>
    <s v="UK"/>
    <x v="5"/>
    <x v="0"/>
    <x v="2"/>
    <s v="Consistent"/>
    <x v="0"/>
  </r>
  <r>
    <x v="1285"/>
    <x v="0"/>
    <x v="924"/>
    <n v="4575628984"/>
    <n v="5079.3900000000003"/>
    <s v="UK pounds"/>
    <s v="UK pounds"/>
    <x v="0"/>
    <s v="UK"/>
    <x v="5"/>
    <x v="0"/>
    <x v="2"/>
    <s v="Consistent"/>
    <x v="0"/>
  </r>
  <r>
    <x v="1286"/>
    <x v="0"/>
    <x v="574"/>
    <n v="2042062597"/>
    <n v="3644.04"/>
    <s v="UK pounds"/>
    <s v="UK pounds"/>
    <x v="0"/>
    <s v="UK"/>
    <x v="5"/>
    <x v="0"/>
    <x v="6"/>
    <s v="Consistent"/>
    <x v="0"/>
  </r>
  <r>
    <x v="1287"/>
    <x v="0"/>
    <x v="1154"/>
    <n v="2134614852"/>
    <n v="1432.18"/>
    <s v="UK pounds"/>
    <s v="UK pounds"/>
    <x v="0"/>
    <s v="UK"/>
    <x v="0"/>
    <x v="0"/>
    <x v="0"/>
    <s v="Consistent"/>
    <x v="0"/>
  </r>
  <r>
    <x v="1288"/>
    <x v="0"/>
    <x v="631"/>
    <n v="454607472"/>
    <n v="1330.92"/>
    <s v="UK pounds"/>
    <s v="UK pounds"/>
    <x v="0"/>
    <s v="UK"/>
    <x v="2"/>
    <x v="0"/>
    <x v="2"/>
    <s v="Consistent"/>
    <x v="0"/>
  </r>
  <r>
    <x v="1289"/>
    <x v="0"/>
    <x v="81"/>
    <n v="4065028145"/>
    <n v="4395.54"/>
    <s v="UK pounds"/>
    <s v="Euro"/>
    <x v="0"/>
    <s v="Austria"/>
    <x v="1"/>
    <x v="0"/>
    <x v="1"/>
    <s v="Potential Layering"/>
    <x v="0"/>
  </r>
  <r>
    <x v="1290"/>
    <x v="0"/>
    <x v="206"/>
    <n v="911722658"/>
    <n v="11536.49"/>
    <s v="Naira"/>
    <s v="UK pounds"/>
    <x v="2"/>
    <s v="UK"/>
    <x v="1"/>
    <x v="0"/>
    <x v="6"/>
    <s v="Potential Layering"/>
    <x v="1"/>
  </r>
  <r>
    <x v="1290"/>
    <x v="0"/>
    <x v="1155"/>
    <n v="6416513886"/>
    <n v="177.58"/>
    <s v="UK pounds"/>
    <s v="UK pounds"/>
    <x v="0"/>
    <s v="UK"/>
    <x v="5"/>
    <x v="0"/>
    <x v="2"/>
    <s v="Consistent"/>
    <x v="0"/>
  </r>
  <r>
    <x v="1291"/>
    <x v="0"/>
    <x v="165"/>
    <n v="1377603863"/>
    <n v="9486.07"/>
    <s v="UK pounds"/>
    <s v="UK pounds"/>
    <x v="0"/>
    <s v="UK"/>
    <x v="3"/>
    <x v="0"/>
    <x v="3"/>
    <s v="Consistent"/>
    <x v="0"/>
  </r>
  <r>
    <x v="1292"/>
    <x v="0"/>
    <x v="1156"/>
    <n v="2175218983"/>
    <n v="2488.91"/>
    <s v="UK pounds"/>
    <s v="UK pounds"/>
    <x v="0"/>
    <s v="UK"/>
    <x v="2"/>
    <x v="0"/>
    <x v="2"/>
    <s v="Consistent"/>
    <x v="0"/>
  </r>
  <r>
    <x v="1292"/>
    <x v="0"/>
    <x v="1157"/>
    <n v="3331273253"/>
    <n v="3914.46"/>
    <s v="UK pounds"/>
    <s v="UK pounds"/>
    <x v="0"/>
    <s v="UK"/>
    <x v="0"/>
    <x v="0"/>
    <x v="0"/>
    <s v="Consistent"/>
    <x v="0"/>
  </r>
  <r>
    <x v="1293"/>
    <x v="0"/>
    <x v="1158"/>
    <n v="6276632125"/>
    <n v="1083.1600000000001"/>
    <s v="UK pounds"/>
    <s v="UK pounds"/>
    <x v="0"/>
    <s v="UK"/>
    <x v="5"/>
    <x v="0"/>
    <x v="2"/>
    <s v="Consistent"/>
    <x v="0"/>
  </r>
  <r>
    <x v="1294"/>
    <x v="0"/>
    <x v="1159"/>
    <n v="8958016274"/>
    <n v="7904.57"/>
    <s v="UK pounds"/>
    <s v="UK pounds"/>
    <x v="0"/>
    <s v="UK"/>
    <x v="3"/>
    <x v="0"/>
    <x v="2"/>
    <s v="Consistent"/>
    <x v="0"/>
  </r>
  <r>
    <x v="1294"/>
    <x v="0"/>
    <x v="1160"/>
    <n v="2698118868"/>
    <n v="11093.99"/>
    <s v="UK pounds"/>
    <s v="UK pounds"/>
    <x v="0"/>
    <s v="UK"/>
    <x v="2"/>
    <x v="0"/>
    <x v="2"/>
    <s v="Consistent"/>
    <x v="0"/>
  </r>
  <r>
    <x v="1294"/>
    <x v="0"/>
    <x v="1161"/>
    <n v="1202580578"/>
    <n v="7374.16"/>
    <s v="UK pounds"/>
    <s v="UK pounds"/>
    <x v="0"/>
    <s v="UK"/>
    <x v="2"/>
    <x v="0"/>
    <x v="2"/>
    <s v="Consistent"/>
    <x v="0"/>
  </r>
  <r>
    <x v="1295"/>
    <x v="0"/>
    <x v="1162"/>
    <n v="2272587416"/>
    <n v="8346.91"/>
    <s v="UK pounds"/>
    <s v="UK pounds"/>
    <x v="0"/>
    <s v="UK"/>
    <x v="5"/>
    <x v="0"/>
    <x v="2"/>
    <s v="Consistent"/>
    <x v="0"/>
  </r>
  <r>
    <x v="1296"/>
    <x v="0"/>
    <x v="1163"/>
    <n v="3630693113"/>
    <n v="4097.3100000000004"/>
    <s v="UK pounds"/>
    <s v="UK pounds"/>
    <x v="0"/>
    <s v="UK"/>
    <x v="4"/>
    <x v="0"/>
    <x v="2"/>
    <s v="Consistent"/>
    <x v="0"/>
  </r>
  <r>
    <x v="1297"/>
    <x v="0"/>
    <x v="63"/>
    <n v="4629995866"/>
    <n v="28315.85"/>
    <s v="UK pounds"/>
    <s v="UK pounds"/>
    <x v="0"/>
    <s v="UK"/>
    <x v="3"/>
    <x v="0"/>
    <x v="1"/>
    <s v="Consistent"/>
    <x v="0"/>
  </r>
  <r>
    <x v="1298"/>
    <x v="0"/>
    <x v="1164"/>
    <n v="7892884492"/>
    <n v="10941.87"/>
    <s v="UK pounds"/>
    <s v="US dollar"/>
    <x v="0"/>
    <s v="USA"/>
    <x v="1"/>
    <x v="0"/>
    <x v="3"/>
    <s v="Potential Layering"/>
    <x v="0"/>
  </r>
  <r>
    <x v="1299"/>
    <x v="0"/>
    <x v="1165"/>
    <n v="7838494393"/>
    <n v="1606.65"/>
    <s v="UK pounds"/>
    <s v="UK pounds"/>
    <x v="0"/>
    <s v="UK"/>
    <x v="5"/>
    <x v="0"/>
    <x v="4"/>
    <s v="Consistent"/>
    <x v="0"/>
  </r>
  <r>
    <x v="1300"/>
    <x v="0"/>
    <x v="1166"/>
    <n v="8480920549"/>
    <n v="12349.37"/>
    <s v="UK pounds"/>
    <s v="UK pounds"/>
    <x v="0"/>
    <s v="UK"/>
    <x v="2"/>
    <x v="0"/>
    <x v="2"/>
    <s v="Consistent"/>
    <x v="0"/>
  </r>
  <r>
    <x v="1301"/>
    <x v="0"/>
    <x v="1167"/>
    <n v="6157568163"/>
    <n v="6796.17"/>
    <s v="Dirham"/>
    <s v="UK pounds"/>
    <x v="6"/>
    <s v="UK"/>
    <x v="1"/>
    <x v="0"/>
    <x v="2"/>
    <s v="Potential Layering"/>
    <x v="2"/>
  </r>
  <r>
    <x v="1301"/>
    <x v="0"/>
    <x v="40"/>
    <n v="6944062928"/>
    <n v="7591.93"/>
    <s v="UK pounds"/>
    <s v="UK pounds"/>
    <x v="0"/>
    <s v="UK"/>
    <x v="5"/>
    <x v="0"/>
    <x v="1"/>
    <s v="Consistent"/>
    <x v="0"/>
  </r>
  <r>
    <x v="1301"/>
    <x v="0"/>
    <x v="1168"/>
    <n v="7721337824"/>
    <n v="875.92"/>
    <s v="UK pounds"/>
    <s v="UK pounds"/>
    <x v="0"/>
    <s v="UK"/>
    <x v="4"/>
    <x v="0"/>
    <x v="2"/>
    <s v="Consistent"/>
    <x v="0"/>
  </r>
  <r>
    <x v="1302"/>
    <x v="0"/>
    <x v="1169"/>
    <n v="3028756530"/>
    <n v="69.19"/>
    <s v="UK pounds"/>
    <s v="UK pounds"/>
    <x v="0"/>
    <s v="UK"/>
    <x v="6"/>
    <x v="0"/>
    <x v="5"/>
    <s v="Consistent"/>
    <x v="0"/>
  </r>
  <r>
    <x v="1303"/>
    <x v="0"/>
    <x v="1170"/>
    <n v="7464410589"/>
    <n v="13697.47"/>
    <s v="UK pounds"/>
    <s v="Yen"/>
    <x v="0"/>
    <s v="Japan"/>
    <x v="1"/>
    <x v="0"/>
    <x v="8"/>
    <s v="Potential Layering"/>
    <x v="0"/>
  </r>
  <r>
    <x v="1304"/>
    <x v="0"/>
    <x v="1171"/>
    <n v="5287326909"/>
    <n v="4564.01"/>
    <s v="UK pounds"/>
    <s v="UK pounds"/>
    <x v="0"/>
    <s v="UK"/>
    <x v="5"/>
    <x v="0"/>
    <x v="2"/>
    <s v="Consistent"/>
    <x v="0"/>
  </r>
  <r>
    <x v="1305"/>
    <x v="0"/>
    <x v="50"/>
    <n v="6855935396"/>
    <n v="5479.62"/>
    <s v="UK pounds"/>
    <s v="UK pounds"/>
    <x v="0"/>
    <s v="UK"/>
    <x v="5"/>
    <x v="0"/>
    <x v="3"/>
    <s v="Consistent"/>
    <x v="0"/>
  </r>
  <r>
    <x v="1305"/>
    <x v="0"/>
    <x v="339"/>
    <n v="2074126451"/>
    <n v="5330.31"/>
    <s v="UK pounds"/>
    <s v="UK pounds"/>
    <x v="0"/>
    <s v="UK"/>
    <x v="4"/>
    <x v="0"/>
    <x v="1"/>
    <s v="Consistent"/>
    <x v="0"/>
  </r>
  <r>
    <x v="1306"/>
    <x v="0"/>
    <x v="1172"/>
    <n v="6953672776"/>
    <n v="31613.7"/>
    <s v="UK pounds"/>
    <s v="Mexican Peso"/>
    <x v="0"/>
    <s v="Mexico"/>
    <x v="1"/>
    <x v="0"/>
    <x v="3"/>
    <s v="Potential Layering"/>
    <x v="0"/>
  </r>
  <r>
    <x v="1307"/>
    <x v="0"/>
    <x v="27"/>
    <n v="3079818547"/>
    <n v="8045.64"/>
    <s v="UK pounds"/>
    <s v="UK pounds"/>
    <x v="0"/>
    <s v="UK"/>
    <x v="4"/>
    <x v="0"/>
    <x v="3"/>
    <s v="Consistent"/>
    <x v="0"/>
  </r>
  <r>
    <x v="1308"/>
    <x v="0"/>
    <x v="63"/>
    <n v="8078722188"/>
    <n v="10074.73"/>
    <s v="UK pounds"/>
    <s v="UK pounds"/>
    <x v="0"/>
    <s v="UK"/>
    <x v="5"/>
    <x v="0"/>
    <x v="1"/>
    <s v="Consistent"/>
    <x v="0"/>
  </r>
  <r>
    <x v="1309"/>
    <x v="0"/>
    <x v="1173"/>
    <n v="3256292285"/>
    <n v="15709.51"/>
    <s v="UK pounds"/>
    <s v="UK pounds"/>
    <x v="0"/>
    <s v="UK"/>
    <x v="4"/>
    <x v="0"/>
    <x v="2"/>
    <s v="Consistent"/>
    <x v="0"/>
  </r>
  <r>
    <x v="1309"/>
    <x v="0"/>
    <x v="35"/>
    <n v="1625701030"/>
    <n v="6332.89"/>
    <s v="UK pounds"/>
    <s v="UK pounds"/>
    <x v="0"/>
    <s v="UK"/>
    <x v="4"/>
    <x v="0"/>
    <x v="1"/>
    <s v="Consistent"/>
    <x v="0"/>
  </r>
  <r>
    <x v="1310"/>
    <x v="0"/>
    <x v="110"/>
    <n v="9232891126"/>
    <n v="7210.51"/>
    <s v="UK pounds"/>
    <s v="UK pounds"/>
    <x v="0"/>
    <s v="UK"/>
    <x v="2"/>
    <x v="0"/>
    <x v="1"/>
    <s v="Consistent"/>
    <x v="0"/>
  </r>
  <r>
    <x v="1311"/>
    <x v="0"/>
    <x v="339"/>
    <n v="8818164834"/>
    <n v="4710.42"/>
    <s v="UK pounds"/>
    <s v="UK pounds"/>
    <x v="0"/>
    <s v="UK"/>
    <x v="4"/>
    <x v="0"/>
    <x v="1"/>
    <s v="Consistent"/>
    <x v="0"/>
  </r>
  <r>
    <x v="1311"/>
    <x v="0"/>
    <x v="1174"/>
    <n v="6476703638"/>
    <n v="276.72000000000003"/>
    <s v="UK pounds"/>
    <s v="UK pounds"/>
    <x v="0"/>
    <s v="UK"/>
    <x v="0"/>
    <x v="0"/>
    <x v="0"/>
    <s v="Consistent"/>
    <x v="0"/>
  </r>
  <r>
    <x v="1312"/>
    <x v="0"/>
    <x v="1175"/>
    <n v="1493436023"/>
    <n v="37547.85"/>
    <s v="UK pounds"/>
    <s v="UK pounds"/>
    <x v="0"/>
    <s v="UK"/>
    <x v="4"/>
    <x v="0"/>
    <x v="3"/>
    <s v="Consistent"/>
    <x v="0"/>
  </r>
  <r>
    <x v="1313"/>
    <x v="0"/>
    <x v="1176"/>
    <n v="6855935396"/>
    <n v="5857.97"/>
    <s v="UK pounds"/>
    <s v="UK pounds"/>
    <x v="0"/>
    <s v="UK"/>
    <x v="4"/>
    <x v="0"/>
    <x v="3"/>
    <s v="Consistent"/>
    <x v="0"/>
  </r>
  <r>
    <x v="1314"/>
    <x v="0"/>
    <x v="1177"/>
    <n v="6522784509"/>
    <n v="5919.88"/>
    <s v="UK pounds"/>
    <s v="UK pounds"/>
    <x v="0"/>
    <s v="UK"/>
    <x v="2"/>
    <x v="0"/>
    <x v="6"/>
    <s v="Consistent"/>
    <x v="0"/>
  </r>
  <r>
    <x v="1314"/>
    <x v="0"/>
    <x v="1178"/>
    <n v="6444220418"/>
    <n v="8020.66"/>
    <s v="UK pounds"/>
    <s v="UK pounds"/>
    <x v="0"/>
    <s v="UK"/>
    <x v="3"/>
    <x v="0"/>
    <x v="3"/>
    <s v="Consistent"/>
    <x v="0"/>
  </r>
  <r>
    <x v="1314"/>
    <x v="0"/>
    <x v="1179"/>
    <n v="4730079874"/>
    <n v="1852.88"/>
    <s v="UK pounds"/>
    <s v="Pakistani rupee"/>
    <x v="0"/>
    <s v="UK"/>
    <x v="2"/>
    <x v="0"/>
    <x v="2"/>
    <s v="Potential Layering"/>
    <x v="0"/>
  </r>
  <r>
    <x v="1315"/>
    <x v="0"/>
    <x v="141"/>
    <n v="8906126287"/>
    <n v="9353.4699999999993"/>
    <s v="UK pounds"/>
    <s v="UK pounds"/>
    <x v="0"/>
    <s v="UK"/>
    <x v="3"/>
    <x v="0"/>
    <x v="6"/>
    <s v="Consistent"/>
    <x v="0"/>
  </r>
  <r>
    <x v="1315"/>
    <x v="0"/>
    <x v="61"/>
    <n v="7981094247"/>
    <n v="7689.67"/>
    <s v="UK pounds"/>
    <s v="UK pounds"/>
    <x v="0"/>
    <s v="UK"/>
    <x v="5"/>
    <x v="0"/>
    <x v="1"/>
    <s v="Consistent"/>
    <x v="0"/>
  </r>
  <r>
    <x v="1316"/>
    <x v="0"/>
    <x v="1180"/>
    <n v="9717423135"/>
    <n v="11588.67"/>
    <s v="UK pounds"/>
    <s v="UK pounds"/>
    <x v="0"/>
    <s v="UK"/>
    <x v="5"/>
    <x v="0"/>
    <x v="2"/>
    <s v="Consistent"/>
    <x v="0"/>
  </r>
  <r>
    <x v="1317"/>
    <x v="0"/>
    <x v="1181"/>
    <n v="5501242883"/>
    <n v="709.01"/>
    <s v="UK pounds"/>
    <s v="UK pounds"/>
    <x v="0"/>
    <s v="UK"/>
    <x v="0"/>
    <x v="0"/>
    <x v="0"/>
    <s v="Consistent"/>
    <x v="0"/>
  </r>
  <r>
    <x v="1317"/>
    <x v="0"/>
    <x v="1182"/>
    <n v="1074595314"/>
    <n v="669.24"/>
    <s v="UK pounds"/>
    <s v="UK pounds"/>
    <x v="0"/>
    <s v="UK"/>
    <x v="4"/>
    <x v="0"/>
    <x v="2"/>
    <s v="Consistent"/>
    <x v="0"/>
  </r>
  <r>
    <x v="1317"/>
    <x v="0"/>
    <x v="1183"/>
    <n v="8735083798"/>
    <n v="172.94"/>
    <s v="UK pounds"/>
    <s v="UK pounds"/>
    <x v="0"/>
    <s v="UK"/>
    <x v="4"/>
    <x v="0"/>
    <x v="2"/>
    <s v="Consistent"/>
    <x v="0"/>
  </r>
  <r>
    <x v="1318"/>
    <x v="0"/>
    <x v="63"/>
    <n v="1212654276"/>
    <n v="6982.27"/>
    <s v="UK pounds"/>
    <s v="UK pounds"/>
    <x v="0"/>
    <s v="UK"/>
    <x v="5"/>
    <x v="0"/>
    <x v="1"/>
    <s v="Consistent"/>
    <x v="0"/>
  </r>
  <r>
    <x v="1319"/>
    <x v="0"/>
    <x v="91"/>
    <n v="8107460466"/>
    <n v="5115.13"/>
    <s v="UK pounds"/>
    <s v="UK pounds"/>
    <x v="0"/>
    <s v="UK"/>
    <x v="2"/>
    <x v="0"/>
    <x v="1"/>
    <s v="Consistent"/>
    <x v="0"/>
  </r>
  <r>
    <x v="1320"/>
    <x v="0"/>
    <x v="1184"/>
    <n v="5587935380"/>
    <n v="18490.2"/>
    <s v="UK pounds"/>
    <s v="UK pounds"/>
    <x v="0"/>
    <s v="UK"/>
    <x v="2"/>
    <x v="0"/>
    <x v="2"/>
    <s v="Consistent"/>
    <x v="0"/>
  </r>
  <r>
    <x v="1320"/>
    <x v="0"/>
    <x v="1185"/>
    <n v="1287047549"/>
    <n v="1493.75"/>
    <s v="UK pounds"/>
    <s v="UK pounds"/>
    <x v="0"/>
    <s v="UK"/>
    <x v="5"/>
    <x v="0"/>
    <x v="2"/>
    <s v="Consistent"/>
    <x v="0"/>
  </r>
  <r>
    <x v="1321"/>
    <x v="0"/>
    <x v="1186"/>
    <n v="4508515083"/>
    <n v="487.95"/>
    <s v="UK pounds"/>
    <s v="UK pounds"/>
    <x v="0"/>
    <s v="UK"/>
    <x v="5"/>
    <x v="0"/>
    <x v="2"/>
    <s v="Consistent"/>
    <x v="0"/>
  </r>
  <r>
    <x v="1322"/>
    <x v="0"/>
    <x v="163"/>
    <n v="835293711"/>
    <n v="4717.3"/>
    <s v="UK pounds"/>
    <s v="UK pounds"/>
    <x v="0"/>
    <s v="UK"/>
    <x v="2"/>
    <x v="0"/>
    <x v="1"/>
    <s v="Consistent"/>
    <x v="0"/>
  </r>
  <r>
    <x v="1323"/>
    <x v="0"/>
    <x v="197"/>
    <n v="1493436023"/>
    <n v="7520.22"/>
    <s v="UK pounds"/>
    <s v="UK pounds"/>
    <x v="0"/>
    <s v="UK"/>
    <x v="4"/>
    <x v="0"/>
    <x v="3"/>
    <s v="Consistent"/>
    <x v="0"/>
  </r>
  <r>
    <x v="1324"/>
    <x v="0"/>
    <x v="1187"/>
    <n v="4777806724"/>
    <n v="49781.279999999999"/>
    <s v="UK pounds"/>
    <s v="UK pounds"/>
    <x v="0"/>
    <s v="UK"/>
    <x v="2"/>
    <x v="0"/>
    <x v="2"/>
    <s v="Consistent"/>
    <x v="0"/>
  </r>
  <r>
    <x v="1325"/>
    <x v="0"/>
    <x v="1188"/>
    <n v="9972771675"/>
    <n v="65.37"/>
    <s v="UK pounds"/>
    <s v="UK pounds"/>
    <x v="0"/>
    <s v="UK"/>
    <x v="5"/>
    <x v="0"/>
    <x v="2"/>
    <s v="Consistent"/>
    <x v="0"/>
  </r>
  <r>
    <x v="1325"/>
    <x v="0"/>
    <x v="1189"/>
    <n v="6855935396"/>
    <n v="15073.74"/>
    <s v="UK pounds"/>
    <s v="UK pounds"/>
    <x v="0"/>
    <s v="UK"/>
    <x v="5"/>
    <x v="0"/>
    <x v="3"/>
    <s v="Consistent"/>
    <x v="0"/>
  </r>
  <r>
    <x v="1326"/>
    <x v="0"/>
    <x v="1091"/>
    <n v="7892884492"/>
    <n v="8737.25"/>
    <s v="UK pounds"/>
    <s v="US dollar"/>
    <x v="0"/>
    <s v="USA"/>
    <x v="1"/>
    <x v="0"/>
    <x v="3"/>
    <s v="Potential Layering"/>
    <x v="0"/>
  </r>
  <r>
    <x v="1327"/>
    <x v="0"/>
    <x v="1190"/>
    <n v="1665994281"/>
    <n v="6568.29"/>
    <s v="UK pounds"/>
    <s v="UK pounds"/>
    <x v="0"/>
    <s v="UK"/>
    <x v="5"/>
    <x v="0"/>
    <x v="2"/>
    <s v="Consistent"/>
    <x v="0"/>
  </r>
  <r>
    <x v="1328"/>
    <x v="0"/>
    <x v="238"/>
    <n v="833800673"/>
    <n v="19854.25"/>
    <s v="UK pounds"/>
    <s v="UK pounds"/>
    <x v="0"/>
    <s v="UK"/>
    <x v="3"/>
    <x v="0"/>
    <x v="1"/>
    <s v="Consistent"/>
    <x v="0"/>
  </r>
  <r>
    <x v="1329"/>
    <x v="0"/>
    <x v="1191"/>
    <n v="6275379420"/>
    <n v="5980.74"/>
    <s v="UK pounds"/>
    <s v="UK pounds"/>
    <x v="0"/>
    <s v="UK"/>
    <x v="5"/>
    <x v="0"/>
    <x v="2"/>
    <s v="Consistent"/>
    <x v="0"/>
  </r>
  <r>
    <x v="1330"/>
    <x v="0"/>
    <x v="1192"/>
    <n v="1636413422"/>
    <n v="22.32"/>
    <s v="UK pounds"/>
    <s v="UK pounds"/>
    <x v="0"/>
    <s v="UK"/>
    <x v="6"/>
    <x v="0"/>
    <x v="5"/>
    <s v="Consistent"/>
    <x v="0"/>
  </r>
  <r>
    <x v="1331"/>
    <x v="0"/>
    <x v="61"/>
    <n v="8149040968"/>
    <n v="12986.36"/>
    <s v="UK pounds"/>
    <s v="UK pounds"/>
    <x v="0"/>
    <s v="UK"/>
    <x v="2"/>
    <x v="0"/>
    <x v="1"/>
    <s v="Consistent"/>
    <x v="0"/>
  </r>
  <r>
    <x v="1332"/>
    <x v="0"/>
    <x v="1193"/>
    <n v="3557075547"/>
    <n v="123.5"/>
    <s v="UK pounds"/>
    <s v="UK pounds"/>
    <x v="0"/>
    <s v="UK"/>
    <x v="2"/>
    <x v="0"/>
    <x v="2"/>
    <s v="Consistent"/>
    <x v="0"/>
  </r>
  <r>
    <x v="1332"/>
    <x v="0"/>
    <x v="1070"/>
    <n v="7199625988"/>
    <n v="5913.69"/>
    <s v="UK pounds"/>
    <s v="UK pounds"/>
    <x v="0"/>
    <s v="UK"/>
    <x v="4"/>
    <x v="0"/>
    <x v="3"/>
    <s v="Consistent"/>
    <x v="0"/>
  </r>
  <r>
    <x v="1332"/>
    <x v="0"/>
    <x v="45"/>
    <n v="8345023292"/>
    <n v="1159.6600000000001"/>
    <s v="UK pounds"/>
    <s v="UK pounds"/>
    <x v="0"/>
    <s v="UK"/>
    <x v="3"/>
    <x v="0"/>
    <x v="2"/>
    <s v="Consistent"/>
    <x v="0"/>
  </r>
  <r>
    <x v="1333"/>
    <x v="0"/>
    <x v="238"/>
    <n v="8915336540"/>
    <n v="6521.59"/>
    <s v="UK pounds"/>
    <s v="UK pounds"/>
    <x v="0"/>
    <s v="UK"/>
    <x v="5"/>
    <x v="0"/>
    <x v="1"/>
    <s v="Consistent"/>
    <x v="0"/>
  </r>
  <r>
    <x v="1333"/>
    <x v="0"/>
    <x v="1194"/>
    <n v="7053767290"/>
    <n v="313.36"/>
    <s v="UK pounds"/>
    <s v="UK pounds"/>
    <x v="0"/>
    <s v="UK"/>
    <x v="4"/>
    <x v="0"/>
    <x v="2"/>
    <s v="Consistent"/>
    <x v="0"/>
  </r>
  <r>
    <x v="1334"/>
    <x v="0"/>
    <x v="35"/>
    <n v="9418077278"/>
    <n v="9856.06"/>
    <s v="UK pounds"/>
    <s v="UK pounds"/>
    <x v="0"/>
    <s v="UK"/>
    <x v="5"/>
    <x v="0"/>
    <x v="1"/>
    <s v="Consistent"/>
    <x v="0"/>
  </r>
  <r>
    <x v="1335"/>
    <x v="0"/>
    <x v="356"/>
    <n v="6081504025"/>
    <n v="5903.33"/>
    <s v="UK pounds"/>
    <s v="Mexican Peso"/>
    <x v="0"/>
    <s v="Mexico"/>
    <x v="1"/>
    <x v="1"/>
    <x v="13"/>
    <s v="Potential Layering"/>
    <x v="0"/>
  </r>
  <r>
    <x v="1336"/>
    <x v="0"/>
    <x v="1195"/>
    <n v="8518184956"/>
    <n v="17969.41"/>
    <s v="UK pounds"/>
    <s v="UK pounds"/>
    <x v="0"/>
    <s v="UK"/>
    <x v="2"/>
    <x v="0"/>
    <x v="3"/>
    <s v="Consistent"/>
    <x v="0"/>
  </r>
  <r>
    <x v="1337"/>
    <x v="0"/>
    <x v="149"/>
    <n v="1845194308"/>
    <n v="18735.71"/>
    <s v="UK pounds"/>
    <s v="UK pounds"/>
    <x v="0"/>
    <s v="UK"/>
    <x v="3"/>
    <x v="0"/>
    <x v="1"/>
    <s v="Consistent"/>
    <x v="0"/>
  </r>
  <r>
    <x v="1338"/>
    <x v="0"/>
    <x v="1196"/>
    <n v="1806287031"/>
    <n v="1848.11"/>
    <s v="UK pounds"/>
    <s v="UK pounds"/>
    <x v="0"/>
    <s v="UK"/>
    <x v="2"/>
    <x v="0"/>
    <x v="4"/>
    <s v="Consistent"/>
    <x v="0"/>
  </r>
  <r>
    <x v="1339"/>
    <x v="0"/>
    <x v="1197"/>
    <n v="2156048489"/>
    <n v="2643.79"/>
    <s v="UK pounds"/>
    <s v="UK pounds"/>
    <x v="0"/>
    <s v="UK"/>
    <x v="0"/>
    <x v="0"/>
    <x v="0"/>
    <s v="Consistent"/>
    <x v="0"/>
  </r>
  <r>
    <x v="1340"/>
    <x v="0"/>
    <x v="1198"/>
    <n v="7391029446"/>
    <n v="8348.41"/>
    <s v="UK pounds"/>
    <s v="UK pounds"/>
    <x v="0"/>
    <s v="UK"/>
    <x v="2"/>
    <x v="0"/>
    <x v="2"/>
    <s v="Consistent"/>
    <x v="0"/>
  </r>
  <r>
    <x v="1341"/>
    <x v="0"/>
    <x v="1131"/>
    <n v="1431561040"/>
    <n v="8541.19"/>
    <s v="UK pounds"/>
    <s v="UK pounds"/>
    <x v="0"/>
    <s v="UK"/>
    <x v="5"/>
    <x v="0"/>
    <x v="3"/>
    <s v="Consistent"/>
    <x v="0"/>
  </r>
  <r>
    <x v="1341"/>
    <x v="0"/>
    <x v="1199"/>
    <n v="5547718525"/>
    <n v="2206.4"/>
    <s v="UK pounds"/>
    <s v="UK pounds"/>
    <x v="0"/>
    <s v="UK"/>
    <x v="3"/>
    <x v="0"/>
    <x v="6"/>
    <s v="Consistent"/>
    <x v="0"/>
  </r>
  <r>
    <x v="1342"/>
    <x v="0"/>
    <x v="1200"/>
    <n v="822870103"/>
    <n v="2284.7800000000002"/>
    <s v="UK pounds"/>
    <s v="UK pounds"/>
    <x v="0"/>
    <s v="UK"/>
    <x v="0"/>
    <x v="0"/>
    <x v="0"/>
    <s v="Consistent"/>
    <x v="0"/>
  </r>
  <r>
    <x v="1343"/>
    <x v="0"/>
    <x v="40"/>
    <n v="7207182461"/>
    <n v="10450.540000000001"/>
    <s v="UK pounds"/>
    <s v="UK pounds"/>
    <x v="0"/>
    <s v="UK"/>
    <x v="3"/>
    <x v="0"/>
    <x v="1"/>
    <s v="Consistent"/>
    <x v="0"/>
  </r>
  <r>
    <x v="1344"/>
    <x v="0"/>
    <x v="1201"/>
    <n v="9476803334"/>
    <n v="5273.63"/>
    <s v="UK pounds"/>
    <s v="UK pounds"/>
    <x v="0"/>
    <s v="UK"/>
    <x v="5"/>
    <x v="0"/>
    <x v="2"/>
    <s v="Consistent"/>
    <x v="0"/>
  </r>
  <r>
    <x v="1345"/>
    <x v="0"/>
    <x v="61"/>
    <n v="8586189106"/>
    <n v="6611.19"/>
    <s v="UK pounds"/>
    <s v="UK pounds"/>
    <x v="0"/>
    <s v="UK"/>
    <x v="3"/>
    <x v="0"/>
    <x v="1"/>
    <s v="Consistent"/>
    <x v="0"/>
  </r>
  <r>
    <x v="1346"/>
    <x v="0"/>
    <x v="1202"/>
    <n v="4917614154"/>
    <n v="1104.67"/>
    <s v="UK pounds"/>
    <s v="UK pounds"/>
    <x v="0"/>
    <s v="UK"/>
    <x v="5"/>
    <x v="0"/>
    <x v="2"/>
    <s v="Consistent"/>
    <x v="0"/>
  </r>
  <r>
    <x v="1347"/>
    <x v="0"/>
    <x v="1203"/>
    <n v="6349911170"/>
    <n v="1125.3499999999999"/>
    <s v="UK pounds"/>
    <s v="UK pounds"/>
    <x v="0"/>
    <s v="UK"/>
    <x v="2"/>
    <x v="0"/>
    <x v="2"/>
    <s v="Consistent"/>
    <x v="0"/>
  </r>
  <r>
    <x v="1348"/>
    <x v="0"/>
    <x v="1204"/>
    <n v="4128830742"/>
    <n v="273.68"/>
    <s v="UK pounds"/>
    <s v="UK pounds"/>
    <x v="0"/>
    <s v="UK"/>
    <x v="6"/>
    <x v="0"/>
    <x v="5"/>
    <s v="Consistent"/>
    <x v="0"/>
  </r>
  <r>
    <x v="1349"/>
    <x v="0"/>
    <x v="1205"/>
    <n v="9595998934"/>
    <n v="6903.44"/>
    <s v="UK pounds"/>
    <s v="UK pounds"/>
    <x v="0"/>
    <s v="UK"/>
    <x v="3"/>
    <x v="0"/>
    <x v="2"/>
    <s v="Consistent"/>
    <x v="0"/>
  </r>
  <r>
    <x v="1350"/>
    <x v="0"/>
    <x v="1206"/>
    <n v="5063830510"/>
    <n v="1739.25"/>
    <s v="UK pounds"/>
    <s v="UK pounds"/>
    <x v="0"/>
    <s v="UK"/>
    <x v="4"/>
    <x v="0"/>
    <x v="2"/>
    <s v="Consistent"/>
    <x v="0"/>
  </r>
  <r>
    <x v="1350"/>
    <x v="0"/>
    <x v="1207"/>
    <n v="5858369125"/>
    <n v="13214.6"/>
    <s v="UK pounds"/>
    <s v="UK pounds"/>
    <x v="0"/>
    <s v="UK"/>
    <x v="2"/>
    <x v="0"/>
    <x v="3"/>
    <s v="Consistent"/>
    <x v="0"/>
  </r>
  <r>
    <x v="1351"/>
    <x v="0"/>
    <x v="1208"/>
    <n v="1493436023"/>
    <n v="33124.870000000003"/>
    <s v="UK pounds"/>
    <s v="UK pounds"/>
    <x v="0"/>
    <s v="UK"/>
    <x v="5"/>
    <x v="0"/>
    <x v="3"/>
    <s v="Consistent"/>
    <x v="0"/>
  </r>
  <r>
    <x v="1352"/>
    <x v="0"/>
    <x v="1209"/>
    <n v="3508746949"/>
    <n v="10692.01"/>
    <s v="UK pounds"/>
    <s v="UK pounds"/>
    <x v="0"/>
    <s v="UK"/>
    <x v="2"/>
    <x v="0"/>
    <x v="2"/>
    <s v="Consistent"/>
    <x v="0"/>
  </r>
  <r>
    <x v="1352"/>
    <x v="0"/>
    <x v="1210"/>
    <n v="2075294138"/>
    <n v="5295.12"/>
    <s v="UK pounds"/>
    <s v="UK pounds"/>
    <x v="0"/>
    <s v="UK"/>
    <x v="5"/>
    <x v="0"/>
    <x v="2"/>
    <s v="Consistent"/>
    <x v="0"/>
  </r>
  <r>
    <x v="1353"/>
    <x v="0"/>
    <x v="1211"/>
    <n v="5896180453"/>
    <n v="6897.79"/>
    <s v="UK pounds"/>
    <s v="UK pounds"/>
    <x v="0"/>
    <s v="UK"/>
    <x v="2"/>
    <x v="0"/>
    <x v="3"/>
    <s v="Consistent"/>
    <x v="0"/>
  </r>
  <r>
    <x v="1353"/>
    <x v="0"/>
    <x v="1212"/>
    <n v="7542072066"/>
    <n v="2210.5500000000002"/>
    <s v="UK pounds"/>
    <s v="Indian rupee"/>
    <x v="0"/>
    <s v="India"/>
    <x v="1"/>
    <x v="0"/>
    <x v="2"/>
    <s v="Potential Layering"/>
    <x v="0"/>
  </r>
  <r>
    <x v="1353"/>
    <x v="0"/>
    <x v="1213"/>
    <n v="2309469364"/>
    <n v="1968.27"/>
    <s v="UK pounds"/>
    <s v="UK pounds"/>
    <x v="0"/>
    <s v="UK"/>
    <x v="0"/>
    <x v="0"/>
    <x v="0"/>
    <s v="Consistent"/>
    <x v="0"/>
  </r>
  <r>
    <x v="1353"/>
    <x v="0"/>
    <x v="284"/>
    <n v="3695545812"/>
    <n v="6021.01"/>
    <s v="UK pounds"/>
    <s v="UK pounds"/>
    <x v="0"/>
    <s v="UK"/>
    <x v="2"/>
    <x v="0"/>
    <x v="3"/>
    <s v="Consistent"/>
    <x v="0"/>
  </r>
  <r>
    <x v="1354"/>
    <x v="0"/>
    <x v="1214"/>
    <n v="7713295507"/>
    <n v="5927.76"/>
    <s v="UK pounds"/>
    <s v="UK pounds"/>
    <x v="0"/>
    <s v="UK"/>
    <x v="4"/>
    <x v="0"/>
    <x v="2"/>
    <s v="Consistent"/>
    <x v="0"/>
  </r>
  <r>
    <x v="1354"/>
    <x v="0"/>
    <x v="1215"/>
    <n v="3933129163"/>
    <n v="3855.62"/>
    <s v="UK pounds"/>
    <s v="UK pounds"/>
    <x v="0"/>
    <s v="UK"/>
    <x v="3"/>
    <x v="0"/>
    <x v="4"/>
    <s v="Consistent"/>
    <x v="0"/>
  </r>
  <r>
    <x v="1355"/>
    <x v="0"/>
    <x v="1216"/>
    <n v="6078736948"/>
    <n v="11439.6"/>
    <s v="UK pounds"/>
    <s v="UK pounds"/>
    <x v="0"/>
    <s v="UK"/>
    <x v="3"/>
    <x v="0"/>
    <x v="2"/>
    <s v="Consistent"/>
    <x v="0"/>
  </r>
  <r>
    <x v="1356"/>
    <x v="0"/>
    <x v="1178"/>
    <n v="6444220418"/>
    <n v="8161.45"/>
    <s v="UK pounds"/>
    <s v="UK pounds"/>
    <x v="0"/>
    <s v="UK"/>
    <x v="4"/>
    <x v="0"/>
    <x v="3"/>
    <s v="Consistent"/>
    <x v="0"/>
  </r>
  <r>
    <x v="1357"/>
    <x v="0"/>
    <x v="1217"/>
    <n v="409707192"/>
    <n v="10446.93"/>
    <s v="UK pounds"/>
    <s v="UK pounds"/>
    <x v="0"/>
    <s v="UK"/>
    <x v="3"/>
    <x v="0"/>
    <x v="3"/>
    <s v="Consistent"/>
    <x v="0"/>
  </r>
  <r>
    <x v="1358"/>
    <x v="0"/>
    <x v="212"/>
    <n v="1465487567"/>
    <n v="9682.26"/>
    <s v="UK pounds"/>
    <s v="UK pounds"/>
    <x v="0"/>
    <s v="UK"/>
    <x v="5"/>
    <x v="0"/>
    <x v="3"/>
    <s v="Consistent"/>
    <x v="0"/>
  </r>
  <r>
    <x v="1359"/>
    <x v="0"/>
    <x v="1218"/>
    <n v="5818896769"/>
    <n v="5880.51"/>
    <s v="UK pounds"/>
    <s v="UK pounds"/>
    <x v="0"/>
    <s v="UK"/>
    <x v="0"/>
    <x v="0"/>
    <x v="0"/>
    <s v="Consistent"/>
    <x v="0"/>
  </r>
  <r>
    <x v="1360"/>
    <x v="0"/>
    <x v="9"/>
    <n v="887047763"/>
    <n v="11483.06"/>
    <s v="UK pounds"/>
    <s v="UK pounds"/>
    <x v="0"/>
    <s v="UK"/>
    <x v="4"/>
    <x v="0"/>
    <x v="1"/>
    <s v="Consistent"/>
    <x v="0"/>
  </r>
  <r>
    <x v="1361"/>
    <x v="0"/>
    <x v="63"/>
    <n v="1831928079"/>
    <n v="6927.19"/>
    <s v="UK pounds"/>
    <s v="UK pounds"/>
    <x v="0"/>
    <s v="UK"/>
    <x v="3"/>
    <x v="0"/>
    <x v="1"/>
    <s v="Consistent"/>
    <x v="0"/>
  </r>
  <r>
    <x v="1362"/>
    <x v="0"/>
    <x v="1219"/>
    <n v="409707192"/>
    <n v="6046.53"/>
    <s v="UK pounds"/>
    <s v="UK pounds"/>
    <x v="0"/>
    <s v="UK"/>
    <x v="3"/>
    <x v="0"/>
    <x v="3"/>
    <s v="Consistent"/>
    <x v="0"/>
  </r>
  <r>
    <x v="1363"/>
    <x v="0"/>
    <x v="51"/>
    <n v="5585080337"/>
    <n v="10583.53"/>
    <s v="UK pounds"/>
    <s v="UK pounds"/>
    <x v="0"/>
    <s v="UK"/>
    <x v="2"/>
    <x v="0"/>
    <x v="1"/>
    <s v="Consistent"/>
    <x v="0"/>
  </r>
  <r>
    <x v="1364"/>
    <x v="0"/>
    <x v="255"/>
    <n v="7689295746"/>
    <n v="5344.31"/>
    <s v="UK pounds"/>
    <s v="UK pounds"/>
    <x v="0"/>
    <s v="UK"/>
    <x v="3"/>
    <x v="0"/>
    <x v="1"/>
    <s v="Consistent"/>
    <x v="0"/>
  </r>
  <r>
    <x v="1364"/>
    <x v="0"/>
    <x v="1220"/>
    <n v="4889197724"/>
    <n v="8189.38"/>
    <s v="UK pounds"/>
    <s v="UK pounds"/>
    <x v="0"/>
    <s v="UK"/>
    <x v="4"/>
    <x v="0"/>
    <x v="6"/>
    <s v="Consistent"/>
    <x v="0"/>
  </r>
  <r>
    <x v="1365"/>
    <x v="0"/>
    <x v="9"/>
    <n v="4086663568"/>
    <n v="8498.99"/>
    <s v="UK pounds"/>
    <s v="UK pounds"/>
    <x v="0"/>
    <s v="UK"/>
    <x v="3"/>
    <x v="0"/>
    <x v="1"/>
    <s v="Consistent"/>
    <x v="0"/>
  </r>
  <r>
    <x v="1366"/>
    <x v="0"/>
    <x v="282"/>
    <n v="1316458123"/>
    <n v="5691.63"/>
    <s v="UK pounds"/>
    <s v="Mexican Peso"/>
    <x v="0"/>
    <s v="Mexico"/>
    <x v="1"/>
    <x v="0"/>
    <x v="3"/>
    <s v="Potential Layering"/>
    <x v="0"/>
  </r>
  <r>
    <x v="1367"/>
    <x v="0"/>
    <x v="296"/>
    <n v="3695545812"/>
    <n v="12042"/>
    <s v="UK pounds"/>
    <s v="UK pounds"/>
    <x v="0"/>
    <s v="UK"/>
    <x v="3"/>
    <x v="0"/>
    <x v="3"/>
    <s v="Consistent"/>
    <x v="0"/>
  </r>
  <r>
    <x v="1368"/>
    <x v="0"/>
    <x v="1221"/>
    <n v="5132087338"/>
    <n v="6765.74"/>
    <s v="UK pounds"/>
    <s v="UK pounds"/>
    <x v="0"/>
    <s v="UK"/>
    <x v="3"/>
    <x v="0"/>
    <x v="2"/>
    <s v="Consistent"/>
    <x v="0"/>
  </r>
  <r>
    <x v="1369"/>
    <x v="0"/>
    <x v="9"/>
    <n v="4492966047"/>
    <n v="11190.23"/>
    <s v="UK pounds"/>
    <s v="UK pounds"/>
    <x v="0"/>
    <s v="UK"/>
    <x v="4"/>
    <x v="0"/>
    <x v="1"/>
    <s v="Consistent"/>
    <x v="0"/>
  </r>
  <r>
    <x v="1369"/>
    <x v="0"/>
    <x v="797"/>
    <n v="6855935396"/>
    <n v="8426.65"/>
    <s v="UK pounds"/>
    <s v="UK pounds"/>
    <x v="0"/>
    <s v="UK"/>
    <x v="5"/>
    <x v="0"/>
    <x v="3"/>
    <s v="Consistent"/>
    <x v="0"/>
  </r>
  <r>
    <x v="1369"/>
    <x v="0"/>
    <x v="56"/>
    <n v="6444220418"/>
    <n v="8340.6200000000008"/>
    <s v="UK pounds"/>
    <s v="UK pounds"/>
    <x v="0"/>
    <s v="UK"/>
    <x v="2"/>
    <x v="0"/>
    <x v="3"/>
    <s v="Consistent"/>
    <x v="0"/>
  </r>
  <r>
    <x v="1369"/>
    <x v="0"/>
    <x v="1222"/>
    <n v="628238240"/>
    <n v="6706.92"/>
    <s v="Naira"/>
    <s v="UK pounds"/>
    <x v="2"/>
    <s v="UK"/>
    <x v="1"/>
    <x v="0"/>
    <x v="2"/>
    <s v="Potential Layering"/>
    <x v="1"/>
  </r>
  <r>
    <x v="1369"/>
    <x v="0"/>
    <x v="1223"/>
    <n v="7080357663"/>
    <n v="11989.5"/>
    <s v="UK pounds"/>
    <s v="UK pounds"/>
    <x v="0"/>
    <s v="UK"/>
    <x v="3"/>
    <x v="0"/>
    <x v="3"/>
    <s v="Consistent"/>
    <x v="0"/>
  </r>
  <r>
    <x v="1370"/>
    <x v="0"/>
    <x v="1224"/>
    <n v="7080357663"/>
    <n v="5813.17"/>
    <s v="UK pounds"/>
    <s v="UK pounds"/>
    <x v="0"/>
    <s v="UK"/>
    <x v="4"/>
    <x v="0"/>
    <x v="3"/>
    <s v="Consistent"/>
    <x v="0"/>
  </r>
  <r>
    <x v="1371"/>
    <x v="0"/>
    <x v="75"/>
    <n v="6160971830"/>
    <n v="5873"/>
    <s v="UK pounds"/>
    <s v="UK pounds"/>
    <x v="0"/>
    <s v="UK"/>
    <x v="2"/>
    <x v="0"/>
    <x v="1"/>
    <s v="Consistent"/>
    <x v="0"/>
  </r>
  <r>
    <x v="1372"/>
    <x v="0"/>
    <x v="843"/>
    <n v="3079818547"/>
    <n v="6051.42"/>
    <s v="UK pounds"/>
    <s v="UK pounds"/>
    <x v="0"/>
    <s v="UK"/>
    <x v="4"/>
    <x v="0"/>
    <x v="3"/>
    <s v="Consistent"/>
    <x v="0"/>
  </r>
  <r>
    <x v="1373"/>
    <x v="0"/>
    <x v="1225"/>
    <n v="7379455895"/>
    <n v="2304.15"/>
    <s v="UK pounds"/>
    <s v="UK pounds"/>
    <x v="0"/>
    <s v="UK"/>
    <x v="4"/>
    <x v="0"/>
    <x v="2"/>
    <s v="Consistent"/>
    <x v="0"/>
  </r>
  <r>
    <x v="1374"/>
    <x v="0"/>
    <x v="1226"/>
    <n v="3775476274"/>
    <n v="4373.72"/>
    <s v="UK pounds"/>
    <s v="UK pounds"/>
    <x v="0"/>
    <s v="UK"/>
    <x v="5"/>
    <x v="0"/>
    <x v="2"/>
    <s v="Consistent"/>
    <x v="0"/>
  </r>
  <r>
    <x v="1374"/>
    <x v="0"/>
    <x v="770"/>
    <n v="1529063813"/>
    <n v="6309.7"/>
    <s v="UK pounds"/>
    <s v="UK pounds"/>
    <x v="0"/>
    <s v="UK"/>
    <x v="2"/>
    <x v="0"/>
    <x v="2"/>
    <s v="Consistent"/>
    <x v="0"/>
  </r>
  <r>
    <x v="1375"/>
    <x v="0"/>
    <x v="1227"/>
    <n v="4528021946"/>
    <n v="1386.38"/>
    <s v="Indian rupee"/>
    <s v="UK pounds"/>
    <x v="14"/>
    <s v="UK"/>
    <x v="1"/>
    <x v="0"/>
    <x v="4"/>
    <s v="Potential Layering"/>
    <x v="2"/>
  </r>
  <r>
    <x v="1376"/>
    <x v="0"/>
    <x v="1228"/>
    <n v="622243973"/>
    <n v="4328.62"/>
    <s v="UK pounds"/>
    <s v="UK pounds"/>
    <x v="0"/>
    <s v="UK"/>
    <x v="4"/>
    <x v="0"/>
    <x v="2"/>
    <s v="Consistent"/>
    <x v="0"/>
  </r>
  <r>
    <x v="1376"/>
    <x v="0"/>
    <x v="1229"/>
    <n v="5363422485"/>
    <n v="5336.64"/>
    <s v="UK pounds"/>
    <s v="UK pounds"/>
    <x v="0"/>
    <s v="UK"/>
    <x v="4"/>
    <x v="0"/>
    <x v="6"/>
    <s v="Consistent"/>
    <x v="0"/>
  </r>
  <r>
    <x v="1377"/>
    <x v="0"/>
    <x v="1230"/>
    <n v="2903746745"/>
    <n v="2187.11"/>
    <s v="UK pounds"/>
    <s v="UK pounds"/>
    <x v="0"/>
    <s v="UK"/>
    <x v="2"/>
    <x v="0"/>
    <x v="2"/>
    <s v="Consistent"/>
    <x v="0"/>
  </r>
  <r>
    <x v="1378"/>
    <x v="0"/>
    <x v="1231"/>
    <n v="2435158911"/>
    <n v="8736.86"/>
    <s v="UK pounds"/>
    <s v="UK pounds"/>
    <x v="0"/>
    <s v="UK"/>
    <x v="3"/>
    <x v="0"/>
    <x v="2"/>
    <s v="Consistent"/>
    <x v="0"/>
  </r>
  <r>
    <x v="1379"/>
    <x v="0"/>
    <x v="1232"/>
    <n v="1316458123"/>
    <n v="4544.74"/>
    <s v="UK pounds"/>
    <s v="Mexican Peso"/>
    <x v="0"/>
    <s v="Mexico"/>
    <x v="1"/>
    <x v="0"/>
    <x v="3"/>
    <s v="Potential Layering"/>
    <x v="0"/>
  </r>
  <r>
    <x v="1380"/>
    <x v="0"/>
    <x v="1233"/>
    <n v="3115472752"/>
    <n v="3632.19"/>
    <s v="UK pounds"/>
    <s v="UK pounds"/>
    <x v="0"/>
    <s v="UK"/>
    <x v="2"/>
    <x v="0"/>
    <x v="4"/>
    <s v="Consistent"/>
    <x v="0"/>
  </r>
  <r>
    <x v="1381"/>
    <x v="0"/>
    <x v="208"/>
    <n v="7199625988"/>
    <n v="15795.17"/>
    <s v="UK pounds"/>
    <s v="UK pounds"/>
    <x v="0"/>
    <s v="UK"/>
    <x v="5"/>
    <x v="0"/>
    <x v="3"/>
    <s v="Consistent"/>
    <x v="0"/>
  </r>
  <r>
    <x v="1381"/>
    <x v="0"/>
    <x v="124"/>
    <n v="4961006135"/>
    <n v="6455.29"/>
    <s v="UK pounds"/>
    <s v="UK pounds"/>
    <x v="0"/>
    <s v="UK"/>
    <x v="4"/>
    <x v="0"/>
    <x v="1"/>
    <s v="Consistent"/>
    <x v="0"/>
  </r>
  <r>
    <x v="1382"/>
    <x v="0"/>
    <x v="1234"/>
    <n v="7210156742"/>
    <n v="3303.77"/>
    <s v="UK pounds"/>
    <s v="UK pounds"/>
    <x v="0"/>
    <s v="UK"/>
    <x v="4"/>
    <x v="0"/>
    <x v="2"/>
    <s v="Consistent"/>
    <x v="0"/>
  </r>
  <r>
    <x v="1383"/>
    <x v="0"/>
    <x v="1235"/>
    <n v="6768712672"/>
    <n v="3291.34"/>
    <s v="UK pounds"/>
    <s v="UK pounds"/>
    <x v="0"/>
    <s v="UK"/>
    <x v="0"/>
    <x v="0"/>
    <x v="0"/>
    <s v="Consistent"/>
    <x v="0"/>
  </r>
  <r>
    <x v="1383"/>
    <x v="0"/>
    <x v="275"/>
    <n v="5628674969"/>
    <n v="5528.57"/>
    <s v="UK pounds"/>
    <s v="UK pounds"/>
    <x v="0"/>
    <s v="UK"/>
    <x v="3"/>
    <x v="0"/>
    <x v="3"/>
    <s v="Consistent"/>
    <x v="0"/>
  </r>
  <r>
    <x v="1384"/>
    <x v="0"/>
    <x v="1236"/>
    <n v="5174133394"/>
    <n v="308.64999999999998"/>
    <s v="UK pounds"/>
    <s v="UK pounds"/>
    <x v="0"/>
    <s v="UK"/>
    <x v="5"/>
    <x v="0"/>
    <x v="2"/>
    <s v="Consistent"/>
    <x v="0"/>
  </r>
  <r>
    <x v="1384"/>
    <x v="0"/>
    <x v="296"/>
    <n v="3695545812"/>
    <n v="12216.5"/>
    <s v="UK pounds"/>
    <s v="UK pounds"/>
    <x v="0"/>
    <s v="UK"/>
    <x v="4"/>
    <x v="0"/>
    <x v="3"/>
    <s v="Consistent"/>
    <x v="0"/>
  </r>
  <r>
    <x v="1385"/>
    <x v="0"/>
    <x v="1237"/>
    <n v="9346701114"/>
    <n v="1652.65"/>
    <s v="UK pounds"/>
    <s v="Euro"/>
    <x v="0"/>
    <s v="France"/>
    <x v="1"/>
    <x v="0"/>
    <x v="2"/>
    <s v="Potential Layering"/>
    <x v="0"/>
  </r>
  <r>
    <x v="1386"/>
    <x v="0"/>
    <x v="1238"/>
    <n v="5466123934"/>
    <n v="8496.1"/>
    <s v="UK pounds"/>
    <s v="UK pounds"/>
    <x v="0"/>
    <s v="UK"/>
    <x v="2"/>
    <x v="0"/>
    <x v="3"/>
    <s v="Consistent"/>
    <x v="0"/>
  </r>
  <r>
    <x v="1387"/>
    <x v="0"/>
    <x v="1239"/>
    <n v="5109623450"/>
    <n v="9164.6200000000008"/>
    <s v="UK pounds"/>
    <s v="UK pounds"/>
    <x v="0"/>
    <s v="UK"/>
    <x v="3"/>
    <x v="0"/>
    <x v="3"/>
    <s v="Consistent"/>
    <x v="0"/>
  </r>
  <r>
    <x v="1388"/>
    <x v="0"/>
    <x v="1240"/>
    <n v="458677348"/>
    <n v="1699.63"/>
    <s v="UK pounds"/>
    <s v="UK pounds"/>
    <x v="0"/>
    <s v="UK"/>
    <x v="5"/>
    <x v="0"/>
    <x v="2"/>
    <s v="Consistent"/>
    <x v="0"/>
  </r>
  <r>
    <x v="1389"/>
    <x v="0"/>
    <x v="1241"/>
    <n v="378335393"/>
    <n v="2178.2600000000002"/>
    <s v="UK pounds"/>
    <s v="UK pounds"/>
    <x v="0"/>
    <s v="UK"/>
    <x v="2"/>
    <x v="0"/>
    <x v="6"/>
    <s v="Consistent"/>
    <x v="0"/>
  </r>
  <r>
    <x v="1390"/>
    <x v="0"/>
    <x v="634"/>
    <n v="8172080174"/>
    <n v="5564.16"/>
    <s v="UK pounds"/>
    <s v="UK pounds"/>
    <x v="0"/>
    <s v="UK"/>
    <x v="5"/>
    <x v="0"/>
    <x v="3"/>
    <s v="Consistent"/>
    <x v="0"/>
  </r>
  <r>
    <x v="1390"/>
    <x v="0"/>
    <x v="1242"/>
    <n v="3221983588"/>
    <n v="2533.12"/>
    <s v="UK pounds"/>
    <s v="UK pounds"/>
    <x v="0"/>
    <s v="UK"/>
    <x v="2"/>
    <x v="0"/>
    <x v="4"/>
    <s v="Consistent"/>
    <x v="0"/>
  </r>
  <r>
    <x v="1391"/>
    <x v="0"/>
    <x v="1243"/>
    <n v="8014308751"/>
    <n v="19208.55"/>
    <s v="UK pounds"/>
    <s v="UK pounds"/>
    <x v="0"/>
    <s v="UK"/>
    <x v="4"/>
    <x v="0"/>
    <x v="2"/>
    <s v="Consistent"/>
    <x v="0"/>
  </r>
  <r>
    <x v="1392"/>
    <x v="0"/>
    <x v="20"/>
    <n v="4125359800"/>
    <n v="13613.88"/>
    <s v="UK pounds"/>
    <s v="UK pounds"/>
    <x v="0"/>
    <s v="UK"/>
    <x v="4"/>
    <x v="0"/>
    <x v="1"/>
    <s v="Consistent"/>
    <x v="0"/>
  </r>
  <r>
    <x v="1393"/>
    <x v="0"/>
    <x v="1244"/>
    <n v="5212916191"/>
    <n v="2027.88"/>
    <s v="UK pounds"/>
    <s v="UK pounds"/>
    <x v="0"/>
    <s v="UK"/>
    <x v="3"/>
    <x v="0"/>
    <x v="2"/>
    <s v="Consistent"/>
    <x v="0"/>
  </r>
  <r>
    <x v="1394"/>
    <x v="0"/>
    <x v="195"/>
    <n v="5162401694"/>
    <n v="10442.56"/>
    <s v="UK pounds"/>
    <s v="UK pounds"/>
    <x v="0"/>
    <s v="UK"/>
    <x v="5"/>
    <x v="0"/>
    <x v="1"/>
    <s v="Consistent"/>
    <x v="0"/>
  </r>
  <r>
    <x v="1394"/>
    <x v="0"/>
    <x v="662"/>
    <n v="5622502267"/>
    <n v="19963.98"/>
    <s v="UK pounds"/>
    <s v="UK pounds"/>
    <x v="0"/>
    <s v="UK"/>
    <x v="3"/>
    <x v="0"/>
    <x v="2"/>
    <s v="Consistent"/>
    <x v="0"/>
  </r>
  <r>
    <x v="1395"/>
    <x v="0"/>
    <x v="1245"/>
    <n v="8306908463"/>
    <n v="6131.07"/>
    <s v="UK pounds"/>
    <s v="UK pounds"/>
    <x v="0"/>
    <s v="UK"/>
    <x v="2"/>
    <x v="0"/>
    <x v="2"/>
    <s v="Consistent"/>
    <x v="0"/>
  </r>
  <r>
    <x v="1396"/>
    <x v="0"/>
    <x v="1246"/>
    <n v="5768970733"/>
    <n v="2135.4499999999998"/>
    <s v="UK pounds"/>
    <s v="UK pounds"/>
    <x v="0"/>
    <s v="UK"/>
    <x v="4"/>
    <x v="0"/>
    <x v="2"/>
    <s v="Consistent"/>
    <x v="0"/>
  </r>
  <r>
    <x v="1397"/>
    <x v="0"/>
    <x v="1247"/>
    <n v="3079818547"/>
    <n v="14531.84"/>
    <s v="UK pounds"/>
    <s v="UK pounds"/>
    <x v="0"/>
    <s v="UK"/>
    <x v="5"/>
    <x v="0"/>
    <x v="3"/>
    <s v="Consistent"/>
    <x v="0"/>
  </r>
  <r>
    <x v="1398"/>
    <x v="0"/>
    <x v="1248"/>
    <n v="5835375424"/>
    <n v="248.62"/>
    <s v="UK pounds"/>
    <s v="UK pounds"/>
    <x v="0"/>
    <s v="UK"/>
    <x v="6"/>
    <x v="0"/>
    <x v="5"/>
    <s v="Consistent"/>
    <x v="0"/>
  </r>
  <r>
    <x v="1398"/>
    <x v="0"/>
    <x v="1249"/>
    <n v="9631229705"/>
    <n v="1785.36"/>
    <s v="UK pounds"/>
    <s v="UK pounds"/>
    <x v="0"/>
    <s v="UK"/>
    <x v="0"/>
    <x v="0"/>
    <x v="0"/>
    <s v="Consistent"/>
    <x v="0"/>
  </r>
  <r>
    <x v="1399"/>
    <x v="0"/>
    <x v="1250"/>
    <n v="6646502650"/>
    <n v="9170.73"/>
    <s v="UK pounds"/>
    <s v="Euro"/>
    <x v="0"/>
    <s v="France"/>
    <x v="1"/>
    <x v="0"/>
    <x v="3"/>
    <s v="Potential Layering"/>
    <x v="0"/>
  </r>
  <r>
    <x v="1400"/>
    <x v="0"/>
    <x v="210"/>
    <n v="6624920676"/>
    <n v="6213.15"/>
    <s v="UK pounds"/>
    <s v="UK pounds"/>
    <x v="0"/>
    <s v="UK"/>
    <x v="4"/>
    <x v="0"/>
    <x v="1"/>
    <s v="Consistent"/>
    <x v="0"/>
  </r>
  <r>
    <x v="1400"/>
    <x v="0"/>
    <x v="1251"/>
    <n v="4569823094"/>
    <n v="5184.01"/>
    <s v="UK pounds"/>
    <s v="UK pounds"/>
    <x v="0"/>
    <s v="UK"/>
    <x v="4"/>
    <x v="0"/>
    <x v="2"/>
    <s v="Consistent"/>
    <x v="0"/>
  </r>
  <r>
    <x v="1401"/>
    <x v="0"/>
    <x v="1252"/>
    <n v="621060264"/>
    <n v="10370.41"/>
    <s v="UK pounds"/>
    <s v="UK pounds"/>
    <x v="0"/>
    <s v="UK"/>
    <x v="3"/>
    <x v="0"/>
    <x v="3"/>
    <s v="Consistent"/>
    <x v="0"/>
  </r>
  <r>
    <x v="1402"/>
    <x v="0"/>
    <x v="1253"/>
    <n v="6080874262"/>
    <n v="2459.0300000000002"/>
    <s v="UK pounds"/>
    <s v="UK pounds"/>
    <x v="0"/>
    <s v="UK"/>
    <x v="3"/>
    <x v="0"/>
    <x v="2"/>
    <s v="Consistent"/>
    <x v="0"/>
  </r>
  <r>
    <x v="1403"/>
    <x v="0"/>
    <x v="1254"/>
    <n v="4498596578"/>
    <n v="27650.99"/>
    <s v="UK pounds"/>
    <s v="UK pounds"/>
    <x v="0"/>
    <s v="UK"/>
    <x v="5"/>
    <x v="0"/>
    <x v="2"/>
    <s v="Consistent"/>
    <x v="0"/>
  </r>
  <r>
    <x v="1404"/>
    <x v="0"/>
    <x v="1255"/>
    <n v="2451874011"/>
    <n v="2677.62"/>
    <s v="UK pounds"/>
    <s v="UK pounds"/>
    <x v="0"/>
    <s v="UK"/>
    <x v="5"/>
    <x v="0"/>
    <x v="2"/>
    <s v="Consistent"/>
    <x v="0"/>
  </r>
  <r>
    <x v="1405"/>
    <x v="0"/>
    <x v="210"/>
    <n v="1253036863"/>
    <n v="24077.58"/>
    <s v="UK pounds"/>
    <s v="Mexican Peso"/>
    <x v="0"/>
    <s v="Mexico"/>
    <x v="1"/>
    <x v="0"/>
    <x v="1"/>
    <s v="Potential Layering"/>
    <x v="0"/>
  </r>
  <r>
    <x v="1406"/>
    <x v="0"/>
    <x v="1256"/>
    <n v="4727699208"/>
    <n v="8714.3799999999992"/>
    <s v="UK pounds"/>
    <s v="UK pounds"/>
    <x v="0"/>
    <s v="UK"/>
    <x v="4"/>
    <x v="0"/>
    <x v="2"/>
    <s v="Consistent"/>
    <x v="0"/>
  </r>
  <r>
    <x v="1406"/>
    <x v="0"/>
    <x v="35"/>
    <n v="9059301099"/>
    <n v="8375"/>
    <s v="UK pounds"/>
    <s v="UK pounds"/>
    <x v="0"/>
    <s v="UK"/>
    <x v="5"/>
    <x v="0"/>
    <x v="1"/>
    <s v="Consistent"/>
    <x v="0"/>
  </r>
  <r>
    <x v="1407"/>
    <x v="0"/>
    <x v="1257"/>
    <n v="7708979254"/>
    <n v="435.62"/>
    <s v="UK pounds"/>
    <s v="Dirham"/>
    <x v="0"/>
    <s v="UAE"/>
    <x v="1"/>
    <x v="0"/>
    <x v="2"/>
    <s v="Potential Layering"/>
    <x v="0"/>
  </r>
  <r>
    <x v="1408"/>
    <x v="0"/>
    <x v="1258"/>
    <n v="2688676847"/>
    <n v="1140.92"/>
    <s v="UK pounds"/>
    <s v="UK pounds"/>
    <x v="0"/>
    <s v="UK"/>
    <x v="3"/>
    <x v="0"/>
    <x v="2"/>
    <s v="Consistent"/>
    <x v="0"/>
  </r>
  <r>
    <x v="1409"/>
    <x v="0"/>
    <x v="719"/>
    <n v="5858369125"/>
    <n v="6014.12"/>
    <s v="UK pounds"/>
    <s v="UK pounds"/>
    <x v="0"/>
    <s v="UK"/>
    <x v="3"/>
    <x v="0"/>
    <x v="3"/>
    <s v="Consistent"/>
    <x v="0"/>
  </r>
  <r>
    <x v="1410"/>
    <x v="0"/>
    <x v="238"/>
    <n v="833800673"/>
    <n v="20094.13"/>
    <s v="UK pounds"/>
    <s v="UK pounds"/>
    <x v="0"/>
    <s v="UK"/>
    <x v="3"/>
    <x v="0"/>
    <x v="1"/>
    <s v="Consistent"/>
    <x v="0"/>
  </r>
  <r>
    <x v="1411"/>
    <x v="0"/>
    <x v="1259"/>
    <n v="3061704875"/>
    <n v="9100.19"/>
    <s v="UK pounds"/>
    <s v="UK pounds"/>
    <x v="0"/>
    <s v="UK"/>
    <x v="5"/>
    <x v="0"/>
    <x v="2"/>
    <s v="Consistent"/>
    <x v="0"/>
  </r>
  <r>
    <x v="1412"/>
    <x v="0"/>
    <x v="1260"/>
    <n v="8518184956"/>
    <n v="20746.72"/>
    <s v="UK pounds"/>
    <s v="UK pounds"/>
    <x v="0"/>
    <s v="UK"/>
    <x v="2"/>
    <x v="0"/>
    <x v="3"/>
    <s v="Consistent"/>
    <x v="0"/>
  </r>
  <r>
    <x v="1413"/>
    <x v="0"/>
    <x v="68"/>
    <n v="6000485397"/>
    <n v="9248.75"/>
    <s v="UK pounds"/>
    <s v="UK pounds"/>
    <x v="0"/>
    <s v="UK"/>
    <x v="2"/>
    <x v="0"/>
    <x v="1"/>
    <s v="Consistent"/>
    <x v="0"/>
  </r>
  <r>
    <x v="1413"/>
    <x v="0"/>
    <x v="1224"/>
    <n v="7080357663"/>
    <n v="5823.52"/>
    <s v="UK pounds"/>
    <s v="UK pounds"/>
    <x v="0"/>
    <s v="UK"/>
    <x v="5"/>
    <x v="0"/>
    <x v="3"/>
    <s v="Consistent"/>
    <x v="0"/>
  </r>
  <r>
    <x v="1413"/>
    <x v="0"/>
    <x v="1261"/>
    <n v="7581615865"/>
    <n v="3014.2"/>
    <s v="UK pounds"/>
    <s v="UK pounds"/>
    <x v="0"/>
    <s v="UK"/>
    <x v="4"/>
    <x v="0"/>
    <x v="2"/>
    <s v="Consistent"/>
    <x v="0"/>
  </r>
  <r>
    <x v="1414"/>
    <x v="0"/>
    <x v="1262"/>
    <n v="8293391480"/>
    <n v="922.96"/>
    <s v="UK pounds"/>
    <s v="UK pounds"/>
    <x v="0"/>
    <s v="UK"/>
    <x v="3"/>
    <x v="0"/>
    <x v="2"/>
    <s v="Consistent"/>
    <x v="0"/>
  </r>
  <r>
    <x v="1415"/>
    <x v="0"/>
    <x v="1263"/>
    <n v="608997915"/>
    <n v="14138.77"/>
    <s v="UK pounds"/>
    <s v="UK pounds"/>
    <x v="0"/>
    <s v="UK"/>
    <x v="5"/>
    <x v="0"/>
    <x v="4"/>
    <s v="Consistent"/>
    <x v="0"/>
  </r>
  <r>
    <x v="1416"/>
    <x v="0"/>
    <x v="1264"/>
    <n v="4122102510"/>
    <n v="2938.74"/>
    <s v="UK pounds"/>
    <s v="UK pounds"/>
    <x v="0"/>
    <s v="UK"/>
    <x v="3"/>
    <x v="0"/>
    <x v="2"/>
    <s v="Consistent"/>
    <x v="0"/>
  </r>
  <r>
    <x v="1416"/>
    <x v="0"/>
    <x v="1265"/>
    <n v="6441818635"/>
    <n v="8257.82"/>
    <s v="UK pounds"/>
    <s v="UK pounds"/>
    <x v="0"/>
    <s v="UK"/>
    <x v="3"/>
    <x v="0"/>
    <x v="4"/>
    <s v="Consistent"/>
    <x v="0"/>
  </r>
  <r>
    <x v="1417"/>
    <x v="0"/>
    <x v="1266"/>
    <n v="3695545812"/>
    <n v="8567.18"/>
    <s v="UK pounds"/>
    <s v="UK pounds"/>
    <x v="0"/>
    <s v="UK"/>
    <x v="4"/>
    <x v="0"/>
    <x v="3"/>
    <s v="Consistent"/>
    <x v="0"/>
  </r>
  <r>
    <x v="1418"/>
    <x v="0"/>
    <x v="314"/>
    <n v="621060264"/>
    <n v="7036.07"/>
    <s v="UK pounds"/>
    <s v="UK pounds"/>
    <x v="0"/>
    <s v="UK"/>
    <x v="4"/>
    <x v="0"/>
    <x v="3"/>
    <s v="Consistent"/>
    <x v="0"/>
  </r>
  <r>
    <x v="1419"/>
    <x v="0"/>
    <x v="1267"/>
    <n v="8241405397"/>
    <n v="1179.6500000000001"/>
    <s v="UK pounds"/>
    <s v="UK pounds"/>
    <x v="0"/>
    <s v="UK"/>
    <x v="2"/>
    <x v="0"/>
    <x v="2"/>
    <s v="Consistent"/>
    <x v="0"/>
  </r>
  <r>
    <x v="1420"/>
    <x v="0"/>
    <x v="75"/>
    <n v="4856706287"/>
    <n v="13440.35"/>
    <s v="UK pounds"/>
    <s v="UK pounds"/>
    <x v="0"/>
    <s v="UK"/>
    <x v="2"/>
    <x v="0"/>
    <x v="1"/>
    <s v="Consistent"/>
    <x v="0"/>
  </r>
  <r>
    <x v="1420"/>
    <x v="0"/>
    <x v="1268"/>
    <n v="7467880755"/>
    <n v="2116.39"/>
    <s v="UK pounds"/>
    <s v="UK pounds"/>
    <x v="0"/>
    <s v="UK"/>
    <x v="0"/>
    <x v="0"/>
    <x v="0"/>
    <s v="Consistent"/>
    <x v="0"/>
  </r>
  <r>
    <x v="1420"/>
    <x v="0"/>
    <x v="9"/>
    <n v="804519509"/>
    <n v="6065.7"/>
    <s v="UK pounds"/>
    <s v="UK pounds"/>
    <x v="0"/>
    <s v="UK"/>
    <x v="3"/>
    <x v="0"/>
    <x v="1"/>
    <s v="Consistent"/>
    <x v="0"/>
  </r>
  <r>
    <x v="1420"/>
    <x v="0"/>
    <x v="1269"/>
    <n v="7450979302"/>
    <n v="3329.06"/>
    <s v="UK pounds"/>
    <s v="UK pounds"/>
    <x v="0"/>
    <s v="UK"/>
    <x v="4"/>
    <x v="0"/>
    <x v="2"/>
    <s v="Consistent"/>
    <x v="0"/>
  </r>
  <r>
    <x v="1421"/>
    <x v="0"/>
    <x v="212"/>
    <n v="1465487567"/>
    <n v="9504.35"/>
    <s v="UK pounds"/>
    <s v="UK pounds"/>
    <x v="0"/>
    <s v="UK"/>
    <x v="2"/>
    <x v="0"/>
    <x v="3"/>
    <s v="Consistent"/>
    <x v="0"/>
  </r>
  <r>
    <x v="1422"/>
    <x v="0"/>
    <x v="1270"/>
    <n v="3179215472"/>
    <n v="241.56"/>
    <s v="UK pounds"/>
    <s v="UK pounds"/>
    <x v="0"/>
    <s v="UK"/>
    <x v="4"/>
    <x v="0"/>
    <x v="2"/>
    <s v="Consistent"/>
    <x v="0"/>
  </r>
  <r>
    <x v="1422"/>
    <x v="0"/>
    <x v="1271"/>
    <n v="1934689485"/>
    <n v="618.04999999999995"/>
    <s v="UK pounds"/>
    <s v="UK pounds"/>
    <x v="0"/>
    <s v="UK"/>
    <x v="3"/>
    <x v="0"/>
    <x v="2"/>
    <s v="Consistent"/>
    <x v="0"/>
  </r>
  <r>
    <x v="1423"/>
    <x v="0"/>
    <x v="1272"/>
    <n v="9600420220"/>
    <n v="11222.02"/>
    <s v="UK pounds"/>
    <s v="UK pounds"/>
    <x v="0"/>
    <s v="UK"/>
    <x v="3"/>
    <x v="0"/>
    <x v="3"/>
    <s v="Consistent"/>
    <x v="0"/>
  </r>
  <r>
    <x v="1424"/>
    <x v="0"/>
    <x v="804"/>
    <n v="621060264"/>
    <n v="6884.38"/>
    <s v="UK pounds"/>
    <s v="UK pounds"/>
    <x v="0"/>
    <s v="UK"/>
    <x v="4"/>
    <x v="0"/>
    <x v="3"/>
    <s v="Consistent"/>
    <x v="0"/>
  </r>
  <r>
    <x v="1425"/>
    <x v="0"/>
    <x v="1273"/>
    <n v="6301402873"/>
    <n v="11698.26"/>
    <s v="UK pounds"/>
    <s v="UK pounds"/>
    <x v="0"/>
    <s v="UK"/>
    <x v="2"/>
    <x v="0"/>
    <x v="2"/>
    <s v="Consistent"/>
    <x v="0"/>
  </r>
  <r>
    <x v="1426"/>
    <x v="0"/>
    <x v="834"/>
    <n v="3220735304"/>
    <n v="20091.7"/>
    <s v="UK pounds"/>
    <s v="UK pounds"/>
    <x v="0"/>
    <s v="UK"/>
    <x v="5"/>
    <x v="0"/>
    <x v="3"/>
    <s v="Consistent"/>
    <x v="0"/>
  </r>
  <r>
    <x v="1427"/>
    <x v="0"/>
    <x v="898"/>
    <n v="5006452737"/>
    <n v="4224.78"/>
    <s v="UK pounds"/>
    <s v="UK pounds"/>
    <x v="0"/>
    <s v="UK"/>
    <x v="5"/>
    <x v="0"/>
    <x v="2"/>
    <s v="Consistent"/>
    <x v="0"/>
  </r>
  <r>
    <x v="1428"/>
    <x v="0"/>
    <x v="1274"/>
    <n v="3220735304"/>
    <n v="18945"/>
    <s v="UK pounds"/>
    <s v="UK pounds"/>
    <x v="0"/>
    <s v="UK"/>
    <x v="4"/>
    <x v="0"/>
    <x v="3"/>
    <s v="Consistent"/>
    <x v="0"/>
  </r>
  <r>
    <x v="1429"/>
    <x v="0"/>
    <x v="210"/>
    <n v="674564051"/>
    <n v="14188.48"/>
    <s v="UK pounds"/>
    <s v="UK pounds"/>
    <x v="0"/>
    <s v="UK"/>
    <x v="3"/>
    <x v="0"/>
    <x v="1"/>
    <s v="Consistent"/>
    <x v="0"/>
  </r>
  <r>
    <x v="1430"/>
    <x v="0"/>
    <x v="1275"/>
    <n v="3358200698"/>
    <n v="6226.13"/>
    <s v="UK pounds"/>
    <s v="UK pounds"/>
    <x v="0"/>
    <s v="UK"/>
    <x v="2"/>
    <x v="0"/>
    <x v="2"/>
    <s v="Consistent"/>
    <x v="0"/>
  </r>
  <r>
    <x v="1430"/>
    <x v="0"/>
    <x v="124"/>
    <n v="3230579354"/>
    <n v="11260.93"/>
    <s v="UK pounds"/>
    <s v="UK pounds"/>
    <x v="0"/>
    <s v="UK"/>
    <x v="2"/>
    <x v="0"/>
    <x v="1"/>
    <s v="Consistent"/>
    <x v="0"/>
  </r>
  <r>
    <x v="1431"/>
    <x v="0"/>
    <x v="485"/>
    <n v="5628674969"/>
    <n v="8351.7800000000007"/>
    <s v="UK pounds"/>
    <s v="UK pounds"/>
    <x v="0"/>
    <s v="UK"/>
    <x v="3"/>
    <x v="0"/>
    <x v="3"/>
    <s v="Consistent"/>
    <x v="0"/>
  </r>
  <r>
    <x v="1432"/>
    <x v="0"/>
    <x v="1276"/>
    <n v="3114502972"/>
    <n v="20291.89"/>
    <s v="UK pounds"/>
    <s v="UK pounds"/>
    <x v="0"/>
    <s v="UK"/>
    <x v="5"/>
    <x v="0"/>
    <x v="2"/>
    <s v="Consistent"/>
    <x v="0"/>
  </r>
  <r>
    <x v="1433"/>
    <x v="0"/>
    <x v="1277"/>
    <n v="3074091941"/>
    <n v="3239.58"/>
    <s v="UK pounds"/>
    <s v="UK pounds"/>
    <x v="0"/>
    <s v="UK"/>
    <x v="0"/>
    <x v="0"/>
    <x v="0"/>
    <s v="Consistent"/>
    <x v="0"/>
  </r>
  <r>
    <x v="1433"/>
    <x v="0"/>
    <x v="1278"/>
    <n v="1323718593"/>
    <n v="2303.5700000000002"/>
    <s v="UK pounds"/>
    <s v="UK pounds"/>
    <x v="0"/>
    <s v="UK"/>
    <x v="4"/>
    <x v="0"/>
    <x v="4"/>
    <s v="Consistent"/>
    <x v="0"/>
  </r>
  <r>
    <x v="1434"/>
    <x v="0"/>
    <x v="86"/>
    <n v="3540529623"/>
    <n v="9313.4500000000007"/>
    <s v="UK pounds"/>
    <s v="UK pounds"/>
    <x v="0"/>
    <s v="UK"/>
    <x v="2"/>
    <x v="0"/>
    <x v="1"/>
    <s v="Consistent"/>
    <x v="0"/>
  </r>
  <r>
    <x v="1434"/>
    <x v="0"/>
    <x v="105"/>
    <n v="1377603863"/>
    <n v="5423.36"/>
    <s v="UK pounds"/>
    <s v="UK pounds"/>
    <x v="0"/>
    <s v="UK"/>
    <x v="2"/>
    <x v="0"/>
    <x v="3"/>
    <s v="Consistent"/>
    <x v="0"/>
  </r>
  <r>
    <x v="1435"/>
    <x v="0"/>
    <x v="1279"/>
    <n v="2102474519"/>
    <n v="8190.2"/>
    <s v="UK pounds"/>
    <s v="UK pounds"/>
    <x v="0"/>
    <s v="UK"/>
    <x v="5"/>
    <x v="0"/>
    <x v="4"/>
    <s v="Consistent"/>
    <x v="0"/>
  </r>
  <r>
    <x v="1436"/>
    <x v="0"/>
    <x v="1280"/>
    <n v="9860188650"/>
    <n v="88.2"/>
    <s v="UK pounds"/>
    <s v="UK pounds"/>
    <x v="0"/>
    <s v="UK"/>
    <x v="5"/>
    <x v="0"/>
    <x v="2"/>
    <s v="Consistent"/>
    <x v="0"/>
  </r>
  <r>
    <x v="1437"/>
    <x v="0"/>
    <x v="1281"/>
    <n v="9483784761"/>
    <n v="522.75"/>
    <s v="UK pounds"/>
    <s v="UK pounds"/>
    <x v="0"/>
    <s v="UK"/>
    <x v="4"/>
    <x v="0"/>
    <x v="2"/>
    <s v="Consistent"/>
    <x v="0"/>
  </r>
  <r>
    <x v="1438"/>
    <x v="0"/>
    <x v="574"/>
    <n v="2042062597"/>
    <n v="3568.81"/>
    <s v="UK pounds"/>
    <s v="UK pounds"/>
    <x v="0"/>
    <s v="UK"/>
    <x v="2"/>
    <x v="0"/>
    <x v="6"/>
    <s v="Consistent"/>
    <x v="0"/>
  </r>
  <r>
    <x v="1438"/>
    <x v="0"/>
    <x v="1282"/>
    <n v="2196511176"/>
    <n v="194"/>
    <s v="UK pounds"/>
    <s v="UK pounds"/>
    <x v="0"/>
    <s v="UK"/>
    <x v="3"/>
    <x v="0"/>
    <x v="2"/>
    <s v="Consistent"/>
    <x v="0"/>
  </r>
  <r>
    <x v="1439"/>
    <x v="0"/>
    <x v="1283"/>
    <n v="2331522463"/>
    <n v="2570.5500000000002"/>
    <s v="UK pounds"/>
    <s v="Euro"/>
    <x v="0"/>
    <s v="Austria"/>
    <x v="1"/>
    <x v="0"/>
    <x v="2"/>
    <s v="Potential Layering"/>
    <x v="0"/>
  </r>
  <r>
    <x v="1440"/>
    <x v="0"/>
    <x v="1284"/>
    <n v="2329855233"/>
    <n v="1128.57"/>
    <s v="UK pounds"/>
    <s v="UK pounds"/>
    <x v="0"/>
    <s v="UK"/>
    <x v="4"/>
    <x v="0"/>
    <x v="2"/>
    <s v="Consistent"/>
    <x v="0"/>
  </r>
  <r>
    <x v="1441"/>
    <x v="0"/>
    <x v="208"/>
    <n v="7199625988"/>
    <n v="15569.12"/>
    <s v="UK pounds"/>
    <s v="UK pounds"/>
    <x v="0"/>
    <s v="UK"/>
    <x v="3"/>
    <x v="0"/>
    <x v="3"/>
    <s v="Consistent"/>
    <x v="0"/>
  </r>
  <r>
    <x v="1442"/>
    <x v="0"/>
    <x v="1285"/>
    <n v="223832802"/>
    <n v="1138.67"/>
    <s v="UK pounds"/>
    <s v="UK pounds"/>
    <x v="0"/>
    <s v="UK"/>
    <x v="2"/>
    <x v="0"/>
    <x v="2"/>
    <s v="Consistent"/>
    <x v="0"/>
  </r>
  <r>
    <x v="1443"/>
    <x v="0"/>
    <x v="738"/>
    <n v="5628674969"/>
    <n v="8972.91"/>
    <s v="UK pounds"/>
    <s v="UK pounds"/>
    <x v="0"/>
    <s v="UK"/>
    <x v="5"/>
    <x v="0"/>
    <x v="3"/>
    <s v="Consistent"/>
    <x v="0"/>
  </r>
  <r>
    <x v="1443"/>
    <x v="0"/>
    <x v="1286"/>
    <n v="228160503"/>
    <n v="12.63"/>
    <s v="UK pounds"/>
    <s v="UK pounds"/>
    <x v="0"/>
    <s v="UK"/>
    <x v="6"/>
    <x v="0"/>
    <x v="5"/>
    <s v="Consistent"/>
    <x v="0"/>
  </r>
  <r>
    <x v="1444"/>
    <x v="0"/>
    <x v="1287"/>
    <n v="6599750390"/>
    <n v="2750.23"/>
    <s v="UK pounds"/>
    <s v="UK pounds"/>
    <x v="0"/>
    <s v="UK"/>
    <x v="5"/>
    <x v="0"/>
    <x v="4"/>
    <s v="Consistent"/>
    <x v="0"/>
  </r>
  <r>
    <x v="1445"/>
    <x v="0"/>
    <x v="1288"/>
    <n v="5466123934"/>
    <n v="18637.96"/>
    <s v="UK pounds"/>
    <s v="UK pounds"/>
    <x v="0"/>
    <s v="UK"/>
    <x v="3"/>
    <x v="0"/>
    <x v="3"/>
    <s v="Consistent"/>
    <x v="0"/>
  </r>
  <r>
    <x v="1446"/>
    <x v="0"/>
    <x v="704"/>
    <n v="7080357663"/>
    <n v="13626.41"/>
    <s v="UK pounds"/>
    <s v="UK pounds"/>
    <x v="0"/>
    <s v="UK"/>
    <x v="2"/>
    <x v="0"/>
    <x v="3"/>
    <s v="Consistent"/>
    <x v="0"/>
  </r>
  <r>
    <x v="1447"/>
    <x v="0"/>
    <x v="1289"/>
    <n v="9950541310"/>
    <n v="52.81"/>
    <s v="UK pounds"/>
    <s v="UK pounds"/>
    <x v="0"/>
    <s v="UK"/>
    <x v="6"/>
    <x v="0"/>
    <x v="5"/>
    <s v="Consistent"/>
    <x v="0"/>
  </r>
  <r>
    <x v="1448"/>
    <x v="0"/>
    <x v="1290"/>
    <n v="1750168908"/>
    <n v="1181.28"/>
    <s v="UK pounds"/>
    <s v="UK pounds"/>
    <x v="0"/>
    <s v="UK"/>
    <x v="2"/>
    <x v="0"/>
    <x v="4"/>
    <s v="Consistent"/>
    <x v="0"/>
  </r>
  <r>
    <x v="1449"/>
    <x v="0"/>
    <x v="61"/>
    <n v="4528663768"/>
    <n v="7433.9"/>
    <s v="UK pounds"/>
    <s v="UK pounds"/>
    <x v="0"/>
    <s v="UK"/>
    <x v="5"/>
    <x v="0"/>
    <x v="1"/>
    <s v="Consistent"/>
    <x v="0"/>
  </r>
  <r>
    <x v="1450"/>
    <x v="0"/>
    <x v="1291"/>
    <n v="5687550863"/>
    <n v="318.10000000000002"/>
    <s v="UK pounds"/>
    <s v="UK pounds"/>
    <x v="0"/>
    <s v="UK"/>
    <x v="6"/>
    <x v="0"/>
    <x v="5"/>
    <s v="Consistent"/>
    <x v="0"/>
  </r>
  <r>
    <x v="1451"/>
    <x v="0"/>
    <x v="1048"/>
    <n v="409707192"/>
    <n v="6100.04"/>
    <s v="UK pounds"/>
    <s v="UK pounds"/>
    <x v="0"/>
    <s v="UK"/>
    <x v="5"/>
    <x v="0"/>
    <x v="3"/>
    <s v="Consistent"/>
    <x v="0"/>
  </r>
  <r>
    <x v="1452"/>
    <x v="0"/>
    <x v="1292"/>
    <n v="1850298015"/>
    <n v="5212.57"/>
    <s v="UK pounds"/>
    <s v="UK pounds"/>
    <x v="0"/>
    <s v="UK"/>
    <x v="5"/>
    <x v="0"/>
    <x v="2"/>
    <s v="Consistent"/>
    <x v="0"/>
  </r>
  <r>
    <x v="1452"/>
    <x v="0"/>
    <x v="1293"/>
    <n v="9912627676"/>
    <n v="249.77"/>
    <s v="UK pounds"/>
    <s v="UK pounds"/>
    <x v="0"/>
    <s v="UK"/>
    <x v="5"/>
    <x v="0"/>
    <x v="2"/>
    <s v="Consistent"/>
    <x v="0"/>
  </r>
  <r>
    <x v="1453"/>
    <x v="0"/>
    <x v="149"/>
    <n v="1845194308"/>
    <n v="18498.13"/>
    <s v="UK pounds"/>
    <s v="UK pounds"/>
    <x v="0"/>
    <s v="UK"/>
    <x v="5"/>
    <x v="0"/>
    <x v="1"/>
    <s v="Consistent"/>
    <x v="0"/>
  </r>
  <r>
    <x v="1454"/>
    <x v="0"/>
    <x v="1294"/>
    <n v="1465487567"/>
    <n v="7143.81"/>
    <s v="UK pounds"/>
    <s v="UK pounds"/>
    <x v="0"/>
    <s v="UK"/>
    <x v="3"/>
    <x v="0"/>
    <x v="3"/>
    <s v="Consistent"/>
    <x v="0"/>
  </r>
  <r>
    <x v="1454"/>
    <x v="0"/>
    <x v="255"/>
    <n v="8950761727"/>
    <n v="6880.34"/>
    <s v="UK pounds"/>
    <s v="UK pounds"/>
    <x v="0"/>
    <s v="UK"/>
    <x v="3"/>
    <x v="0"/>
    <x v="1"/>
    <s v="Consistent"/>
    <x v="0"/>
  </r>
  <r>
    <x v="1455"/>
    <x v="0"/>
    <x v="1295"/>
    <n v="4571776362"/>
    <n v="1247.6400000000001"/>
    <s v="UK pounds"/>
    <s v="UK pounds"/>
    <x v="0"/>
    <s v="UK"/>
    <x v="4"/>
    <x v="0"/>
    <x v="2"/>
    <s v="Consistent"/>
    <x v="0"/>
  </r>
  <r>
    <x v="1456"/>
    <x v="0"/>
    <x v="1296"/>
    <n v="7624614525"/>
    <n v="245.25"/>
    <s v="UK pounds"/>
    <s v="UK pounds"/>
    <x v="0"/>
    <s v="UK"/>
    <x v="3"/>
    <x v="0"/>
    <x v="2"/>
    <s v="Consistent"/>
    <x v="0"/>
  </r>
  <r>
    <x v="1456"/>
    <x v="0"/>
    <x v="1297"/>
    <n v="8172080174"/>
    <n v="6114.47"/>
    <s v="UK pounds"/>
    <s v="UK pounds"/>
    <x v="0"/>
    <s v="UK"/>
    <x v="3"/>
    <x v="0"/>
    <x v="3"/>
    <s v="Consistent"/>
    <x v="0"/>
  </r>
  <r>
    <x v="1457"/>
    <x v="0"/>
    <x v="1298"/>
    <n v="2712343473"/>
    <n v="4339.1000000000004"/>
    <s v="UK pounds"/>
    <s v="UK pounds"/>
    <x v="0"/>
    <s v="UK"/>
    <x v="4"/>
    <x v="0"/>
    <x v="2"/>
    <s v="Consistent"/>
    <x v="0"/>
  </r>
  <r>
    <x v="1458"/>
    <x v="0"/>
    <x v="1299"/>
    <n v="9105769228"/>
    <n v="6527.78"/>
    <s v="UK pounds"/>
    <s v="UK pounds"/>
    <x v="0"/>
    <s v="UK"/>
    <x v="4"/>
    <x v="0"/>
    <x v="3"/>
    <s v="Consistent"/>
    <x v="0"/>
  </r>
  <r>
    <x v="1459"/>
    <x v="0"/>
    <x v="86"/>
    <n v="4959470648"/>
    <n v="8187.05"/>
    <s v="UK pounds"/>
    <s v="UK pounds"/>
    <x v="0"/>
    <s v="UK"/>
    <x v="4"/>
    <x v="0"/>
    <x v="1"/>
    <s v="Consistent"/>
    <x v="0"/>
  </r>
  <r>
    <x v="1460"/>
    <x v="0"/>
    <x v="1300"/>
    <n v="9986297616"/>
    <n v="1683.24"/>
    <s v="UK pounds"/>
    <s v="UK pounds"/>
    <x v="0"/>
    <s v="UK"/>
    <x v="2"/>
    <x v="0"/>
    <x v="2"/>
    <s v="Consistent"/>
    <x v="0"/>
  </r>
  <r>
    <x v="1461"/>
    <x v="0"/>
    <x v="210"/>
    <n v="8785037379"/>
    <n v="8339.35"/>
    <s v="UK pounds"/>
    <s v="UK pounds"/>
    <x v="0"/>
    <s v="UK"/>
    <x v="3"/>
    <x v="0"/>
    <x v="1"/>
    <s v="Consistent"/>
    <x v="0"/>
  </r>
  <r>
    <x v="1462"/>
    <x v="0"/>
    <x v="1301"/>
    <n v="6646502650"/>
    <n v="5672.42"/>
    <s v="UK pounds"/>
    <s v="Euro"/>
    <x v="0"/>
    <s v="France"/>
    <x v="1"/>
    <x v="0"/>
    <x v="3"/>
    <s v="Potential Layering"/>
    <x v="0"/>
  </r>
  <r>
    <x v="1463"/>
    <x v="0"/>
    <x v="210"/>
    <n v="8140432476"/>
    <n v="7893.29"/>
    <s v="UK pounds"/>
    <s v="UK pounds"/>
    <x v="0"/>
    <s v="UK"/>
    <x v="4"/>
    <x v="0"/>
    <x v="1"/>
    <s v="Consistent"/>
    <x v="0"/>
  </r>
  <r>
    <x v="1464"/>
    <x v="0"/>
    <x v="1302"/>
    <n v="3119408271"/>
    <n v="2482.7600000000002"/>
    <s v="UK pounds"/>
    <s v="UK pounds"/>
    <x v="0"/>
    <s v="UK"/>
    <x v="5"/>
    <x v="0"/>
    <x v="2"/>
    <s v="Consistent"/>
    <x v="0"/>
  </r>
  <r>
    <x v="1464"/>
    <x v="0"/>
    <x v="1303"/>
    <n v="9005303200"/>
    <n v="164.23"/>
    <s v="UK pounds"/>
    <s v="UK pounds"/>
    <x v="0"/>
    <s v="UK"/>
    <x v="3"/>
    <x v="0"/>
    <x v="2"/>
    <s v="Consistent"/>
    <x v="0"/>
  </r>
  <r>
    <x v="1465"/>
    <x v="0"/>
    <x v="1304"/>
    <n v="3248814819"/>
    <n v="5155.46"/>
    <s v="UK pounds"/>
    <s v="UK pounds"/>
    <x v="0"/>
    <s v="UK"/>
    <x v="4"/>
    <x v="0"/>
    <x v="2"/>
    <s v="Consistent"/>
    <x v="0"/>
  </r>
  <r>
    <x v="1465"/>
    <x v="0"/>
    <x v="1305"/>
    <n v="7332120767"/>
    <n v="2580.39"/>
    <s v="UK pounds"/>
    <s v="UK pounds"/>
    <x v="0"/>
    <s v="UK"/>
    <x v="3"/>
    <x v="0"/>
    <x v="2"/>
    <s v="Consistent"/>
    <x v="0"/>
  </r>
  <r>
    <x v="1466"/>
    <x v="0"/>
    <x v="1306"/>
    <n v="9359330538"/>
    <n v="1802.64"/>
    <s v="UK pounds"/>
    <s v="UK pounds"/>
    <x v="0"/>
    <s v="UK"/>
    <x v="3"/>
    <x v="0"/>
    <x v="2"/>
    <s v="Consistent"/>
    <x v="0"/>
  </r>
  <r>
    <x v="1467"/>
    <x v="0"/>
    <x v="1307"/>
    <n v="6955344555"/>
    <n v="11490.01"/>
    <s v="UK pounds"/>
    <s v="UK pounds"/>
    <x v="0"/>
    <s v="UK"/>
    <x v="5"/>
    <x v="0"/>
    <x v="10"/>
    <s v="Consistent"/>
    <x v="0"/>
  </r>
  <r>
    <x v="1468"/>
    <x v="0"/>
    <x v="161"/>
    <n v="6533060638"/>
    <n v="5066.05"/>
    <s v="UK pounds"/>
    <s v="UK pounds"/>
    <x v="0"/>
    <s v="UK"/>
    <x v="4"/>
    <x v="0"/>
    <x v="1"/>
    <s v="Consistent"/>
    <x v="0"/>
  </r>
  <r>
    <x v="1468"/>
    <x v="0"/>
    <x v="1308"/>
    <n v="492319715"/>
    <n v="426.42"/>
    <s v="UK pounds"/>
    <s v="UK pounds"/>
    <x v="0"/>
    <s v="UK"/>
    <x v="5"/>
    <x v="0"/>
    <x v="2"/>
    <s v="Consistent"/>
    <x v="0"/>
  </r>
  <r>
    <x v="1468"/>
    <x v="0"/>
    <x v="163"/>
    <n v="8015553278"/>
    <n v="6953.43"/>
    <s v="UK pounds"/>
    <s v="UK pounds"/>
    <x v="0"/>
    <s v="UK"/>
    <x v="5"/>
    <x v="0"/>
    <x v="1"/>
    <s v="Consistent"/>
    <x v="0"/>
  </r>
  <r>
    <x v="1469"/>
    <x v="0"/>
    <x v="248"/>
    <n v="3559090340"/>
    <n v="11111.47"/>
    <s v="UK pounds"/>
    <s v="UK pounds"/>
    <x v="0"/>
    <s v="UK"/>
    <x v="4"/>
    <x v="0"/>
    <x v="1"/>
    <s v="Consistent"/>
    <x v="0"/>
  </r>
  <r>
    <x v="1470"/>
    <x v="0"/>
    <x v="447"/>
    <n v="1431561040"/>
    <n v="10196.94"/>
    <s v="Euro"/>
    <s v="UK pounds"/>
    <x v="8"/>
    <s v="UK"/>
    <x v="1"/>
    <x v="0"/>
    <x v="3"/>
    <s v="Potential Layering"/>
    <x v="0"/>
  </r>
  <r>
    <x v="1470"/>
    <x v="0"/>
    <x v="1309"/>
    <n v="6642761979"/>
    <n v="11198.15"/>
    <s v="UK pounds"/>
    <s v="UK pounds"/>
    <x v="0"/>
    <s v="UK"/>
    <x v="4"/>
    <x v="0"/>
    <x v="2"/>
    <s v="Consistent"/>
    <x v="0"/>
  </r>
  <r>
    <x v="1471"/>
    <x v="0"/>
    <x v="35"/>
    <n v="8722924810"/>
    <n v="8071.3"/>
    <s v="UK pounds"/>
    <s v="Albanian lek"/>
    <x v="0"/>
    <s v="Albania"/>
    <x v="1"/>
    <x v="0"/>
    <x v="1"/>
    <s v="Potential Layering"/>
    <x v="0"/>
  </r>
  <r>
    <x v="1472"/>
    <x v="0"/>
    <x v="1310"/>
    <n v="2544092504"/>
    <n v="3611.4"/>
    <s v="Dirham"/>
    <s v="UK pounds"/>
    <x v="6"/>
    <s v="UK"/>
    <x v="1"/>
    <x v="0"/>
    <x v="4"/>
    <s v="Potential Layering"/>
    <x v="2"/>
  </r>
  <r>
    <x v="1473"/>
    <x v="0"/>
    <x v="1311"/>
    <n v="5631986688"/>
    <n v="2597.94"/>
    <s v="UK pounds"/>
    <s v="UK pounds"/>
    <x v="0"/>
    <s v="UK"/>
    <x v="3"/>
    <x v="0"/>
    <x v="2"/>
    <s v="Consistent"/>
    <x v="0"/>
  </r>
  <r>
    <x v="1473"/>
    <x v="0"/>
    <x v="1312"/>
    <n v="9029221399"/>
    <n v="1886.68"/>
    <s v="UK pounds"/>
    <s v="UK pounds"/>
    <x v="0"/>
    <s v="UK"/>
    <x v="4"/>
    <x v="0"/>
    <x v="4"/>
    <s v="Consistent"/>
    <x v="0"/>
  </r>
  <r>
    <x v="1474"/>
    <x v="0"/>
    <x v="1313"/>
    <n v="3038508895"/>
    <n v="1430.95"/>
    <s v="UK pounds"/>
    <s v="UK pounds"/>
    <x v="0"/>
    <s v="UK"/>
    <x v="3"/>
    <x v="0"/>
    <x v="2"/>
    <s v="Consistent"/>
    <x v="0"/>
  </r>
  <r>
    <x v="1475"/>
    <x v="0"/>
    <x v="1314"/>
    <n v="2816543942"/>
    <n v="290.86"/>
    <s v="UK pounds"/>
    <s v="UK pounds"/>
    <x v="0"/>
    <s v="UK"/>
    <x v="2"/>
    <x v="0"/>
    <x v="2"/>
    <s v="Consistent"/>
    <x v="0"/>
  </r>
  <r>
    <x v="1476"/>
    <x v="0"/>
    <x v="1315"/>
    <n v="3408749958"/>
    <n v="973.79"/>
    <s v="UK pounds"/>
    <s v="UK pounds"/>
    <x v="0"/>
    <s v="UK"/>
    <x v="0"/>
    <x v="0"/>
    <x v="0"/>
    <s v="Consistent"/>
    <x v="0"/>
  </r>
  <r>
    <x v="1477"/>
    <x v="0"/>
    <x v="941"/>
    <n v="1320927231"/>
    <n v="9511.15"/>
    <s v="UK pounds"/>
    <s v="UK pounds"/>
    <x v="0"/>
    <s v="UK"/>
    <x v="3"/>
    <x v="0"/>
    <x v="3"/>
    <s v="Consistent"/>
    <x v="0"/>
  </r>
  <r>
    <x v="1477"/>
    <x v="0"/>
    <x v="1316"/>
    <n v="6582957966"/>
    <n v="1309.76"/>
    <s v="UK pounds"/>
    <s v="UK pounds"/>
    <x v="0"/>
    <s v="UK"/>
    <x v="5"/>
    <x v="0"/>
    <x v="2"/>
    <s v="Consistent"/>
    <x v="0"/>
  </r>
  <r>
    <x v="1478"/>
    <x v="0"/>
    <x v="855"/>
    <n v="6223365730"/>
    <n v="11828.85"/>
    <s v="UK pounds"/>
    <s v="UK pounds"/>
    <x v="0"/>
    <s v="UK"/>
    <x v="2"/>
    <x v="0"/>
    <x v="3"/>
    <s v="Consistent"/>
    <x v="0"/>
  </r>
  <r>
    <x v="1479"/>
    <x v="0"/>
    <x v="1317"/>
    <n v="7126767127"/>
    <n v="13751.08"/>
    <s v="UK pounds"/>
    <s v="UK pounds"/>
    <x v="0"/>
    <s v="UK"/>
    <x v="3"/>
    <x v="0"/>
    <x v="2"/>
    <s v="Consistent"/>
    <x v="0"/>
  </r>
  <r>
    <x v="1480"/>
    <x v="0"/>
    <x v="1318"/>
    <n v="5363117119"/>
    <n v="12810.38"/>
    <s v="UK pounds"/>
    <s v="UK pounds"/>
    <x v="0"/>
    <s v="UK"/>
    <x v="2"/>
    <x v="0"/>
    <x v="3"/>
    <s v="Consistent"/>
    <x v="0"/>
  </r>
  <r>
    <x v="1481"/>
    <x v="0"/>
    <x v="1319"/>
    <n v="3969995853"/>
    <n v="1943.49"/>
    <s v="UK pounds"/>
    <s v="UK pounds"/>
    <x v="0"/>
    <s v="UK"/>
    <x v="0"/>
    <x v="0"/>
    <x v="0"/>
    <s v="Consistent"/>
    <x v="0"/>
  </r>
  <r>
    <x v="1482"/>
    <x v="0"/>
    <x v="1320"/>
    <n v="7514676765"/>
    <n v="7133.74"/>
    <s v="UK pounds"/>
    <s v="UK pounds"/>
    <x v="0"/>
    <s v="UK"/>
    <x v="2"/>
    <x v="0"/>
    <x v="2"/>
    <s v="Consistent"/>
    <x v="0"/>
  </r>
  <r>
    <x v="1483"/>
    <x v="0"/>
    <x v="1321"/>
    <n v="9677171534"/>
    <n v="225.57"/>
    <s v="UK pounds"/>
    <s v="UK pounds"/>
    <x v="0"/>
    <s v="UK"/>
    <x v="3"/>
    <x v="0"/>
    <x v="2"/>
    <s v="Consistent"/>
    <x v="0"/>
  </r>
  <r>
    <x v="1483"/>
    <x v="0"/>
    <x v="1322"/>
    <n v="436157946"/>
    <n v="2339.6799999999998"/>
    <s v="UK pounds"/>
    <s v="UK pounds"/>
    <x v="0"/>
    <s v="UK"/>
    <x v="0"/>
    <x v="0"/>
    <x v="0"/>
    <s v="Consistent"/>
    <x v="0"/>
  </r>
  <r>
    <x v="1484"/>
    <x v="0"/>
    <x v="748"/>
    <n v="3943914030"/>
    <n v="6836.06"/>
    <s v="UK pounds"/>
    <s v="UK pounds"/>
    <x v="0"/>
    <s v="UK"/>
    <x v="3"/>
    <x v="0"/>
    <x v="6"/>
    <s v="Consistent"/>
    <x v="0"/>
  </r>
  <r>
    <x v="1485"/>
    <x v="0"/>
    <x v="910"/>
    <n v="7080357663"/>
    <n v="12498.39"/>
    <s v="UK pounds"/>
    <s v="UK pounds"/>
    <x v="0"/>
    <s v="UK"/>
    <x v="5"/>
    <x v="0"/>
    <x v="3"/>
    <s v="Consistent"/>
    <x v="0"/>
  </r>
  <r>
    <x v="1486"/>
    <x v="0"/>
    <x v="1323"/>
    <n v="6034997194"/>
    <n v="7444.25"/>
    <s v="Euro"/>
    <s v="UK pounds"/>
    <x v="4"/>
    <s v="UK"/>
    <x v="1"/>
    <x v="0"/>
    <x v="3"/>
    <s v="Potential Layering"/>
    <x v="0"/>
  </r>
  <r>
    <x v="1487"/>
    <x v="0"/>
    <x v="1324"/>
    <n v="9776245941"/>
    <n v="16615.650000000001"/>
    <s v="UK pounds"/>
    <s v="UK pounds"/>
    <x v="0"/>
    <s v="UK"/>
    <x v="4"/>
    <x v="0"/>
    <x v="6"/>
    <s v="Consistent"/>
    <x v="0"/>
  </r>
  <r>
    <x v="1487"/>
    <x v="0"/>
    <x v="1325"/>
    <n v="7717488272"/>
    <n v="2630.45"/>
    <s v="UK pounds"/>
    <s v="UK pounds"/>
    <x v="0"/>
    <s v="UK"/>
    <x v="2"/>
    <x v="0"/>
    <x v="2"/>
    <s v="Consistent"/>
    <x v="0"/>
  </r>
  <r>
    <x v="1487"/>
    <x v="0"/>
    <x v="40"/>
    <n v="1675218057"/>
    <n v="7848.47"/>
    <s v="UK pounds"/>
    <s v="UK pounds"/>
    <x v="0"/>
    <s v="UK"/>
    <x v="3"/>
    <x v="0"/>
    <x v="1"/>
    <s v="Consistent"/>
    <x v="0"/>
  </r>
  <r>
    <x v="1488"/>
    <x v="0"/>
    <x v="1326"/>
    <n v="8650898621"/>
    <n v="5244.48"/>
    <s v="UK pounds"/>
    <s v="UK pounds"/>
    <x v="0"/>
    <s v="UK"/>
    <x v="5"/>
    <x v="0"/>
    <x v="2"/>
    <s v="Consistent"/>
    <x v="0"/>
  </r>
  <r>
    <x v="1489"/>
    <x v="0"/>
    <x v="1327"/>
    <n v="3250377172"/>
    <n v="509.14"/>
    <s v="UK pounds"/>
    <s v="UK pounds"/>
    <x v="0"/>
    <s v="UK"/>
    <x v="5"/>
    <x v="0"/>
    <x v="2"/>
    <s v="Consistent"/>
    <x v="0"/>
  </r>
  <r>
    <x v="1490"/>
    <x v="0"/>
    <x v="1328"/>
    <n v="5896180453"/>
    <n v="19495.580000000002"/>
    <s v="UK pounds"/>
    <s v="UK pounds"/>
    <x v="0"/>
    <s v="UK"/>
    <x v="3"/>
    <x v="0"/>
    <x v="3"/>
    <s v="Consistent"/>
    <x v="0"/>
  </r>
  <r>
    <x v="1491"/>
    <x v="0"/>
    <x v="1329"/>
    <n v="4891593500"/>
    <n v="5857.88"/>
    <s v="UK pounds"/>
    <s v="UK pounds"/>
    <x v="0"/>
    <s v="UK"/>
    <x v="4"/>
    <x v="0"/>
    <x v="4"/>
    <s v="Consistent"/>
    <x v="0"/>
  </r>
  <r>
    <x v="1492"/>
    <x v="0"/>
    <x v="1330"/>
    <n v="3996644993"/>
    <n v="3869.13"/>
    <s v="UK pounds"/>
    <s v="UK pounds"/>
    <x v="0"/>
    <s v="UK"/>
    <x v="5"/>
    <x v="0"/>
    <x v="2"/>
    <s v="Consistent"/>
    <x v="0"/>
  </r>
  <r>
    <x v="1493"/>
    <x v="0"/>
    <x v="1331"/>
    <n v="4270865741"/>
    <n v="4835.7700000000004"/>
    <s v="UK pounds"/>
    <s v="UK pounds"/>
    <x v="0"/>
    <s v="UK"/>
    <x v="2"/>
    <x v="0"/>
    <x v="3"/>
    <s v="Consistent"/>
    <x v="0"/>
  </r>
  <r>
    <x v="1494"/>
    <x v="0"/>
    <x v="1332"/>
    <n v="6494203450"/>
    <n v="1389.33"/>
    <s v="UK pounds"/>
    <s v="UK pounds"/>
    <x v="0"/>
    <s v="UK"/>
    <x v="4"/>
    <x v="0"/>
    <x v="2"/>
    <s v="Consistent"/>
    <x v="0"/>
  </r>
  <r>
    <x v="1494"/>
    <x v="0"/>
    <x v="1333"/>
    <n v="8811539711"/>
    <n v="1438.38"/>
    <s v="UK pounds"/>
    <s v="UK pounds"/>
    <x v="0"/>
    <s v="UK"/>
    <x v="2"/>
    <x v="0"/>
    <x v="2"/>
    <s v="Consistent"/>
    <x v="0"/>
  </r>
  <r>
    <x v="1495"/>
    <x v="0"/>
    <x v="61"/>
    <n v="4525312913"/>
    <n v="12730.69"/>
    <s v="UK pounds"/>
    <s v="UK pounds"/>
    <x v="0"/>
    <s v="UK"/>
    <x v="2"/>
    <x v="0"/>
    <x v="1"/>
    <s v="Consistent"/>
    <x v="0"/>
  </r>
  <r>
    <x v="1496"/>
    <x v="0"/>
    <x v="1334"/>
    <n v="428091371"/>
    <n v="3480.22"/>
    <s v="UK pounds"/>
    <s v="UK pounds"/>
    <x v="0"/>
    <s v="UK"/>
    <x v="5"/>
    <x v="0"/>
    <x v="2"/>
    <s v="Consistent"/>
    <x v="0"/>
  </r>
  <r>
    <x v="1497"/>
    <x v="0"/>
    <x v="1335"/>
    <n v="2263617111"/>
    <n v="853.55"/>
    <s v="UK pounds"/>
    <s v="UK pounds"/>
    <x v="0"/>
    <s v="UK"/>
    <x v="5"/>
    <x v="0"/>
    <x v="2"/>
    <s v="Consistent"/>
    <x v="0"/>
  </r>
  <r>
    <x v="1497"/>
    <x v="0"/>
    <x v="980"/>
    <n v="6034997194"/>
    <n v="5113.1499999999996"/>
    <s v="UK pounds"/>
    <s v="UK pounds"/>
    <x v="0"/>
    <s v="UK"/>
    <x v="4"/>
    <x v="0"/>
    <x v="3"/>
    <s v="Consistent"/>
    <x v="0"/>
  </r>
  <r>
    <x v="1498"/>
    <x v="0"/>
    <x v="1336"/>
    <n v="7066136075"/>
    <n v="11910.96"/>
    <s v="UK pounds"/>
    <s v="UK pounds"/>
    <x v="0"/>
    <s v="UK"/>
    <x v="4"/>
    <x v="0"/>
    <x v="2"/>
    <s v="Consistent"/>
    <x v="0"/>
  </r>
  <r>
    <x v="1498"/>
    <x v="0"/>
    <x v="1337"/>
    <n v="8172080174"/>
    <n v="10953.17"/>
    <s v="UK pounds"/>
    <s v="UK pounds"/>
    <x v="0"/>
    <s v="UK"/>
    <x v="2"/>
    <x v="0"/>
    <x v="3"/>
    <s v="Consistent"/>
    <x v="0"/>
  </r>
  <r>
    <x v="1499"/>
    <x v="0"/>
    <x v="975"/>
    <n v="6825452782"/>
    <n v="106.03"/>
    <s v="UK pounds"/>
    <s v="UK pounds"/>
    <x v="0"/>
    <s v="UK"/>
    <x v="3"/>
    <x v="0"/>
    <x v="2"/>
    <s v="Consistent"/>
    <x v="0"/>
  </r>
  <r>
    <x v="1499"/>
    <x v="0"/>
    <x v="1338"/>
    <n v="7047814082"/>
    <n v="1823.91"/>
    <s v="UK pounds"/>
    <s v="UK pounds"/>
    <x v="0"/>
    <s v="UK"/>
    <x v="3"/>
    <x v="0"/>
    <x v="6"/>
    <s v="Consistent"/>
    <x v="0"/>
  </r>
  <r>
    <x v="1500"/>
    <x v="0"/>
    <x v="1339"/>
    <n v="6260073007"/>
    <n v="986.4"/>
    <s v="UK pounds"/>
    <s v="UK pounds"/>
    <x v="0"/>
    <s v="UK"/>
    <x v="5"/>
    <x v="0"/>
    <x v="2"/>
    <s v="Consistent"/>
    <x v="0"/>
  </r>
  <r>
    <x v="1500"/>
    <x v="0"/>
    <x v="20"/>
    <n v="8716511495"/>
    <n v="9648.51"/>
    <s v="UK pounds"/>
    <s v="UK pounds"/>
    <x v="0"/>
    <s v="UK"/>
    <x v="3"/>
    <x v="0"/>
    <x v="1"/>
    <s v="Consistent"/>
    <x v="0"/>
  </r>
  <r>
    <x v="1501"/>
    <x v="0"/>
    <x v="1340"/>
    <n v="3079818547"/>
    <n v="12672.13"/>
    <s v="UK pounds"/>
    <s v="UK pounds"/>
    <x v="0"/>
    <s v="UK"/>
    <x v="2"/>
    <x v="0"/>
    <x v="3"/>
    <s v="Consistent"/>
    <x v="0"/>
  </r>
  <r>
    <x v="1502"/>
    <x v="0"/>
    <x v="1341"/>
    <n v="5332102873"/>
    <n v="1826.9"/>
    <s v="UK pounds"/>
    <s v="UK pounds"/>
    <x v="0"/>
    <s v="UK"/>
    <x v="4"/>
    <x v="0"/>
    <x v="4"/>
    <s v="Consistent"/>
    <x v="0"/>
  </r>
  <r>
    <x v="1503"/>
    <x v="0"/>
    <x v="61"/>
    <n v="1492744665"/>
    <n v="5915.07"/>
    <s v="UK pounds"/>
    <s v="UK pounds"/>
    <x v="0"/>
    <s v="UK"/>
    <x v="3"/>
    <x v="0"/>
    <x v="1"/>
    <s v="Consistent"/>
    <x v="0"/>
  </r>
  <r>
    <x v="1503"/>
    <x v="0"/>
    <x v="1342"/>
    <n v="1316458123"/>
    <n v="11274.18"/>
    <s v="UK pounds"/>
    <s v="Mexican Peso"/>
    <x v="0"/>
    <s v="Mexico"/>
    <x v="1"/>
    <x v="0"/>
    <x v="3"/>
    <s v="Potential Layering"/>
    <x v="0"/>
  </r>
  <r>
    <x v="1504"/>
    <x v="0"/>
    <x v="1343"/>
    <n v="2666796887"/>
    <n v="55652.05"/>
    <s v="UK pounds"/>
    <s v="Albanian lek"/>
    <x v="0"/>
    <s v="Albania"/>
    <x v="1"/>
    <x v="0"/>
    <x v="8"/>
    <s v="Potential Layering"/>
    <x v="0"/>
  </r>
  <r>
    <x v="1505"/>
    <x v="0"/>
    <x v="1344"/>
    <n v="194370112"/>
    <n v="84.14"/>
    <s v="UK pounds"/>
    <s v="Indian rupee"/>
    <x v="0"/>
    <s v="India"/>
    <x v="1"/>
    <x v="0"/>
    <x v="2"/>
    <s v="Potential Layering"/>
    <x v="0"/>
  </r>
  <r>
    <x v="1506"/>
    <x v="0"/>
    <x v="1345"/>
    <n v="3286201349"/>
    <n v="342.42"/>
    <s v="UK pounds"/>
    <s v="UK pounds"/>
    <x v="0"/>
    <s v="UK"/>
    <x v="2"/>
    <x v="0"/>
    <x v="2"/>
    <s v="Consistent"/>
    <x v="0"/>
  </r>
  <r>
    <x v="1507"/>
    <x v="0"/>
    <x v="1346"/>
    <n v="1009483043"/>
    <n v="652.55999999999995"/>
    <s v="UK pounds"/>
    <s v="UK pounds"/>
    <x v="0"/>
    <s v="UK"/>
    <x v="0"/>
    <x v="0"/>
    <x v="0"/>
    <s v="Consistent"/>
    <x v="0"/>
  </r>
  <r>
    <x v="1508"/>
    <x v="0"/>
    <x v="1347"/>
    <n v="5182091418"/>
    <n v="585.82000000000005"/>
    <s v="UK pounds"/>
    <s v="UK pounds"/>
    <x v="0"/>
    <s v="UK"/>
    <x v="5"/>
    <x v="0"/>
    <x v="2"/>
    <s v="Consistent"/>
    <x v="0"/>
  </r>
  <r>
    <x v="1508"/>
    <x v="0"/>
    <x v="1348"/>
    <n v="378823740"/>
    <n v="321.72000000000003"/>
    <s v="UK pounds"/>
    <s v="UK pounds"/>
    <x v="0"/>
    <s v="UK"/>
    <x v="3"/>
    <x v="0"/>
    <x v="2"/>
    <s v="Consistent"/>
    <x v="0"/>
  </r>
  <r>
    <x v="1508"/>
    <x v="0"/>
    <x v="1349"/>
    <n v="5594636603"/>
    <n v="3573.42"/>
    <s v="UK pounds"/>
    <s v="UK pounds"/>
    <x v="0"/>
    <s v="UK"/>
    <x v="5"/>
    <x v="0"/>
    <x v="4"/>
    <s v="Consistent"/>
    <x v="0"/>
  </r>
  <r>
    <x v="1509"/>
    <x v="0"/>
    <x v="1350"/>
    <n v="8678802420"/>
    <n v="11062.1"/>
    <s v="UK pounds"/>
    <s v="UK pounds"/>
    <x v="0"/>
    <s v="UK"/>
    <x v="5"/>
    <x v="0"/>
    <x v="3"/>
    <s v="Consistent"/>
    <x v="0"/>
  </r>
  <r>
    <x v="1510"/>
    <x v="0"/>
    <x v="1351"/>
    <n v="7743695018"/>
    <n v="4095.94"/>
    <s v="UK pounds"/>
    <s v="UK pounds"/>
    <x v="0"/>
    <s v="UK"/>
    <x v="0"/>
    <x v="0"/>
    <x v="0"/>
    <s v="Consistent"/>
    <x v="0"/>
  </r>
  <r>
    <x v="1511"/>
    <x v="0"/>
    <x v="163"/>
    <n v="5042424090"/>
    <n v="10550.39"/>
    <s v="UK pounds"/>
    <s v="UK pounds"/>
    <x v="0"/>
    <s v="UK"/>
    <x v="3"/>
    <x v="0"/>
    <x v="1"/>
    <s v="Consistent"/>
    <x v="0"/>
  </r>
  <r>
    <x v="1512"/>
    <x v="0"/>
    <x v="1352"/>
    <n v="3054099760"/>
    <n v="1205.1400000000001"/>
    <s v="UK pounds"/>
    <s v="UK pounds"/>
    <x v="0"/>
    <s v="UK"/>
    <x v="2"/>
    <x v="0"/>
    <x v="2"/>
    <s v="Consistent"/>
    <x v="0"/>
  </r>
  <r>
    <x v="1513"/>
    <x v="0"/>
    <x v="1353"/>
    <n v="3787306730"/>
    <n v="9419.31"/>
    <s v="UK pounds"/>
    <s v="UK pounds"/>
    <x v="0"/>
    <s v="UK"/>
    <x v="4"/>
    <x v="0"/>
    <x v="2"/>
    <s v="Consistent"/>
    <x v="0"/>
  </r>
  <r>
    <x v="1514"/>
    <x v="0"/>
    <x v="928"/>
    <n v="6646502650"/>
    <n v="5429.86"/>
    <s v="UK pounds"/>
    <s v="Euro"/>
    <x v="0"/>
    <s v="France"/>
    <x v="1"/>
    <x v="0"/>
    <x v="3"/>
    <s v="Potential Layering"/>
    <x v="0"/>
  </r>
  <r>
    <x v="1515"/>
    <x v="0"/>
    <x v="1354"/>
    <n v="8747712078"/>
    <n v="12919.42"/>
    <s v="UK pounds"/>
    <s v="UK pounds"/>
    <x v="0"/>
    <s v="UK"/>
    <x v="4"/>
    <x v="0"/>
    <x v="2"/>
    <s v="Consistent"/>
    <x v="0"/>
  </r>
  <r>
    <x v="1516"/>
    <x v="0"/>
    <x v="248"/>
    <n v="1567400421"/>
    <n v="9006.02"/>
    <s v="UK pounds"/>
    <s v="UK pounds"/>
    <x v="0"/>
    <s v="UK"/>
    <x v="5"/>
    <x v="0"/>
    <x v="1"/>
    <s v="Consistent"/>
    <x v="0"/>
  </r>
  <r>
    <x v="1517"/>
    <x v="0"/>
    <x v="1355"/>
    <n v="5667087556"/>
    <n v="1960.19"/>
    <s v="UK pounds"/>
    <s v="UK pounds"/>
    <x v="0"/>
    <s v="UK"/>
    <x v="2"/>
    <x v="0"/>
    <x v="2"/>
    <s v="Consistent"/>
    <x v="0"/>
  </r>
  <r>
    <x v="1517"/>
    <x v="0"/>
    <x v="1356"/>
    <n v="7444330665"/>
    <n v="15544.17"/>
    <s v="UK pounds"/>
    <s v="UK pounds"/>
    <x v="0"/>
    <s v="UK"/>
    <x v="2"/>
    <x v="0"/>
    <x v="4"/>
    <s v="Consistent"/>
    <x v="0"/>
  </r>
  <r>
    <x v="1518"/>
    <x v="0"/>
    <x v="618"/>
    <n v="8619444777"/>
    <n v="16871.8"/>
    <s v="UK pounds"/>
    <s v="UK pounds"/>
    <x v="0"/>
    <s v="UK"/>
    <x v="3"/>
    <x v="0"/>
    <x v="6"/>
    <s v="Consistent"/>
    <x v="0"/>
  </r>
  <r>
    <x v="1519"/>
    <x v="0"/>
    <x v="157"/>
    <n v="6444220418"/>
    <n v="8719.76"/>
    <s v="UK pounds"/>
    <s v="UK pounds"/>
    <x v="0"/>
    <s v="UK"/>
    <x v="2"/>
    <x v="0"/>
    <x v="3"/>
    <s v="Consistent"/>
    <x v="0"/>
  </r>
  <r>
    <x v="1520"/>
    <x v="0"/>
    <x v="8"/>
    <n v="2283849585"/>
    <n v="4349.93"/>
    <s v="UK pounds"/>
    <s v="UK pounds"/>
    <x v="0"/>
    <s v="UK"/>
    <x v="5"/>
    <x v="0"/>
    <x v="1"/>
    <s v="Consistent"/>
    <x v="0"/>
  </r>
  <r>
    <x v="1520"/>
    <x v="0"/>
    <x v="86"/>
    <n v="3540529623"/>
    <n v="9297.3700000000008"/>
    <s v="UK pounds"/>
    <s v="UK pounds"/>
    <x v="0"/>
    <s v="UK"/>
    <x v="4"/>
    <x v="0"/>
    <x v="1"/>
    <s v="Consistent"/>
    <x v="0"/>
  </r>
  <r>
    <x v="1521"/>
    <x v="0"/>
    <x v="1357"/>
    <n v="9041369525"/>
    <n v="266.83999999999997"/>
    <s v="UK pounds"/>
    <s v="UK pounds"/>
    <x v="0"/>
    <s v="UK"/>
    <x v="6"/>
    <x v="0"/>
    <x v="5"/>
    <s v="Consistent"/>
    <x v="0"/>
  </r>
  <r>
    <x v="1522"/>
    <x v="0"/>
    <x v="1358"/>
    <n v="6967883252"/>
    <n v="886.09"/>
    <s v="UK pounds"/>
    <s v="UK pounds"/>
    <x v="0"/>
    <s v="UK"/>
    <x v="5"/>
    <x v="0"/>
    <x v="2"/>
    <s v="Consistent"/>
    <x v="0"/>
  </r>
  <r>
    <x v="1523"/>
    <x v="0"/>
    <x v="1359"/>
    <n v="9909590242"/>
    <n v="2209.31"/>
    <s v="UK pounds"/>
    <s v="UK pounds"/>
    <x v="0"/>
    <s v="UK"/>
    <x v="3"/>
    <x v="0"/>
    <x v="2"/>
    <s v="Consistent"/>
    <x v="0"/>
  </r>
  <r>
    <x v="1524"/>
    <x v="0"/>
    <x v="40"/>
    <n v="9616268671"/>
    <n v="10928.56"/>
    <s v="UK pounds"/>
    <s v="UK pounds"/>
    <x v="0"/>
    <s v="UK"/>
    <x v="5"/>
    <x v="0"/>
    <x v="1"/>
    <s v="Consistent"/>
    <x v="0"/>
  </r>
  <r>
    <x v="1524"/>
    <x v="0"/>
    <x v="1360"/>
    <n v="3648984918"/>
    <n v="109.83"/>
    <s v="UK pounds"/>
    <s v="UK pounds"/>
    <x v="0"/>
    <s v="UK"/>
    <x v="6"/>
    <x v="0"/>
    <x v="5"/>
    <s v="Consistent"/>
    <x v="0"/>
  </r>
  <r>
    <x v="1525"/>
    <x v="0"/>
    <x v="669"/>
    <n v="7160736915"/>
    <n v="6613.01"/>
    <s v="UK pounds"/>
    <s v="UK pounds"/>
    <x v="0"/>
    <s v="UK"/>
    <x v="2"/>
    <x v="0"/>
    <x v="3"/>
    <s v="Consistent"/>
    <x v="0"/>
  </r>
  <r>
    <x v="1526"/>
    <x v="0"/>
    <x v="1361"/>
    <n v="32473370"/>
    <n v="851.6"/>
    <s v="UK pounds"/>
    <s v="UK pounds"/>
    <x v="0"/>
    <s v="UK"/>
    <x v="2"/>
    <x v="0"/>
    <x v="2"/>
    <s v="Consistent"/>
    <x v="0"/>
  </r>
  <r>
    <x v="1526"/>
    <x v="0"/>
    <x v="1362"/>
    <n v="9633221390"/>
    <n v="1336.76"/>
    <s v="UK pounds"/>
    <s v="UK pounds"/>
    <x v="0"/>
    <s v="UK"/>
    <x v="2"/>
    <x v="0"/>
    <x v="4"/>
    <s v="Consistent"/>
    <x v="0"/>
  </r>
  <r>
    <x v="1527"/>
    <x v="0"/>
    <x v="719"/>
    <n v="5858369125"/>
    <n v="6039.04"/>
    <s v="UK pounds"/>
    <s v="UK pounds"/>
    <x v="0"/>
    <s v="UK"/>
    <x v="5"/>
    <x v="0"/>
    <x v="3"/>
    <s v="Consistent"/>
    <x v="0"/>
  </r>
  <r>
    <x v="1528"/>
    <x v="0"/>
    <x v="1363"/>
    <n v="5103043844"/>
    <n v="5974.06"/>
    <s v="UK pounds"/>
    <s v="Naira"/>
    <x v="0"/>
    <s v="Nigeria"/>
    <x v="1"/>
    <x v="0"/>
    <x v="3"/>
    <s v="Potential Layering"/>
    <x v="0"/>
  </r>
  <r>
    <x v="1529"/>
    <x v="0"/>
    <x v="1364"/>
    <n v="1493436023"/>
    <n v="10178.200000000001"/>
    <s v="UK pounds"/>
    <s v="UK pounds"/>
    <x v="0"/>
    <s v="UK"/>
    <x v="5"/>
    <x v="0"/>
    <x v="3"/>
    <s v="Consistent"/>
    <x v="0"/>
  </r>
  <r>
    <x v="1529"/>
    <x v="0"/>
    <x v="685"/>
    <n v="3066321263"/>
    <n v="13016.41"/>
    <s v="UK pounds"/>
    <s v="UK pounds"/>
    <x v="0"/>
    <s v="UK"/>
    <x v="4"/>
    <x v="0"/>
    <x v="3"/>
    <s v="Consistent"/>
    <x v="0"/>
  </r>
  <r>
    <x v="1530"/>
    <x v="0"/>
    <x v="91"/>
    <n v="8939055432"/>
    <n v="4994.55"/>
    <s v="UK pounds"/>
    <s v="UK pounds"/>
    <x v="0"/>
    <s v="UK"/>
    <x v="4"/>
    <x v="0"/>
    <x v="1"/>
    <s v="Consistent"/>
    <x v="0"/>
  </r>
  <r>
    <x v="1531"/>
    <x v="0"/>
    <x v="1365"/>
    <n v="9432976841"/>
    <n v="2513.84"/>
    <s v="UK pounds"/>
    <s v="UK pounds"/>
    <x v="0"/>
    <s v="UK"/>
    <x v="5"/>
    <x v="0"/>
    <x v="2"/>
    <s v="Consistent"/>
    <x v="0"/>
  </r>
  <r>
    <x v="1532"/>
    <x v="0"/>
    <x v="1366"/>
    <n v="5975662456"/>
    <n v="1495.32"/>
    <s v="UK pounds"/>
    <s v="UK pounds"/>
    <x v="0"/>
    <s v="UK"/>
    <x v="4"/>
    <x v="0"/>
    <x v="2"/>
    <s v="Consistent"/>
    <x v="0"/>
  </r>
  <r>
    <x v="1532"/>
    <x v="0"/>
    <x v="1367"/>
    <n v="8129462878"/>
    <n v="1350.46"/>
    <s v="UK pounds"/>
    <s v="UK pounds"/>
    <x v="0"/>
    <s v="UK"/>
    <x v="3"/>
    <x v="0"/>
    <x v="2"/>
    <s v="Consistent"/>
    <x v="0"/>
  </r>
  <r>
    <x v="1533"/>
    <x v="0"/>
    <x v="223"/>
    <n v="8352571580"/>
    <n v="10872.76"/>
    <s v="UK pounds"/>
    <s v="UK pounds"/>
    <x v="0"/>
    <s v="UK"/>
    <x v="2"/>
    <x v="0"/>
    <x v="3"/>
    <s v="Consistent"/>
    <x v="0"/>
  </r>
  <r>
    <x v="1534"/>
    <x v="0"/>
    <x v="1368"/>
    <n v="6646502650"/>
    <n v="20909.150000000001"/>
    <s v="UK pounds"/>
    <s v="Euro"/>
    <x v="0"/>
    <s v="France"/>
    <x v="1"/>
    <x v="0"/>
    <x v="3"/>
    <s v="Potential Layering"/>
    <x v="0"/>
  </r>
  <r>
    <x v="1534"/>
    <x v="0"/>
    <x v="163"/>
    <n v="4301159904"/>
    <n v="5574.27"/>
    <s v="UK pounds"/>
    <s v="UK pounds"/>
    <x v="0"/>
    <s v="UK"/>
    <x v="2"/>
    <x v="0"/>
    <x v="1"/>
    <s v="Consistent"/>
    <x v="0"/>
  </r>
  <r>
    <x v="1535"/>
    <x v="0"/>
    <x v="1369"/>
    <n v="4829884275"/>
    <n v="567.26"/>
    <s v="UK pounds"/>
    <s v="UK pounds"/>
    <x v="0"/>
    <s v="UK"/>
    <x v="2"/>
    <x v="0"/>
    <x v="2"/>
    <s v="Consistent"/>
    <x v="0"/>
  </r>
  <r>
    <x v="1536"/>
    <x v="0"/>
    <x v="1370"/>
    <n v="5728911821"/>
    <n v="895.96"/>
    <s v="UK pounds"/>
    <s v="UK pounds"/>
    <x v="0"/>
    <s v="UK"/>
    <x v="0"/>
    <x v="0"/>
    <x v="0"/>
    <s v="Consistent"/>
    <x v="0"/>
  </r>
  <r>
    <x v="1536"/>
    <x v="0"/>
    <x v="1371"/>
    <n v="8348237859"/>
    <n v="456.16"/>
    <s v="UK pounds"/>
    <s v="UK pounds"/>
    <x v="0"/>
    <s v="UK"/>
    <x v="3"/>
    <x v="0"/>
    <x v="2"/>
    <s v="Consistent"/>
    <x v="0"/>
  </r>
  <r>
    <x v="1537"/>
    <x v="0"/>
    <x v="20"/>
    <n v="5326123158"/>
    <n v="10047.709999999999"/>
    <s v="UK pounds"/>
    <s v="UK pounds"/>
    <x v="0"/>
    <s v="UK"/>
    <x v="3"/>
    <x v="0"/>
    <x v="1"/>
    <s v="Consistent"/>
    <x v="0"/>
  </r>
  <r>
    <x v="1538"/>
    <x v="0"/>
    <x v="1372"/>
    <n v="1464776009"/>
    <n v="925.01"/>
    <s v="UK pounds"/>
    <s v="UK pounds"/>
    <x v="0"/>
    <s v="UK"/>
    <x v="3"/>
    <x v="0"/>
    <x v="2"/>
    <s v="Consistent"/>
    <x v="0"/>
  </r>
  <r>
    <x v="1539"/>
    <x v="0"/>
    <x v="1373"/>
    <n v="3695545812"/>
    <n v="8786.93"/>
    <s v="UK pounds"/>
    <s v="UK pounds"/>
    <x v="0"/>
    <s v="UK"/>
    <x v="3"/>
    <x v="0"/>
    <x v="3"/>
    <s v="Consistent"/>
    <x v="0"/>
  </r>
  <r>
    <x v="1540"/>
    <x v="0"/>
    <x v="701"/>
    <n v="1320927231"/>
    <n v="5197.91"/>
    <s v="UK pounds"/>
    <s v="UK pounds"/>
    <x v="0"/>
    <s v="UK"/>
    <x v="2"/>
    <x v="0"/>
    <x v="3"/>
    <s v="Consistent"/>
    <x v="0"/>
  </r>
  <r>
    <x v="1541"/>
    <x v="0"/>
    <x v="1374"/>
    <n v="7234544398"/>
    <n v="5916.68"/>
    <s v="UK pounds"/>
    <s v="UK pounds"/>
    <x v="0"/>
    <s v="UK"/>
    <x v="0"/>
    <x v="0"/>
    <x v="0"/>
    <s v="Consistent"/>
    <x v="0"/>
  </r>
  <r>
    <x v="1541"/>
    <x v="0"/>
    <x v="46"/>
    <n v="1509557999"/>
    <n v="15930.79"/>
    <s v="UK pounds"/>
    <s v="UK pounds"/>
    <x v="0"/>
    <s v="UK"/>
    <x v="4"/>
    <x v="0"/>
    <x v="1"/>
    <s v="Consistent"/>
    <x v="0"/>
  </r>
  <r>
    <x v="1542"/>
    <x v="0"/>
    <x v="40"/>
    <n v="1675218057"/>
    <n v="7643.05"/>
    <s v="UK pounds"/>
    <s v="UK pounds"/>
    <x v="0"/>
    <s v="UK"/>
    <x v="5"/>
    <x v="0"/>
    <x v="1"/>
    <s v="Consistent"/>
    <x v="0"/>
  </r>
  <r>
    <x v="1543"/>
    <x v="0"/>
    <x v="552"/>
    <n v="6056343035"/>
    <n v="94.78"/>
    <s v="UK pounds"/>
    <s v="UK pounds"/>
    <x v="0"/>
    <s v="UK"/>
    <x v="3"/>
    <x v="0"/>
    <x v="2"/>
    <s v="Consistent"/>
    <x v="0"/>
  </r>
  <r>
    <x v="1544"/>
    <x v="0"/>
    <x v="1375"/>
    <n v="1639369244"/>
    <n v="150.57"/>
    <s v="UK pounds"/>
    <s v="UK pounds"/>
    <x v="0"/>
    <s v="UK"/>
    <x v="5"/>
    <x v="0"/>
    <x v="2"/>
    <s v="Consistent"/>
    <x v="0"/>
  </r>
  <r>
    <x v="1545"/>
    <x v="0"/>
    <x v="1376"/>
    <n v="9657869589"/>
    <n v="241.64"/>
    <s v="UK pounds"/>
    <s v="UK pounds"/>
    <x v="0"/>
    <s v="UK"/>
    <x v="6"/>
    <x v="0"/>
    <x v="5"/>
    <s v="Consistent"/>
    <x v="0"/>
  </r>
  <r>
    <x v="1546"/>
    <x v="0"/>
    <x v="35"/>
    <n v="360722730"/>
    <n v="10213.01"/>
    <s v="UK pounds"/>
    <s v="UK pounds"/>
    <x v="0"/>
    <s v="UK"/>
    <x v="5"/>
    <x v="0"/>
    <x v="1"/>
    <s v="Consistent"/>
    <x v="0"/>
  </r>
  <r>
    <x v="1547"/>
    <x v="0"/>
    <x v="1377"/>
    <n v="5613049519"/>
    <n v="183.68"/>
    <s v="UK pounds"/>
    <s v="UK pounds"/>
    <x v="0"/>
    <s v="UK"/>
    <x v="6"/>
    <x v="0"/>
    <x v="5"/>
    <s v="Consistent"/>
    <x v="0"/>
  </r>
  <r>
    <x v="1548"/>
    <x v="0"/>
    <x v="1378"/>
    <n v="9349227107"/>
    <n v="4353.5600000000004"/>
    <s v="UK pounds"/>
    <s v="UK pounds"/>
    <x v="0"/>
    <s v="UK"/>
    <x v="2"/>
    <x v="0"/>
    <x v="4"/>
    <s v="Consistent"/>
    <x v="0"/>
  </r>
  <r>
    <x v="1549"/>
    <x v="0"/>
    <x v="1379"/>
    <n v="5363117119"/>
    <n v="8029.7"/>
    <s v="UK pounds"/>
    <s v="UK pounds"/>
    <x v="0"/>
    <s v="UK"/>
    <x v="4"/>
    <x v="0"/>
    <x v="3"/>
    <s v="Consistent"/>
    <x v="0"/>
  </r>
  <r>
    <x v="1550"/>
    <x v="0"/>
    <x v="1380"/>
    <n v="9012547695"/>
    <n v="192.1"/>
    <s v="UK pounds"/>
    <s v="UK pounds"/>
    <x v="0"/>
    <s v="UK"/>
    <x v="6"/>
    <x v="0"/>
    <x v="5"/>
    <s v="Consistent"/>
    <x v="0"/>
  </r>
  <r>
    <x v="1551"/>
    <x v="0"/>
    <x v="1381"/>
    <n v="1431561040"/>
    <n v="11154.42"/>
    <s v="UK pounds"/>
    <s v="UK pounds"/>
    <x v="0"/>
    <s v="UK"/>
    <x v="3"/>
    <x v="0"/>
    <x v="3"/>
    <s v="Consistent"/>
    <x v="0"/>
  </r>
  <r>
    <x v="1552"/>
    <x v="0"/>
    <x v="379"/>
    <n v="2048840179"/>
    <n v="5189.4799999999996"/>
    <s v="UK pounds"/>
    <s v="UK pounds"/>
    <x v="0"/>
    <s v="UK"/>
    <x v="2"/>
    <x v="0"/>
    <x v="1"/>
    <s v="Consistent"/>
    <x v="0"/>
  </r>
  <r>
    <x v="1552"/>
    <x v="0"/>
    <x v="1382"/>
    <n v="4983612907"/>
    <n v="1073.3800000000001"/>
    <s v="UK pounds"/>
    <s v="UK pounds"/>
    <x v="0"/>
    <s v="UK"/>
    <x v="2"/>
    <x v="0"/>
    <x v="4"/>
    <s v="Consistent"/>
    <x v="0"/>
  </r>
  <r>
    <x v="1553"/>
    <x v="0"/>
    <x v="1383"/>
    <n v="1263779123"/>
    <n v="14790.96"/>
    <s v="UK pounds"/>
    <s v="UK pounds"/>
    <x v="0"/>
    <s v="UK"/>
    <x v="5"/>
    <x v="0"/>
    <x v="2"/>
    <s v="Consistent"/>
    <x v="0"/>
  </r>
  <r>
    <x v="1554"/>
    <x v="0"/>
    <x v="960"/>
    <n v="4336977506"/>
    <n v="8614.9599999999991"/>
    <s v="UK pounds"/>
    <s v="UK pounds"/>
    <x v="0"/>
    <s v="UK"/>
    <x v="5"/>
    <x v="0"/>
    <x v="3"/>
    <s v="Consistent"/>
    <x v="0"/>
  </r>
  <r>
    <x v="1554"/>
    <x v="0"/>
    <x v="444"/>
    <n v="409707192"/>
    <n v="9634.6"/>
    <s v="UK pounds"/>
    <s v="UK pounds"/>
    <x v="0"/>
    <s v="UK"/>
    <x v="5"/>
    <x v="0"/>
    <x v="3"/>
    <s v="Consistent"/>
    <x v="0"/>
  </r>
  <r>
    <x v="1555"/>
    <x v="0"/>
    <x v="1384"/>
    <n v="7347079105"/>
    <n v="2126.67"/>
    <s v="UK pounds"/>
    <s v="UK pounds"/>
    <x v="0"/>
    <s v="UK"/>
    <x v="2"/>
    <x v="0"/>
    <x v="2"/>
    <s v="Consistent"/>
    <x v="0"/>
  </r>
  <r>
    <x v="1556"/>
    <x v="0"/>
    <x v="210"/>
    <n v="1695365423"/>
    <n v="6516.01"/>
    <s v="UK pounds"/>
    <s v="UK pounds"/>
    <x v="0"/>
    <s v="UK"/>
    <x v="5"/>
    <x v="0"/>
    <x v="1"/>
    <s v="Consistent"/>
    <x v="0"/>
  </r>
  <r>
    <x v="1557"/>
    <x v="0"/>
    <x v="86"/>
    <n v="1378700258"/>
    <n v="15282.83"/>
    <s v="UK pounds"/>
    <s v="UK pounds"/>
    <x v="0"/>
    <s v="UK"/>
    <x v="2"/>
    <x v="0"/>
    <x v="1"/>
    <s v="Consistent"/>
    <x v="0"/>
  </r>
  <r>
    <x v="1558"/>
    <x v="0"/>
    <x v="359"/>
    <n v="8678802420"/>
    <n v="4909.8100000000004"/>
    <s v="UK pounds"/>
    <s v="UK pounds"/>
    <x v="0"/>
    <s v="UK"/>
    <x v="2"/>
    <x v="0"/>
    <x v="3"/>
    <s v="Consistent"/>
    <x v="0"/>
  </r>
  <r>
    <x v="1559"/>
    <x v="0"/>
    <x v="1172"/>
    <n v="6953672776"/>
    <n v="32122.28"/>
    <s v="UK pounds"/>
    <s v="Mexican Peso"/>
    <x v="0"/>
    <s v="Mexico"/>
    <x v="1"/>
    <x v="0"/>
    <x v="3"/>
    <s v="Potential Layering"/>
    <x v="0"/>
  </r>
  <r>
    <x v="1560"/>
    <x v="0"/>
    <x v="1385"/>
    <n v="8518184956"/>
    <n v="6868.84"/>
    <s v="UK pounds"/>
    <s v="UK pounds"/>
    <x v="0"/>
    <s v="UK"/>
    <x v="5"/>
    <x v="0"/>
    <x v="3"/>
    <s v="Consistent"/>
    <x v="0"/>
  </r>
  <r>
    <x v="1561"/>
    <x v="0"/>
    <x v="1386"/>
    <n v="5024024159"/>
    <n v="2440.15"/>
    <s v="UK pounds"/>
    <s v="UK pounds"/>
    <x v="0"/>
    <s v="UK"/>
    <x v="5"/>
    <x v="0"/>
    <x v="2"/>
    <s v="Consistent"/>
    <x v="0"/>
  </r>
  <r>
    <x v="1562"/>
    <x v="0"/>
    <x v="1387"/>
    <n v="8518184956"/>
    <n v="7068.46"/>
    <s v="UK pounds"/>
    <s v="UK pounds"/>
    <x v="0"/>
    <s v="UK"/>
    <x v="3"/>
    <x v="0"/>
    <x v="3"/>
    <s v="Consistent"/>
    <x v="0"/>
  </r>
  <r>
    <x v="1563"/>
    <x v="0"/>
    <x v="1388"/>
    <n v="1930103034"/>
    <n v="571.89"/>
    <s v="UK pounds"/>
    <s v="UK pounds"/>
    <x v="0"/>
    <s v="UK"/>
    <x v="4"/>
    <x v="0"/>
    <x v="2"/>
    <s v="Consistent"/>
    <x v="0"/>
  </r>
  <r>
    <x v="1564"/>
    <x v="0"/>
    <x v="1389"/>
    <n v="6491249960"/>
    <n v="1341.21"/>
    <s v="UK pounds"/>
    <s v="Swiss franc"/>
    <x v="0"/>
    <s v="Switzerland"/>
    <x v="1"/>
    <x v="0"/>
    <x v="2"/>
    <s v="Potential Layering"/>
    <x v="0"/>
  </r>
  <r>
    <x v="1565"/>
    <x v="0"/>
    <x v="783"/>
    <n v="4468312416"/>
    <n v="2345.7399999999998"/>
    <s v="UK pounds"/>
    <s v="UK pounds"/>
    <x v="0"/>
    <s v="UK"/>
    <x v="2"/>
    <x v="0"/>
    <x v="2"/>
    <s v="Consistent"/>
    <x v="0"/>
  </r>
  <r>
    <x v="1565"/>
    <x v="0"/>
    <x v="1390"/>
    <n v="5937390006"/>
    <n v="3466.26"/>
    <s v="UK pounds"/>
    <s v="UK pounds"/>
    <x v="0"/>
    <s v="UK"/>
    <x v="5"/>
    <x v="0"/>
    <x v="2"/>
    <s v="Consistent"/>
    <x v="0"/>
  </r>
  <r>
    <x v="1566"/>
    <x v="0"/>
    <x v="255"/>
    <n v="8091763232"/>
    <n v="5954.73"/>
    <s v="UK pounds"/>
    <s v="UK pounds"/>
    <x v="0"/>
    <s v="UK"/>
    <x v="3"/>
    <x v="0"/>
    <x v="1"/>
    <s v="Consistent"/>
    <x v="0"/>
  </r>
  <r>
    <x v="1566"/>
    <x v="0"/>
    <x v="1391"/>
    <n v="2438069494"/>
    <n v="173.39"/>
    <s v="UK pounds"/>
    <s v="UK pounds"/>
    <x v="0"/>
    <s v="UK"/>
    <x v="6"/>
    <x v="0"/>
    <x v="5"/>
    <s v="Consistent"/>
    <x v="0"/>
  </r>
  <r>
    <x v="1567"/>
    <x v="0"/>
    <x v="210"/>
    <n v="3819548816"/>
    <n v="4745.29"/>
    <s v="UK pounds"/>
    <s v="UK pounds"/>
    <x v="0"/>
    <s v="UK"/>
    <x v="4"/>
    <x v="0"/>
    <x v="1"/>
    <s v="Consistent"/>
    <x v="0"/>
  </r>
  <r>
    <x v="1567"/>
    <x v="0"/>
    <x v="20"/>
    <n v="2300358725"/>
    <n v="12457.64"/>
    <s v="UK pounds"/>
    <s v="UK pounds"/>
    <x v="0"/>
    <s v="UK"/>
    <x v="5"/>
    <x v="0"/>
    <x v="1"/>
    <s v="Consistent"/>
    <x v="0"/>
  </r>
  <r>
    <x v="1567"/>
    <x v="0"/>
    <x v="163"/>
    <n v="5042424090"/>
    <n v="10685.97"/>
    <s v="UK pounds"/>
    <s v="UK pounds"/>
    <x v="0"/>
    <s v="UK"/>
    <x v="5"/>
    <x v="0"/>
    <x v="1"/>
    <s v="Consistent"/>
    <x v="0"/>
  </r>
  <r>
    <x v="1568"/>
    <x v="0"/>
    <x v="210"/>
    <n v="3504466346"/>
    <n v="19098.990000000002"/>
    <s v="UK pounds"/>
    <s v="UK pounds"/>
    <x v="0"/>
    <s v="UK"/>
    <x v="4"/>
    <x v="0"/>
    <x v="1"/>
    <s v="Consistent"/>
    <x v="0"/>
  </r>
  <r>
    <x v="1568"/>
    <x v="0"/>
    <x v="1392"/>
    <n v="1320927231"/>
    <n v="9317.01"/>
    <s v="UK pounds"/>
    <s v="UK pounds"/>
    <x v="0"/>
    <s v="UK"/>
    <x v="2"/>
    <x v="0"/>
    <x v="3"/>
    <s v="Consistent"/>
    <x v="0"/>
  </r>
  <r>
    <x v="1569"/>
    <x v="0"/>
    <x v="1393"/>
    <n v="4497771501"/>
    <n v="3957.87"/>
    <s v="UK pounds"/>
    <s v="Naira"/>
    <x v="0"/>
    <s v="Nigeria"/>
    <x v="1"/>
    <x v="1"/>
    <x v="14"/>
    <s v="Potential Layering"/>
    <x v="0"/>
  </r>
  <r>
    <x v="1570"/>
    <x v="0"/>
    <x v="1394"/>
    <n v="45889773"/>
    <n v="1615.68"/>
    <s v="UK pounds"/>
    <s v="UK pounds"/>
    <x v="0"/>
    <s v="UK"/>
    <x v="3"/>
    <x v="0"/>
    <x v="2"/>
    <s v="Consistent"/>
    <x v="0"/>
  </r>
  <r>
    <x v="1571"/>
    <x v="0"/>
    <x v="163"/>
    <n v="5745861775"/>
    <n v="9121.3700000000008"/>
    <s v="UK pounds"/>
    <s v="UK pounds"/>
    <x v="0"/>
    <s v="UK"/>
    <x v="5"/>
    <x v="0"/>
    <x v="1"/>
    <s v="Consistent"/>
    <x v="0"/>
  </r>
  <r>
    <x v="1572"/>
    <x v="0"/>
    <x v="1395"/>
    <n v="6629729612"/>
    <n v="487.78"/>
    <s v="Albanian lek"/>
    <s v="UK pounds"/>
    <x v="1"/>
    <s v="UK"/>
    <x v="1"/>
    <x v="0"/>
    <x v="2"/>
    <s v="Potential Layering"/>
    <x v="1"/>
  </r>
  <r>
    <x v="1573"/>
    <x v="0"/>
    <x v="1396"/>
    <n v="5748156603"/>
    <n v="533.97"/>
    <s v="UK pounds"/>
    <s v="UK pounds"/>
    <x v="0"/>
    <s v="UK"/>
    <x v="0"/>
    <x v="0"/>
    <x v="0"/>
    <s v="Consistent"/>
    <x v="0"/>
  </r>
  <r>
    <x v="1573"/>
    <x v="0"/>
    <x v="1103"/>
    <n v="8172080174"/>
    <n v="21267.64"/>
    <s v="UK pounds"/>
    <s v="UK pounds"/>
    <x v="0"/>
    <s v="UK"/>
    <x v="3"/>
    <x v="0"/>
    <x v="3"/>
    <s v="Consistent"/>
    <x v="0"/>
  </r>
  <r>
    <x v="1573"/>
    <x v="0"/>
    <x v="345"/>
    <n v="1377603863"/>
    <n v="5468.3"/>
    <s v="UK pounds"/>
    <s v="UK pounds"/>
    <x v="0"/>
    <s v="UK"/>
    <x v="2"/>
    <x v="0"/>
    <x v="3"/>
    <s v="Consistent"/>
    <x v="0"/>
  </r>
  <r>
    <x v="1574"/>
    <x v="0"/>
    <x v="1397"/>
    <n v="3995490280"/>
    <n v="5370.38"/>
    <s v="UK pounds"/>
    <s v="UK pounds"/>
    <x v="0"/>
    <s v="UK"/>
    <x v="2"/>
    <x v="0"/>
    <x v="4"/>
    <s v="Consistent"/>
    <x v="0"/>
  </r>
  <r>
    <x v="1575"/>
    <x v="0"/>
    <x v="1252"/>
    <n v="621060264"/>
    <n v="10533.08"/>
    <s v="UK pounds"/>
    <s v="UK pounds"/>
    <x v="0"/>
    <s v="UK"/>
    <x v="2"/>
    <x v="0"/>
    <x v="3"/>
    <s v="Consistent"/>
    <x v="0"/>
  </r>
  <r>
    <x v="1576"/>
    <x v="0"/>
    <x v="1398"/>
    <n v="7809070337"/>
    <n v="965.03"/>
    <s v="UK pounds"/>
    <s v="UK pounds"/>
    <x v="0"/>
    <s v="UK"/>
    <x v="3"/>
    <x v="0"/>
    <x v="2"/>
    <s v="Consistent"/>
    <x v="0"/>
  </r>
  <r>
    <x v="1577"/>
    <x v="0"/>
    <x v="1399"/>
    <n v="8232618500"/>
    <n v="488.28"/>
    <s v="UK pounds"/>
    <s v="UK pounds"/>
    <x v="0"/>
    <s v="UK"/>
    <x v="4"/>
    <x v="0"/>
    <x v="2"/>
    <s v="Consistent"/>
    <x v="0"/>
  </r>
  <r>
    <x v="1577"/>
    <x v="0"/>
    <x v="75"/>
    <n v="2602962590"/>
    <n v="8417.34"/>
    <s v="UK pounds"/>
    <s v="UK pounds"/>
    <x v="0"/>
    <s v="UK"/>
    <x v="3"/>
    <x v="0"/>
    <x v="1"/>
    <s v="Consistent"/>
    <x v="0"/>
  </r>
  <r>
    <x v="1578"/>
    <x v="0"/>
    <x v="1400"/>
    <n v="155209904"/>
    <n v="134.99"/>
    <s v="UK pounds"/>
    <s v="UK pounds"/>
    <x v="0"/>
    <s v="UK"/>
    <x v="0"/>
    <x v="0"/>
    <x v="0"/>
    <s v="Consistent"/>
    <x v="0"/>
  </r>
  <r>
    <x v="1579"/>
    <x v="0"/>
    <x v="1401"/>
    <n v="9999812305"/>
    <n v="61.92"/>
    <s v="UK pounds"/>
    <s v="UK pounds"/>
    <x v="0"/>
    <s v="UK"/>
    <x v="6"/>
    <x v="0"/>
    <x v="5"/>
    <s v="Consistent"/>
    <x v="0"/>
  </r>
  <r>
    <x v="1579"/>
    <x v="0"/>
    <x v="1402"/>
    <n v="6572265545"/>
    <n v="2352.67"/>
    <s v="UK pounds"/>
    <s v="UK pounds"/>
    <x v="0"/>
    <s v="UK"/>
    <x v="0"/>
    <x v="0"/>
    <x v="0"/>
    <s v="Consistent"/>
    <x v="0"/>
  </r>
  <r>
    <x v="1580"/>
    <x v="0"/>
    <x v="1403"/>
    <n v="9087408707"/>
    <n v="678.06"/>
    <s v="UK pounds"/>
    <s v="UK pounds"/>
    <x v="0"/>
    <s v="UK"/>
    <x v="5"/>
    <x v="0"/>
    <x v="2"/>
    <s v="Consistent"/>
    <x v="0"/>
  </r>
  <r>
    <x v="1580"/>
    <x v="0"/>
    <x v="1404"/>
    <n v="5332102873"/>
    <n v="2329.89"/>
    <s v="UK pounds"/>
    <s v="UK pounds"/>
    <x v="0"/>
    <s v="UK"/>
    <x v="4"/>
    <x v="0"/>
    <x v="4"/>
    <s v="Consistent"/>
    <x v="0"/>
  </r>
  <r>
    <x v="1581"/>
    <x v="0"/>
    <x v="1405"/>
    <n v="6987481995"/>
    <n v="785.17"/>
    <s v="UK pounds"/>
    <s v="UK pounds"/>
    <x v="0"/>
    <s v="UK"/>
    <x v="3"/>
    <x v="0"/>
    <x v="2"/>
    <s v="Consistent"/>
    <x v="0"/>
  </r>
  <r>
    <x v="1582"/>
    <x v="0"/>
    <x v="1406"/>
    <n v="4967141186"/>
    <n v="6281.59"/>
    <s v="UK pounds"/>
    <s v="UK pounds"/>
    <x v="0"/>
    <s v="UK"/>
    <x v="2"/>
    <x v="0"/>
    <x v="2"/>
    <s v="Consistent"/>
    <x v="0"/>
  </r>
  <r>
    <x v="1582"/>
    <x v="0"/>
    <x v="61"/>
    <n v="5633100295"/>
    <n v="8689.25"/>
    <s v="UK pounds"/>
    <s v="UK pounds"/>
    <x v="0"/>
    <s v="UK"/>
    <x v="2"/>
    <x v="0"/>
    <x v="1"/>
    <s v="Consistent"/>
    <x v="0"/>
  </r>
  <r>
    <x v="1583"/>
    <x v="0"/>
    <x v="993"/>
    <n v="3220735304"/>
    <n v="9746.43"/>
    <s v="UK pounds"/>
    <s v="UK pounds"/>
    <x v="0"/>
    <s v="UK"/>
    <x v="2"/>
    <x v="0"/>
    <x v="3"/>
    <s v="Consistent"/>
    <x v="0"/>
  </r>
  <r>
    <x v="1583"/>
    <x v="0"/>
    <x v="149"/>
    <n v="8861171324"/>
    <n v="10760.93"/>
    <s v="UK pounds"/>
    <s v="UK pounds"/>
    <x v="0"/>
    <s v="UK"/>
    <x v="5"/>
    <x v="0"/>
    <x v="1"/>
    <s v="Consistent"/>
    <x v="0"/>
  </r>
  <r>
    <x v="1584"/>
    <x v="0"/>
    <x v="1407"/>
    <n v="1586809640"/>
    <n v="14206.35"/>
    <s v="UK pounds"/>
    <s v="UK pounds"/>
    <x v="0"/>
    <s v="UK"/>
    <x v="5"/>
    <x v="0"/>
    <x v="2"/>
    <s v="Consistent"/>
    <x v="0"/>
  </r>
  <r>
    <x v="1585"/>
    <x v="0"/>
    <x v="342"/>
    <n v="2413797495"/>
    <n v="2126.02"/>
    <s v="UK pounds"/>
    <s v="UK pounds"/>
    <x v="0"/>
    <s v="UK"/>
    <x v="2"/>
    <x v="0"/>
    <x v="2"/>
    <s v="Consistent"/>
    <x v="0"/>
  </r>
  <r>
    <x v="1585"/>
    <x v="0"/>
    <x v="1408"/>
    <n v="344014011"/>
    <n v="61023.46"/>
    <s v="UK pounds"/>
    <s v="Euro"/>
    <x v="0"/>
    <s v="Netherlands"/>
    <x v="1"/>
    <x v="0"/>
    <x v="10"/>
    <s v="Potential Layering"/>
    <x v="0"/>
  </r>
  <r>
    <x v="1586"/>
    <x v="0"/>
    <x v="210"/>
    <n v="7909637145"/>
    <n v="5829.83"/>
    <s v="UK pounds"/>
    <s v="UK pounds"/>
    <x v="0"/>
    <s v="UK"/>
    <x v="3"/>
    <x v="0"/>
    <x v="1"/>
    <s v="Consistent"/>
    <x v="0"/>
  </r>
  <r>
    <x v="1586"/>
    <x v="0"/>
    <x v="1409"/>
    <n v="7226751239"/>
    <n v="3337.44"/>
    <s v="UK pounds"/>
    <s v="UK pounds"/>
    <x v="0"/>
    <s v="UK"/>
    <x v="5"/>
    <x v="0"/>
    <x v="2"/>
    <s v="Consistent"/>
    <x v="0"/>
  </r>
  <r>
    <x v="1587"/>
    <x v="0"/>
    <x v="1410"/>
    <n v="668478072"/>
    <n v="1446.94"/>
    <s v="UK pounds"/>
    <s v="UK pounds"/>
    <x v="0"/>
    <s v="UK"/>
    <x v="0"/>
    <x v="0"/>
    <x v="0"/>
    <s v="Consistent"/>
    <x v="0"/>
  </r>
  <r>
    <x v="1588"/>
    <x v="0"/>
    <x v="1411"/>
    <n v="5552684595"/>
    <n v="4223.71"/>
    <s v="UK pounds"/>
    <s v="UK pounds"/>
    <x v="0"/>
    <s v="UK"/>
    <x v="2"/>
    <x v="0"/>
    <x v="2"/>
    <s v="Consistent"/>
    <x v="0"/>
  </r>
  <r>
    <x v="1588"/>
    <x v="0"/>
    <x v="1412"/>
    <n v="5466123934"/>
    <n v="8146.38"/>
    <s v="UK pounds"/>
    <s v="UK pounds"/>
    <x v="0"/>
    <s v="UK"/>
    <x v="3"/>
    <x v="0"/>
    <x v="3"/>
    <s v="Consistent"/>
    <x v="0"/>
  </r>
  <r>
    <x v="1589"/>
    <x v="0"/>
    <x v="1413"/>
    <n v="1146683640"/>
    <n v="4581.51"/>
    <s v="UK pounds"/>
    <s v="UK pounds"/>
    <x v="0"/>
    <s v="UK"/>
    <x v="2"/>
    <x v="0"/>
    <x v="2"/>
    <s v="Consistent"/>
    <x v="0"/>
  </r>
  <r>
    <x v="1590"/>
    <x v="0"/>
    <x v="1414"/>
    <n v="674947283"/>
    <n v="211.95"/>
    <s v="UK pounds"/>
    <s v="UK pounds"/>
    <x v="0"/>
    <s v="UK"/>
    <x v="5"/>
    <x v="0"/>
    <x v="2"/>
    <s v="Consistent"/>
    <x v="0"/>
  </r>
  <r>
    <x v="1591"/>
    <x v="0"/>
    <x v="114"/>
    <n v="7892884492"/>
    <n v="5255.05"/>
    <s v="UK pounds"/>
    <s v="US dollar"/>
    <x v="0"/>
    <s v="USA"/>
    <x v="1"/>
    <x v="0"/>
    <x v="3"/>
    <s v="Potential Layering"/>
    <x v="0"/>
  </r>
  <r>
    <x v="1591"/>
    <x v="0"/>
    <x v="1415"/>
    <n v="3920418641"/>
    <n v="7982.67"/>
    <s v="UK pounds"/>
    <s v="UK pounds"/>
    <x v="0"/>
    <s v="UK"/>
    <x v="4"/>
    <x v="0"/>
    <x v="4"/>
    <s v="Consistent"/>
    <x v="0"/>
  </r>
  <r>
    <x v="1592"/>
    <x v="0"/>
    <x v="1416"/>
    <n v="4058692509"/>
    <n v="4181.09"/>
    <s v="UK pounds"/>
    <s v="UK pounds"/>
    <x v="0"/>
    <s v="UK"/>
    <x v="0"/>
    <x v="0"/>
    <x v="0"/>
    <s v="Consistent"/>
    <x v="0"/>
  </r>
  <r>
    <x v="1593"/>
    <x v="0"/>
    <x v="1417"/>
    <n v="4534846021"/>
    <n v="961.37"/>
    <s v="UK pounds"/>
    <s v="UK pounds"/>
    <x v="0"/>
    <s v="UK"/>
    <x v="3"/>
    <x v="0"/>
    <x v="2"/>
    <s v="Consistent"/>
    <x v="0"/>
  </r>
  <r>
    <x v="1594"/>
    <x v="0"/>
    <x v="1418"/>
    <n v="8197196579"/>
    <n v="4993.7"/>
    <s v="Euro"/>
    <s v="UK pounds"/>
    <x v="8"/>
    <s v="UK"/>
    <x v="1"/>
    <x v="0"/>
    <x v="7"/>
    <s v="Potential Layering"/>
    <x v="0"/>
  </r>
  <r>
    <x v="1595"/>
    <x v="0"/>
    <x v="1419"/>
    <n v="5414847986"/>
    <n v="23567.06"/>
    <s v="UK pounds"/>
    <s v="UK pounds"/>
    <x v="0"/>
    <s v="UK"/>
    <x v="2"/>
    <x v="0"/>
    <x v="2"/>
    <s v="Consistent"/>
    <x v="0"/>
  </r>
  <r>
    <x v="1596"/>
    <x v="0"/>
    <x v="40"/>
    <n v="4294761058"/>
    <n v="7413.01"/>
    <s v="UK pounds"/>
    <s v="Euro"/>
    <x v="0"/>
    <s v="Austria"/>
    <x v="1"/>
    <x v="0"/>
    <x v="1"/>
    <s v="Potential Layering"/>
    <x v="0"/>
  </r>
  <r>
    <x v="1596"/>
    <x v="0"/>
    <x v="61"/>
    <n v="9982628328"/>
    <n v="7244.33"/>
    <s v="UK pounds"/>
    <s v="UK pounds"/>
    <x v="0"/>
    <s v="UK"/>
    <x v="2"/>
    <x v="0"/>
    <x v="1"/>
    <s v="Consistent"/>
    <x v="0"/>
  </r>
  <r>
    <x v="1597"/>
    <x v="0"/>
    <x v="1420"/>
    <n v="6784947771"/>
    <n v="1638.64"/>
    <s v="UK pounds"/>
    <s v="UK pounds"/>
    <x v="0"/>
    <s v="UK"/>
    <x v="4"/>
    <x v="0"/>
    <x v="2"/>
    <s v="Consistent"/>
    <x v="0"/>
  </r>
  <r>
    <x v="1598"/>
    <x v="0"/>
    <x v="1421"/>
    <n v="7329051342"/>
    <n v="1142.33"/>
    <s v="UK pounds"/>
    <s v="UK pounds"/>
    <x v="0"/>
    <s v="UK"/>
    <x v="4"/>
    <x v="0"/>
    <x v="2"/>
    <s v="Consistent"/>
    <x v="0"/>
  </r>
  <r>
    <x v="1599"/>
    <x v="0"/>
    <x v="1422"/>
    <n v="8172080174"/>
    <n v="7603.67"/>
    <s v="UK pounds"/>
    <s v="UK pounds"/>
    <x v="0"/>
    <s v="UK"/>
    <x v="2"/>
    <x v="0"/>
    <x v="3"/>
    <s v="Consistent"/>
    <x v="0"/>
  </r>
  <r>
    <x v="1600"/>
    <x v="0"/>
    <x v="195"/>
    <n v="7468510228"/>
    <n v="5249.68"/>
    <s v="UK pounds"/>
    <s v="UK pounds"/>
    <x v="0"/>
    <s v="UK"/>
    <x v="4"/>
    <x v="0"/>
    <x v="1"/>
    <s v="Consistent"/>
    <x v="0"/>
  </r>
  <r>
    <x v="1601"/>
    <x v="0"/>
    <x v="1423"/>
    <n v="5858369125"/>
    <n v="20031.810000000001"/>
    <s v="UK pounds"/>
    <s v="UK pounds"/>
    <x v="0"/>
    <s v="UK"/>
    <x v="2"/>
    <x v="0"/>
    <x v="3"/>
    <s v="Consistent"/>
    <x v="0"/>
  </r>
  <r>
    <x v="1601"/>
    <x v="0"/>
    <x v="61"/>
    <n v="8149040968"/>
    <n v="13047.52"/>
    <s v="UK pounds"/>
    <s v="UK pounds"/>
    <x v="0"/>
    <s v="UK"/>
    <x v="5"/>
    <x v="0"/>
    <x v="1"/>
    <s v="Consistent"/>
    <x v="0"/>
  </r>
  <r>
    <x v="1602"/>
    <x v="0"/>
    <x v="1424"/>
    <n v="6380248033"/>
    <n v="5721.98"/>
    <s v="UK pounds"/>
    <s v="UK pounds"/>
    <x v="0"/>
    <s v="UK"/>
    <x v="0"/>
    <x v="0"/>
    <x v="0"/>
    <s v="Consistent"/>
    <x v="0"/>
  </r>
  <r>
    <x v="1603"/>
    <x v="0"/>
    <x v="124"/>
    <n v="2477870427"/>
    <n v="5351.27"/>
    <s v="UK pounds"/>
    <s v="UK pounds"/>
    <x v="0"/>
    <s v="UK"/>
    <x v="5"/>
    <x v="0"/>
    <x v="1"/>
    <s v="Consistent"/>
    <x v="0"/>
  </r>
  <r>
    <x v="1604"/>
    <x v="0"/>
    <x v="1425"/>
    <n v="6206008488"/>
    <n v="981.46"/>
    <s v="UK pounds"/>
    <s v="UK pounds"/>
    <x v="0"/>
    <s v="UK"/>
    <x v="5"/>
    <x v="0"/>
    <x v="2"/>
    <s v="Consistent"/>
    <x v="0"/>
  </r>
  <r>
    <x v="1605"/>
    <x v="0"/>
    <x v="1426"/>
    <n v="929155364"/>
    <n v="11238.31"/>
    <s v="UK pounds"/>
    <s v="UK pounds"/>
    <x v="0"/>
    <s v="UK"/>
    <x v="2"/>
    <x v="0"/>
    <x v="8"/>
    <s v="Consistent"/>
    <x v="0"/>
  </r>
  <r>
    <x v="1606"/>
    <x v="0"/>
    <x v="1427"/>
    <n v="3672968281"/>
    <n v="468.3"/>
    <s v="UK pounds"/>
    <s v="UK pounds"/>
    <x v="0"/>
    <s v="UK"/>
    <x v="5"/>
    <x v="0"/>
    <x v="2"/>
    <s v="Consistent"/>
    <x v="0"/>
  </r>
  <r>
    <x v="1607"/>
    <x v="0"/>
    <x v="1428"/>
    <n v="6169582894"/>
    <n v="713.23"/>
    <s v="UK pounds"/>
    <s v="UK pounds"/>
    <x v="0"/>
    <s v="UK"/>
    <x v="5"/>
    <x v="0"/>
    <x v="2"/>
    <s v="Consistent"/>
    <x v="0"/>
  </r>
  <r>
    <x v="1608"/>
    <x v="0"/>
    <x v="1429"/>
    <n v="3109531441"/>
    <n v="1529.25"/>
    <s v="UK pounds"/>
    <s v="UK pounds"/>
    <x v="0"/>
    <s v="UK"/>
    <x v="4"/>
    <x v="0"/>
    <x v="4"/>
    <s v="Consistent"/>
    <x v="0"/>
  </r>
  <r>
    <x v="1609"/>
    <x v="0"/>
    <x v="1430"/>
    <n v="5647129035"/>
    <n v="5520.63"/>
    <s v="UK pounds"/>
    <s v="UK pounds"/>
    <x v="0"/>
    <s v="UK"/>
    <x v="3"/>
    <x v="0"/>
    <x v="2"/>
    <s v="Consistent"/>
    <x v="0"/>
  </r>
  <r>
    <x v="1610"/>
    <x v="0"/>
    <x v="1431"/>
    <n v="1431561040"/>
    <n v="5180.18"/>
    <s v="UK pounds"/>
    <s v="UK pounds"/>
    <x v="0"/>
    <s v="UK"/>
    <x v="5"/>
    <x v="0"/>
    <x v="3"/>
    <s v="Consistent"/>
    <x v="0"/>
  </r>
  <r>
    <x v="1610"/>
    <x v="0"/>
    <x v="1432"/>
    <n v="8678802420"/>
    <n v="21471.52"/>
    <s v="UK pounds"/>
    <s v="UK pounds"/>
    <x v="0"/>
    <s v="UK"/>
    <x v="4"/>
    <x v="0"/>
    <x v="3"/>
    <s v="Consistent"/>
    <x v="0"/>
  </r>
  <r>
    <x v="1611"/>
    <x v="0"/>
    <x v="344"/>
    <n v="5708936901"/>
    <n v="10589.87"/>
    <s v="UK pounds"/>
    <s v="UK pounds"/>
    <x v="0"/>
    <s v="UK"/>
    <x v="4"/>
    <x v="0"/>
    <x v="3"/>
    <s v="Consistent"/>
    <x v="0"/>
  </r>
  <r>
    <x v="1612"/>
    <x v="0"/>
    <x v="61"/>
    <n v="1492744665"/>
    <n v="5865.05"/>
    <s v="UK pounds"/>
    <s v="UK pounds"/>
    <x v="0"/>
    <s v="UK"/>
    <x v="2"/>
    <x v="0"/>
    <x v="1"/>
    <s v="Consistent"/>
    <x v="0"/>
  </r>
  <r>
    <x v="1612"/>
    <x v="0"/>
    <x v="1433"/>
    <n v="7698046407"/>
    <n v="9477.67"/>
    <s v="UK pounds"/>
    <s v="UK pounds"/>
    <x v="0"/>
    <s v="UK"/>
    <x v="2"/>
    <x v="0"/>
    <x v="4"/>
    <s v="Consistent"/>
    <x v="0"/>
  </r>
  <r>
    <x v="1613"/>
    <x v="0"/>
    <x v="1434"/>
    <n v="21609978"/>
    <n v="3179.44"/>
    <s v="Mexican Peso"/>
    <s v="UK pounds"/>
    <x v="10"/>
    <s v="UK"/>
    <x v="1"/>
    <x v="0"/>
    <x v="10"/>
    <s v="Potential Layering"/>
    <x v="1"/>
  </r>
  <r>
    <x v="1614"/>
    <x v="0"/>
    <x v="1435"/>
    <n v="2335890577"/>
    <n v="380.29"/>
    <s v="UK pounds"/>
    <s v="UK pounds"/>
    <x v="0"/>
    <s v="UK"/>
    <x v="4"/>
    <x v="0"/>
    <x v="2"/>
    <s v="Consistent"/>
    <x v="0"/>
  </r>
  <r>
    <x v="1614"/>
    <x v="0"/>
    <x v="51"/>
    <n v="5585080337"/>
    <n v="10525.06"/>
    <s v="UK pounds"/>
    <s v="UK pounds"/>
    <x v="0"/>
    <s v="UK"/>
    <x v="4"/>
    <x v="0"/>
    <x v="1"/>
    <s v="Consistent"/>
    <x v="0"/>
  </r>
  <r>
    <x v="1615"/>
    <x v="0"/>
    <x v="1436"/>
    <n v="2982728741"/>
    <n v="990.51"/>
    <s v="UK pounds"/>
    <s v="UK pounds"/>
    <x v="0"/>
    <s v="UK"/>
    <x v="2"/>
    <x v="0"/>
    <x v="2"/>
    <s v="Consistent"/>
    <x v="0"/>
  </r>
  <r>
    <x v="1616"/>
    <x v="0"/>
    <x v="1437"/>
    <n v="6877462260"/>
    <n v="9965.7099999999991"/>
    <s v="UK pounds"/>
    <s v="UK pounds"/>
    <x v="0"/>
    <s v="UK"/>
    <x v="5"/>
    <x v="0"/>
    <x v="2"/>
    <s v="Consistent"/>
    <x v="0"/>
  </r>
  <r>
    <x v="1617"/>
    <x v="0"/>
    <x v="1283"/>
    <n v="7136353359"/>
    <n v="322.52"/>
    <s v="UK pounds"/>
    <s v="UK pounds"/>
    <x v="0"/>
    <s v="UK"/>
    <x v="5"/>
    <x v="0"/>
    <x v="2"/>
    <s v="Consistent"/>
    <x v="0"/>
  </r>
  <r>
    <x v="1618"/>
    <x v="0"/>
    <x v="1438"/>
    <n v="3501389272"/>
    <n v="12328.22"/>
    <s v="UK pounds"/>
    <s v="UK pounds"/>
    <x v="0"/>
    <s v="UK"/>
    <x v="4"/>
    <x v="0"/>
    <x v="8"/>
    <s v="Consistent"/>
    <x v="0"/>
  </r>
  <r>
    <x v="1619"/>
    <x v="0"/>
    <x v="1439"/>
    <n v="9855851897"/>
    <n v="1019.79"/>
    <s v="UK pounds"/>
    <s v="UK pounds"/>
    <x v="0"/>
    <s v="UK"/>
    <x v="2"/>
    <x v="0"/>
    <x v="2"/>
    <s v="Consistent"/>
    <x v="0"/>
  </r>
  <r>
    <x v="1619"/>
    <x v="0"/>
    <x v="1440"/>
    <n v="5408804160"/>
    <n v="343.57"/>
    <s v="UK pounds"/>
    <s v="UK pounds"/>
    <x v="0"/>
    <s v="UK"/>
    <x v="0"/>
    <x v="0"/>
    <x v="0"/>
    <s v="Consistent"/>
    <x v="0"/>
  </r>
  <r>
    <x v="1619"/>
    <x v="0"/>
    <x v="1441"/>
    <n v="3993745089"/>
    <n v="2317.9"/>
    <s v="UK pounds"/>
    <s v="UK pounds"/>
    <x v="0"/>
    <s v="UK"/>
    <x v="3"/>
    <x v="0"/>
    <x v="2"/>
    <s v="Consistent"/>
    <x v="0"/>
  </r>
  <r>
    <x v="1620"/>
    <x v="0"/>
    <x v="611"/>
    <n v="3695545812"/>
    <n v="20871.66"/>
    <s v="UK pounds"/>
    <s v="UK pounds"/>
    <x v="0"/>
    <s v="UK"/>
    <x v="4"/>
    <x v="0"/>
    <x v="3"/>
    <s v="Consistent"/>
    <x v="0"/>
  </r>
  <r>
    <x v="1621"/>
    <x v="0"/>
    <x v="1442"/>
    <n v="7080357663"/>
    <n v="7525.98"/>
    <s v="UK pounds"/>
    <s v="UK pounds"/>
    <x v="0"/>
    <s v="UK"/>
    <x v="4"/>
    <x v="0"/>
    <x v="3"/>
    <s v="Consistent"/>
    <x v="0"/>
  </r>
  <r>
    <x v="1622"/>
    <x v="0"/>
    <x v="1443"/>
    <n v="8406802105"/>
    <n v="153.72999999999999"/>
    <s v="UK pounds"/>
    <s v="UK pounds"/>
    <x v="0"/>
    <s v="UK"/>
    <x v="4"/>
    <x v="0"/>
    <x v="2"/>
    <s v="Consistent"/>
    <x v="0"/>
  </r>
  <r>
    <x v="1623"/>
    <x v="0"/>
    <x v="1444"/>
    <n v="9083467473"/>
    <n v="3953.82"/>
    <s v="UK pounds"/>
    <s v="UK pounds"/>
    <x v="0"/>
    <s v="UK"/>
    <x v="2"/>
    <x v="0"/>
    <x v="4"/>
    <s v="Consistent"/>
    <x v="0"/>
  </r>
  <r>
    <x v="1624"/>
    <x v="0"/>
    <x v="68"/>
    <n v="1709703404"/>
    <n v="5558.93"/>
    <s v="UK pounds"/>
    <s v="UK pounds"/>
    <x v="0"/>
    <s v="UK"/>
    <x v="5"/>
    <x v="0"/>
    <x v="1"/>
    <s v="Consistent"/>
    <x v="0"/>
  </r>
  <r>
    <x v="1625"/>
    <x v="0"/>
    <x v="1445"/>
    <n v="8726142351"/>
    <n v="1442.97"/>
    <s v="UK pounds"/>
    <s v="UK pounds"/>
    <x v="0"/>
    <s v="UK"/>
    <x v="5"/>
    <x v="0"/>
    <x v="2"/>
    <s v="Consistent"/>
    <x v="0"/>
  </r>
  <r>
    <x v="1626"/>
    <x v="0"/>
    <x v="1446"/>
    <n v="3695545812"/>
    <n v="8678.2999999999993"/>
    <s v="UK pounds"/>
    <s v="UK pounds"/>
    <x v="0"/>
    <s v="UK"/>
    <x v="4"/>
    <x v="0"/>
    <x v="3"/>
    <s v="Consistent"/>
    <x v="0"/>
  </r>
  <r>
    <x v="1627"/>
    <x v="0"/>
    <x v="1447"/>
    <n v="5103043844"/>
    <n v="6457.15"/>
    <s v="UK pounds"/>
    <s v="Naira"/>
    <x v="0"/>
    <s v="Nigeria"/>
    <x v="1"/>
    <x v="0"/>
    <x v="3"/>
    <s v="Potential Layering"/>
    <x v="0"/>
  </r>
  <r>
    <x v="1627"/>
    <x v="0"/>
    <x v="1448"/>
    <n v="4803642115"/>
    <n v="2351.85"/>
    <s v="UK pounds"/>
    <s v="UK pounds"/>
    <x v="0"/>
    <s v="UK"/>
    <x v="3"/>
    <x v="0"/>
    <x v="4"/>
    <s v="Consistent"/>
    <x v="0"/>
  </r>
  <r>
    <x v="1628"/>
    <x v="0"/>
    <x v="238"/>
    <n v="219930770"/>
    <n v="13191.09"/>
    <s v="UK pounds"/>
    <s v="UK pounds"/>
    <x v="0"/>
    <s v="UK"/>
    <x v="5"/>
    <x v="0"/>
    <x v="1"/>
    <s v="Consistent"/>
    <x v="0"/>
  </r>
  <r>
    <x v="1629"/>
    <x v="0"/>
    <x v="46"/>
    <n v="7629589738"/>
    <n v="5669.79"/>
    <s v="UK pounds"/>
    <s v="UK pounds"/>
    <x v="0"/>
    <s v="UK"/>
    <x v="2"/>
    <x v="0"/>
    <x v="1"/>
    <s v="Consistent"/>
    <x v="0"/>
  </r>
  <r>
    <x v="1630"/>
    <x v="0"/>
    <x v="1449"/>
    <n v="2146272152"/>
    <n v="1016.77"/>
    <s v="UK pounds"/>
    <s v="UK pounds"/>
    <x v="0"/>
    <s v="UK"/>
    <x v="0"/>
    <x v="0"/>
    <x v="0"/>
    <s v="Consistent"/>
    <x v="0"/>
  </r>
  <r>
    <x v="1630"/>
    <x v="0"/>
    <x v="1450"/>
    <n v="8130251611"/>
    <n v="2905.21"/>
    <s v="UK pounds"/>
    <s v="UK pounds"/>
    <x v="0"/>
    <s v="UK"/>
    <x v="5"/>
    <x v="0"/>
    <x v="2"/>
    <s v="Consistent"/>
    <x v="0"/>
  </r>
  <r>
    <x v="1631"/>
    <x v="0"/>
    <x v="1136"/>
    <n v="4270865741"/>
    <n v="5815.28"/>
    <s v="UK pounds"/>
    <s v="UK pounds"/>
    <x v="0"/>
    <s v="UK"/>
    <x v="2"/>
    <x v="0"/>
    <x v="3"/>
    <s v="Consistent"/>
    <x v="0"/>
  </r>
  <r>
    <x v="1632"/>
    <x v="0"/>
    <x v="667"/>
    <n v="7892884492"/>
    <n v="9277.6200000000008"/>
    <s v="UK pounds"/>
    <s v="US dollar"/>
    <x v="0"/>
    <s v="USA"/>
    <x v="1"/>
    <x v="0"/>
    <x v="3"/>
    <s v="Potential Layering"/>
    <x v="0"/>
  </r>
  <r>
    <x v="1633"/>
    <x v="0"/>
    <x v="1451"/>
    <n v="1284572401"/>
    <n v="4181.4799999999996"/>
    <s v="UK pounds"/>
    <s v="UK pounds"/>
    <x v="0"/>
    <s v="UK"/>
    <x v="5"/>
    <x v="0"/>
    <x v="2"/>
    <s v="Consistent"/>
    <x v="0"/>
  </r>
  <r>
    <x v="1634"/>
    <x v="0"/>
    <x v="195"/>
    <n v="4701651456"/>
    <n v="9219.27"/>
    <s v="UK pounds"/>
    <s v="UK pounds"/>
    <x v="0"/>
    <s v="UK"/>
    <x v="5"/>
    <x v="0"/>
    <x v="1"/>
    <s v="Consistent"/>
    <x v="0"/>
  </r>
  <r>
    <x v="1635"/>
    <x v="0"/>
    <x v="216"/>
    <n v="1431561040"/>
    <n v="7017.37"/>
    <s v="UK pounds"/>
    <s v="UK pounds"/>
    <x v="0"/>
    <s v="UK"/>
    <x v="3"/>
    <x v="0"/>
    <x v="3"/>
    <s v="Consistent"/>
    <x v="0"/>
  </r>
  <r>
    <x v="1635"/>
    <x v="0"/>
    <x v="1452"/>
    <n v="6883168044"/>
    <n v="14972.63"/>
    <s v="UK pounds"/>
    <s v="UK pounds"/>
    <x v="0"/>
    <s v="UK"/>
    <x v="3"/>
    <x v="0"/>
    <x v="2"/>
    <s v="Consistent"/>
    <x v="0"/>
  </r>
  <r>
    <x v="1636"/>
    <x v="0"/>
    <x v="1453"/>
    <n v="6124803711"/>
    <n v="25.07"/>
    <s v="UK pounds"/>
    <s v="UK pounds"/>
    <x v="0"/>
    <s v="UK"/>
    <x v="6"/>
    <x v="0"/>
    <x v="5"/>
    <s v="Consistent"/>
    <x v="0"/>
  </r>
  <r>
    <x v="1637"/>
    <x v="0"/>
    <x v="1454"/>
    <n v="1355240562"/>
    <n v="5699.81"/>
    <s v="UK pounds"/>
    <s v="UK pounds"/>
    <x v="0"/>
    <s v="UK"/>
    <x v="4"/>
    <x v="0"/>
    <x v="4"/>
    <s v="Consistent"/>
    <x v="0"/>
  </r>
  <r>
    <x v="1638"/>
    <x v="0"/>
    <x v="142"/>
    <n v="4270865741"/>
    <n v="7036.23"/>
    <s v="UK pounds"/>
    <s v="UK pounds"/>
    <x v="0"/>
    <s v="UK"/>
    <x v="3"/>
    <x v="0"/>
    <x v="3"/>
    <s v="Consistent"/>
    <x v="0"/>
  </r>
  <r>
    <x v="1639"/>
    <x v="0"/>
    <x v="1455"/>
    <n v="8484256404"/>
    <n v="765.96"/>
    <s v="UK pounds"/>
    <s v="Euro"/>
    <x v="0"/>
    <s v="Spain"/>
    <x v="1"/>
    <x v="0"/>
    <x v="2"/>
    <s v="Potential Layering"/>
    <x v="0"/>
  </r>
  <r>
    <x v="1640"/>
    <x v="0"/>
    <x v="1456"/>
    <n v="9167626261"/>
    <n v="549.77"/>
    <s v="UK pounds"/>
    <s v="Turkish lira"/>
    <x v="0"/>
    <s v="Turkey"/>
    <x v="1"/>
    <x v="0"/>
    <x v="2"/>
    <s v="Potential Layering"/>
    <x v="0"/>
  </r>
  <r>
    <x v="1641"/>
    <x v="0"/>
    <x v="408"/>
    <n v="6953672776"/>
    <n v="7777.73"/>
    <s v="UK pounds"/>
    <s v="Mexican Peso"/>
    <x v="0"/>
    <s v="Mexico"/>
    <x v="1"/>
    <x v="0"/>
    <x v="3"/>
    <s v="Potential Layering"/>
    <x v="0"/>
  </r>
  <r>
    <x v="1642"/>
    <x v="0"/>
    <x v="195"/>
    <n v="1020934931"/>
    <n v="5215.1499999999996"/>
    <s v="UK pounds"/>
    <s v="UK pounds"/>
    <x v="0"/>
    <s v="UK"/>
    <x v="3"/>
    <x v="0"/>
    <x v="1"/>
    <s v="Consistent"/>
    <x v="0"/>
  </r>
  <r>
    <x v="1643"/>
    <x v="0"/>
    <x v="1457"/>
    <n v="9095581928"/>
    <n v="2863.06"/>
    <s v="UK pounds"/>
    <s v="UK pounds"/>
    <x v="0"/>
    <s v="UK"/>
    <x v="0"/>
    <x v="0"/>
    <x v="0"/>
    <s v="Consistent"/>
    <x v="0"/>
  </r>
  <r>
    <x v="1644"/>
    <x v="0"/>
    <x v="1458"/>
    <n v="5049616160"/>
    <n v="3604.33"/>
    <s v="UK pounds"/>
    <s v="UK pounds"/>
    <x v="0"/>
    <s v="UK"/>
    <x v="3"/>
    <x v="0"/>
    <x v="2"/>
    <s v="Consistent"/>
    <x v="0"/>
  </r>
  <r>
    <x v="1644"/>
    <x v="0"/>
    <x v="1459"/>
    <n v="8139378637"/>
    <n v="2261.42"/>
    <s v="UK pounds"/>
    <s v="UK pounds"/>
    <x v="0"/>
    <s v="UK"/>
    <x v="4"/>
    <x v="0"/>
    <x v="4"/>
    <s v="Consistent"/>
    <x v="0"/>
  </r>
  <r>
    <x v="1645"/>
    <x v="0"/>
    <x v="1460"/>
    <n v="9504879666"/>
    <n v="200.05"/>
    <s v="UK pounds"/>
    <s v="UK pounds"/>
    <x v="0"/>
    <s v="UK"/>
    <x v="6"/>
    <x v="0"/>
    <x v="5"/>
    <s v="Consistent"/>
    <x v="0"/>
  </r>
  <r>
    <x v="1646"/>
    <x v="0"/>
    <x v="1461"/>
    <n v="5103379001"/>
    <n v="142.88"/>
    <s v="UK pounds"/>
    <s v="UK pounds"/>
    <x v="0"/>
    <s v="UK"/>
    <x v="6"/>
    <x v="0"/>
    <x v="5"/>
    <s v="Consistent"/>
    <x v="0"/>
  </r>
  <r>
    <x v="1647"/>
    <x v="0"/>
    <x v="1462"/>
    <n v="5112501104"/>
    <n v="6017.8"/>
    <s v="UK pounds"/>
    <s v="UK pounds"/>
    <x v="0"/>
    <s v="UK"/>
    <x v="5"/>
    <x v="0"/>
    <x v="6"/>
    <s v="Consistent"/>
    <x v="0"/>
  </r>
  <r>
    <x v="1648"/>
    <x v="0"/>
    <x v="1463"/>
    <n v="6572291504"/>
    <n v="2980.75"/>
    <s v="UK pounds"/>
    <s v="UK pounds"/>
    <x v="0"/>
    <s v="UK"/>
    <x v="4"/>
    <x v="0"/>
    <x v="2"/>
    <s v="Consistent"/>
    <x v="0"/>
  </r>
  <r>
    <x v="1649"/>
    <x v="0"/>
    <x v="161"/>
    <n v="8436759372"/>
    <n v="6156.57"/>
    <s v="UK pounds"/>
    <s v="UK pounds"/>
    <x v="0"/>
    <s v="UK"/>
    <x v="2"/>
    <x v="0"/>
    <x v="1"/>
    <s v="Consistent"/>
    <x v="0"/>
  </r>
  <r>
    <x v="1650"/>
    <x v="0"/>
    <x v="1252"/>
    <n v="621060264"/>
    <n v="10529.36"/>
    <s v="UK pounds"/>
    <s v="UK pounds"/>
    <x v="0"/>
    <s v="UK"/>
    <x v="4"/>
    <x v="0"/>
    <x v="3"/>
    <s v="Consistent"/>
    <x v="0"/>
  </r>
  <r>
    <x v="1651"/>
    <x v="0"/>
    <x v="38"/>
    <n v="8518184956"/>
    <n v="10699.76"/>
    <s v="UK pounds"/>
    <s v="UK pounds"/>
    <x v="0"/>
    <s v="UK"/>
    <x v="2"/>
    <x v="0"/>
    <x v="3"/>
    <s v="Consistent"/>
    <x v="0"/>
  </r>
  <r>
    <x v="1652"/>
    <x v="0"/>
    <x v="1464"/>
    <n v="5982616154"/>
    <n v="1651.44"/>
    <s v="UK pounds"/>
    <s v="UK pounds"/>
    <x v="0"/>
    <s v="UK"/>
    <x v="5"/>
    <x v="0"/>
    <x v="2"/>
    <s v="Consistent"/>
    <x v="0"/>
  </r>
  <r>
    <x v="1653"/>
    <x v="0"/>
    <x v="1465"/>
    <n v="1356043185"/>
    <n v="1559.18"/>
    <s v="UK pounds"/>
    <s v="UK pounds"/>
    <x v="0"/>
    <s v="UK"/>
    <x v="3"/>
    <x v="0"/>
    <x v="2"/>
    <s v="Consistent"/>
    <x v="0"/>
  </r>
  <r>
    <x v="1653"/>
    <x v="0"/>
    <x v="704"/>
    <n v="7080357663"/>
    <n v="13477.71"/>
    <s v="UK pounds"/>
    <s v="UK pounds"/>
    <x v="0"/>
    <s v="UK"/>
    <x v="3"/>
    <x v="0"/>
    <x v="3"/>
    <s v="Consistent"/>
    <x v="0"/>
  </r>
  <r>
    <x v="1654"/>
    <x v="0"/>
    <x v="1466"/>
    <n v="2151922703"/>
    <n v="4800.53"/>
    <s v="UK pounds"/>
    <s v="UK pounds"/>
    <x v="0"/>
    <s v="UK"/>
    <x v="2"/>
    <x v="0"/>
    <x v="2"/>
    <s v="Consistent"/>
    <x v="0"/>
  </r>
  <r>
    <x v="1655"/>
    <x v="0"/>
    <x v="1467"/>
    <n v="6337587907"/>
    <n v="3368.3"/>
    <s v="UK pounds"/>
    <s v="UK pounds"/>
    <x v="0"/>
    <s v="UK"/>
    <x v="5"/>
    <x v="0"/>
    <x v="2"/>
    <s v="Consistent"/>
    <x v="0"/>
  </r>
  <r>
    <x v="1656"/>
    <x v="0"/>
    <x v="634"/>
    <n v="8172080174"/>
    <n v="5601.58"/>
    <s v="UK pounds"/>
    <s v="UK pounds"/>
    <x v="0"/>
    <s v="UK"/>
    <x v="2"/>
    <x v="0"/>
    <x v="3"/>
    <s v="Consistent"/>
    <x v="0"/>
  </r>
  <r>
    <x v="1657"/>
    <x v="0"/>
    <x v="1468"/>
    <n v="7288720479"/>
    <n v="664.72"/>
    <s v="UK pounds"/>
    <s v="UK pounds"/>
    <x v="0"/>
    <s v="UK"/>
    <x v="5"/>
    <x v="0"/>
    <x v="2"/>
    <s v="Consistent"/>
    <x v="0"/>
  </r>
  <r>
    <x v="1658"/>
    <x v="0"/>
    <x v="30"/>
    <n v="6601036649"/>
    <n v="2860.29"/>
    <s v="UK pounds"/>
    <s v="UK pounds"/>
    <x v="0"/>
    <s v="UK"/>
    <x v="5"/>
    <x v="0"/>
    <x v="4"/>
    <s v="Consistent"/>
    <x v="0"/>
  </r>
  <r>
    <x v="1659"/>
    <x v="0"/>
    <x v="124"/>
    <n v="4961006135"/>
    <n v="6445.84"/>
    <s v="UK pounds"/>
    <s v="UK pounds"/>
    <x v="0"/>
    <s v="UK"/>
    <x v="5"/>
    <x v="0"/>
    <x v="1"/>
    <s v="Consistent"/>
    <x v="0"/>
  </r>
  <r>
    <x v="1660"/>
    <x v="0"/>
    <x v="1469"/>
    <n v="1218918925"/>
    <n v="1490.1"/>
    <s v="UK pounds"/>
    <s v="UK pounds"/>
    <x v="0"/>
    <s v="UK"/>
    <x v="2"/>
    <x v="0"/>
    <x v="2"/>
    <s v="Consistent"/>
    <x v="0"/>
  </r>
  <r>
    <x v="1661"/>
    <x v="0"/>
    <x v="1470"/>
    <n v="8307428288"/>
    <n v="11266.24"/>
    <s v="Mexican Peso"/>
    <s v="UK pounds"/>
    <x v="10"/>
    <s v="UK"/>
    <x v="1"/>
    <x v="0"/>
    <x v="8"/>
    <s v="Potential Layering"/>
    <x v="1"/>
  </r>
  <r>
    <x v="1662"/>
    <x v="0"/>
    <x v="1471"/>
    <n v="2843358233"/>
    <n v="20019.53"/>
    <s v="UK pounds"/>
    <s v="UK pounds"/>
    <x v="0"/>
    <s v="UK"/>
    <x v="3"/>
    <x v="0"/>
    <x v="4"/>
    <s v="Consistent"/>
    <x v="0"/>
  </r>
  <r>
    <x v="1663"/>
    <x v="0"/>
    <x v="1472"/>
    <n v="6034997194"/>
    <n v="15746.38"/>
    <s v="UK pounds"/>
    <s v="UK pounds"/>
    <x v="0"/>
    <s v="UK"/>
    <x v="3"/>
    <x v="0"/>
    <x v="3"/>
    <s v="Consistent"/>
    <x v="0"/>
  </r>
  <r>
    <x v="1664"/>
    <x v="0"/>
    <x v="34"/>
    <n v="3487686607"/>
    <n v="8456.4500000000007"/>
    <s v="UK pounds"/>
    <s v="UK pounds"/>
    <x v="0"/>
    <s v="UK"/>
    <x v="5"/>
    <x v="0"/>
    <x v="1"/>
    <s v="Consistent"/>
    <x v="0"/>
  </r>
  <r>
    <x v="1665"/>
    <x v="0"/>
    <x v="1239"/>
    <n v="5109623450"/>
    <n v="9321.7199999999993"/>
    <s v="UK pounds"/>
    <s v="UK pounds"/>
    <x v="0"/>
    <s v="UK"/>
    <x v="5"/>
    <x v="0"/>
    <x v="3"/>
    <s v="Consistent"/>
    <x v="0"/>
  </r>
  <r>
    <x v="1666"/>
    <x v="0"/>
    <x v="1473"/>
    <n v="708992479"/>
    <n v="1371.91"/>
    <s v="UK pounds"/>
    <s v="UK pounds"/>
    <x v="0"/>
    <s v="UK"/>
    <x v="5"/>
    <x v="0"/>
    <x v="2"/>
    <s v="Consistent"/>
    <x v="0"/>
  </r>
  <r>
    <x v="1667"/>
    <x v="0"/>
    <x v="1474"/>
    <n v="4942884507"/>
    <n v="307.02999999999997"/>
    <s v="UK pounds"/>
    <s v="UK pounds"/>
    <x v="0"/>
    <s v="UK"/>
    <x v="3"/>
    <x v="0"/>
    <x v="2"/>
    <s v="Consistent"/>
    <x v="0"/>
  </r>
  <r>
    <x v="1667"/>
    <x v="0"/>
    <x v="1475"/>
    <n v="4347998322"/>
    <n v="1225.51"/>
    <s v="UK pounds"/>
    <s v="UK pounds"/>
    <x v="0"/>
    <s v="UK"/>
    <x v="3"/>
    <x v="0"/>
    <x v="2"/>
    <s v="Consistent"/>
    <x v="0"/>
  </r>
  <r>
    <x v="1668"/>
    <x v="0"/>
    <x v="415"/>
    <n v="91954487"/>
    <n v="1124.21"/>
    <s v="UK pounds"/>
    <s v="UK pounds"/>
    <x v="0"/>
    <s v="UK"/>
    <x v="2"/>
    <x v="0"/>
    <x v="2"/>
    <s v="Consistent"/>
    <x v="0"/>
  </r>
  <r>
    <x v="1668"/>
    <x v="0"/>
    <x v="1476"/>
    <n v="8554425367"/>
    <n v="949.18"/>
    <s v="UK pounds"/>
    <s v="UK pounds"/>
    <x v="0"/>
    <s v="UK"/>
    <x v="4"/>
    <x v="0"/>
    <x v="2"/>
    <s v="Consistent"/>
    <x v="0"/>
  </r>
  <r>
    <x v="1668"/>
    <x v="0"/>
    <x v="1477"/>
    <n v="9354385844"/>
    <n v="6606.36"/>
    <s v="UK pounds"/>
    <s v="UK pounds"/>
    <x v="0"/>
    <s v="UK"/>
    <x v="3"/>
    <x v="0"/>
    <x v="2"/>
    <s v="Consistent"/>
    <x v="0"/>
  </r>
  <r>
    <x v="1669"/>
    <x v="0"/>
    <x v="1478"/>
    <n v="8352571580"/>
    <n v="10926.36"/>
    <s v="UK pounds"/>
    <s v="Moroccan dirham"/>
    <x v="0"/>
    <s v="UK"/>
    <x v="3"/>
    <x v="0"/>
    <x v="3"/>
    <s v="Potential Layering"/>
    <x v="0"/>
  </r>
  <r>
    <x v="1670"/>
    <x v="0"/>
    <x v="1479"/>
    <n v="9105769228"/>
    <n v="19778.37"/>
    <s v="UK pounds"/>
    <s v="UK pounds"/>
    <x v="0"/>
    <s v="UK"/>
    <x v="2"/>
    <x v="0"/>
    <x v="3"/>
    <s v="Consistent"/>
    <x v="0"/>
  </r>
  <r>
    <x v="1670"/>
    <x v="0"/>
    <x v="1480"/>
    <n v="5109623450"/>
    <n v="4733.62"/>
    <s v="UK pounds"/>
    <s v="UK pounds"/>
    <x v="0"/>
    <s v="UK"/>
    <x v="3"/>
    <x v="0"/>
    <x v="3"/>
    <s v="Consistent"/>
    <x v="0"/>
  </r>
  <r>
    <x v="1671"/>
    <x v="0"/>
    <x v="1481"/>
    <n v="8352571580"/>
    <n v="9767.24"/>
    <s v="UK pounds"/>
    <s v="UK pounds"/>
    <x v="0"/>
    <s v="UK"/>
    <x v="5"/>
    <x v="0"/>
    <x v="3"/>
    <s v="Consistent"/>
    <x v="0"/>
  </r>
  <r>
    <x v="1672"/>
    <x v="0"/>
    <x v="1482"/>
    <n v="2965802210"/>
    <n v="398.77"/>
    <s v="UK pounds"/>
    <s v="UK pounds"/>
    <x v="0"/>
    <s v="UK"/>
    <x v="4"/>
    <x v="0"/>
    <x v="2"/>
    <s v="Consistent"/>
    <x v="0"/>
  </r>
  <r>
    <x v="1672"/>
    <x v="0"/>
    <x v="1483"/>
    <n v="6310722388"/>
    <n v="6579.87"/>
    <s v="UK pounds"/>
    <s v="UK pounds"/>
    <x v="0"/>
    <s v="UK"/>
    <x v="2"/>
    <x v="0"/>
    <x v="2"/>
    <s v="Consistent"/>
    <x v="0"/>
  </r>
  <r>
    <x v="1673"/>
    <x v="0"/>
    <x v="505"/>
    <n v="2534644942"/>
    <n v="5881.57"/>
    <s v="UK pounds"/>
    <s v="Euro"/>
    <x v="0"/>
    <s v="France"/>
    <x v="1"/>
    <x v="0"/>
    <x v="3"/>
    <s v="Potential Layering"/>
    <x v="0"/>
  </r>
  <r>
    <x v="1674"/>
    <x v="0"/>
    <x v="1484"/>
    <n v="5590629844"/>
    <n v="437.66"/>
    <s v="UK pounds"/>
    <s v="UK pounds"/>
    <x v="0"/>
    <s v="UK"/>
    <x v="5"/>
    <x v="0"/>
    <x v="2"/>
    <s v="Consistent"/>
    <x v="0"/>
  </r>
  <r>
    <x v="1675"/>
    <x v="0"/>
    <x v="1485"/>
    <n v="6410662683"/>
    <n v="860.77"/>
    <s v="UK pounds"/>
    <s v="UK pounds"/>
    <x v="0"/>
    <s v="UK"/>
    <x v="3"/>
    <x v="0"/>
    <x v="2"/>
    <s v="Consistent"/>
    <x v="0"/>
  </r>
  <r>
    <x v="1676"/>
    <x v="0"/>
    <x v="1486"/>
    <n v="9947701368"/>
    <n v="28894.02"/>
    <s v="UK pounds"/>
    <s v="UK pounds"/>
    <x v="0"/>
    <s v="UK"/>
    <x v="5"/>
    <x v="0"/>
    <x v="2"/>
    <s v="Consistent"/>
    <x v="0"/>
  </r>
  <r>
    <x v="1677"/>
    <x v="0"/>
    <x v="1420"/>
    <n v="4690632983"/>
    <n v="3340.75"/>
    <s v="UK pounds"/>
    <s v="UK pounds"/>
    <x v="0"/>
    <s v="UK"/>
    <x v="4"/>
    <x v="0"/>
    <x v="2"/>
    <s v="Consistent"/>
    <x v="0"/>
  </r>
  <r>
    <x v="1678"/>
    <x v="0"/>
    <x v="1487"/>
    <n v="9444527519"/>
    <n v="19358.849999999999"/>
    <s v="Euro"/>
    <s v="UK pounds"/>
    <x v="8"/>
    <s v="UK"/>
    <x v="1"/>
    <x v="0"/>
    <x v="2"/>
    <s v="Potential Layering"/>
    <x v="0"/>
  </r>
  <r>
    <x v="1679"/>
    <x v="0"/>
    <x v="1217"/>
    <n v="409707192"/>
    <n v="10584.76"/>
    <s v="UK pounds"/>
    <s v="UK pounds"/>
    <x v="0"/>
    <s v="UK"/>
    <x v="2"/>
    <x v="0"/>
    <x v="3"/>
    <s v="Consistent"/>
    <x v="0"/>
  </r>
  <r>
    <x v="1680"/>
    <x v="0"/>
    <x v="368"/>
    <n v="1566990579"/>
    <n v="5991.75"/>
    <s v="UK pounds"/>
    <s v="UK pounds"/>
    <x v="0"/>
    <s v="UK"/>
    <x v="5"/>
    <x v="0"/>
    <x v="1"/>
    <s v="Consistent"/>
    <x v="0"/>
  </r>
  <r>
    <x v="1680"/>
    <x v="0"/>
    <x v="1488"/>
    <n v="9374252610"/>
    <n v="165.45"/>
    <s v="UK pounds"/>
    <s v="UK pounds"/>
    <x v="0"/>
    <s v="UK"/>
    <x v="4"/>
    <x v="0"/>
    <x v="2"/>
    <s v="Consistent"/>
    <x v="0"/>
  </r>
  <r>
    <x v="1680"/>
    <x v="0"/>
    <x v="1489"/>
    <n v="5871061754"/>
    <n v="1702.65"/>
    <s v="UK pounds"/>
    <s v="UK pounds"/>
    <x v="0"/>
    <s v="UK"/>
    <x v="2"/>
    <x v="0"/>
    <x v="2"/>
    <s v="Consistent"/>
    <x v="0"/>
  </r>
  <r>
    <x v="1680"/>
    <x v="0"/>
    <x v="1490"/>
    <n v="7080357663"/>
    <n v="8570.27"/>
    <s v="UK pounds"/>
    <s v="UK pounds"/>
    <x v="0"/>
    <s v="UK"/>
    <x v="5"/>
    <x v="0"/>
    <x v="3"/>
    <s v="Consistent"/>
    <x v="0"/>
  </r>
  <r>
    <x v="1681"/>
    <x v="0"/>
    <x v="1491"/>
    <n v="1431561040"/>
    <n v="10041.549999999999"/>
    <s v="UK pounds"/>
    <s v="UK pounds"/>
    <x v="0"/>
    <s v="UK"/>
    <x v="2"/>
    <x v="0"/>
    <x v="3"/>
    <s v="Consistent"/>
    <x v="0"/>
  </r>
  <r>
    <x v="1681"/>
    <x v="0"/>
    <x v="1492"/>
    <n v="3412110302"/>
    <n v="770.08"/>
    <s v="UK pounds"/>
    <s v="UK pounds"/>
    <x v="0"/>
    <s v="UK"/>
    <x v="3"/>
    <x v="0"/>
    <x v="2"/>
    <s v="Consistent"/>
    <x v="0"/>
  </r>
  <r>
    <x v="1681"/>
    <x v="0"/>
    <x v="1331"/>
    <n v="4270865741"/>
    <n v="4898.8500000000004"/>
    <s v="UK pounds"/>
    <s v="Moroccan dirham"/>
    <x v="0"/>
    <s v="UK"/>
    <x v="5"/>
    <x v="0"/>
    <x v="3"/>
    <s v="Potential Layering"/>
    <x v="0"/>
  </r>
  <r>
    <x v="1682"/>
    <x v="0"/>
    <x v="254"/>
    <n v="409707192"/>
    <n v="12073.38"/>
    <s v="UK pounds"/>
    <s v="UK pounds"/>
    <x v="0"/>
    <s v="UK"/>
    <x v="3"/>
    <x v="0"/>
    <x v="3"/>
    <s v="Consistent"/>
    <x v="0"/>
  </r>
  <r>
    <x v="1682"/>
    <x v="0"/>
    <x v="1493"/>
    <n v="4733358932"/>
    <n v="4775.7700000000004"/>
    <s v="UK pounds"/>
    <s v="UK pounds"/>
    <x v="0"/>
    <s v="UK"/>
    <x v="4"/>
    <x v="0"/>
    <x v="4"/>
    <s v="Consistent"/>
    <x v="0"/>
  </r>
  <r>
    <x v="1683"/>
    <x v="0"/>
    <x v="1494"/>
    <n v="3454351670"/>
    <n v="22192.639999999999"/>
    <s v="UK pounds"/>
    <s v="UK pounds"/>
    <x v="0"/>
    <s v="UK"/>
    <x v="4"/>
    <x v="0"/>
    <x v="2"/>
    <s v="Consistent"/>
    <x v="0"/>
  </r>
  <r>
    <x v="1683"/>
    <x v="0"/>
    <x v="163"/>
    <n v="6618026760"/>
    <n v="12108.77"/>
    <s v="UK pounds"/>
    <s v="UK pounds"/>
    <x v="0"/>
    <s v="UK"/>
    <x v="3"/>
    <x v="0"/>
    <x v="1"/>
    <s v="Consistent"/>
    <x v="0"/>
  </r>
  <r>
    <x v="1684"/>
    <x v="0"/>
    <x v="1495"/>
    <n v="8194014332"/>
    <n v="704.14"/>
    <s v="UK pounds"/>
    <s v="UK pounds"/>
    <x v="0"/>
    <s v="UK"/>
    <x v="2"/>
    <x v="0"/>
    <x v="2"/>
    <s v="Consistent"/>
    <x v="0"/>
  </r>
  <r>
    <x v="1685"/>
    <x v="0"/>
    <x v="887"/>
    <n v="7721439181"/>
    <n v="455.08"/>
    <s v="UK pounds"/>
    <s v="UK pounds"/>
    <x v="0"/>
    <s v="UK"/>
    <x v="5"/>
    <x v="0"/>
    <x v="2"/>
    <s v="Consistent"/>
    <x v="0"/>
  </r>
  <r>
    <x v="1686"/>
    <x v="0"/>
    <x v="40"/>
    <n v="9616268671"/>
    <n v="10912.59"/>
    <s v="UK pounds"/>
    <s v="UK pounds"/>
    <x v="0"/>
    <s v="UK"/>
    <x v="5"/>
    <x v="0"/>
    <x v="1"/>
    <s v="Consistent"/>
    <x v="0"/>
  </r>
  <r>
    <x v="1687"/>
    <x v="0"/>
    <x v="210"/>
    <n v="2415686992"/>
    <n v="4608.12"/>
    <s v="UK pounds"/>
    <s v="UK pounds"/>
    <x v="0"/>
    <s v="UK"/>
    <x v="5"/>
    <x v="0"/>
    <x v="1"/>
    <s v="Consistent"/>
    <x v="0"/>
  </r>
  <r>
    <x v="1688"/>
    <x v="0"/>
    <x v="1496"/>
    <n v="9746717132"/>
    <n v="500.46"/>
    <s v="UK pounds"/>
    <s v="UK pounds"/>
    <x v="0"/>
    <s v="UK"/>
    <x v="5"/>
    <x v="0"/>
    <x v="2"/>
    <s v="Consistent"/>
    <x v="0"/>
  </r>
  <r>
    <x v="1689"/>
    <x v="0"/>
    <x v="40"/>
    <n v="2685958910"/>
    <n v="4623.26"/>
    <s v="UK pounds"/>
    <s v="UK pounds"/>
    <x v="0"/>
    <s v="UK"/>
    <x v="4"/>
    <x v="0"/>
    <x v="1"/>
    <s v="Consistent"/>
    <x v="0"/>
  </r>
  <r>
    <x v="1690"/>
    <x v="0"/>
    <x v="1497"/>
    <n v="1331695059"/>
    <n v="7656.13"/>
    <s v="UK pounds"/>
    <s v="UK pounds"/>
    <x v="0"/>
    <s v="UK"/>
    <x v="4"/>
    <x v="0"/>
    <x v="4"/>
    <s v="Consistent"/>
    <x v="0"/>
  </r>
  <r>
    <x v="1691"/>
    <x v="0"/>
    <x v="1498"/>
    <n v="2177044140"/>
    <n v="260.93"/>
    <s v="UK pounds"/>
    <s v="UK pounds"/>
    <x v="0"/>
    <s v="UK"/>
    <x v="5"/>
    <x v="0"/>
    <x v="4"/>
    <s v="Consistent"/>
    <x v="0"/>
  </r>
  <r>
    <x v="1692"/>
    <x v="0"/>
    <x v="1499"/>
    <n v="4190110489"/>
    <n v="3222.98"/>
    <s v="UK pounds"/>
    <s v="UK pounds"/>
    <x v="0"/>
    <s v="UK"/>
    <x v="4"/>
    <x v="0"/>
    <x v="2"/>
    <s v="Consistent"/>
    <x v="0"/>
  </r>
  <r>
    <x v="1693"/>
    <x v="0"/>
    <x v="1500"/>
    <n v="447333678"/>
    <n v="281.66000000000003"/>
    <s v="UK pounds"/>
    <s v="UK pounds"/>
    <x v="0"/>
    <s v="UK"/>
    <x v="0"/>
    <x v="0"/>
    <x v="0"/>
    <s v="Consistent"/>
    <x v="0"/>
  </r>
  <r>
    <x v="1694"/>
    <x v="0"/>
    <x v="63"/>
    <n v="8073790137"/>
    <n v="9794"/>
    <s v="UK pounds"/>
    <s v="Euro"/>
    <x v="0"/>
    <s v="Germany"/>
    <x v="1"/>
    <x v="0"/>
    <x v="1"/>
    <s v="Potential Layering"/>
    <x v="0"/>
  </r>
  <r>
    <x v="1695"/>
    <x v="0"/>
    <x v="418"/>
    <n v="4173195094"/>
    <n v="16896.75"/>
    <s v="UK pounds"/>
    <s v="UK pounds"/>
    <x v="0"/>
    <s v="UK"/>
    <x v="3"/>
    <x v="0"/>
    <x v="3"/>
    <s v="Consistent"/>
    <x v="0"/>
  </r>
  <r>
    <x v="1696"/>
    <x v="0"/>
    <x v="579"/>
    <n v="4270865741"/>
    <n v="12660.06"/>
    <s v="UK pounds"/>
    <s v="UK pounds"/>
    <x v="0"/>
    <s v="UK"/>
    <x v="4"/>
    <x v="0"/>
    <x v="3"/>
    <s v="Consistent"/>
    <x v="0"/>
  </r>
  <r>
    <x v="1696"/>
    <x v="0"/>
    <x v="1501"/>
    <n v="5038793092"/>
    <n v="2187.1"/>
    <s v="UK pounds"/>
    <s v="UK pounds"/>
    <x v="0"/>
    <s v="UK"/>
    <x v="0"/>
    <x v="0"/>
    <x v="0"/>
    <s v="Consistent"/>
    <x v="0"/>
  </r>
  <r>
    <x v="1697"/>
    <x v="0"/>
    <x v="1502"/>
    <n v="1831167428"/>
    <n v="396.33"/>
    <s v="UK pounds"/>
    <s v="UK pounds"/>
    <x v="0"/>
    <s v="UK"/>
    <x v="3"/>
    <x v="0"/>
    <x v="2"/>
    <s v="Consistent"/>
    <x v="0"/>
  </r>
  <r>
    <x v="1698"/>
    <x v="0"/>
    <x v="1503"/>
    <n v="6514567123"/>
    <n v="1966.06"/>
    <s v="UK pounds"/>
    <s v="UK pounds"/>
    <x v="0"/>
    <s v="UK"/>
    <x v="2"/>
    <x v="0"/>
    <x v="2"/>
    <s v="Consistent"/>
    <x v="0"/>
  </r>
  <r>
    <x v="1699"/>
    <x v="0"/>
    <x v="544"/>
    <n v="7065240535"/>
    <n v="3655.4"/>
    <s v="UK pounds"/>
    <s v="UK pounds"/>
    <x v="0"/>
    <s v="UK"/>
    <x v="4"/>
    <x v="0"/>
    <x v="2"/>
    <s v="Consistent"/>
    <x v="0"/>
  </r>
  <r>
    <x v="1700"/>
    <x v="0"/>
    <x v="1504"/>
    <n v="4290665757"/>
    <n v="702.83"/>
    <s v="UK pounds"/>
    <s v="UK pounds"/>
    <x v="0"/>
    <s v="UK"/>
    <x v="5"/>
    <x v="0"/>
    <x v="2"/>
    <s v="Consistent"/>
    <x v="0"/>
  </r>
  <r>
    <x v="1701"/>
    <x v="0"/>
    <x v="1505"/>
    <n v="7248277483"/>
    <n v="355.69"/>
    <s v="UK pounds"/>
    <s v="UK pounds"/>
    <x v="0"/>
    <s v="UK"/>
    <x v="0"/>
    <x v="0"/>
    <x v="0"/>
    <s v="Consistent"/>
    <x v="0"/>
  </r>
  <r>
    <x v="1702"/>
    <x v="0"/>
    <x v="1506"/>
    <n v="6429347750"/>
    <n v="1789.73"/>
    <s v="UK pounds"/>
    <s v="UK pounds"/>
    <x v="0"/>
    <s v="UK"/>
    <x v="2"/>
    <x v="0"/>
    <x v="2"/>
    <s v="Consistent"/>
    <x v="0"/>
  </r>
  <r>
    <x v="1703"/>
    <x v="0"/>
    <x v="68"/>
    <n v="5402206630"/>
    <n v="6187.22"/>
    <s v="UK pounds"/>
    <s v="UK pounds"/>
    <x v="0"/>
    <s v="UK"/>
    <x v="2"/>
    <x v="0"/>
    <x v="1"/>
    <s v="Consistent"/>
    <x v="0"/>
  </r>
  <r>
    <x v="1704"/>
    <x v="0"/>
    <x v="63"/>
    <n v="3681770380"/>
    <n v="22203.74"/>
    <s v="UK pounds"/>
    <s v="UK pounds"/>
    <x v="0"/>
    <s v="UK"/>
    <x v="4"/>
    <x v="0"/>
    <x v="1"/>
    <s v="Consistent"/>
    <x v="0"/>
  </r>
  <r>
    <x v="1705"/>
    <x v="0"/>
    <x v="1507"/>
    <n v="1888355050"/>
    <n v="7805.98"/>
    <s v="UK pounds"/>
    <s v="UK pounds"/>
    <x v="0"/>
    <s v="UK"/>
    <x v="4"/>
    <x v="0"/>
    <x v="2"/>
    <s v="Consistent"/>
    <x v="0"/>
  </r>
  <r>
    <x v="1706"/>
    <x v="0"/>
    <x v="34"/>
    <n v="721717864"/>
    <n v="17081.759999999998"/>
    <s v="UK pounds"/>
    <s v="UK pounds"/>
    <x v="0"/>
    <s v="UK"/>
    <x v="5"/>
    <x v="0"/>
    <x v="1"/>
    <s v="Consistent"/>
    <x v="0"/>
  </r>
  <r>
    <x v="1706"/>
    <x v="0"/>
    <x v="338"/>
    <n v="7160736915"/>
    <n v="10314.99"/>
    <s v="UK pounds"/>
    <s v="UK pounds"/>
    <x v="0"/>
    <s v="UK"/>
    <x v="4"/>
    <x v="0"/>
    <x v="3"/>
    <s v="Consistent"/>
    <x v="0"/>
  </r>
  <r>
    <x v="1707"/>
    <x v="0"/>
    <x v="1508"/>
    <n v="9054988654"/>
    <n v="1961.38"/>
    <s v="UK pounds"/>
    <s v="Moroccan dirham"/>
    <x v="0"/>
    <s v="Morocco"/>
    <x v="1"/>
    <x v="0"/>
    <x v="2"/>
    <s v="Potential Layering"/>
    <x v="0"/>
  </r>
  <r>
    <x v="1708"/>
    <x v="0"/>
    <x v="1509"/>
    <n v="8167867204"/>
    <n v="15.74"/>
    <s v="UK pounds"/>
    <s v="UK pounds"/>
    <x v="0"/>
    <s v="UK"/>
    <x v="6"/>
    <x v="0"/>
    <x v="5"/>
    <s v="Consistent"/>
    <x v="0"/>
  </r>
  <r>
    <x v="1709"/>
    <x v="0"/>
    <x v="1510"/>
    <n v="470662585"/>
    <n v="6756.93"/>
    <s v="UK pounds"/>
    <s v="UK pounds"/>
    <x v="0"/>
    <s v="UK"/>
    <x v="5"/>
    <x v="0"/>
    <x v="2"/>
    <s v="Consistent"/>
    <x v="0"/>
  </r>
  <r>
    <x v="1710"/>
    <x v="0"/>
    <x v="1511"/>
    <n v="9190187702"/>
    <n v="13029.89"/>
    <s v="UK pounds"/>
    <s v="UK pounds"/>
    <x v="0"/>
    <s v="UK"/>
    <x v="4"/>
    <x v="0"/>
    <x v="2"/>
    <s v="Consistent"/>
    <x v="0"/>
  </r>
  <r>
    <x v="1710"/>
    <x v="0"/>
    <x v="1338"/>
    <n v="1799256695"/>
    <n v="1058.77"/>
    <s v="UK pounds"/>
    <s v="UK pounds"/>
    <x v="0"/>
    <s v="UK"/>
    <x v="3"/>
    <x v="0"/>
    <x v="2"/>
    <s v="Consistent"/>
    <x v="0"/>
  </r>
  <r>
    <x v="1710"/>
    <x v="0"/>
    <x v="1512"/>
    <n v="1154185656"/>
    <n v="762.96"/>
    <s v="UK pounds"/>
    <s v="UK pounds"/>
    <x v="0"/>
    <s v="UK"/>
    <x v="5"/>
    <x v="0"/>
    <x v="2"/>
    <s v="Consistent"/>
    <x v="0"/>
  </r>
  <r>
    <x v="1711"/>
    <x v="0"/>
    <x v="1513"/>
    <n v="572388193"/>
    <n v="417.08"/>
    <s v="UK pounds"/>
    <s v="UK pounds"/>
    <x v="0"/>
    <s v="UK"/>
    <x v="4"/>
    <x v="0"/>
    <x v="2"/>
    <s v="Consistent"/>
    <x v="0"/>
  </r>
  <r>
    <x v="1712"/>
    <x v="0"/>
    <x v="1514"/>
    <n v="6034997194"/>
    <n v="12875.96"/>
    <s v="UK pounds"/>
    <s v="UK pounds"/>
    <x v="0"/>
    <s v="UK"/>
    <x v="5"/>
    <x v="0"/>
    <x v="3"/>
    <s v="Consistent"/>
    <x v="0"/>
  </r>
  <r>
    <x v="1713"/>
    <x v="0"/>
    <x v="1"/>
    <n v="4658438113"/>
    <n v="8472.01"/>
    <s v="UK pounds"/>
    <s v="UK pounds"/>
    <x v="0"/>
    <s v="UK"/>
    <x v="4"/>
    <x v="0"/>
    <x v="1"/>
    <s v="Consistent"/>
    <x v="0"/>
  </r>
  <r>
    <x v="1713"/>
    <x v="0"/>
    <x v="51"/>
    <n v="6424463145"/>
    <n v="12481.84"/>
    <s v="UK pounds"/>
    <s v="UK pounds"/>
    <x v="0"/>
    <s v="UK"/>
    <x v="4"/>
    <x v="0"/>
    <x v="1"/>
    <s v="Consistent"/>
    <x v="0"/>
  </r>
  <r>
    <x v="1714"/>
    <x v="0"/>
    <x v="1515"/>
    <n v="6414394642"/>
    <n v="778.87"/>
    <s v="UK pounds"/>
    <s v="UK pounds"/>
    <x v="0"/>
    <s v="UK"/>
    <x v="2"/>
    <x v="0"/>
    <x v="2"/>
    <s v="Consistent"/>
    <x v="0"/>
  </r>
  <r>
    <x v="1715"/>
    <x v="0"/>
    <x v="1516"/>
    <n v="4432690383"/>
    <n v="7805.36"/>
    <s v="UK pounds"/>
    <s v="UK pounds"/>
    <x v="0"/>
    <s v="UK"/>
    <x v="3"/>
    <x v="0"/>
    <x v="6"/>
    <s v="Consistent"/>
    <x v="0"/>
  </r>
  <r>
    <x v="1716"/>
    <x v="0"/>
    <x v="1517"/>
    <n v="5024306035"/>
    <n v="4358.6499999999996"/>
    <s v="UK pounds"/>
    <s v="UK pounds"/>
    <x v="0"/>
    <s v="UK"/>
    <x v="0"/>
    <x v="0"/>
    <x v="0"/>
    <s v="Consistent"/>
    <x v="0"/>
  </r>
  <r>
    <x v="1717"/>
    <x v="0"/>
    <x v="1412"/>
    <n v="5466123934"/>
    <n v="8194.42"/>
    <s v="UK pounds"/>
    <s v="UK pounds"/>
    <x v="0"/>
    <s v="UK"/>
    <x v="4"/>
    <x v="0"/>
    <x v="3"/>
    <s v="Consistent"/>
    <x v="0"/>
  </r>
  <r>
    <x v="1718"/>
    <x v="0"/>
    <x v="1518"/>
    <n v="2345549804"/>
    <n v="1326.14"/>
    <s v="UK pounds"/>
    <s v="UK pounds"/>
    <x v="0"/>
    <s v="UK"/>
    <x v="2"/>
    <x v="0"/>
    <x v="2"/>
    <s v="Consistent"/>
    <x v="0"/>
  </r>
  <r>
    <x v="1718"/>
    <x v="0"/>
    <x v="8"/>
    <n v="578267324"/>
    <n v="11436.58"/>
    <s v="UK pounds"/>
    <s v="UK pounds"/>
    <x v="0"/>
    <s v="UK"/>
    <x v="3"/>
    <x v="0"/>
    <x v="1"/>
    <s v="Consistent"/>
    <x v="0"/>
  </r>
  <r>
    <x v="1719"/>
    <x v="0"/>
    <x v="1519"/>
    <n v="4223008197"/>
    <n v="3720.32"/>
    <s v="Pakistani rupee"/>
    <s v="UK pounds"/>
    <x v="12"/>
    <s v="UK"/>
    <x v="1"/>
    <x v="0"/>
    <x v="2"/>
    <s v="Potential Layering"/>
    <x v="0"/>
  </r>
  <r>
    <x v="1720"/>
    <x v="0"/>
    <x v="1520"/>
    <n v="3427964756"/>
    <n v="1863.64"/>
    <s v="UK pounds"/>
    <s v="US dollar"/>
    <x v="0"/>
    <s v="USA"/>
    <x v="1"/>
    <x v="0"/>
    <x v="2"/>
    <s v="Potential Layering"/>
    <x v="0"/>
  </r>
  <r>
    <x v="1721"/>
    <x v="0"/>
    <x v="68"/>
    <n v="7505089539"/>
    <n v="8453.64"/>
    <s v="UK pounds"/>
    <s v="UK pounds"/>
    <x v="0"/>
    <s v="UK"/>
    <x v="3"/>
    <x v="0"/>
    <x v="1"/>
    <s v="Consistent"/>
    <x v="0"/>
  </r>
  <r>
    <x v="1722"/>
    <x v="0"/>
    <x v="8"/>
    <n v="2883324502"/>
    <n v="9555.07"/>
    <s v="UK pounds"/>
    <s v="Euro"/>
    <x v="0"/>
    <s v="UK"/>
    <x v="4"/>
    <x v="0"/>
    <x v="1"/>
    <s v="Potential Layering"/>
    <x v="0"/>
  </r>
  <r>
    <x v="1723"/>
    <x v="0"/>
    <x v="8"/>
    <n v="7749320382"/>
    <n v="10852.77"/>
    <s v="UK pounds"/>
    <s v="UK pounds"/>
    <x v="0"/>
    <s v="UK"/>
    <x v="3"/>
    <x v="0"/>
    <x v="1"/>
    <s v="Consistent"/>
    <x v="0"/>
  </r>
  <r>
    <x v="1724"/>
    <x v="0"/>
    <x v="1521"/>
    <n v="7681334287"/>
    <n v="3504.13"/>
    <s v="UK pounds"/>
    <s v="UK pounds"/>
    <x v="0"/>
    <s v="UK"/>
    <x v="5"/>
    <x v="0"/>
    <x v="2"/>
    <s v="Consistent"/>
    <x v="0"/>
  </r>
  <r>
    <x v="1725"/>
    <x v="0"/>
    <x v="1522"/>
    <n v="7023323263"/>
    <n v="1582.64"/>
    <s v="UK pounds"/>
    <s v="UK pounds"/>
    <x v="0"/>
    <s v="UK"/>
    <x v="0"/>
    <x v="0"/>
    <x v="0"/>
    <s v="Consistent"/>
    <x v="0"/>
  </r>
  <r>
    <x v="1726"/>
    <x v="0"/>
    <x v="1523"/>
    <n v="9822692950"/>
    <n v="261.01"/>
    <s v="UK pounds"/>
    <s v="UK pounds"/>
    <x v="0"/>
    <s v="UK"/>
    <x v="5"/>
    <x v="0"/>
    <x v="2"/>
    <s v="Consistent"/>
    <x v="0"/>
  </r>
  <r>
    <x v="1727"/>
    <x v="0"/>
    <x v="1524"/>
    <n v="3927919354"/>
    <n v="514.32000000000005"/>
    <s v="UK pounds"/>
    <s v="UK pounds"/>
    <x v="0"/>
    <s v="UK"/>
    <x v="2"/>
    <x v="0"/>
    <x v="2"/>
    <s v="Consistent"/>
    <x v="0"/>
  </r>
  <r>
    <x v="1728"/>
    <x v="0"/>
    <x v="1220"/>
    <n v="4889197724"/>
    <n v="8449.75"/>
    <s v="UK pounds"/>
    <s v="UK pounds"/>
    <x v="0"/>
    <s v="UK"/>
    <x v="2"/>
    <x v="0"/>
    <x v="6"/>
    <s v="Consistent"/>
    <x v="0"/>
  </r>
  <r>
    <x v="1729"/>
    <x v="0"/>
    <x v="1525"/>
    <n v="3695545812"/>
    <n v="24361.84"/>
    <s v="UK pounds"/>
    <s v="UK pounds"/>
    <x v="0"/>
    <s v="UK"/>
    <x v="3"/>
    <x v="0"/>
    <x v="3"/>
    <s v="Consistent"/>
    <x v="0"/>
  </r>
  <r>
    <x v="1730"/>
    <x v="0"/>
    <x v="1526"/>
    <n v="3290314006"/>
    <n v="1777.89"/>
    <s v="UK pounds"/>
    <s v="UK pounds"/>
    <x v="0"/>
    <s v="UK"/>
    <x v="0"/>
    <x v="0"/>
    <x v="0"/>
    <s v="Consistent"/>
    <x v="0"/>
  </r>
  <r>
    <x v="1731"/>
    <x v="0"/>
    <x v="1527"/>
    <n v="9651904023"/>
    <n v="5739.17"/>
    <s v="UK pounds"/>
    <s v="Yen"/>
    <x v="0"/>
    <s v="Japan"/>
    <x v="1"/>
    <x v="0"/>
    <x v="2"/>
    <s v="Potential Layering"/>
    <x v="0"/>
  </r>
  <r>
    <x v="1732"/>
    <x v="0"/>
    <x v="1490"/>
    <n v="7080357663"/>
    <n v="8536.7900000000009"/>
    <s v="UK pounds"/>
    <s v="UK pounds"/>
    <x v="0"/>
    <s v="UK"/>
    <x v="2"/>
    <x v="0"/>
    <x v="3"/>
    <s v="Consistent"/>
    <x v="0"/>
  </r>
  <r>
    <x v="1733"/>
    <x v="0"/>
    <x v="408"/>
    <n v="6953672776"/>
    <n v="7748.22"/>
    <s v="UK pounds"/>
    <s v="Mexican Peso"/>
    <x v="0"/>
    <s v="Mexico"/>
    <x v="1"/>
    <x v="0"/>
    <x v="3"/>
    <s v="Potential Layering"/>
    <x v="0"/>
  </r>
  <r>
    <x v="1734"/>
    <x v="0"/>
    <x v="1528"/>
    <n v="8403501745"/>
    <n v="15271.72"/>
    <s v="UK pounds"/>
    <s v="UK pounds"/>
    <x v="0"/>
    <s v="UK"/>
    <x v="2"/>
    <x v="0"/>
    <x v="4"/>
    <s v="Consistent"/>
    <x v="0"/>
  </r>
  <r>
    <x v="1735"/>
    <x v="0"/>
    <x v="1529"/>
    <n v="5622155156"/>
    <n v="7059.83"/>
    <s v="UK pounds"/>
    <s v="UK pounds"/>
    <x v="0"/>
    <s v="UK"/>
    <x v="2"/>
    <x v="0"/>
    <x v="2"/>
    <s v="Consistent"/>
    <x v="0"/>
  </r>
  <r>
    <x v="1736"/>
    <x v="0"/>
    <x v="1530"/>
    <n v="7829451091"/>
    <n v="421.25"/>
    <s v="UK pounds"/>
    <s v="UK pounds"/>
    <x v="0"/>
    <s v="UK"/>
    <x v="3"/>
    <x v="0"/>
    <x v="2"/>
    <s v="Consistent"/>
    <x v="0"/>
  </r>
  <r>
    <x v="1736"/>
    <x v="0"/>
    <x v="1531"/>
    <n v="8931466111"/>
    <n v="4632.75"/>
    <s v="UK pounds"/>
    <s v="UK pounds"/>
    <x v="0"/>
    <s v="UK"/>
    <x v="3"/>
    <x v="0"/>
    <x v="4"/>
    <s v="Consistent"/>
    <x v="0"/>
  </r>
  <r>
    <x v="1737"/>
    <x v="0"/>
    <x v="1532"/>
    <n v="3810698895"/>
    <n v="2233.31"/>
    <s v="UK pounds"/>
    <s v="UK pounds"/>
    <x v="0"/>
    <s v="UK"/>
    <x v="5"/>
    <x v="0"/>
    <x v="2"/>
    <s v="Consistent"/>
    <x v="0"/>
  </r>
  <r>
    <x v="1738"/>
    <x v="0"/>
    <x v="1533"/>
    <n v="1431561040"/>
    <n v="5723.09"/>
    <s v="UK pounds"/>
    <s v="UK pounds"/>
    <x v="0"/>
    <s v="UK"/>
    <x v="5"/>
    <x v="0"/>
    <x v="3"/>
    <s v="Consistent"/>
    <x v="0"/>
  </r>
  <r>
    <x v="1739"/>
    <x v="0"/>
    <x v="1534"/>
    <n v="399704647"/>
    <n v="10887.8"/>
    <s v="UK pounds"/>
    <s v="UK pounds"/>
    <x v="0"/>
    <s v="UK"/>
    <x v="4"/>
    <x v="0"/>
    <x v="2"/>
    <s v="Consistent"/>
    <x v="0"/>
  </r>
  <r>
    <x v="1740"/>
    <x v="0"/>
    <x v="1535"/>
    <n v="8891438012"/>
    <n v="1475.6"/>
    <s v="UK pounds"/>
    <s v="UK pounds"/>
    <x v="0"/>
    <s v="UK"/>
    <x v="5"/>
    <x v="0"/>
    <x v="2"/>
    <s v="Consistent"/>
    <x v="0"/>
  </r>
  <r>
    <x v="1740"/>
    <x v="0"/>
    <x v="86"/>
    <n v="1378700258"/>
    <n v="15165.82"/>
    <s v="UK pounds"/>
    <s v="UK pounds"/>
    <x v="0"/>
    <s v="UK"/>
    <x v="3"/>
    <x v="0"/>
    <x v="1"/>
    <s v="Consistent"/>
    <x v="0"/>
  </r>
  <r>
    <x v="1741"/>
    <x v="0"/>
    <x v="568"/>
    <n v="8358955990"/>
    <n v="5635.37"/>
    <s v="UK pounds"/>
    <s v="UK pounds"/>
    <x v="0"/>
    <s v="UK"/>
    <x v="4"/>
    <x v="0"/>
    <x v="2"/>
    <s v="Consistent"/>
    <x v="0"/>
  </r>
  <r>
    <x v="1742"/>
    <x v="0"/>
    <x v="210"/>
    <n v="5888689265"/>
    <n v="8947.67"/>
    <s v="UK pounds"/>
    <s v="UK pounds"/>
    <x v="0"/>
    <s v="UK"/>
    <x v="4"/>
    <x v="0"/>
    <x v="1"/>
    <s v="Consistent"/>
    <x v="0"/>
  </r>
  <r>
    <x v="1743"/>
    <x v="0"/>
    <x v="39"/>
    <n v="4173195094"/>
    <n v="11785.07"/>
    <s v="UK pounds"/>
    <s v="UK pounds"/>
    <x v="0"/>
    <s v="UK"/>
    <x v="4"/>
    <x v="0"/>
    <x v="3"/>
    <s v="Consistent"/>
    <x v="0"/>
  </r>
  <r>
    <x v="1744"/>
    <x v="0"/>
    <x v="1536"/>
    <n v="5556040562"/>
    <n v="14500.88"/>
    <s v="UK pounds"/>
    <s v="UK pounds"/>
    <x v="0"/>
    <s v="UK"/>
    <x v="2"/>
    <x v="0"/>
    <x v="8"/>
    <s v="Consistent"/>
    <x v="0"/>
  </r>
  <r>
    <x v="1744"/>
    <x v="0"/>
    <x v="34"/>
    <n v="3487686607"/>
    <n v="8347.51"/>
    <s v="UK pounds"/>
    <s v="UK pounds"/>
    <x v="0"/>
    <s v="UK"/>
    <x v="3"/>
    <x v="0"/>
    <x v="1"/>
    <s v="Consistent"/>
    <x v="0"/>
  </r>
  <r>
    <x v="1745"/>
    <x v="0"/>
    <x v="1537"/>
    <n v="8287938337"/>
    <n v="3402.04"/>
    <s v="UK pounds"/>
    <s v="UK pounds"/>
    <x v="0"/>
    <s v="UK"/>
    <x v="4"/>
    <x v="0"/>
    <x v="2"/>
    <s v="Consistent"/>
    <x v="0"/>
  </r>
  <r>
    <x v="1745"/>
    <x v="0"/>
    <x v="1538"/>
    <n v="2968552604"/>
    <n v="1935.77"/>
    <s v="UK pounds"/>
    <s v="UK pounds"/>
    <x v="0"/>
    <s v="UK"/>
    <x v="5"/>
    <x v="0"/>
    <x v="2"/>
    <s v="Consistent"/>
    <x v="0"/>
  </r>
  <r>
    <x v="1746"/>
    <x v="0"/>
    <x v="124"/>
    <n v="7122039154"/>
    <n v="5223.1899999999996"/>
    <s v="UK pounds"/>
    <s v="UK pounds"/>
    <x v="0"/>
    <s v="UK"/>
    <x v="4"/>
    <x v="0"/>
    <x v="1"/>
    <s v="Consistent"/>
    <x v="0"/>
  </r>
  <r>
    <x v="1747"/>
    <x v="0"/>
    <x v="1539"/>
    <n v="7811658898"/>
    <n v="2530.61"/>
    <s v="UK pounds"/>
    <s v="UK pounds"/>
    <x v="0"/>
    <s v="UK"/>
    <x v="0"/>
    <x v="0"/>
    <x v="0"/>
    <s v="Consistent"/>
    <x v="0"/>
  </r>
  <r>
    <x v="1747"/>
    <x v="0"/>
    <x v="1540"/>
    <n v="2679071245"/>
    <n v="801.52"/>
    <s v="UK pounds"/>
    <s v="UK pounds"/>
    <x v="0"/>
    <s v="UK"/>
    <x v="2"/>
    <x v="0"/>
    <x v="4"/>
    <s v="Consistent"/>
    <x v="0"/>
  </r>
  <r>
    <x v="1748"/>
    <x v="0"/>
    <x v="1541"/>
    <n v="1320927231"/>
    <n v="7188.55"/>
    <s v="UK pounds"/>
    <s v="UK pounds"/>
    <x v="0"/>
    <s v="UK"/>
    <x v="3"/>
    <x v="0"/>
    <x v="3"/>
    <s v="Consistent"/>
    <x v="0"/>
  </r>
  <r>
    <x v="1748"/>
    <x v="0"/>
    <x v="1542"/>
    <n v="4808280164"/>
    <n v="8467.25"/>
    <s v="UK pounds"/>
    <s v="UK pounds"/>
    <x v="0"/>
    <s v="UK"/>
    <x v="4"/>
    <x v="0"/>
    <x v="4"/>
    <s v="Consistent"/>
    <x v="0"/>
  </r>
  <r>
    <x v="1749"/>
    <x v="0"/>
    <x v="251"/>
    <n v="5858369125"/>
    <n v="17280.3"/>
    <s v="UK pounds"/>
    <s v="UK pounds"/>
    <x v="0"/>
    <s v="UK"/>
    <x v="2"/>
    <x v="0"/>
    <x v="3"/>
    <s v="Consistent"/>
    <x v="0"/>
  </r>
  <r>
    <x v="1750"/>
    <x v="0"/>
    <x v="745"/>
    <n v="5466123934"/>
    <n v="8454.24"/>
    <s v="UK pounds"/>
    <s v="UK pounds"/>
    <x v="0"/>
    <s v="UK"/>
    <x v="5"/>
    <x v="0"/>
    <x v="3"/>
    <s v="Consistent"/>
    <x v="0"/>
  </r>
  <r>
    <x v="1751"/>
    <x v="0"/>
    <x v="1543"/>
    <n v="4389315764"/>
    <n v="11432.36"/>
    <s v="UK pounds"/>
    <s v="UK pounds"/>
    <x v="0"/>
    <s v="UK"/>
    <x v="4"/>
    <x v="0"/>
    <x v="2"/>
    <s v="Consistent"/>
    <x v="0"/>
  </r>
  <r>
    <x v="1752"/>
    <x v="0"/>
    <x v="124"/>
    <n v="4057865559"/>
    <n v="9314.99"/>
    <s v="UK pounds"/>
    <s v="UK pounds"/>
    <x v="0"/>
    <s v="UK"/>
    <x v="2"/>
    <x v="0"/>
    <x v="1"/>
    <s v="Consistent"/>
    <x v="0"/>
  </r>
  <r>
    <x v="1753"/>
    <x v="0"/>
    <x v="920"/>
    <n v="5363117119"/>
    <n v="9644.7000000000007"/>
    <s v="UK pounds"/>
    <s v="UK pounds"/>
    <x v="0"/>
    <s v="UK"/>
    <x v="2"/>
    <x v="0"/>
    <x v="3"/>
    <s v="Consistent"/>
    <x v="0"/>
  </r>
  <r>
    <x v="1754"/>
    <x v="0"/>
    <x v="615"/>
    <n v="5858369125"/>
    <n v="7817.22"/>
    <s v="UK pounds"/>
    <s v="UK pounds"/>
    <x v="0"/>
    <s v="UK"/>
    <x v="2"/>
    <x v="0"/>
    <x v="3"/>
    <s v="Consistent"/>
    <x v="0"/>
  </r>
  <r>
    <x v="1755"/>
    <x v="0"/>
    <x v="1544"/>
    <n v="3368920731"/>
    <n v="27782.02"/>
    <s v="UK pounds"/>
    <s v="UK pounds"/>
    <x v="0"/>
    <s v="UK"/>
    <x v="2"/>
    <x v="0"/>
    <x v="2"/>
    <s v="Consistent"/>
    <x v="0"/>
  </r>
  <r>
    <x v="1755"/>
    <x v="0"/>
    <x v="63"/>
    <n v="3889335486"/>
    <n v="14716.99"/>
    <s v="UK pounds"/>
    <s v="UK pounds"/>
    <x v="0"/>
    <s v="UK"/>
    <x v="2"/>
    <x v="0"/>
    <x v="1"/>
    <s v="Consistent"/>
    <x v="0"/>
  </r>
  <r>
    <x v="1756"/>
    <x v="0"/>
    <x v="1545"/>
    <n v="1847194032"/>
    <n v="248.16"/>
    <s v="UK pounds"/>
    <s v="UK pounds"/>
    <x v="0"/>
    <s v="UK"/>
    <x v="3"/>
    <x v="0"/>
    <x v="2"/>
    <s v="Consistent"/>
    <x v="0"/>
  </r>
  <r>
    <x v="1757"/>
    <x v="0"/>
    <x v="1546"/>
    <n v="5116518184"/>
    <n v="251.65"/>
    <s v="UK pounds"/>
    <s v="UK pounds"/>
    <x v="0"/>
    <s v="UK"/>
    <x v="3"/>
    <x v="0"/>
    <x v="2"/>
    <s v="Consistent"/>
    <x v="0"/>
  </r>
  <r>
    <x v="1758"/>
    <x v="0"/>
    <x v="1547"/>
    <n v="9333931974"/>
    <n v="110.63"/>
    <s v="UK pounds"/>
    <s v="UK pounds"/>
    <x v="0"/>
    <s v="UK"/>
    <x v="6"/>
    <x v="0"/>
    <x v="5"/>
    <s v="Consistent"/>
    <x v="0"/>
  </r>
  <r>
    <x v="1758"/>
    <x v="0"/>
    <x v="9"/>
    <n v="3557538160"/>
    <n v="4221.92"/>
    <s v="UK pounds"/>
    <s v="UK pounds"/>
    <x v="0"/>
    <s v="UK"/>
    <x v="4"/>
    <x v="0"/>
    <x v="1"/>
    <s v="Consistent"/>
    <x v="0"/>
  </r>
  <r>
    <x v="1758"/>
    <x v="0"/>
    <x v="1548"/>
    <n v="7390345835"/>
    <n v="13406.96"/>
    <s v="UK pounds"/>
    <s v="UK pounds"/>
    <x v="0"/>
    <s v="UK"/>
    <x v="3"/>
    <x v="0"/>
    <x v="2"/>
    <s v="Consistent"/>
    <x v="0"/>
  </r>
  <r>
    <x v="1759"/>
    <x v="0"/>
    <x v="941"/>
    <n v="1320927231"/>
    <n v="9587.14"/>
    <s v="UK pounds"/>
    <s v="UK pounds"/>
    <x v="0"/>
    <s v="UK"/>
    <x v="5"/>
    <x v="0"/>
    <x v="3"/>
    <s v="Consistent"/>
    <x v="0"/>
  </r>
  <r>
    <x v="1760"/>
    <x v="0"/>
    <x v="1549"/>
    <n v="2485355071"/>
    <n v="4699.96"/>
    <s v="UK pounds"/>
    <s v="UK pounds"/>
    <x v="0"/>
    <s v="UK"/>
    <x v="4"/>
    <x v="0"/>
    <x v="2"/>
    <s v="Consistent"/>
    <x v="0"/>
  </r>
  <r>
    <x v="1761"/>
    <x v="0"/>
    <x v="1550"/>
    <n v="8834373071"/>
    <n v="1935.62"/>
    <s v="UK pounds"/>
    <s v="UK pounds"/>
    <x v="0"/>
    <s v="UK"/>
    <x v="4"/>
    <x v="0"/>
    <x v="2"/>
    <s v="Consistent"/>
    <x v="0"/>
  </r>
  <r>
    <x v="1762"/>
    <x v="0"/>
    <x v="1048"/>
    <n v="409707192"/>
    <n v="6136.41"/>
    <s v="UK pounds"/>
    <s v="UK pounds"/>
    <x v="0"/>
    <s v="UK"/>
    <x v="5"/>
    <x v="0"/>
    <x v="3"/>
    <s v="Consistent"/>
    <x v="0"/>
  </r>
  <r>
    <x v="1763"/>
    <x v="0"/>
    <x v="479"/>
    <n v="8518184956"/>
    <n v="6889.84"/>
    <s v="UK pounds"/>
    <s v="UK pounds"/>
    <x v="0"/>
    <s v="UK"/>
    <x v="4"/>
    <x v="0"/>
    <x v="3"/>
    <s v="Consistent"/>
    <x v="0"/>
  </r>
  <r>
    <x v="1764"/>
    <x v="0"/>
    <x v="35"/>
    <n v="9858029207"/>
    <n v="8658.9599999999991"/>
    <s v="UK pounds"/>
    <s v="Turkish lira"/>
    <x v="0"/>
    <s v="Turkey"/>
    <x v="1"/>
    <x v="0"/>
    <x v="1"/>
    <s v="Potential Layering"/>
    <x v="0"/>
  </r>
  <r>
    <x v="1765"/>
    <x v="0"/>
    <x v="1551"/>
    <n v="7440882270"/>
    <n v="7120.47"/>
    <s v="UK pounds"/>
    <s v="UK pounds"/>
    <x v="0"/>
    <s v="UK"/>
    <x v="5"/>
    <x v="0"/>
    <x v="2"/>
    <s v="Consistent"/>
    <x v="0"/>
  </r>
  <r>
    <x v="1766"/>
    <x v="0"/>
    <x v="1552"/>
    <n v="7633353182"/>
    <n v="120.16"/>
    <s v="UK pounds"/>
    <s v="UK pounds"/>
    <x v="0"/>
    <s v="UK"/>
    <x v="2"/>
    <x v="0"/>
    <x v="2"/>
    <s v="Consistent"/>
    <x v="0"/>
  </r>
  <r>
    <x v="1767"/>
    <x v="0"/>
    <x v="1553"/>
    <n v="2974851432"/>
    <n v="2330.58"/>
    <s v="UK pounds"/>
    <s v="UK pounds"/>
    <x v="0"/>
    <s v="UK"/>
    <x v="4"/>
    <x v="0"/>
    <x v="2"/>
    <s v="Consistent"/>
    <x v="0"/>
  </r>
  <r>
    <x v="1768"/>
    <x v="0"/>
    <x v="1554"/>
    <n v="1890700458"/>
    <n v="10958.9"/>
    <s v="UK pounds"/>
    <s v="UK pounds"/>
    <x v="0"/>
    <s v="UK"/>
    <x v="4"/>
    <x v="0"/>
    <x v="2"/>
    <s v="Consistent"/>
    <x v="0"/>
  </r>
  <r>
    <x v="1769"/>
    <x v="0"/>
    <x v="233"/>
    <n v="7509313232"/>
    <n v="2750"/>
    <s v="UK pounds"/>
    <s v="UK pounds"/>
    <x v="0"/>
    <s v="UK"/>
    <x v="2"/>
    <x v="0"/>
    <x v="2"/>
    <s v="Consistent"/>
    <x v="0"/>
  </r>
  <r>
    <x v="1770"/>
    <x v="0"/>
    <x v="210"/>
    <n v="7011505686"/>
    <n v="11446.68"/>
    <s v="UK pounds"/>
    <s v="Euro"/>
    <x v="0"/>
    <s v="Italy"/>
    <x v="1"/>
    <x v="0"/>
    <x v="1"/>
    <s v="Potential Layering"/>
    <x v="0"/>
  </r>
  <r>
    <x v="1771"/>
    <x v="0"/>
    <x v="1"/>
    <n v="9460624653"/>
    <n v="12748.05"/>
    <s v="UK pounds"/>
    <s v="Euro"/>
    <x v="0"/>
    <s v="Spain"/>
    <x v="1"/>
    <x v="0"/>
    <x v="1"/>
    <s v="Potential Layering"/>
    <x v="0"/>
  </r>
  <r>
    <x v="1772"/>
    <x v="0"/>
    <x v="611"/>
    <n v="3695545812"/>
    <n v="20747.669999999998"/>
    <s v="UK pounds"/>
    <s v="UK pounds"/>
    <x v="0"/>
    <s v="UK"/>
    <x v="4"/>
    <x v="0"/>
    <x v="3"/>
    <s v="Consistent"/>
    <x v="0"/>
  </r>
  <r>
    <x v="1773"/>
    <x v="0"/>
    <x v="1299"/>
    <n v="9105769228"/>
    <n v="6549.81"/>
    <s v="UK pounds"/>
    <s v="UK pounds"/>
    <x v="0"/>
    <s v="UK"/>
    <x v="4"/>
    <x v="0"/>
    <x v="3"/>
    <s v="Consistent"/>
    <x v="0"/>
  </r>
  <r>
    <x v="1774"/>
    <x v="0"/>
    <x v="1555"/>
    <n v="7004320228"/>
    <n v="4176.72"/>
    <s v="UK pounds"/>
    <s v="UK pounds"/>
    <x v="0"/>
    <s v="UK"/>
    <x v="0"/>
    <x v="0"/>
    <x v="0"/>
    <s v="Consistent"/>
    <x v="0"/>
  </r>
  <r>
    <x v="1775"/>
    <x v="0"/>
    <x v="1556"/>
    <n v="8400332529"/>
    <n v="963.31"/>
    <s v="UK pounds"/>
    <s v="UK pounds"/>
    <x v="0"/>
    <s v="UK"/>
    <x v="3"/>
    <x v="0"/>
    <x v="2"/>
    <s v="Consistent"/>
    <x v="0"/>
  </r>
  <r>
    <x v="1775"/>
    <x v="0"/>
    <x v="1557"/>
    <n v="665107776"/>
    <n v="3148.14"/>
    <s v="UK pounds"/>
    <s v="UK pounds"/>
    <x v="0"/>
    <s v="UK"/>
    <x v="3"/>
    <x v="0"/>
    <x v="2"/>
    <s v="Consistent"/>
    <x v="0"/>
  </r>
  <r>
    <x v="1776"/>
    <x v="0"/>
    <x v="1558"/>
    <n v="441611918"/>
    <n v="1426.37"/>
    <s v="UK pounds"/>
    <s v="UK pounds"/>
    <x v="0"/>
    <s v="UK"/>
    <x v="0"/>
    <x v="0"/>
    <x v="0"/>
    <s v="Consistent"/>
    <x v="0"/>
  </r>
  <r>
    <x v="1777"/>
    <x v="0"/>
    <x v="1087"/>
    <n v="6691833511"/>
    <n v="1430.75"/>
    <s v="Yen"/>
    <s v="UK pounds"/>
    <x v="3"/>
    <s v="UK"/>
    <x v="1"/>
    <x v="0"/>
    <x v="2"/>
    <s v="Potential Layering"/>
    <x v="2"/>
  </r>
  <r>
    <x v="1778"/>
    <x v="0"/>
    <x v="1559"/>
    <n v="7177567542"/>
    <n v="6752.55"/>
    <s v="UK pounds"/>
    <s v="UK pounds"/>
    <x v="0"/>
    <s v="UK"/>
    <x v="3"/>
    <x v="0"/>
    <x v="2"/>
    <s v="Consistent"/>
    <x v="0"/>
  </r>
  <r>
    <x v="1779"/>
    <x v="0"/>
    <x v="1560"/>
    <n v="1261579466"/>
    <n v="8413.02"/>
    <s v="UK pounds"/>
    <s v="UK pounds"/>
    <x v="0"/>
    <s v="UK"/>
    <x v="3"/>
    <x v="0"/>
    <x v="2"/>
    <s v="Consistent"/>
    <x v="0"/>
  </r>
  <r>
    <x v="1780"/>
    <x v="0"/>
    <x v="1561"/>
    <n v="5896180453"/>
    <n v="11127.69"/>
    <s v="UK pounds"/>
    <s v="UK pounds"/>
    <x v="0"/>
    <s v="UK"/>
    <x v="5"/>
    <x v="0"/>
    <x v="3"/>
    <s v="Consistent"/>
    <x v="0"/>
  </r>
  <r>
    <x v="1780"/>
    <x v="0"/>
    <x v="1562"/>
    <n v="2700010988"/>
    <n v="3488.75"/>
    <s v="UK pounds"/>
    <s v="UK pounds"/>
    <x v="0"/>
    <s v="UK"/>
    <x v="3"/>
    <x v="0"/>
    <x v="2"/>
    <s v="Consistent"/>
    <x v="0"/>
  </r>
  <r>
    <x v="1781"/>
    <x v="0"/>
    <x v="841"/>
    <n v="6953672776"/>
    <n v="8550.99"/>
    <s v="UK pounds"/>
    <s v="Mexican Peso"/>
    <x v="0"/>
    <s v="Mexico"/>
    <x v="1"/>
    <x v="0"/>
    <x v="3"/>
    <s v="Potential Layering"/>
    <x v="0"/>
  </r>
  <r>
    <x v="1782"/>
    <x v="0"/>
    <x v="747"/>
    <n v="5708936901"/>
    <n v="5801.47"/>
    <s v="UK pounds"/>
    <s v="UK pounds"/>
    <x v="0"/>
    <s v="UK"/>
    <x v="4"/>
    <x v="0"/>
    <x v="3"/>
    <s v="Consistent"/>
    <x v="0"/>
  </r>
  <r>
    <x v="1783"/>
    <x v="0"/>
    <x v="110"/>
    <n v="4117514495"/>
    <n v="4850.8900000000003"/>
    <s v="UK pounds"/>
    <s v="UK pounds"/>
    <x v="0"/>
    <s v="UK"/>
    <x v="2"/>
    <x v="0"/>
    <x v="1"/>
    <s v="Consistent"/>
    <x v="0"/>
  </r>
  <r>
    <x v="1784"/>
    <x v="0"/>
    <x v="1563"/>
    <n v="7892884492"/>
    <n v="17599.849999999999"/>
    <s v="UK pounds"/>
    <s v="US dollar"/>
    <x v="0"/>
    <s v="USA"/>
    <x v="1"/>
    <x v="0"/>
    <x v="3"/>
    <s v="Potential Layering"/>
    <x v="0"/>
  </r>
  <r>
    <x v="1785"/>
    <x v="0"/>
    <x v="708"/>
    <n v="7898602992"/>
    <n v="610.15"/>
    <s v="UK pounds"/>
    <s v="UK pounds"/>
    <x v="0"/>
    <s v="UK"/>
    <x v="5"/>
    <x v="0"/>
    <x v="2"/>
    <s v="Consistent"/>
    <x v="0"/>
  </r>
  <r>
    <x v="1785"/>
    <x v="0"/>
    <x v="1564"/>
    <n v="8531561324"/>
    <n v="21227.51"/>
    <s v="UK pounds"/>
    <s v="UK pounds"/>
    <x v="0"/>
    <s v="UK"/>
    <x v="4"/>
    <x v="0"/>
    <x v="2"/>
    <s v="Consistent"/>
    <x v="0"/>
  </r>
  <r>
    <x v="1786"/>
    <x v="0"/>
    <x v="1565"/>
    <n v="3195734264"/>
    <n v="260.27999999999997"/>
    <s v="UK pounds"/>
    <s v="UK pounds"/>
    <x v="0"/>
    <s v="UK"/>
    <x v="5"/>
    <x v="0"/>
    <x v="2"/>
    <s v="Consistent"/>
    <x v="0"/>
  </r>
  <r>
    <x v="1787"/>
    <x v="0"/>
    <x v="1566"/>
    <n v="3447850137"/>
    <n v="996.3"/>
    <s v="UK pounds"/>
    <s v="UK pounds"/>
    <x v="0"/>
    <s v="UK"/>
    <x v="0"/>
    <x v="0"/>
    <x v="0"/>
    <s v="Consistent"/>
    <x v="0"/>
  </r>
  <r>
    <x v="1787"/>
    <x v="0"/>
    <x v="1462"/>
    <n v="5112501104"/>
    <n v="5892.7"/>
    <s v="UK pounds"/>
    <s v="UK pounds"/>
    <x v="0"/>
    <s v="UK"/>
    <x v="4"/>
    <x v="0"/>
    <x v="6"/>
    <s v="Consistent"/>
    <x v="0"/>
  </r>
  <r>
    <x v="1788"/>
    <x v="0"/>
    <x v="1567"/>
    <n v="1377603863"/>
    <n v="5445.4"/>
    <s v="UK pounds"/>
    <s v="UK pounds"/>
    <x v="0"/>
    <s v="UK"/>
    <x v="5"/>
    <x v="0"/>
    <x v="3"/>
    <s v="Consistent"/>
    <x v="0"/>
  </r>
  <r>
    <x v="1789"/>
    <x v="0"/>
    <x v="368"/>
    <n v="3809653464"/>
    <n v="8819.1"/>
    <s v="UK pounds"/>
    <s v="Euro"/>
    <x v="0"/>
    <s v="Netherlands"/>
    <x v="1"/>
    <x v="0"/>
    <x v="1"/>
    <s v="Potential Layering"/>
    <x v="0"/>
  </r>
  <r>
    <x v="1790"/>
    <x v="0"/>
    <x v="1568"/>
    <n v="6813185909"/>
    <n v="133.97"/>
    <s v="UK pounds"/>
    <s v="UK pounds"/>
    <x v="0"/>
    <s v="UK"/>
    <x v="6"/>
    <x v="0"/>
    <x v="5"/>
    <s v="Consistent"/>
    <x v="0"/>
  </r>
  <r>
    <x v="1790"/>
    <x v="0"/>
    <x v="1569"/>
    <n v="941102661"/>
    <n v="509.13"/>
    <s v="UK pounds"/>
    <s v="UK pounds"/>
    <x v="0"/>
    <s v="UK"/>
    <x v="3"/>
    <x v="0"/>
    <x v="2"/>
    <s v="Consistent"/>
    <x v="0"/>
  </r>
  <r>
    <x v="1791"/>
    <x v="0"/>
    <x v="1570"/>
    <n v="3087946555"/>
    <n v="716.46"/>
    <s v="UK pounds"/>
    <s v="UK pounds"/>
    <x v="0"/>
    <s v="UK"/>
    <x v="3"/>
    <x v="0"/>
    <x v="4"/>
    <s v="Consistent"/>
    <x v="0"/>
  </r>
  <r>
    <x v="1792"/>
    <x v="0"/>
    <x v="1571"/>
    <n v="4576147620"/>
    <n v="33583.120000000003"/>
    <s v="UK pounds"/>
    <s v="UK pounds"/>
    <x v="0"/>
    <s v="UK"/>
    <x v="4"/>
    <x v="0"/>
    <x v="8"/>
    <s v="Consistent"/>
    <x v="0"/>
  </r>
  <r>
    <x v="1793"/>
    <x v="0"/>
    <x v="644"/>
    <n v="1465487567"/>
    <n v="17605.7"/>
    <s v="UK pounds"/>
    <s v="UK pounds"/>
    <x v="0"/>
    <s v="UK"/>
    <x v="5"/>
    <x v="0"/>
    <x v="3"/>
    <s v="Consistent"/>
    <x v="0"/>
  </r>
  <r>
    <x v="1794"/>
    <x v="0"/>
    <x v="1572"/>
    <n v="1070668333"/>
    <n v="2852.41"/>
    <s v="UK pounds"/>
    <s v="UK pounds"/>
    <x v="0"/>
    <s v="UK"/>
    <x v="3"/>
    <x v="0"/>
    <x v="4"/>
    <s v="Consistent"/>
    <x v="0"/>
  </r>
  <r>
    <x v="1795"/>
    <x v="0"/>
    <x v="1"/>
    <n v="8401255335"/>
    <n v="6066.9"/>
    <s v="UK pounds"/>
    <s v="Dirham"/>
    <x v="0"/>
    <s v="UAE"/>
    <x v="1"/>
    <x v="0"/>
    <x v="1"/>
    <s v="Potential Layering"/>
    <x v="0"/>
  </r>
  <r>
    <x v="1796"/>
    <x v="0"/>
    <x v="110"/>
    <n v="6864265387"/>
    <n v="6094.86"/>
    <s v="UK pounds"/>
    <s v="UK pounds"/>
    <x v="0"/>
    <s v="UK"/>
    <x v="5"/>
    <x v="0"/>
    <x v="1"/>
    <s v="Consistent"/>
    <x v="0"/>
  </r>
  <r>
    <x v="1797"/>
    <x v="0"/>
    <x v="1573"/>
    <n v="5453026234"/>
    <n v="7534.08"/>
    <s v="UK pounds"/>
    <s v="UK pounds"/>
    <x v="0"/>
    <s v="UK"/>
    <x v="4"/>
    <x v="0"/>
    <x v="2"/>
    <s v="Consistent"/>
    <x v="0"/>
  </r>
  <r>
    <x v="1798"/>
    <x v="0"/>
    <x v="1574"/>
    <n v="5228783575"/>
    <n v="1536.04"/>
    <s v="UK pounds"/>
    <s v="UK pounds"/>
    <x v="0"/>
    <s v="UK"/>
    <x v="0"/>
    <x v="0"/>
    <x v="0"/>
    <s v="Consistent"/>
    <x v="0"/>
  </r>
  <r>
    <x v="1799"/>
    <x v="0"/>
    <x v="1575"/>
    <n v="9398227120"/>
    <n v="4273.6000000000004"/>
    <s v="UK pounds"/>
    <s v="Swiss franc"/>
    <x v="0"/>
    <s v="UK"/>
    <x v="2"/>
    <x v="0"/>
    <x v="2"/>
    <s v="Potential Layering"/>
    <x v="0"/>
  </r>
  <r>
    <x v="1799"/>
    <x v="0"/>
    <x v="1576"/>
    <n v="9830312092"/>
    <n v="1270.82"/>
    <s v="UK pounds"/>
    <s v="Indian rupee"/>
    <x v="0"/>
    <s v="India"/>
    <x v="1"/>
    <x v="0"/>
    <x v="2"/>
    <s v="Potential Layering"/>
    <x v="0"/>
  </r>
  <r>
    <x v="1800"/>
    <x v="0"/>
    <x v="339"/>
    <n v="8519194353"/>
    <n v="11276.48"/>
    <s v="UK pounds"/>
    <s v="Pakistani rupee"/>
    <x v="0"/>
    <s v="Pakistan"/>
    <x v="1"/>
    <x v="0"/>
    <x v="1"/>
    <s v="Potential Layering"/>
    <x v="0"/>
  </r>
  <r>
    <x v="1800"/>
    <x v="0"/>
    <x v="1577"/>
    <n v="6572999489"/>
    <n v="406.13"/>
    <s v="UK pounds"/>
    <s v="UK pounds"/>
    <x v="0"/>
    <s v="UK"/>
    <x v="2"/>
    <x v="0"/>
    <x v="2"/>
    <s v="Consistent"/>
    <x v="0"/>
  </r>
  <r>
    <x v="1800"/>
    <x v="0"/>
    <x v="628"/>
    <n v="1813014634"/>
    <n v="237.48"/>
    <s v="UK pounds"/>
    <s v="UK pounds"/>
    <x v="0"/>
    <s v="UK"/>
    <x v="4"/>
    <x v="0"/>
    <x v="4"/>
    <s v="Consistent"/>
    <x v="0"/>
  </r>
  <r>
    <x v="1801"/>
    <x v="0"/>
    <x v="1578"/>
    <n v="7827593959"/>
    <n v="2483.96"/>
    <s v="UK pounds"/>
    <s v="UK pounds"/>
    <x v="0"/>
    <s v="UK"/>
    <x v="3"/>
    <x v="0"/>
    <x v="2"/>
    <s v="Consistent"/>
    <x v="0"/>
  </r>
  <r>
    <x v="1802"/>
    <x v="0"/>
    <x v="1440"/>
    <n v="5408804160"/>
    <n v="1605"/>
    <s v="UK pounds"/>
    <s v="UK pounds"/>
    <x v="0"/>
    <s v="UK"/>
    <x v="0"/>
    <x v="0"/>
    <x v="0"/>
    <s v="Consistent"/>
    <x v="0"/>
  </r>
  <r>
    <x v="1803"/>
    <x v="0"/>
    <x v="128"/>
    <n v="5858369125"/>
    <n v="6008.06"/>
    <s v="UK pounds"/>
    <s v="UK pounds"/>
    <x v="0"/>
    <s v="UK"/>
    <x v="5"/>
    <x v="0"/>
    <x v="3"/>
    <s v="Consistent"/>
    <x v="0"/>
  </r>
  <r>
    <x v="1804"/>
    <x v="0"/>
    <x v="1579"/>
    <n v="8352571580"/>
    <n v="12004.43"/>
    <s v="UK pounds"/>
    <s v="UK pounds"/>
    <x v="0"/>
    <s v="UK"/>
    <x v="5"/>
    <x v="0"/>
    <x v="3"/>
    <s v="Consistent"/>
    <x v="0"/>
  </r>
  <r>
    <x v="1804"/>
    <x v="0"/>
    <x v="394"/>
    <n v="9734911782"/>
    <n v="16637.38"/>
    <s v="UK pounds"/>
    <s v="UK pounds"/>
    <x v="0"/>
    <s v="UK"/>
    <x v="2"/>
    <x v="0"/>
    <x v="2"/>
    <s v="Consistent"/>
    <x v="0"/>
  </r>
  <r>
    <x v="1805"/>
    <x v="0"/>
    <x v="1580"/>
    <n v="4169343637"/>
    <n v="4638.03"/>
    <s v="UK pounds"/>
    <s v="UK pounds"/>
    <x v="0"/>
    <s v="UK"/>
    <x v="5"/>
    <x v="0"/>
    <x v="2"/>
    <s v="Consistent"/>
    <x v="0"/>
  </r>
  <r>
    <x v="1806"/>
    <x v="0"/>
    <x v="1581"/>
    <n v="5706442692"/>
    <n v="291.61"/>
    <s v="UK pounds"/>
    <s v="UK pounds"/>
    <x v="0"/>
    <s v="UK"/>
    <x v="6"/>
    <x v="0"/>
    <x v="5"/>
    <s v="Consistent"/>
    <x v="0"/>
  </r>
  <r>
    <x v="1807"/>
    <x v="0"/>
    <x v="388"/>
    <n v="4744425638"/>
    <n v="2069.64"/>
    <s v="UK pounds"/>
    <s v="Dirham"/>
    <x v="0"/>
    <s v="UAE"/>
    <x v="1"/>
    <x v="0"/>
    <x v="2"/>
    <s v="Potential Layering"/>
    <x v="0"/>
  </r>
  <r>
    <x v="1808"/>
    <x v="0"/>
    <x v="1582"/>
    <n v="9524204186"/>
    <n v="195.76"/>
    <s v="UK pounds"/>
    <s v="UK pounds"/>
    <x v="0"/>
    <s v="UK"/>
    <x v="3"/>
    <x v="0"/>
    <x v="2"/>
    <s v="Consistent"/>
    <x v="0"/>
  </r>
  <r>
    <x v="1808"/>
    <x v="0"/>
    <x v="1583"/>
    <n v="2477907704"/>
    <n v="6684.31"/>
    <s v="UK pounds"/>
    <s v="UK pounds"/>
    <x v="0"/>
    <s v="UK"/>
    <x v="2"/>
    <x v="0"/>
    <x v="4"/>
    <s v="Consistent"/>
    <x v="0"/>
  </r>
  <r>
    <x v="1809"/>
    <x v="0"/>
    <x v="1584"/>
    <n v="1739020770"/>
    <n v="27298.65"/>
    <s v="UK pounds"/>
    <s v="UK pounds"/>
    <x v="0"/>
    <s v="UK"/>
    <x v="2"/>
    <x v="0"/>
    <x v="2"/>
    <s v="Consistent"/>
    <x v="0"/>
  </r>
  <r>
    <x v="1810"/>
    <x v="0"/>
    <x v="1491"/>
    <n v="1431561040"/>
    <n v="10044.25"/>
    <s v="UK pounds"/>
    <s v="UK pounds"/>
    <x v="0"/>
    <s v="UK"/>
    <x v="4"/>
    <x v="0"/>
    <x v="3"/>
    <s v="Consistent"/>
    <x v="0"/>
  </r>
  <r>
    <x v="1811"/>
    <x v="0"/>
    <x v="1585"/>
    <n v="9468773476"/>
    <n v="753.59"/>
    <s v="UK pounds"/>
    <s v="UK pounds"/>
    <x v="0"/>
    <s v="UK"/>
    <x v="4"/>
    <x v="0"/>
    <x v="2"/>
    <s v="Consistent"/>
    <x v="0"/>
  </r>
  <r>
    <x v="1812"/>
    <x v="0"/>
    <x v="701"/>
    <n v="1320927231"/>
    <n v="5267.51"/>
    <s v="UK pounds"/>
    <s v="UK pounds"/>
    <x v="0"/>
    <s v="UK"/>
    <x v="2"/>
    <x v="0"/>
    <x v="3"/>
    <s v="Consistent"/>
    <x v="0"/>
  </r>
  <r>
    <x v="1813"/>
    <x v="0"/>
    <x v="1586"/>
    <n v="5143381717"/>
    <n v="22134.2"/>
    <s v="UK pounds"/>
    <s v="UK pounds"/>
    <x v="0"/>
    <s v="UK"/>
    <x v="5"/>
    <x v="0"/>
    <x v="2"/>
    <s v="Consistent"/>
    <x v="0"/>
  </r>
  <r>
    <x v="1814"/>
    <x v="0"/>
    <x v="129"/>
    <n v="8673917867"/>
    <n v="8647.8700000000008"/>
    <s v="UK pounds"/>
    <s v="UK pounds"/>
    <x v="0"/>
    <s v="UK"/>
    <x v="3"/>
    <x v="0"/>
    <x v="3"/>
    <s v="Consistent"/>
    <x v="0"/>
  </r>
  <r>
    <x v="1815"/>
    <x v="0"/>
    <x v="336"/>
    <n v="621060264"/>
    <n v="25458.14"/>
    <s v="UK pounds"/>
    <s v="UK pounds"/>
    <x v="0"/>
    <s v="UK"/>
    <x v="5"/>
    <x v="0"/>
    <x v="3"/>
    <s v="Consistent"/>
    <x v="0"/>
  </r>
  <r>
    <x v="1816"/>
    <x v="0"/>
    <x v="195"/>
    <n v="5162401694"/>
    <n v="10713.38"/>
    <s v="UK pounds"/>
    <s v="UK pounds"/>
    <x v="0"/>
    <s v="UK"/>
    <x v="3"/>
    <x v="0"/>
    <x v="1"/>
    <s v="Consistent"/>
    <x v="0"/>
  </r>
  <r>
    <x v="1816"/>
    <x v="0"/>
    <x v="1587"/>
    <n v="4275794093"/>
    <n v="864.66"/>
    <s v="UK pounds"/>
    <s v="UK pounds"/>
    <x v="0"/>
    <s v="UK"/>
    <x v="4"/>
    <x v="0"/>
    <x v="2"/>
    <s v="Consistent"/>
    <x v="0"/>
  </r>
  <r>
    <x v="1817"/>
    <x v="0"/>
    <x v="1588"/>
    <n v="1343571597"/>
    <n v="1942.5"/>
    <s v="UK pounds"/>
    <s v="UK pounds"/>
    <x v="0"/>
    <s v="UK"/>
    <x v="4"/>
    <x v="0"/>
    <x v="2"/>
    <s v="Consistent"/>
    <x v="0"/>
  </r>
  <r>
    <x v="1818"/>
    <x v="0"/>
    <x v="1589"/>
    <n v="3903944436"/>
    <n v="4382.3599999999997"/>
    <s v="UK pounds"/>
    <s v="UK pounds"/>
    <x v="0"/>
    <s v="UK"/>
    <x v="3"/>
    <x v="0"/>
    <x v="2"/>
    <s v="Consistent"/>
    <x v="0"/>
  </r>
  <r>
    <x v="1819"/>
    <x v="0"/>
    <x v="1590"/>
    <n v="6373118964"/>
    <n v="158.91"/>
    <s v="UK pounds"/>
    <s v="UK pounds"/>
    <x v="0"/>
    <s v="UK"/>
    <x v="6"/>
    <x v="0"/>
    <x v="5"/>
    <s v="Consistent"/>
    <x v="0"/>
  </r>
  <r>
    <x v="1820"/>
    <x v="0"/>
    <x v="1591"/>
    <n v="1285588849"/>
    <n v="1323.12"/>
    <s v="UK pounds"/>
    <s v="UK pounds"/>
    <x v="0"/>
    <s v="UK"/>
    <x v="0"/>
    <x v="0"/>
    <x v="0"/>
    <s v="Consistent"/>
    <x v="0"/>
  </r>
  <r>
    <x v="1821"/>
    <x v="0"/>
    <x v="124"/>
    <n v="881702872"/>
    <n v="8761.74"/>
    <s v="UK pounds"/>
    <s v="UK pounds"/>
    <x v="0"/>
    <s v="UK"/>
    <x v="2"/>
    <x v="0"/>
    <x v="1"/>
    <s v="Consistent"/>
    <x v="0"/>
  </r>
  <r>
    <x v="1822"/>
    <x v="0"/>
    <x v="1592"/>
    <n v="5977109387"/>
    <n v="6829.02"/>
    <s v="UK pounds"/>
    <s v="UK pounds"/>
    <x v="0"/>
    <s v="UK"/>
    <x v="5"/>
    <x v="0"/>
    <x v="2"/>
    <s v="Consistent"/>
    <x v="0"/>
  </r>
  <r>
    <x v="1822"/>
    <x v="0"/>
    <x v="1593"/>
    <n v="5901930134"/>
    <n v="2398.2399999999998"/>
    <s v="UK pounds"/>
    <s v="UK pounds"/>
    <x v="0"/>
    <s v="UK"/>
    <x v="5"/>
    <x v="0"/>
    <x v="4"/>
    <s v="Consistent"/>
    <x v="0"/>
  </r>
  <r>
    <x v="1823"/>
    <x v="0"/>
    <x v="638"/>
    <n v="2534644942"/>
    <n v="12544.4"/>
    <s v="UK pounds"/>
    <s v="Euro"/>
    <x v="0"/>
    <s v="France"/>
    <x v="1"/>
    <x v="0"/>
    <x v="3"/>
    <s v="Potential Layering"/>
    <x v="0"/>
  </r>
  <r>
    <x v="1824"/>
    <x v="0"/>
    <x v="195"/>
    <n v="5162401694"/>
    <n v="10598.71"/>
    <s v="UK pounds"/>
    <s v="UK pounds"/>
    <x v="0"/>
    <s v="UK"/>
    <x v="5"/>
    <x v="0"/>
    <x v="1"/>
    <s v="Consistent"/>
    <x v="0"/>
  </r>
  <r>
    <x v="1824"/>
    <x v="0"/>
    <x v="1594"/>
    <n v="4173195094"/>
    <n v="9794.84"/>
    <s v="UK pounds"/>
    <s v="UK pounds"/>
    <x v="0"/>
    <s v="UK"/>
    <x v="4"/>
    <x v="0"/>
    <x v="3"/>
    <s v="Consistent"/>
    <x v="0"/>
  </r>
  <r>
    <x v="1825"/>
    <x v="0"/>
    <x v="1595"/>
    <n v="6951345555"/>
    <n v="68.88"/>
    <s v="UK pounds"/>
    <s v="UK pounds"/>
    <x v="0"/>
    <s v="UK"/>
    <x v="6"/>
    <x v="0"/>
    <x v="5"/>
    <s v="Consistent"/>
    <x v="0"/>
  </r>
  <r>
    <x v="1826"/>
    <x v="0"/>
    <x v="1596"/>
    <n v="1978597595"/>
    <n v="1510.61"/>
    <s v="UK pounds"/>
    <s v="UK pounds"/>
    <x v="0"/>
    <s v="UK"/>
    <x v="3"/>
    <x v="0"/>
    <x v="2"/>
    <s v="Consistent"/>
    <x v="0"/>
  </r>
  <r>
    <x v="1827"/>
    <x v="0"/>
    <x v="339"/>
    <n v="4419703232"/>
    <n v="9013.52"/>
    <s v="UK pounds"/>
    <s v="UK pounds"/>
    <x v="0"/>
    <s v="UK"/>
    <x v="4"/>
    <x v="0"/>
    <x v="1"/>
    <s v="Consistent"/>
    <x v="0"/>
  </r>
  <r>
    <x v="1828"/>
    <x v="0"/>
    <x v="161"/>
    <n v="6533060638"/>
    <n v="5124.46"/>
    <s v="UK pounds"/>
    <s v="UK pounds"/>
    <x v="0"/>
    <s v="UK"/>
    <x v="5"/>
    <x v="0"/>
    <x v="1"/>
    <s v="Consistent"/>
    <x v="0"/>
  </r>
  <r>
    <x v="1828"/>
    <x v="0"/>
    <x v="1219"/>
    <n v="409707192"/>
    <n v="6060.92"/>
    <s v="UK pounds"/>
    <s v="UK pounds"/>
    <x v="0"/>
    <s v="UK"/>
    <x v="2"/>
    <x v="0"/>
    <x v="3"/>
    <s v="Consistent"/>
    <x v="0"/>
  </r>
  <r>
    <x v="1829"/>
    <x v="0"/>
    <x v="247"/>
    <n v="3066321263"/>
    <n v="6094.14"/>
    <s v="UK pounds"/>
    <s v="UK pounds"/>
    <x v="0"/>
    <s v="UK"/>
    <x v="2"/>
    <x v="0"/>
    <x v="3"/>
    <s v="Consistent"/>
    <x v="0"/>
  </r>
  <r>
    <x v="1830"/>
    <x v="0"/>
    <x v="20"/>
    <n v="2002969578"/>
    <n v="6378.9"/>
    <s v="UK pounds"/>
    <s v="UK pounds"/>
    <x v="0"/>
    <s v="UK"/>
    <x v="3"/>
    <x v="0"/>
    <x v="1"/>
    <s v="Consistent"/>
    <x v="0"/>
  </r>
  <r>
    <x v="1831"/>
    <x v="0"/>
    <x v="1597"/>
    <n v="6088726353"/>
    <n v="423.21"/>
    <s v="UK pounds"/>
    <s v="UK pounds"/>
    <x v="0"/>
    <s v="UK"/>
    <x v="5"/>
    <x v="0"/>
    <x v="2"/>
    <s v="Consistent"/>
    <x v="0"/>
  </r>
  <r>
    <x v="1832"/>
    <x v="0"/>
    <x v="1598"/>
    <n v="3790547430"/>
    <n v="460.61"/>
    <s v="UK pounds"/>
    <s v="UK pounds"/>
    <x v="0"/>
    <s v="UK"/>
    <x v="0"/>
    <x v="0"/>
    <x v="0"/>
    <s v="Consistent"/>
    <x v="0"/>
  </r>
  <r>
    <x v="1833"/>
    <x v="0"/>
    <x v="75"/>
    <n v="365650600"/>
    <n v="8182.52"/>
    <s v="UK pounds"/>
    <s v="Moroccan dirham"/>
    <x v="0"/>
    <s v="UK"/>
    <x v="2"/>
    <x v="0"/>
    <x v="1"/>
    <s v="Potential Layering"/>
    <x v="0"/>
  </r>
  <r>
    <x v="1834"/>
    <x v="0"/>
    <x v="1599"/>
    <n v="1411286618"/>
    <n v="1644.82"/>
    <s v="UK pounds"/>
    <s v="UK pounds"/>
    <x v="0"/>
    <s v="UK"/>
    <x v="3"/>
    <x v="0"/>
    <x v="2"/>
    <s v="Consistent"/>
    <x v="0"/>
  </r>
  <r>
    <x v="1835"/>
    <x v="0"/>
    <x v="1064"/>
    <n v="2534644942"/>
    <n v="13528.29"/>
    <s v="UK pounds"/>
    <s v="Euro"/>
    <x v="0"/>
    <s v="France"/>
    <x v="1"/>
    <x v="0"/>
    <x v="3"/>
    <s v="Potential Layering"/>
    <x v="0"/>
  </r>
  <r>
    <x v="1835"/>
    <x v="0"/>
    <x v="1600"/>
    <n v="1048234912"/>
    <n v="631.41999999999996"/>
    <s v="UK pounds"/>
    <s v="UK pounds"/>
    <x v="0"/>
    <s v="UK"/>
    <x v="3"/>
    <x v="0"/>
    <x v="2"/>
    <s v="Consistent"/>
    <x v="0"/>
  </r>
  <r>
    <x v="1836"/>
    <x v="0"/>
    <x v="1601"/>
    <n v="3486775846"/>
    <n v="6248.76"/>
    <s v="UK pounds"/>
    <s v="UK pounds"/>
    <x v="0"/>
    <s v="UK"/>
    <x v="2"/>
    <x v="0"/>
    <x v="2"/>
    <s v="Consistent"/>
    <x v="0"/>
  </r>
  <r>
    <x v="1836"/>
    <x v="0"/>
    <x v="119"/>
    <n v="5109623450"/>
    <n v="6798.66"/>
    <s v="UK pounds"/>
    <s v="UK pounds"/>
    <x v="0"/>
    <s v="UK"/>
    <x v="3"/>
    <x v="0"/>
    <x v="3"/>
    <s v="Consistent"/>
    <x v="0"/>
  </r>
  <r>
    <x v="1836"/>
    <x v="0"/>
    <x v="81"/>
    <n v="1883329014"/>
    <n v="8006.31"/>
    <s v="UK pounds"/>
    <s v="UK pounds"/>
    <x v="0"/>
    <s v="UK"/>
    <x v="3"/>
    <x v="0"/>
    <x v="1"/>
    <s v="Consistent"/>
    <x v="0"/>
  </r>
  <r>
    <x v="1837"/>
    <x v="0"/>
    <x v="1418"/>
    <n v="5787399025"/>
    <n v="156.12"/>
    <s v="UK pounds"/>
    <s v="UK pounds"/>
    <x v="0"/>
    <s v="UK"/>
    <x v="5"/>
    <x v="0"/>
    <x v="2"/>
    <s v="Consistent"/>
    <x v="0"/>
  </r>
  <r>
    <x v="1838"/>
    <x v="0"/>
    <x v="1602"/>
    <n v="5276855531"/>
    <n v="4415.91"/>
    <s v="UK pounds"/>
    <s v="UK pounds"/>
    <x v="0"/>
    <s v="UK"/>
    <x v="2"/>
    <x v="0"/>
    <x v="2"/>
    <s v="Consistent"/>
    <x v="0"/>
  </r>
  <r>
    <x v="1839"/>
    <x v="0"/>
    <x v="1603"/>
    <n v="8808932535"/>
    <n v="8062.41"/>
    <s v="UK pounds"/>
    <s v="UK pounds"/>
    <x v="0"/>
    <s v="UK"/>
    <x v="4"/>
    <x v="0"/>
    <x v="2"/>
    <s v="Consistent"/>
    <x v="0"/>
  </r>
  <r>
    <x v="1840"/>
    <x v="0"/>
    <x v="1604"/>
    <n v="9913414273"/>
    <n v="63.21"/>
    <s v="UK pounds"/>
    <s v="UK pounds"/>
    <x v="0"/>
    <s v="UK"/>
    <x v="6"/>
    <x v="0"/>
    <x v="5"/>
    <s v="Consistent"/>
    <x v="0"/>
  </r>
  <r>
    <x v="1841"/>
    <x v="0"/>
    <x v="1605"/>
    <n v="3231241774"/>
    <n v="2253.35"/>
    <s v="UK pounds"/>
    <s v="UK pounds"/>
    <x v="0"/>
    <s v="UK"/>
    <x v="5"/>
    <x v="0"/>
    <x v="2"/>
    <s v="Consistent"/>
    <x v="0"/>
  </r>
  <r>
    <x v="1841"/>
    <x v="0"/>
    <x v="379"/>
    <n v="7106391404"/>
    <n v="9753.24"/>
    <s v="UK pounds"/>
    <s v="Yen"/>
    <x v="0"/>
    <s v="Japan"/>
    <x v="1"/>
    <x v="0"/>
    <x v="1"/>
    <s v="Potential Layering"/>
    <x v="0"/>
  </r>
  <r>
    <x v="1842"/>
    <x v="0"/>
    <x v="368"/>
    <n v="685567924"/>
    <n v="10901.15"/>
    <s v="UK pounds"/>
    <s v="UK pounds"/>
    <x v="0"/>
    <s v="UK"/>
    <x v="4"/>
    <x v="0"/>
    <x v="1"/>
    <s v="Consistent"/>
    <x v="0"/>
  </r>
  <r>
    <x v="1843"/>
    <x v="0"/>
    <x v="61"/>
    <n v="5914713322"/>
    <n v="10986.22"/>
    <s v="UK pounds"/>
    <s v="UK pounds"/>
    <x v="0"/>
    <s v="UK"/>
    <x v="5"/>
    <x v="0"/>
    <x v="1"/>
    <s v="Consistent"/>
    <x v="0"/>
  </r>
  <r>
    <x v="1844"/>
    <x v="0"/>
    <x v="1114"/>
    <n v="6223365730"/>
    <n v="24795.65"/>
    <s v="UK pounds"/>
    <s v="UK pounds"/>
    <x v="0"/>
    <s v="UK"/>
    <x v="2"/>
    <x v="0"/>
    <x v="3"/>
    <s v="Consistent"/>
    <x v="0"/>
  </r>
  <r>
    <x v="1844"/>
    <x v="0"/>
    <x v="1606"/>
    <n v="7444122993"/>
    <n v="5083.92"/>
    <s v="UK pounds"/>
    <s v="UK pounds"/>
    <x v="0"/>
    <s v="UK"/>
    <x v="0"/>
    <x v="0"/>
    <x v="0"/>
    <s v="Consistent"/>
    <x v="0"/>
  </r>
  <r>
    <x v="1845"/>
    <x v="0"/>
    <x v="76"/>
    <n v="1493436023"/>
    <n v="13619.6"/>
    <s v="UK pounds"/>
    <s v="UK pounds"/>
    <x v="0"/>
    <s v="UK"/>
    <x v="2"/>
    <x v="0"/>
    <x v="3"/>
    <s v="Consistent"/>
    <x v="0"/>
  </r>
  <r>
    <x v="1846"/>
    <x v="0"/>
    <x v="1607"/>
    <n v="6855864868"/>
    <n v="2259.44"/>
    <s v="UK pounds"/>
    <s v="UK pounds"/>
    <x v="0"/>
    <s v="UK"/>
    <x v="0"/>
    <x v="0"/>
    <x v="0"/>
    <s v="Consistent"/>
    <x v="0"/>
  </r>
  <r>
    <x v="1847"/>
    <x v="0"/>
    <x v="350"/>
    <n v="3695545812"/>
    <n v="4887.45"/>
    <s v="UK pounds"/>
    <s v="UK pounds"/>
    <x v="0"/>
    <s v="UK"/>
    <x v="3"/>
    <x v="0"/>
    <x v="3"/>
    <s v="Consistent"/>
    <x v="0"/>
  </r>
  <r>
    <x v="1848"/>
    <x v="0"/>
    <x v="1608"/>
    <n v="5125866622"/>
    <n v="1871.08"/>
    <s v="UK pounds"/>
    <s v="UK pounds"/>
    <x v="0"/>
    <s v="UK"/>
    <x v="4"/>
    <x v="0"/>
    <x v="2"/>
    <s v="Consistent"/>
    <x v="0"/>
  </r>
  <r>
    <x v="1849"/>
    <x v="0"/>
    <x v="755"/>
    <n v="2534644942"/>
    <n v="5450.85"/>
    <s v="UK pounds"/>
    <s v="Euro"/>
    <x v="0"/>
    <s v="France"/>
    <x v="1"/>
    <x v="0"/>
    <x v="3"/>
    <s v="Potential Layering"/>
    <x v="0"/>
  </r>
  <r>
    <x v="1850"/>
    <x v="0"/>
    <x v="1609"/>
    <n v="6673687782"/>
    <n v="5584.06"/>
    <s v="UK pounds"/>
    <s v="UK pounds"/>
    <x v="0"/>
    <s v="UK"/>
    <x v="0"/>
    <x v="0"/>
    <x v="0"/>
    <s v="Consistent"/>
    <x v="0"/>
  </r>
  <r>
    <x v="1850"/>
    <x v="0"/>
    <x v="150"/>
    <n v="8678069851"/>
    <n v="4708.12"/>
    <s v="UK pounds"/>
    <s v="UK pounds"/>
    <x v="0"/>
    <s v="UK"/>
    <x v="4"/>
    <x v="0"/>
    <x v="1"/>
    <s v="Consistent"/>
    <x v="0"/>
  </r>
  <r>
    <x v="1851"/>
    <x v="0"/>
    <x v="63"/>
    <n v="4358275767"/>
    <n v="13232.04"/>
    <s v="UK pounds"/>
    <s v="UK pounds"/>
    <x v="0"/>
    <s v="UK"/>
    <x v="3"/>
    <x v="0"/>
    <x v="1"/>
    <s v="Consistent"/>
    <x v="0"/>
  </r>
  <r>
    <x v="1852"/>
    <x v="0"/>
    <x v="1610"/>
    <n v="1839396638"/>
    <n v="511.72"/>
    <s v="UK pounds"/>
    <s v="UK pounds"/>
    <x v="0"/>
    <s v="UK"/>
    <x v="4"/>
    <x v="0"/>
    <x v="2"/>
    <s v="Consistent"/>
    <x v="0"/>
  </r>
  <r>
    <x v="1853"/>
    <x v="0"/>
    <x v="1611"/>
    <n v="3452933653"/>
    <n v="1588.89"/>
    <s v="UK pounds"/>
    <s v="UK pounds"/>
    <x v="0"/>
    <s v="UK"/>
    <x v="5"/>
    <x v="0"/>
    <x v="2"/>
    <s v="Consistent"/>
    <x v="0"/>
  </r>
  <r>
    <x v="1853"/>
    <x v="0"/>
    <x v="62"/>
    <n v="1493436023"/>
    <n v="5319.97"/>
    <s v="UK pounds"/>
    <s v="UK pounds"/>
    <x v="0"/>
    <s v="UK"/>
    <x v="2"/>
    <x v="0"/>
    <x v="3"/>
    <s v="Consistent"/>
    <x v="0"/>
  </r>
  <r>
    <x v="1854"/>
    <x v="0"/>
    <x v="1612"/>
    <n v="6156522174"/>
    <n v="3003.18"/>
    <s v="UK pounds"/>
    <s v="UK pounds"/>
    <x v="0"/>
    <s v="UK"/>
    <x v="5"/>
    <x v="0"/>
    <x v="2"/>
    <s v="Consistent"/>
    <x v="0"/>
  </r>
  <r>
    <x v="1855"/>
    <x v="0"/>
    <x v="1613"/>
    <n v="8157033255"/>
    <n v="133.68"/>
    <s v="UK pounds"/>
    <s v="UK pounds"/>
    <x v="0"/>
    <s v="UK"/>
    <x v="6"/>
    <x v="0"/>
    <x v="5"/>
    <s v="Consistent"/>
    <x v="0"/>
  </r>
  <r>
    <x v="1855"/>
    <x v="0"/>
    <x v="1614"/>
    <n v="3220735304"/>
    <n v="11818.12"/>
    <s v="UK pounds"/>
    <s v="UK pounds"/>
    <x v="0"/>
    <s v="UK"/>
    <x v="5"/>
    <x v="0"/>
    <x v="3"/>
    <s v="Consistent"/>
    <x v="0"/>
  </r>
  <r>
    <x v="1856"/>
    <x v="0"/>
    <x v="208"/>
    <n v="7199625988"/>
    <n v="15893.04"/>
    <s v="UK pounds"/>
    <s v="UK pounds"/>
    <x v="0"/>
    <s v="UK"/>
    <x v="3"/>
    <x v="0"/>
    <x v="3"/>
    <s v="Consistent"/>
    <x v="0"/>
  </r>
  <r>
    <x v="1856"/>
    <x v="0"/>
    <x v="1615"/>
    <n v="6770825970"/>
    <n v="11689.93"/>
    <s v="UK pounds"/>
    <s v="UK pounds"/>
    <x v="0"/>
    <s v="UK"/>
    <x v="5"/>
    <x v="0"/>
    <x v="4"/>
    <s v="Consistent"/>
    <x v="0"/>
  </r>
  <r>
    <x v="1857"/>
    <x v="0"/>
    <x v="1616"/>
    <n v="6726281157"/>
    <n v="1219.92"/>
    <s v="UK pounds"/>
    <s v="UK pounds"/>
    <x v="0"/>
    <s v="UK"/>
    <x v="5"/>
    <x v="0"/>
    <x v="2"/>
    <s v="Consistent"/>
    <x v="0"/>
  </r>
  <r>
    <x v="1857"/>
    <x v="0"/>
    <x v="1617"/>
    <n v="4724445469"/>
    <n v="12388.82"/>
    <s v="UK pounds"/>
    <s v="UK pounds"/>
    <x v="0"/>
    <s v="UK"/>
    <x v="5"/>
    <x v="0"/>
    <x v="4"/>
    <s v="Consistent"/>
    <x v="0"/>
  </r>
  <r>
    <x v="1858"/>
    <x v="0"/>
    <x v="1618"/>
    <n v="6807457877"/>
    <n v="2453.94"/>
    <s v="UK pounds"/>
    <s v="UK pounds"/>
    <x v="0"/>
    <s v="UK"/>
    <x v="5"/>
    <x v="0"/>
    <x v="2"/>
    <s v="Consistent"/>
    <x v="0"/>
  </r>
  <r>
    <x v="1859"/>
    <x v="0"/>
    <x v="128"/>
    <n v="5858369125"/>
    <n v="6063.24"/>
    <s v="UK pounds"/>
    <s v="UK pounds"/>
    <x v="0"/>
    <s v="UK"/>
    <x v="4"/>
    <x v="0"/>
    <x v="3"/>
    <s v="Consistent"/>
    <x v="0"/>
  </r>
  <r>
    <x v="1860"/>
    <x v="0"/>
    <x v="68"/>
    <n v="5982526038"/>
    <n v="5548.77"/>
    <s v="UK pounds"/>
    <s v="UK pounds"/>
    <x v="0"/>
    <s v="UK"/>
    <x v="5"/>
    <x v="0"/>
    <x v="1"/>
    <s v="Consistent"/>
    <x v="0"/>
  </r>
  <r>
    <x v="1861"/>
    <x v="0"/>
    <x v="1619"/>
    <n v="7707810729"/>
    <n v="2038.52"/>
    <s v="UK pounds"/>
    <s v="UK pounds"/>
    <x v="0"/>
    <s v="UK"/>
    <x v="0"/>
    <x v="0"/>
    <x v="0"/>
    <s v="Consistent"/>
    <x v="0"/>
  </r>
  <r>
    <x v="1862"/>
    <x v="0"/>
    <x v="1620"/>
    <n v="5427279848"/>
    <n v="475.13"/>
    <s v="UK pounds"/>
    <s v="UK pounds"/>
    <x v="0"/>
    <s v="UK"/>
    <x v="3"/>
    <x v="0"/>
    <x v="2"/>
    <s v="Consistent"/>
    <x v="0"/>
  </r>
  <r>
    <x v="1863"/>
    <x v="0"/>
    <x v="1621"/>
    <n v="329034696"/>
    <n v="2994.33"/>
    <s v="Naira"/>
    <s v="Dirham"/>
    <x v="0"/>
    <s v="UAE"/>
    <x v="1"/>
    <x v="0"/>
    <x v="2"/>
    <s v="Potential Layering"/>
    <x v="0"/>
  </r>
  <r>
    <x v="1864"/>
    <x v="0"/>
    <x v="1622"/>
    <n v="5682858918"/>
    <n v="585.03"/>
    <s v="Dirham"/>
    <s v="UK pounds"/>
    <x v="0"/>
    <s v="UK"/>
    <x v="0"/>
    <x v="0"/>
    <x v="0"/>
    <s v="Potential Layering"/>
    <x v="0"/>
  </r>
  <r>
    <x v="1865"/>
    <x v="0"/>
    <x v="1623"/>
    <n v="1377603863"/>
    <n v="5249.21"/>
    <s v="UK pounds"/>
    <s v="UK pounds"/>
    <x v="0"/>
    <s v="UK"/>
    <x v="2"/>
    <x v="0"/>
    <x v="3"/>
    <s v="Consistent"/>
    <x v="0"/>
  </r>
  <r>
    <x v="1866"/>
    <x v="0"/>
    <x v="1624"/>
    <n v="3070846090"/>
    <n v="1132.8599999999999"/>
    <s v="UK pounds"/>
    <s v="UK pounds"/>
    <x v="0"/>
    <s v="UK"/>
    <x v="3"/>
    <x v="0"/>
    <x v="2"/>
    <s v="Consistent"/>
    <x v="0"/>
  </r>
  <r>
    <x v="1867"/>
    <x v="0"/>
    <x v="1625"/>
    <n v="1320927231"/>
    <n v="37679.31"/>
    <s v="UK pounds"/>
    <s v="UK pounds"/>
    <x v="0"/>
    <s v="UK"/>
    <x v="2"/>
    <x v="0"/>
    <x v="3"/>
    <s v="Consistent"/>
    <x v="0"/>
  </r>
  <r>
    <x v="1868"/>
    <x v="0"/>
    <x v="386"/>
    <n v="8678802420"/>
    <n v="8594.89"/>
    <s v="UK pounds"/>
    <s v="UK pounds"/>
    <x v="0"/>
    <s v="UK"/>
    <x v="2"/>
    <x v="0"/>
    <x v="3"/>
    <s v="Consistent"/>
    <x v="0"/>
  </r>
  <r>
    <x v="1869"/>
    <x v="0"/>
    <x v="1626"/>
    <n v="7736276353"/>
    <n v="1465.18"/>
    <s v="UK pounds"/>
    <s v="Indian rupee"/>
    <x v="0"/>
    <s v="UK"/>
    <x v="4"/>
    <x v="0"/>
    <x v="2"/>
    <s v="Potential Layering"/>
    <x v="0"/>
  </r>
  <r>
    <x v="1870"/>
    <x v="0"/>
    <x v="1627"/>
    <n v="2939111542"/>
    <n v="18837.23"/>
    <s v="UK pounds"/>
    <s v="Euro"/>
    <x v="0"/>
    <s v="Italy"/>
    <x v="1"/>
    <x v="0"/>
    <x v="2"/>
    <s v="Potential Layering"/>
    <x v="0"/>
  </r>
  <r>
    <x v="1871"/>
    <x v="0"/>
    <x v="1628"/>
    <n v="1684541326"/>
    <n v="3072.33"/>
    <s v="UK pounds"/>
    <s v="UK pounds"/>
    <x v="0"/>
    <s v="UK"/>
    <x v="5"/>
    <x v="0"/>
    <x v="2"/>
    <s v="Consistent"/>
    <x v="0"/>
  </r>
  <r>
    <x v="1872"/>
    <x v="0"/>
    <x v="1629"/>
    <n v="5107678457"/>
    <n v="432.16"/>
    <s v="US dollar"/>
    <s v="Mexican Peso"/>
    <x v="0"/>
    <s v="Mexico"/>
    <x v="1"/>
    <x v="0"/>
    <x v="2"/>
    <s v="Potential Layering"/>
    <x v="0"/>
  </r>
  <r>
    <x v="1872"/>
    <x v="0"/>
    <x v="1630"/>
    <n v="5157997094"/>
    <n v="1037.58"/>
    <s v="UK pounds"/>
    <s v="UK pounds"/>
    <x v="0"/>
    <s v="UK"/>
    <x v="0"/>
    <x v="0"/>
    <x v="0"/>
    <s v="Consistent"/>
    <x v="0"/>
  </r>
  <r>
    <x v="1873"/>
    <x v="0"/>
    <x v="1631"/>
    <n v="5649105236"/>
    <n v="4427.3"/>
    <s v="UK pounds"/>
    <s v="UK pounds"/>
    <x v="0"/>
    <s v="UK"/>
    <x v="0"/>
    <x v="0"/>
    <x v="0"/>
    <s v="Consistent"/>
    <x v="0"/>
  </r>
  <r>
    <x v="1874"/>
    <x v="0"/>
    <x v="1632"/>
    <n v="8719655191"/>
    <n v="2624.6"/>
    <s v="UK pounds"/>
    <s v="UK pounds"/>
    <x v="0"/>
    <s v="UK"/>
    <x v="4"/>
    <x v="0"/>
    <x v="2"/>
    <s v="Consistent"/>
    <x v="0"/>
  </r>
  <r>
    <x v="1875"/>
    <x v="0"/>
    <x v="75"/>
    <n v="9757535272"/>
    <n v="11291.62"/>
    <s v="UK pounds"/>
    <s v="UK pounds"/>
    <x v="0"/>
    <s v="UK"/>
    <x v="5"/>
    <x v="0"/>
    <x v="1"/>
    <s v="Consistent"/>
    <x v="0"/>
  </r>
  <r>
    <x v="1876"/>
    <x v="0"/>
    <x v="1633"/>
    <n v="8006681784"/>
    <n v="5355.35"/>
    <s v="UK pounds"/>
    <s v="Turkish lira"/>
    <x v="0"/>
    <s v="Turkey"/>
    <x v="1"/>
    <x v="0"/>
    <x v="6"/>
    <s v="Potential Layering"/>
    <x v="0"/>
  </r>
  <r>
    <x v="1877"/>
    <x v="0"/>
    <x v="1634"/>
    <n v="6775802975"/>
    <n v="2971.63"/>
    <s v="UK pounds"/>
    <s v="UK pounds"/>
    <x v="0"/>
    <s v="UK"/>
    <x v="3"/>
    <x v="0"/>
    <x v="2"/>
    <s v="Consistent"/>
    <x v="0"/>
  </r>
  <r>
    <x v="1877"/>
    <x v="0"/>
    <x v="163"/>
    <n v="6618026760"/>
    <n v="12039.9"/>
    <s v="UK pounds"/>
    <s v="UK pounds"/>
    <x v="0"/>
    <s v="UK"/>
    <x v="5"/>
    <x v="0"/>
    <x v="1"/>
    <s v="Consistent"/>
    <x v="0"/>
  </r>
  <r>
    <x v="1878"/>
    <x v="0"/>
    <x v="1635"/>
    <n v="8673917867"/>
    <n v="7109.09"/>
    <s v="UK pounds"/>
    <s v="UK pounds"/>
    <x v="0"/>
    <s v="UK"/>
    <x v="5"/>
    <x v="0"/>
    <x v="3"/>
    <s v="Consistent"/>
    <x v="0"/>
  </r>
  <r>
    <x v="1879"/>
    <x v="0"/>
    <x v="238"/>
    <n v="3099235880"/>
    <n v="8970.7199999999993"/>
    <s v="UK pounds"/>
    <s v="UK pounds"/>
    <x v="0"/>
    <s v="UK"/>
    <x v="4"/>
    <x v="0"/>
    <x v="1"/>
    <s v="Consistent"/>
    <x v="0"/>
  </r>
  <r>
    <x v="1880"/>
    <x v="0"/>
    <x v="1636"/>
    <n v="6611479325"/>
    <n v="10915.73"/>
    <s v="UK pounds"/>
    <s v="UK pounds"/>
    <x v="0"/>
    <s v="UK"/>
    <x v="2"/>
    <x v="0"/>
    <x v="2"/>
    <s v="Consistent"/>
    <x v="0"/>
  </r>
  <r>
    <x v="1881"/>
    <x v="0"/>
    <x v="1637"/>
    <n v="8907367612"/>
    <n v="1956.97"/>
    <s v="UK pounds"/>
    <s v="UK pounds"/>
    <x v="0"/>
    <s v="UK"/>
    <x v="3"/>
    <x v="0"/>
    <x v="2"/>
    <s v="Consistent"/>
    <x v="0"/>
  </r>
  <r>
    <x v="1882"/>
    <x v="0"/>
    <x v="248"/>
    <n v="1567400421"/>
    <n v="8894.61"/>
    <s v="UK pounds"/>
    <s v="UK pounds"/>
    <x v="0"/>
    <s v="UK"/>
    <x v="4"/>
    <x v="0"/>
    <x v="1"/>
    <s v="Consistent"/>
    <x v="0"/>
  </r>
  <r>
    <x v="1882"/>
    <x v="0"/>
    <x v="20"/>
    <n v="7543250720"/>
    <n v="6830.42"/>
    <s v="UK pounds"/>
    <s v="UK pounds"/>
    <x v="0"/>
    <s v="UK"/>
    <x v="2"/>
    <x v="0"/>
    <x v="1"/>
    <s v="Consistent"/>
    <x v="0"/>
  </r>
  <r>
    <x v="1883"/>
    <x v="0"/>
    <x v="1638"/>
    <n v="5363117119"/>
    <n v="18008.13"/>
    <s v="UK pounds"/>
    <s v="Naira"/>
    <x v="0"/>
    <s v="UK"/>
    <x v="2"/>
    <x v="0"/>
    <x v="3"/>
    <s v="Potential Layering"/>
    <x v="0"/>
  </r>
  <r>
    <x v="1884"/>
    <x v="0"/>
    <x v="35"/>
    <n v="9059301099"/>
    <n v="8421.2199999999993"/>
    <s v="UK pounds"/>
    <s v="UK pounds"/>
    <x v="0"/>
    <s v="UK"/>
    <x v="2"/>
    <x v="0"/>
    <x v="1"/>
    <s v="Consistent"/>
    <x v="0"/>
  </r>
  <r>
    <x v="1885"/>
    <x v="0"/>
    <x v="1639"/>
    <n v="6444220418"/>
    <n v="20301.88"/>
    <s v="UK pounds"/>
    <s v="UK pounds"/>
    <x v="0"/>
    <s v="UK"/>
    <x v="2"/>
    <x v="0"/>
    <x v="3"/>
    <s v="Consistent"/>
    <x v="0"/>
  </r>
  <r>
    <x v="1886"/>
    <x v="0"/>
    <x v="1640"/>
    <n v="5689707346"/>
    <n v="6589.32"/>
    <s v="UK pounds"/>
    <s v="UK pounds"/>
    <x v="0"/>
    <s v="UK"/>
    <x v="3"/>
    <x v="0"/>
    <x v="2"/>
    <s v="Consistent"/>
    <x v="0"/>
  </r>
  <r>
    <x v="1887"/>
    <x v="0"/>
    <x v="950"/>
    <n v="6953672776"/>
    <n v="6568.91"/>
    <s v="UK pounds"/>
    <s v="Mexican Peso"/>
    <x v="0"/>
    <s v="Mexico"/>
    <x v="1"/>
    <x v="0"/>
    <x v="3"/>
    <s v="Potential Layering"/>
    <x v="0"/>
  </r>
  <r>
    <x v="1888"/>
    <x v="0"/>
    <x v="1641"/>
    <n v="4621276676"/>
    <n v="14046.72"/>
    <s v="UK pounds"/>
    <s v="UK pounds"/>
    <x v="0"/>
    <s v="UK"/>
    <x v="3"/>
    <x v="0"/>
    <x v="4"/>
    <s v="Consistent"/>
    <x v="0"/>
  </r>
  <r>
    <x v="1889"/>
    <x v="0"/>
    <x v="1642"/>
    <n v="7710315345"/>
    <n v="477.72"/>
    <s v="UK pounds"/>
    <s v="UK pounds"/>
    <x v="0"/>
    <s v="UK"/>
    <x v="3"/>
    <x v="0"/>
    <x v="2"/>
    <s v="Consistent"/>
    <x v="0"/>
  </r>
  <r>
    <x v="1890"/>
    <x v="0"/>
    <x v="1643"/>
    <n v="830689913"/>
    <n v="2814.52"/>
    <s v="UK pounds"/>
    <s v="UK pounds"/>
    <x v="0"/>
    <s v="UK"/>
    <x v="3"/>
    <x v="0"/>
    <x v="2"/>
    <s v="Consistent"/>
    <x v="0"/>
  </r>
  <r>
    <x v="1890"/>
    <x v="0"/>
    <x v="9"/>
    <n v="3557538160"/>
    <n v="4263.6099999999997"/>
    <s v="UK pounds"/>
    <s v="UK pounds"/>
    <x v="0"/>
    <s v="UK"/>
    <x v="4"/>
    <x v="0"/>
    <x v="1"/>
    <s v="Consistent"/>
    <x v="0"/>
  </r>
  <r>
    <x v="1890"/>
    <x v="0"/>
    <x v="1272"/>
    <n v="9600420220"/>
    <n v="11376.58"/>
    <s v="UK pounds"/>
    <s v="UK pounds"/>
    <x v="0"/>
    <s v="UK"/>
    <x v="2"/>
    <x v="0"/>
    <x v="3"/>
    <s v="Consistent"/>
    <x v="0"/>
  </r>
  <r>
    <x v="1891"/>
    <x v="0"/>
    <x v="1644"/>
    <n v="3243012742"/>
    <n v="10971.68"/>
    <s v="UK pounds"/>
    <s v="UK pounds"/>
    <x v="0"/>
    <s v="UK"/>
    <x v="4"/>
    <x v="0"/>
    <x v="2"/>
    <s v="Consistent"/>
    <x v="0"/>
  </r>
  <r>
    <x v="1892"/>
    <x v="0"/>
    <x v="1645"/>
    <n v="5858369125"/>
    <n v="4482.1099999999997"/>
    <s v="UK pounds"/>
    <s v="UK pounds"/>
    <x v="0"/>
    <s v="UK"/>
    <x v="2"/>
    <x v="0"/>
    <x v="3"/>
    <s v="Consistent"/>
    <x v="0"/>
  </r>
  <r>
    <x v="1893"/>
    <x v="0"/>
    <x v="161"/>
    <n v="1672094971"/>
    <n v="8940.82"/>
    <s v="UK pounds"/>
    <s v="UK pounds"/>
    <x v="0"/>
    <s v="UK"/>
    <x v="5"/>
    <x v="0"/>
    <x v="1"/>
    <s v="Consistent"/>
    <x v="0"/>
  </r>
  <r>
    <x v="1894"/>
    <x v="0"/>
    <x v="51"/>
    <n v="3031188286"/>
    <n v="11755.12"/>
    <s v="UK pounds"/>
    <s v="UK pounds"/>
    <x v="0"/>
    <s v="UK"/>
    <x v="2"/>
    <x v="0"/>
    <x v="1"/>
    <s v="Consistent"/>
    <x v="0"/>
  </r>
  <r>
    <x v="1895"/>
    <x v="0"/>
    <x v="1646"/>
    <n v="5478888585"/>
    <n v="289536.71000000002"/>
    <s v="UK pounds"/>
    <s v="UK pounds"/>
    <x v="0"/>
    <s v="UK"/>
    <x v="2"/>
    <x v="0"/>
    <x v="10"/>
    <s v="Consistent"/>
    <x v="0"/>
  </r>
  <r>
    <x v="1896"/>
    <x v="0"/>
    <x v="1647"/>
    <n v="7160736915"/>
    <n v="11091.52"/>
    <s v="UK pounds"/>
    <s v="UK pounds"/>
    <x v="0"/>
    <s v="UK"/>
    <x v="4"/>
    <x v="0"/>
    <x v="3"/>
    <s v="Consistent"/>
    <x v="0"/>
  </r>
  <r>
    <x v="1897"/>
    <x v="0"/>
    <x v="46"/>
    <n v="5903480509"/>
    <n v="7911.36"/>
    <s v="UK pounds"/>
    <s v="Euro"/>
    <x v="0"/>
    <s v="Italy"/>
    <x v="1"/>
    <x v="0"/>
    <x v="1"/>
    <s v="Potential Layering"/>
    <x v="0"/>
  </r>
  <r>
    <x v="1898"/>
    <x v="0"/>
    <x v="1648"/>
    <n v="2640873257"/>
    <n v="374.72"/>
    <s v="UK pounds"/>
    <s v="UK pounds"/>
    <x v="0"/>
    <s v="UK"/>
    <x v="2"/>
    <x v="0"/>
    <x v="2"/>
    <s v="Consistent"/>
    <x v="0"/>
  </r>
  <r>
    <x v="1898"/>
    <x v="0"/>
    <x v="1649"/>
    <n v="7433240186"/>
    <n v="5297.79"/>
    <s v="UK pounds"/>
    <s v="UK pounds"/>
    <x v="0"/>
    <s v="UK"/>
    <x v="4"/>
    <x v="0"/>
    <x v="6"/>
    <s v="Consistent"/>
    <x v="0"/>
  </r>
  <r>
    <x v="1899"/>
    <x v="0"/>
    <x v="1650"/>
    <n v="954323465"/>
    <n v="485.41"/>
    <s v="UK pounds"/>
    <s v="UK pounds"/>
    <x v="0"/>
    <s v="UK"/>
    <x v="2"/>
    <x v="0"/>
    <x v="2"/>
    <s v="Consistent"/>
    <x v="0"/>
  </r>
  <r>
    <x v="1900"/>
    <x v="0"/>
    <x v="1651"/>
    <n v="1414709830"/>
    <n v="38.409999999999997"/>
    <s v="UK pounds"/>
    <s v="UK pounds"/>
    <x v="0"/>
    <s v="UK"/>
    <x v="2"/>
    <x v="0"/>
    <x v="2"/>
    <s v="Consistent"/>
    <x v="0"/>
  </r>
  <r>
    <x v="1901"/>
    <x v="0"/>
    <x v="1652"/>
    <n v="364288862"/>
    <n v="1878.63"/>
    <s v="UK pounds"/>
    <s v="UK pounds"/>
    <x v="0"/>
    <s v="UK"/>
    <x v="4"/>
    <x v="0"/>
    <x v="2"/>
    <s v="Consistent"/>
    <x v="0"/>
  </r>
  <r>
    <x v="1901"/>
    <x v="0"/>
    <x v="1653"/>
    <n v="8569263421"/>
    <n v="4858.7700000000004"/>
    <s v="UK pounds"/>
    <s v="UK pounds"/>
    <x v="0"/>
    <s v="UK"/>
    <x v="3"/>
    <x v="0"/>
    <x v="2"/>
    <s v="Consistent"/>
    <x v="0"/>
  </r>
  <r>
    <x v="1901"/>
    <x v="0"/>
    <x v="61"/>
    <n v="7981094247"/>
    <n v="7586"/>
    <s v="UK pounds"/>
    <s v="UK pounds"/>
    <x v="0"/>
    <s v="UK"/>
    <x v="3"/>
    <x v="0"/>
    <x v="1"/>
    <s v="Consistent"/>
    <x v="0"/>
  </r>
  <r>
    <x v="1902"/>
    <x v="0"/>
    <x v="1654"/>
    <n v="2170654464"/>
    <n v="3828.34"/>
    <s v="UK pounds"/>
    <s v="UK pounds"/>
    <x v="0"/>
    <s v="UK"/>
    <x v="0"/>
    <x v="0"/>
    <x v="0"/>
    <s v="Consistent"/>
    <x v="0"/>
  </r>
  <r>
    <x v="1903"/>
    <x v="0"/>
    <x v="1655"/>
    <n v="4659008255"/>
    <n v="2402.5100000000002"/>
    <s v="UK pounds"/>
    <s v="UK pounds"/>
    <x v="0"/>
    <s v="UK"/>
    <x v="5"/>
    <x v="0"/>
    <x v="2"/>
    <s v="Consistent"/>
    <x v="0"/>
  </r>
  <r>
    <x v="1904"/>
    <x v="0"/>
    <x v="1656"/>
    <n v="2176567218"/>
    <n v="1770.78"/>
    <s v="UK pounds"/>
    <s v="UK pounds"/>
    <x v="0"/>
    <s v="UK"/>
    <x v="5"/>
    <x v="0"/>
    <x v="4"/>
    <s v="Consistent"/>
    <x v="0"/>
  </r>
  <r>
    <x v="1905"/>
    <x v="0"/>
    <x v="1422"/>
    <n v="8172080174"/>
    <n v="7377.92"/>
    <s v="UK pounds"/>
    <s v="UK pounds"/>
    <x v="0"/>
    <s v="UK"/>
    <x v="3"/>
    <x v="0"/>
    <x v="3"/>
    <s v="Consistent"/>
    <x v="0"/>
  </r>
  <r>
    <x v="1906"/>
    <x v="0"/>
    <x v="1657"/>
    <n v="3504367345"/>
    <n v="14088.24"/>
    <s v="UK pounds"/>
    <s v="Pakistani rupee"/>
    <x v="0"/>
    <s v="Pakistan"/>
    <x v="1"/>
    <x v="0"/>
    <x v="10"/>
    <s v="Potential Layering"/>
    <x v="0"/>
  </r>
  <r>
    <x v="1907"/>
    <x v="0"/>
    <x v="1658"/>
    <n v="3793525386"/>
    <n v="827.78"/>
    <s v="UK pounds"/>
    <s v="UK pounds"/>
    <x v="0"/>
    <s v="UK"/>
    <x v="4"/>
    <x v="0"/>
    <x v="2"/>
    <s v="Consistent"/>
    <x v="0"/>
  </r>
  <r>
    <x v="1908"/>
    <x v="0"/>
    <x v="1659"/>
    <n v="8730254659"/>
    <n v="740.19"/>
    <s v="UK pounds"/>
    <s v="UK pounds"/>
    <x v="0"/>
    <s v="UK"/>
    <x v="3"/>
    <x v="0"/>
    <x v="2"/>
    <s v="Consistent"/>
    <x v="0"/>
  </r>
  <r>
    <x v="1909"/>
    <x v="0"/>
    <x v="1660"/>
    <n v="8413455065"/>
    <n v="3566.25"/>
    <s v="UK pounds"/>
    <s v="UK pounds"/>
    <x v="0"/>
    <s v="UK"/>
    <x v="3"/>
    <x v="0"/>
    <x v="2"/>
    <s v="Consistent"/>
    <x v="0"/>
  </r>
  <r>
    <x v="1910"/>
    <x v="0"/>
    <x v="1661"/>
    <n v="7160736915"/>
    <n v="14258.42"/>
    <s v="UK pounds"/>
    <s v="UK pounds"/>
    <x v="0"/>
    <s v="UK"/>
    <x v="5"/>
    <x v="0"/>
    <x v="3"/>
    <s v="Consistent"/>
    <x v="0"/>
  </r>
  <r>
    <x v="1911"/>
    <x v="0"/>
    <x v="34"/>
    <n v="3487686607"/>
    <n v="8388.31"/>
    <s v="UK pounds"/>
    <s v="UK pounds"/>
    <x v="0"/>
    <s v="UK"/>
    <x v="4"/>
    <x v="0"/>
    <x v="1"/>
    <s v="Consistent"/>
    <x v="0"/>
  </r>
  <r>
    <x v="1912"/>
    <x v="0"/>
    <x v="1662"/>
    <n v="3688848176"/>
    <n v="33505.15"/>
    <s v="UK pounds"/>
    <s v="UK pounds"/>
    <x v="0"/>
    <s v="UK"/>
    <x v="5"/>
    <x v="0"/>
    <x v="2"/>
    <s v="Consistent"/>
    <x v="0"/>
  </r>
  <r>
    <x v="1913"/>
    <x v="0"/>
    <x v="1663"/>
    <n v="3241394835"/>
    <n v="10654.91"/>
    <s v="UK pounds"/>
    <s v="UK pounds"/>
    <x v="0"/>
    <s v="UK"/>
    <x v="2"/>
    <x v="0"/>
    <x v="2"/>
    <s v="Consistent"/>
    <x v="0"/>
  </r>
  <r>
    <x v="1914"/>
    <x v="0"/>
    <x v="1664"/>
    <n v="7151718803"/>
    <n v="4477.03"/>
    <s v="Indian rupee"/>
    <s v="UK pounds"/>
    <x v="14"/>
    <s v="UK"/>
    <x v="1"/>
    <x v="0"/>
    <x v="2"/>
    <s v="Potential Layering"/>
    <x v="2"/>
  </r>
  <r>
    <x v="1915"/>
    <x v="0"/>
    <x v="1665"/>
    <n v="9907636152"/>
    <n v="40.729999999999997"/>
    <s v="UK pounds"/>
    <s v="UK pounds"/>
    <x v="0"/>
    <s v="UK"/>
    <x v="4"/>
    <x v="0"/>
    <x v="2"/>
    <s v="Consistent"/>
    <x v="0"/>
  </r>
  <r>
    <x v="1916"/>
    <x v="0"/>
    <x v="258"/>
    <n v="2570862071"/>
    <n v="8449.3700000000008"/>
    <s v="UK pounds"/>
    <s v="UK pounds"/>
    <x v="0"/>
    <s v="UK"/>
    <x v="4"/>
    <x v="0"/>
    <x v="6"/>
    <s v="Consistent"/>
    <x v="0"/>
  </r>
  <r>
    <x v="1917"/>
    <x v="0"/>
    <x v="1666"/>
    <n v="7080357663"/>
    <n v="5428.45"/>
    <s v="Mexican Peso"/>
    <s v="UK pounds"/>
    <x v="10"/>
    <s v="UK"/>
    <x v="1"/>
    <x v="0"/>
    <x v="3"/>
    <s v="Potential Layering"/>
    <x v="1"/>
  </r>
  <r>
    <x v="1918"/>
    <x v="0"/>
    <x v="1667"/>
    <n v="9610781638"/>
    <n v="285.13"/>
    <s v="UK pounds"/>
    <s v="UK pounds"/>
    <x v="0"/>
    <s v="UK"/>
    <x v="4"/>
    <x v="0"/>
    <x v="2"/>
    <s v="Consistent"/>
    <x v="0"/>
  </r>
  <r>
    <x v="1919"/>
    <x v="0"/>
    <x v="1668"/>
    <n v="4552293879"/>
    <n v="515.33000000000004"/>
    <s v="UK pounds"/>
    <s v="UK pounds"/>
    <x v="0"/>
    <s v="UK"/>
    <x v="5"/>
    <x v="0"/>
    <x v="2"/>
    <s v="Consistent"/>
    <x v="0"/>
  </r>
  <r>
    <x v="1919"/>
    <x v="0"/>
    <x v="204"/>
    <n v="589468112"/>
    <n v="3571.34"/>
    <s v="UK pounds"/>
    <s v="UK pounds"/>
    <x v="0"/>
    <s v="UK"/>
    <x v="5"/>
    <x v="0"/>
    <x v="6"/>
    <s v="Consistent"/>
    <x v="0"/>
  </r>
  <r>
    <x v="1920"/>
    <x v="0"/>
    <x v="1669"/>
    <n v="1935753108"/>
    <n v="203.19"/>
    <s v="UK pounds"/>
    <s v="Euro"/>
    <x v="0"/>
    <s v="Netherlands"/>
    <x v="1"/>
    <x v="0"/>
    <x v="2"/>
    <s v="Potential Layering"/>
    <x v="0"/>
  </r>
  <r>
    <x v="1921"/>
    <x v="0"/>
    <x v="1670"/>
    <n v="8520898167"/>
    <n v="2722.24"/>
    <s v="UK pounds"/>
    <s v="UK pounds"/>
    <x v="0"/>
    <s v="UK"/>
    <x v="2"/>
    <x v="0"/>
    <x v="2"/>
    <s v="Consistent"/>
    <x v="0"/>
  </r>
  <r>
    <x v="1922"/>
    <x v="0"/>
    <x v="165"/>
    <n v="1377603863"/>
    <n v="9502.9"/>
    <s v="UK pounds"/>
    <s v="UK pounds"/>
    <x v="0"/>
    <s v="UK"/>
    <x v="5"/>
    <x v="0"/>
    <x v="3"/>
    <s v="Consistent"/>
    <x v="0"/>
  </r>
  <r>
    <x v="1923"/>
    <x v="0"/>
    <x v="1671"/>
    <n v="1605606632"/>
    <n v="14099.37"/>
    <s v="UK pounds"/>
    <s v="UK pounds"/>
    <x v="0"/>
    <s v="UK"/>
    <x v="2"/>
    <x v="0"/>
    <x v="2"/>
    <s v="Consistent"/>
    <x v="0"/>
  </r>
  <r>
    <x v="1924"/>
    <x v="0"/>
    <x v="1672"/>
    <n v="3877452462"/>
    <n v="22895.41"/>
    <s v="UK pounds"/>
    <s v="UK pounds"/>
    <x v="0"/>
    <s v="UK"/>
    <x v="2"/>
    <x v="0"/>
    <x v="2"/>
    <s v="Consistent"/>
    <x v="0"/>
  </r>
  <r>
    <x v="1925"/>
    <x v="0"/>
    <x v="1673"/>
    <n v="5238755833"/>
    <n v="1727.24"/>
    <s v="UK pounds"/>
    <s v="UK pounds"/>
    <x v="0"/>
    <s v="UK"/>
    <x v="5"/>
    <x v="0"/>
    <x v="2"/>
    <s v="Consistent"/>
    <x v="0"/>
  </r>
  <r>
    <x v="1926"/>
    <x v="0"/>
    <x v="1674"/>
    <n v="5468312004"/>
    <n v="383.61"/>
    <s v="UK pounds"/>
    <s v="UK pounds"/>
    <x v="0"/>
    <s v="UK"/>
    <x v="4"/>
    <x v="0"/>
    <x v="2"/>
    <s v="Consistent"/>
    <x v="0"/>
  </r>
  <r>
    <x v="1927"/>
    <x v="0"/>
    <x v="141"/>
    <n v="8906126287"/>
    <n v="9424"/>
    <s v="UK pounds"/>
    <s v="UK pounds"/>
    <x v="0"/>
    <s v="UK"/>
    <x v="5"/>
    <x v="0"/>
    <x v="6"/>
    <s v="Consistent"/>
    <x v="0"/>
  </r>
  <r>
    <x v="1928"/>
    <x v="0"/>
    <x v="81"/>
    <n v="9085148554"/>
    <n v="10339.450000000001"/>
    <s v="UK pounds"/>
    <s v="UK pounds"/>
    <x v="0"/>
    <s v="UK"/>
    <x v="5"/>
    <x v="0"/>
    <x v="1"/>
    <s v="Consistent"/>
    <x v="0"/>
  </r>
  <r>
    <x v="1929"/>
    <x v="0"/>
    <x v="35"/>
    <n v="2436228903"/>
    <n v="7079.88"/>
    <s v="UK pounds"/>
    <s v="Mexican Peso"/>
    <x v="0"/>
    <s v="Mexico"/>
    <x v="1"/>
    <x v="0"/>
    <x v="1"/>
    <s v="Potential Layering"/>
    <x v="0"/>
  </r>
  <r>
    <x v="1930"/>
    <x v="0"/>
    <x v="1675"/>
    <n v="7872689655"/>
    <n v="1193.53"/>
    <s v="UK pounds"/>
    <s v="UK pounds"/>
    <x v="0"/>
    <s v="UK"/>
    <x v="3"/>
    <x v="0"/>
    <x v="2"/>
    <s v="Consistent"/>
    <x v="0"/>
  </r>
  <r>
    <x v="1930"/>
    <x v="0"/>
    <x v="1676"/>
    <n v="3695545812"/>
    <n v="6737.27"/>
    <s v="UK pounds"/>
    <s v="UK pounds"/>
    <x v="0"/>
    <s v="UK"/>
    <x v="5"/>
    <x v="0"/>
    <x v="3"/>
    <s v="Consistent"/>
    <x v="0"/>
  </r>
  <r>
    <x v="1931"/>
    <x v="0"/>
    <x v="1677"/>
    <n v="6130902000"/>
    <n v="12451.62"/>
    <s v="UK pounds"/>
    <s v="UK pounds"/>
    <x v="0"/>
    <s v="UK"/>
    <x v="4"/>
    <x v="0"/>
    <x v="2"/>
    <s v="Consistent"/>
    <x v="0"/>
  </r>
  <r>
    <x v="1932"/>
    <x v="0"/>
    <x v="1678"/>
    <n v="8265748095"/>
    <n v="841.46"/>
    <s v="UK pounds"/>
    <s v="UK pounds"/>
    <x v="0"/>
    <s v="UK"/>
    <x v="0"/>
    <x v="0"/>
    <x v="0"/>
    <s v="Consistent"/>
    <x v="0"/>
  </r>
  <r>
    <x v="1933"/>
    <x v="0"/>
    <x v="1679"/>
    <n v="9849696378"/>
    <n v="5909.55"/>
    <s v="UK pounds"/>
    <s v="UK pounds"/>
    <x v="0"/>
    <s v="UK"/>
    <x v="2"/>
    <x v="0"/>
    <x v="2"/>
    <s v="Consistent"/>
    <x v="0"/>
  </r>
  <r>
    <x v="1934"/>
    <x v="0"/>
    <x v="40"/>
    <n v="5112224952"/>
    <n v="9658.4599999999991"/>
    <s v="UK pounds"/>
    <s v="UK pounds"/>
    <x v="0"/>
    <s v="UK"/>
    <x v="3"/>
    <x v="0"/>
    <x v="1"/>
    <s v="Consistent"/>
    <x v="0"/>
  </r>
  <r>
    <x v="1935"/>
    <x v="0"/>
    <x v="1680"/>
    <n v="5313885777"/>
    <n v="1041.3499999999999"/>
    <s v="UK pounds"/>
    <s v="UK pounds"/>
    <x v="0"/>
    <s v="UK"/>
    <x v="5"/>
    <x v="0"/>
    <x v="2"/>
    <s v="Consistent"/>
    <x v="0"/>
  </r>
  <r>
    <x v="1936"/>
    <x v="0"/>
    <x v="163"/>
    <n v="8015553278"/>
    <n v="6893.42"/>
    <s v="UK pounds"/>
    <s v="UK pounds"/>
    <x v="0"/>
    <s v="UK"/>
    <x v="3"/>
    <x v="0"/>
    <x v="1"/>
    <s v="Consistent"/>
    <x v="0"/>
  </r>
  <r>
    <x v="1937"/>
    <x v="0"/>
    <x v="1681"/>
    <n v="8518184956"/>
    <n v="11835.08"/>
    <s v="UK pounds"/>
    <s v="UK pounds"/>
    <x v="0"/>
    <s v="UK"/>
    <x v="3"/>
    <x v="0"/>
    <x v="3"/>
    <s v="Consistent"/>
    <x v="0"/>
  </r>
  <r>
    <x v="1938"/>
    <x v="0"/>
    <x v="1682"/>
    <n v="5109623450"/>
    <n v="7195.8"/>
    <s v="UK pounds"/>
    <s v="UK pounds"/>
    <x v="0"/>
    <s v="UK"/>
    <x v="2"/>
    <x v="0"/>
    <x v="3"/>
    <s v="Consistent"/>
    <x v="0"/>
  </r>
  <r>
    <x v="1938"/>
    <x v="0"/>
    <x v="1683"/>
    <n v="7935735988"/>
    <n v="345.86"/>
    <s v="UK pounds"/>
    <s v="UK pounds"/>
    <x v="0"/>
    <s v="UK"/>
    <x v="5"/>
    <x v="0"/>
    <x v="2"/>
    <s v="Consistent"/>
    <x v="0"/>
  </r>
  <r>
    <x v="1939"/>
    <x v="0"/>
    <x v="1684"/>
    <n v="8425878016"/>
    <n v="15594.8"/>
    <s v="UK pounds"/>
    <s v="UK pounds"/>
    <x v="0"/>
    <s v="UK"/>
    <x v="5"/>
    <x v="0"/>
    <x v="4"/>
    <s v="Consistent"/>
    <x v="0"/>
  </r>
  <r>
    <x v="1940"/>
    <x v="0"/>
    <x v="1685"/>
    <n v="2364807807"/>
    <n v="2010.1"/>
    <s v="UK pounds"/>
    <s v="UK pounds"/>
    <x v="0"/>
    <s v="UK"/>
    <x v="2"/>
    <x v="0"/>
    <x v="2"/>
    <s v="Consistent"/>
    <x v="0"/>
  </r>
  <r>
    <x v="1941"/>
    <x v="0"/>
    <x v="1686"/>
    <n v="1881545328"/>
    <n v="29850.09"/>
    <s v="Euro"/>
    <s v="UK pounds"/>
    <x v="12"/>
    <s v="UK"/>
    <x v="1"/>
    <x v="0"/>
    <x v="2"/>
    <s v="Potential Layering"/>
    <x v="0"/>
  </r>
  <r>
    <x v="1942"/>
    <x v="0"/>
    <x v="1687"/>
    <n v="2582625514"/>
    <n v="4412.78"/>
    <s v="UK pounds"/>
    <s v="UK pounds"/>
    <x v="0"/>
    <s v="UK"/>
    <x v="0"/>
    <x v="0"/>
    <x v="0"/>
    <s v="Consistent"/>
    <x v="0"/>
  </r>
  <r>
    <x v="1943"/>
    <x v="0"/>
    <x v="9"/>
    <n v="2755709071"/>
    <n v="5881.57"/>
    <s v="UK pounds"/>
    <s v="UK pounds"/>
    <x v="0"/>
    <s v="UK"/>
    <x v="5"/>
    <x v="0"/>
    <x v="1"/>
    <s v="Consistent"/>
    <x v="0"/>
  </r>
  <r>
    <x v="1944"/>
    <x v="0"/>
    <x v="339"/>
    <n v="9897263201"/>
    <n v="12765.19"/>
    <s v="UK pounds"/>
    <s v="UK pounds"/>
    <x v="0"/>
    <s v="UK"/>
    <x v="4"/>
    <x v="0"/>
    <x v="1"/>
    <s v="Consistent"/>
    <x v="0"/>
  </r>
  <r>
    <x v="1945"/>
    <x v="0"/>
    <x v="110"/>
    <n v="2792106785"/>
    <n v="7899.79"/>
    <s v="UK pounds"/>
    <s v="UK pounds"/>
    <x v="0"/>
    <s v="UK"/>
    <x v="3"/>
    <x v="0"/>
    <x v="1"/>
    <s v="Consistent"/>
    <x v="0"/>
  </r>
  <r>
    <x v="1946"/>
    <x v="0"/>
    <x v="1688"/>
    <n v="7827518643"/>
    <n v="673.61"/>
    <s v="UK pounds"/>
    <s v="Euro"/>
    <x v="0"/>
    <s v="France"/>
    <x v="1"/>
    <x v="0"/>
    <x v="2"/>
    <s v="Potential Layering"/>
    <x v="0"/>
  </r>
  <r>
    <x v="1947"/>
    <x v="0"/>
    <x v="1689"/>
    <n v="5128042167"/>
    <n v="6759.94"/>
    <s v="UK pounds"/>
    <s v="UK pounds"/>
    <x v="0"/>
    <s v="UK"/>
    <x v="5"/>
    <x v="0"/>
    <x v="2"/>
    <s v="Consistent"/>
    <x v="0"/>
  </r>
  <r>
    <x v="1948"/>
    <x v="0"/>
    <x v="1690"/>
    <n v="3196656190"/>
    <n v="6086.21"/>
    <s v="UK pounds"/>
    <s v="UK pounds"/>
    <x v="0"/>
    <s v="UK"/>
    <x v="3"/>
    <x v="0"/>
    <x v="2"/>
    <s v="Consistent"/>
    <x v="0"/>
  </r>
  <r>
    <x v="1949"/>
    <x v="0"/>
    <x v="1691"/>
    <n v="389536150"/>
    <n v="793.39"/>
    <s v="UK pounds"/>
    <s v="UK pounds"/>
    <x v="0"/>
    <s v="UK"/>
    <x v="5"/>
    <x v="0"/>
    <x v="2"/>
    <s v="Consistent"/>
    <x v="0"/>
  </r>
  <r>
    <x v="1950"/>
    <x v="0"/>
    <x v="40"/>
    <n v="5112224952"/>
    <n v="9428.01"/>
    <s v="UK pounds"/>
    <s v="UK pounds"/>
    <x v="0"/>
    <s v="UK"/>
    <x v="5"/>
    <x v="0"/>
    <x v="1"/>
    <s v="Consistent"/>
    <x v="0"/>
  </r>
  <r>
    <x v="1951"/>
    <x v="0"/>
    <x v="1692"/>
    <n v="2855896317"/>
    <n v="110.87"/>
    <s v="UK pounds"/>
    <s v="UK pounds"/>
    <x v="0"/>
    <s v="UK"/>
    <x v="6"/>
    <x v="0"/>
    <x v="5"/>
    <s v="Consistent"/>
    <x v="0"/>
  </r>
  <r>
    <x v="1952"/>
    <x v="0"/>
    <x v="1693"/>
    <n v="6176629545"/>
    <n v="19952.830000000002"/>
    <s v="UK pounds"/>
    <s v="UK pounds"/>
    <x v="0"/>
    <s v="UK"/>
    <x v="3"/>
    <x v="0"/>
    <x v="2"/>
    <s v="Consistent"/>
    <x v="0"/>
  </r>
  <r>
    <x v="1953"/>
    <x v="0"/>
    <x v="1694"/>
    <n v="5071265406"/>
    <n v="22715.59"/>
    <s v="UK pounds"/>
    <s v="UK pounds"/>
    <x v="0"/>
    <s v="UK"/>
    <x v="2"/>
    <x v="0"/>
    <x v="2"/>
    <s v="Consistent"/>
    <x v="0"/>
  </r>
  <r>
    <x v="1954"/>
    <x v="0"/>
    <x v="1491"/>
    <n v="1431561040"/>
    <n v="10093.959999999999"/>
    <s v="UK pounds"/>
    <s v="UK pounds"/>
    <x v="0"/>
    <s v="UK"/>
    <x v="4"/>
    <x v="0"/>
    <x v="3"/>
    <s v="Consistent"/>
    <x v="0"/>
  </r>
  <r>
    <x v="1955"/>
    <x v="0"/>
    <x v="1695"/>
    <n v="3401350105"/>
    <n v="1821.04"/>
    <s v="UK pounds"/>
    <s v="UK pounds"/>
    <x v="0"/>
    <s v="UK"/>
    <x v="5"/>
    <x v="0"/>
    <x v="2"/>
    <s v="Consistent"/>
    <x v="0"/>
  </r>
  <r>
    <x v="1955"/>
    <x v="0"/>
    <x v="1696"/>
    <n v="2491859309"/>
    <n v="799.85"/>
    <s v="UK pounds"/>
    <s v="UK pounds"/>
    <x v="0"/>
    <s v="UK"/>
    <x v="0"/>
    <x v="0"/>
    <x v="0"/>
    <s v="Consistent"/>
    <x v="0"/>
  </r>
  <r>
    <x v="1956"/>
    <x v="0"/>
    <x v="35"/>
    <n v="6544532856"/>
    <n v="15810.04"/>
    <s v="UK pounds"/>
    <s v="UK pounds"/>
    <x v="0"/>
    <s v="UK"/>
    <x v="3"/>
    <x v="0"/>
    <x v="1"/>
    <s v="Consistent"/>
    <x v="0"/>
  </r>
  <r>
    <x v="1957"/>
    <x v="0"/>
    <x v="1697"/>
    <n v="5866835521"/>
    <n v="109847.33"/>
    <s v="UK pounds"/>
    <s v="UK pounds"/>
    <x v="0"/>
    <s v="UK"/>
    <x v="2"/>
    <x v="0"/>
    <x v="10"/>
    <s v="Consistent"/>
    <x v="0"/>
  </r>
  <r>
    <x v="1958"/>
    <x v="0"/>
    <x v="1698"/>
    <n v="3947868692"/>
    <n v="168.24"/>
    <s v="UK pounds"/>
    <s v="UK pounds"/>
    <x v="0"/>
    <s v="UK"/>
    <x v="6"/>
    <x v="0"/>
    <x v="5"/>
    <s v="Consistent"/>
    <x v="0"/>
  </r>
  <r>
    <x v="1959"/>
    <x v="0"/>
    <x v="1699"/>
    <n v="6070841449"/>
    <n v="51.38"/>
    <s v="UK pounds"/>
    <s v="UK pounds"/>
    <x v="0"/>
    <s v="UK"/>
    <x v="5"/>
    <x v="0"/>
    <x v="2"/>
    <s v="Consistent"/>
    <x v="0"/>
  </r>
  <r>
    <x v="1959"/>
    <x v="0"/>
    <x v="211"/>
    <n v="551907699"/>
    <n v="8952.9"/>
    <s v="UK pounds"/>
    <s v="UK pounds"/>
    <x v="0"/>
    <s v="UK"/>
    <x v="2"/>
    <x v="0"/>
    <x v="6"/>
    <s v="Consistent"/>
    <x v="0"/>
  </r>
  <r>
    <x v="1960"/>
    <x v="0"/>
    <x v="210"/>
    <n v="1799978362"/>
    <n v="7730.41"/>
    <s v="UK pounds"/>
    <s v="UK pounds"/>
    <x v="0"/>
    <s v="UK"/>
    <x v="4"/>
    <x v="0"/>
    <x v="1"/>
    <s v="Consistent"/>
    <x v="0"/>
  </r>
  <r>
    <x v="1961"/>
    <x v="0"/>
    <x v="238"/>
    <n v="1542761342"/>
    <n v="7317.72"/>
    <s v="UK pounds"/>
    <s v="UK pounds"/>
    <x v="0"/>
    <s v="UK"/>
    <x v="2"/>
    <x v="0"/>
    <x v="1"/>
    <s v="Consistent"/>
    <x v="0"/>
  </r>
  <r>
    <x v="1962"/>
    <x v="0"/>
    <x v="1700"/>
    <n v="6077900993"/>
    <n v="2308.0700000000002"/>
    <s v="UK pounds"/>
    <s v="UK pounds"/>
    <x v="0"/>
    <s v="UK"/>
    <x v="2"/>
    <x v="0"/>
    <x v="4"/>
    <s v="Consistent"/>
    <x v="0"/>
  </r>
  <r>
    <x v="1963"/>
    <x v="0"/>
    <x v="51"/>
    <n v="3031188286"/>
    <n v="11824.33"/>
    <s v="UK pounds"/>
    <s v="UK pounds"/>
    <x v="0"/>
    <s v="UK"/>
    <x v="4"/>
    <x v="0"/>
    <x v="1"/>
    <s v="Consistent"/>
    <x v="0"/>
  </r>
  <r>
    <x v="1964"/>
    <x v="0"/>
    <x v="161"/>
    <n v="7780773895"/>
    <n v="5134.46"/>
    <s v="UK pounds"/>
    <s v="UK pounds"/>
    <x v="0"/>
    <s v="UK"/>
    <x v="4"/>
    <x v="0"/>
    <x v="1"/>
    <s v="Consistent"/>
    <x v="0"/>
  </r>
  <r>
    <x v="1965"/>
    <x v="0"/>
    <x v="368"/>
    <n v="6000919396"/>
    <n v="10598.55"/>
    <s v="UK pounds"/>
    <s v="UK pounds"/>
    <x v="0"/>
    <s v="UK"/>
    <x v="3"/>
    <x v="0"/>
    <x v="1"/>
    <s v="Consistent"/>
    <x v="0"/>
  </r>
  <r>
    <x v="1965"/>
    <x v="0"/>
    <x v="46"/>
    <n v="1167200543"/>
    <n v="18038.53"/>
    <s v="UK pounds"/>
    <s v="UK pounds"/>
    <x v="0"/>
    <s v="UK"/>
    <x v="5"/>
    <x v="0"/>
    <x v="1"/>
    <s v="Consistent"/>
    <x v="0"/>
  </r>
  <r>
    <x v="1966"/>
    <x v="0"/>
    <x v="20"/>
    <n v="192121676"/>
    <n v="5642.4"/>
    <s v="UK pounds"/>
    <s v="UK pounds"/>
    <x v="0"/>
    <s v="UK"/>
    <x v="2"/>
    <x v="0"/>
    <x v="1"/>
    <s v="Consistent"/>
    <x v="0"/>
  </r>
  <r>
    <x v="1967"/>
    <x v="0"/>
    <x v="1701"/>
    <n v="5630473138"/>
    <n v="2062.62"/>
    <s v="UK pounds"/>
    <s v="UK pounds"/>
    <x v="0"/>
    <s v="UK"/>
    <x v="4"/>
    <x v="0"/>
    <x v="2"/>
    <s v="Consistent"/>
    <x v="0"/>
  </r>
  <r>
    <x v="1968"/>
    <x v="0"/>
    <x v="35"/>
    <n v="8841984234"/>
    <n v="8136.01"/>
    <s v="UK pounds"/>
    <s v="UK pounds"/>
    <x v="0"/>
    <s v="UK"/>
    <x v="3"/>
    <x v="0"/>
    <x v="1"/>
    <s v="Consistent"/>
    <x v="0"/>
  </r>
  <r>
    <x v="1969"/>
    <x v="0"/>
    <x v="163"/>
    <n v="2812285491"/>
    <n v="13208.64"/>
    <s v="UK pounds"/>
    <s v="UK pounds"/>
    <x v="0"/>
    <s v="UK"/>
    <x v="2"/>
    <x v="0"/>
    <x v="1"/>
    <s v="Consistent"/>
    <x v="0"/>
  </r>
  <r>
    <x v="1970"/>
    <x v="0"/>
    <x v="1702"/>
    <n v="9477278707"/>
    <n v="2837.82"/>
    <s v="UK pounds"/>
    <s v="UK pounds"/>
    <x v="0"/>
    <s v="UK"/>
    <x v="2"/>
    <x v="0"/>
    <x v="2"/>
    <s v="Consistent"/>
    <x v="0"/>
  </r>
  <r>
    <x v="1971"/>
    <x v="0"/>
    <x v="1703"/>
    <n v="4771219610"/>
    <n v="8453.32"/>
    <s v="UK pounds"/>
    <s v="Mexican Peso"/>
    <x v="0"/>
    <s v="Mexico"/>
    <x v="1"/>
    <x v="0"/>
    <x v="2"/>
    <s v="Potential Layering"/>
    <x v="0"/>
  </r>
  <r>
    <x v="1972"/>
    <x v="0"/>
    <x v="1704"/>
    <n v="1560526680"/>
    <n v="2876.87"/>
    <s v="UK pounds"/>
    <s v="UK pounds"/>
    <x v="0"/>
    <s v="UK"/>
    <x v="2"/>
    <x v="0"/>
    <x v="2"/>
    <s v="Consistent"/>
    <x v="0"/>
  </r>
  <r>
    <x v="1972"/>
    <x v="0"/>
    <x v="1705"/>
    <n v="4336977506"/>
    <n v="5638.13"/>
    <s v="UK pounds"/>
    <s v="UK pounds"/>
    <x v="0"/>
    <s v="UK"/>
    <x v="2"/>
    <x v="0"/>
    <x v="3"/>
    <s v="Consistent"/>
    <x v="0"/>
  </r>
  <r>
    <x v="1972"/>
    <x v="0"/>
    <x v="1706"/>
    <n v="6953672776"/>
    <n v="5395.33"/>
    <s v="UK pounds"/>
    <s v="Mexican Peso"/>
    <x v="0"/>
    <s v="Mexico"/>
    <x v="1"/>
    <x v="0"/>
    <x v="3"/>
    <s v="Potential Layering"/>
    <x v="0"/>
  </r>
  <r>
    <x v="1973"/>
    <x v="0"/>
    <x v="1707"/>
    <n v="6520893038"/>
    <n v="921.86"/>
    <s v="UK pounds"/>
    <s v="UK pounds"/>
    <x v="0"/>
    <s v="UK"/>
    <x v="0"/>
    <x v="0"/>
    <x v="0"/>
    <s v="Consistent"/>
    <x v="0"/>
  </r>
  <r>
    <x v="1974"/>
    <x v="0"/>
    <x v="35"/>
    <n v="9858029207"/>
    <n v="8713.09"/>
    <s v="UK pounds"/>
    <s v="Turkish lira"/>
    <x v="0"/>
    <s v="Turkey"/>
    <x v="1"/>
    <x v="0"/>
    <x v="1"/>
    <s v="Potential Layering"/>
    <x v="0"/>
  </r>
  <r>
    <x v="1974"/>
    <x v="0"/>
    <x v="819"/>
    <n v="3695545812"/>
    <n v="4551.1400000000003"/>
    <s v="UK pounds"/>
    <s v="UK pounds"/>
    <x v="0"/>
    <s v="UK"/>
    <x v="3"/>
    <x v="0"/>
    <x v="3"/>
    <s v="Consistent"/>
    <x v="0"/>
  </r>
  <r>
    <x v="1975"/>
    <x v="0"/>
    <x v="1708"/>
    <n v="7096475743"/>
    <n v="1180.73"/>
    <s v="UK pounds"/>
    <s v="UK pounds"/>
    <x v="0"/>
    <s v="UK"/>
    <x v="0"/>
    <x v="0"/>
    <x v="0"/>
    <s v="Consistent"/>
    <x v="0"/>
  </r>
  <r>
    <x v="1976"/>
    <x v="0"/>
    <x v="238"/>
    <n v="7590986319"/>
    <n v="5457.7"/>
    <s v="UK pounds"/>
    <s v="Euro"/>
    <x v="0"/>
    <s v="Spain"/>
    <x v="1"/>
    <x v="0"/>
    <x v="1"/>
    <s v="Potential Layering"/>
    <x v="0"/>
  </r>
  <r>
    <x v="1977"/>
    <x v="0"/>
    <x v="1709"/>
    <n v="6148223906"/>
    <n v="232.4"/>
    <s v="UK pounds"/>
    <s v="UK pounds"/>
    <x v="0"/>
    <s v="UK"/>
    <x v="2"/>
    <x v="0"/>
    <x v="2"/>
    <s v="Consistent"/>
    <x v="0"/>
  </r>
  <r>
    <x v="1978"/>
    <x v="0"/>
    <x v="1710"/>
    <n v="4293580479"/>
    <n v="4943.45"/>
    <s v="UK pounds"/>
    <s v="UK pounds"/>
    <x v="0"/>
    <s v="UK"/>
    <x v="2"/>
    <x v="0"/>
    <x v="3"/>
    <s v="Consistent"/>
    <x v="0"/>
  </r>
  <r>
    <x v="1979"/>
    <x v="0"/>
    <x v="1711"/>
    <n v="884333911"/>
    <n v="1082.24"/>
    <s v="UK pounds"/>
    <s v="UK pounds"/>
    <x v="0"/>
    <s v="UK"/>
    <x v="4"/>
    <x v="0"/>
    <x v="2"/>
    <s v="Consistent"/>
    <x v="0"/>
  </r>
  <r>
    <x v="1980"/>
    <x v="0"/>
    <x v="61"/>
    <n v="210242051"/>
    <n v="7585.82"/>
    <s v="UK pounds"/>
    <s v="UK pounds"/>
    <x v="0"/>
    <s v="UK"/>
    <x v="2"/>
    <x v="0"/>
    <x v="1"/>
    <s v="Consistent"/>
    <x v="0"/>
  </r>
  <r>
    <x v="1981"/>
    <x v="0"/>
    <x v="1712"/>
    <n v="6034997194"/>
    <n v="17457.27"/>
    <s v="Mexican Peso"/>
    <s v="UK pounds"/>
    <x v="0"/>
    <s v="UK"/>
    <x v="5"/>
    <x v="0"/>
    <x v="3"/>
    <s v="Potential Layering"/>
    <x v="0"/>
  </r>
  <r>
    <x v="1982"/>
    <x v="0"/>
    <x v="1713"/>
    <n v="3033806248"/>
    <n v="720.46"/>
    <s v="UK pounds"/>
    <s v="UK pounds"/>
    <x v="0"/>
    <s v="UK"/>
    <x v="0"/>
    <x v="0"/>
    <x v="0"/>
    <s v="Consistent"/>
    <x v="0"/>
  </r>
  <r>
    <x v="1983"/>
    <x v="0"/>
    <x v="1714"/>
    <n v="5103043844"/>
    <n v="31667"/>
    <s v="UK pounds"/>
    <s v="Naira"/>
    <x v="0"/>
    <s v="Nigeria"/>
    <x v="1"/>
    <x v="0"/>
    <x v="3"/>
    <s v="Potential Layering"/>
    <x v="0"/>
  </r>
  <r>
    <x v="1984"/>
    <x v="0"/>
    <x v="1715"/>
    <n v="8592277065"/>
    <n v="10083.23"/>
    <s v="UK pounds"/>
    <s v="UK pounds"/>
    <x v="0"/>
    <s v="UK"/>
    <x v="3"/>
    <x v="0"/>
    <x v="4"/>
    <s v="Consistent"/>
    <x v="0"/>
  </r>
  <r>
    <x v="1985"/>
    <x v="0"/>
    <x v="1716"/>
    <n v="7353974647"/>
    <n v="16647.830000000002"/>
    <s v="UK pounds"/>
    <s v="Euro"/>
    <x v="0"/>
    <s v="Spain"/>
    <x v="1"/>
    <x v="0"/>
    <x v="2"/>
    <s v="Potential Layering"/>
    <x v="0"/>
  </r>
  <r>
    <x v="1986"/>
    <x v="0"/>
    <x v="508"/>
    <n v="4270865741"/>
    <n v="9929.6299999999992"/>
    <s v="UK pounds"/>
    <s v="UK pounds"/>
    <x v="0"/>
    <s v="UK"/>
    <x v="3"/>
    <x v="0"/>
    <x v="3"/>
    <s v="Consistent"/>
    <x v="0"/>
  </r>
  <r>
    <x v="1987"/>
    <x v="0"/>
    <x v="163"/>
    <n v="2166082350"/>
    <n v="4757.7700000000004"/>
    <s v="UK pounds"/>
    <s v="UK pounds"/>
    <x v="0"/>
    <s v="UK"/>
    <x v="3"/>
    <x v="0"/>
    <x v="1"/>
    <s v="Consistent"/>
    <x v="0"/>
  </r>
  <r>
    <x v="1988"/>
    <x v="0"/>
    <x v="238"/>
    <n v="4917300261"/>
    <n v="6114.97"/>
    <s v="UK pounds"/>
    <s v="UK pounds"/>
    <x v="0"/>
    <s v="UK"/>
    <x v="3"/>
    <x v="0"/>
    <x v="1"/>
    <s v="Consistent"/>
    <x v="0"/>
  </r>
  <r>
    <x v="1988"/>
    <x v="0"/>
    <x v="960"/>
    <n v="4336977506"/>
    <n v="8620.89"/>
    <s v="UK pounds"/>
    <s v="UK pounds"/>
    <x v="0"/>
    <s v="UK"/>
    <x v="5"/>
    <x v="0"/>
    <x v="3"/>
    <s v="Consistent"/>
    <x v="0"/>
  </r>
  <r>
    <x v="1988"/>
    <x v="0"/>
    <x v="1717"/>
    <n v="8290521803"/>
    <n v="8109.47"/>
    <s v="UK pounds"/>
    <s v="UK pounds"/>
    <x v="0"/>
    <s v="UK"/>
    <x v="2"/>
    <x v="0"/>
    <x v="2"/>
    <s v="Consistent"/>
    <x v="0"/>
  </r>
  <r>
    <x v="1989"/>
    <x v="0"/>
    <x v="1718"/>
    <n v="6305640575"/>
    <n v="1476"/>
    <s v="UK pounds"/>
    <s v="UK pounds"/>
    <x v="0"/>
    <s v="UK"/>
    <x v="0"/>
    <x v="0"/>
    <x v="0"/>
    <s v="Consistent"/>
    <x v="0"/>
  </r>
  <r>
    <x v="1990"/>
    <x v="0"/>
    <x v="1719"/>
    <n v="2138505015"/>
    <n v="5881.33"/>
    <s v="UK pounds"/>
    <s v="Dirham"/>
    <x v="0"/>
    <s v="UAE"/>
    <x v="1"/>
    <x v="0"/>
    <x v="3"/>
    <s v="Potential Layering"/>
    <x v="0"/>
  </r>
  <r>
    <x v="1990"/>
    <x v="0"/>
    <x v="1432"/>
    <n v="8678802420"/>
    <n v="21395.599999999999"/>
    <s v="UK pounds"/>
    <s v="UK pounds"/>
    <x v="0"/>
    <s v="UK"/>
    <x v="4"/>
    <x v="0"/>
    <x v="3"/>
    <s v="Consistent"/>
    <x v="0"/>
  </r>
  <r>
    <x v="1991"/>
    <x v="0"/>
    <x v="1720"/>
    <n v="3474800855"/>
    <n v="9308.39"/>
    <s v="UK pounds"/>
    <s v="UK pounds"/>
    <x v="0"/>
    <s v="UK"/>
    <x v="5"/>
    <x v="0"/>
    <x v="4"/>
    <s v="Consistent"/>
    <x v="0"/>
  </r>
  <r>
    <x v="1992"/>
    <x v="0"/>
    <x v="282"/>
    <n v="1316458123"/>
    <n v="5736.64"/>
    <s v="UK pounds"/>
    <s v="Mexican Peso"/>
    <x v="0"/>
    <s v="Mexico"/>
    <x v="1"/>
    <x v="0"/>
    <x v="3"/>
    <s v="Potential Layering"/>
    <x v="0"/>
  </r>
  <r>
    <x v="1993"/>
    <x v="0"/>
    <x v="1721"/>
    <n v="8100777870"/>
    <n v="8724.49"/>
    <s v="UK pounds"/>
    <s v="UK pounds"/>
    <x v="0"/>
    <s v="UK"/>
    <x v="4"/>
    <x v="0"/>
    <x v="2"/>
    <s v="Consistent"/>
    <x v="0"/>
  </r>
  <r>
    <x v="1993"/>
    <x v="0"/>
    <x v="1722"/>
    <n v="2813573977"/>
    <n v="273.91000000000003"/>
    <s v="UK pounds"/>
    <s v="UK pounds"/>
    <x v="0"/>
    <s v="UK"/>
    <x v="0"/>
    <x v="0"/>
    <x v="0"/>
    <s v="Consistent"/>
    <x v="0"/>
  </r>
  <r>
    <x v="1994"/>
    <x v="0"/>
    <x v="161"/>
    <n v="8430883282"/>
    <n v="4935.58"/>
    <s v="UK pounds"/>
    <s v="Mexican Peso"/>
    <x v="0"/>
    <s v="Mexico"/>
    <x v="1"/>
    <x v="0"/>
    <x v="1"/>
    <s v="Potential Layering"/>
    <x v="0"/>
  </r>
  <r>
    <x v="1995"/>
    <x v="0"/>
    <x v="993"/>
    <n v="3220735304"/>
    <n v="9735.4699999999993"/>
    <s v="UK pounds"/>
    <s v="UK pounds"/>
    <x v="0"/>
    <s v="UK"/>
    <x v="4"/>
    <x v="0"/>
    <x v="3"/>
    <s v="Consistent"/>
    <x v="0"/>
  </r>
  <r>
    <x v="1995"/>
    <x v="0"/>
    <x v="704"/>
    <n v="7080357663"/>
    <n v="13518.05"/>
    <s v="UK pounds"/>
    <s v="UK pounds"/>
    <x v="0"/>
    <s v="UK"/>
    <x v="5"/>
    <x v="0"/>
    <x v="3"/>
    <s v="Consistent"/>
    <x v="0"/>
  </r>
  <r>
    <x v="1996"/>
    <x v="0"/>
    <x v="1723"/>
    <n v="9249516491"/>
    <n v="482.38"/>
    <s v="UK pounds"/>
    <s v="UK pounds"/>
    <x v="0"/>
    <s v="UK"/>
    <x v="5"/>
    <x v="0"/>
    <x v="2"/>
    <s v="Consistent"/>
    <x v="0"/>
  </r>
  <r>
    <x v="1997"/>
    <x v="0"/>
    <x v="1724"/>
    <n v="4293580479"/>
    <n v="8902.15"/>
    <s v="UK pounds"/>
    <s v="UK pounds"/>
    <x v="0"/>
    <s v="UK"/>
    <x v="3"/>
    <x v="0"/>
    <x v="3"/>
    <s v="Consistent"/>
    <x v="0"/>
  </r>
  <r>
    <x v="1998"/>
    <x v="0"/>
    <x v="1725"/>
    <n v="113798945"/>
    <n v="825.57"/>
    <s v="UK pounds"/>
    <s v="UK pounds"/>
    <x v="0"/>
    <s v="UK"/>
    <x v="3"/>
    <x v="0"/>
    <x v="2"/>
    <s v="Consistent"/>
    <x v="0"/>
  </r>
  <r>
    <x v="1999"/>
    <x v="0"/>
    <x v="1726"/>
    <n v="7962827825"/>
    <n v="832.61"/>
    <s v="UK pounds"/>
    <s v="UK pounds"/>
    <x v="0"/>
    <s v="UK"/>
    <x v="5"/>
    <x v="0"/>
    <x v="2"/>
    <s v="Consistent"/>
    <x v="0"/>
  </r>
  <r>
    <x v="2000"/>
    <x v="0"/>
    <x v="379"/>
    <n v="2048840179"/>
    <n v="5195.8599999999997"/>
    <s v="UK pounds"/>
    <s v="UK pounds"/>
    <x v="0"/>
    <s v="UK"/>
    <x v="5"/>
    <x v="0"/>
    <x v="1"/>
    <s v="Consistent"/>
    <x v="0"/>
  </r>
  <r>
    <x v="2000"/>
    <x v="0"/>
    <x v="40"/>
    <n v="185269563"/>
    <n v="5637.44"/>
    <s v="UK pounds"/>
    <s v="UK pounds"/>
    <x v="0"/>
    <s v="UK"/>
    <x v="5"/>
    <x v="0"/>
    <x v="1"/>
    <s v="Consistent"/>
    <x v="0"/>
  </r>
  <r>
    <x v="2001"/>
    <x v="0"/>
    <x v="1700"/>
    <n v="6077900993"/>
    <n v="1227.6300000000001"/>
    <s v="UK pounds"/>
    <s v="UK pounds"/>
    <x v="0"/>
    <s v="UK"/>
    <x v="3"/>
    <x v="0"/>
    <x v="4"/>
    <s v="Consistent"/>
    <x v="0"/>
  </r>
  <r>
    <x v="2002"/>
    <x v="0"/>
    <x v="1727"/>
    <n v="1377603863"/>
    <n v="14021.47"/>
    <s v="UK pounds"/>
    <s v="UK pounds"/>
    <x v="0"/>
    <s v="UK"/>
    <x v="2"/>
    <x v="0"/>
    <x v="3"/>
    <s v="Consistent"/>
    <x v="0"/>
  </r>
  <r>
    <x v="2003"/>
    <x v="0"/>
    <x v="1728"/>
    <n v="7160736915"/>
    <n v="6674.52"/>
    <s v="UK pounds"/>
    <s v="UK pounds"/>
    <x v="0"/>
    <s v="UK"/>
    <x v="3"/>
    <x v="0"/>
    <x v="3"/>
    <s v="Consistent"/>
    <x v="0"/>
  </r>
  <r>
    <x v="2004"/>
    <x v="0"/>
    <x v="1729"/>
    <n v="4657854880"/>
    <n v="7285.58"/>
    <s v="UK pounds"/>
    <s v="UK pounds"/>
    <x v="0"/>
    <s v="UK"/>
    <x v="5"/>
    <x v="0"/>
    <x v="2"/>
    <s v="Consistent"/>
    <x v="0"/>
  </r>
  <r>
    <x v="2004"/>
    <x v="0"/>
    <x v="1730"/>
    <n v="8368694306"/>
    <n v="175.45"/>
    <s v="UK pounds"/>
    <s v="UK pounds"/>
    <x v="0"/>
    <s v="UK"/>
    <x v="2"/>
    <x v="0"/>
    <x v="2"/>
    <s v="Consistent"/>
    <x v="0"/>
  </r>
  <r>
    <x v="2005"/>
    <x v="0"/>
    <x v="1731"/>
    <n v="2254471770"/>
    <n v="1648.09"/>
    <s v="UK pounds"/>
    <s v="UK pounds"/>
    <x v="0"/>
    <s v="UK"/>
    <x v="4"/>
    <x v="0"/>
    <x v="2"/>
    <s v="Consistent"/>
    <x v="0"/>
  </r>
  <r>
    <x v="2006"/>
    <x v="0"/>
    <x v="1732"/>
    <n v="9850207015"/>
    <n v="93367.86"/>
    <s v="UK pounds"/>
    <s v="UK pounds"/>
    <x v="0"/>
    <s v="UK"/>
    <x v="2"/>
    <x v="0"/>
    <x v="10"/>
    <s v="Consistent"/>
    <x v="0"/>
  </r>
  <r>
    <x v="2007"/>
    <x v="0"/>
    <x v="81"/>
    <n v="737679962"/>
    <n v="4555.33"/>
    <s v="UK pounds"/>
    <s v="UK pounds"/>
    <x v="0"/>
    <s v="UK"/>
    <x v="5"/>
    <x v="0"/>
    <x v="1"/>
    <s v="Consistent"/>
    <x v="0"/>
  </r>
  <r>
    <x v="2008"/>
    <x v="0"/>
    <x v="1733"/>
    <n v="2828854769"/>
    <n v="6041.88"/>
    <s v="UK pounds"/>
    <s v="UK pounds"/>
    <x v="0"/>
    <s v="UK"/>
    <x v="2"/>
    <x v="0"/>
    <x v="4"/>
    <s v="Consistent"/>
    <x v="0"/>
  </r>
  <r>
    <x v="2009"/>
    <x v="0"/>
    <x v="286"/>
    <n v="286855986"/>
    <n v="28447.05"/>
    <s v="UK pounds"/>
    <s v="UK pounds"/>
    <x v="0"/>
    <s v="UK"/>
    <x v="4"/>
    <x v="0"/>
    <x v="2"/>
    <s v="Consistent"/>
    <x v="0"/>
  </r>
  <r>
    <x v="2010"/>
    <x v="0"/>
    <x v="1734"/>
    <n v="8064916340"/>
    <n v="4884.58"/>
    <s v="UK pounds"/>
    <s v="UK pounds"/>
    <x v="0"/>
    <s v="UK"/>
    <x v="4"/>
    <x v="0"/>
    <x v="2"/>
    <s v="Consistent"/>
    <x v="0"/>
  </r>
  <r>
    <x v="2011"/>
    <x v="0"/>
    <x v="206"/>
    <n v="911722658"/>
    <n v="11416.75"/>
    <s v="Mexican Peso"/>
    <s v="UK pounds"/>
    <x v="2"/>
    <s v="UK"/>
    <x v="1"/>
    <x v="0"/>
    <x v="6"/>
    <s v="Potential Layering"/>
    <x v="1"/>
  </r>
  <r>
    <x v="2012"/>
    <x v="0"/>
    <x v="61"/>
    <n v="9599693960"/>
    <n v="9699.02"/>
    <s v="UK pounds"/>
    <s v="UK pounds"/>
    <x v="0"/>
    <s v="UK"/>
    <x v="2"/>
    <x v="0"/>
    <x v="1"/>
    <s v="Consistent"/>
    <x v="0"/>
  </r>
  <r>
    <x v="2013"/>
    <x v="0"/>
    <x v="20"/>
    <n v="7534701000"/>
    <n v="9161.8700000000008"/>
    <s v="UK pounds"/>
    <s v="UK pounds"/>
    <x v="0"/>
    <s v="UK"/>
    <x v="5"/>
    <x v="0"/>
    <x v="1"/>
    <s v="Consistent"/>
    <x v="0"/>
  </r>
  <r>
    <x v="2014"/>
    <x v="0"/>
    <x v="611"/>
    <n v="3695545812"/>
    <n v="20651.87"/>
    <s v="UK pounds"/>
    <s v="UK pounds"/>
    <x v="0"/>
    <s v="UK"/>
    <x v="5"/>
    <x v="0"/>
    <x v="3"/>
    <s v="Consistent"/>
    <x v="0"/>
  </r>
  <r>
    <x v="2015"/>
    <x v="0"/>
    <x v="238"/>
    <n v="7050565101"/>
    <n v="12368.18"/>
    <s v="UK pounds"/>
    <s v="UK pounds"/>
    <x v="0"/>
    <s v="UK"/>
    <x v="5"/>
    <x v="0"/>
    <x v="1"/>
    <s v="Consistent"/>
    <x v="0"/>
  </r>
  <r>
    <x v="2016"/>
    <x v="0"/>
    <x v="114"/>
    <n v="7892884492"/>
    <n v="5158.1000000000004"/>
    <s v="UK pounds"/>
    <s v="US dollar"/>
    <x v="0"/>
    <s v="USA"/>
    <x v="1"/>
    <x v="0"/>
    <x v="3"/>
    <s v="Potential Layering"/>
    <x v="0"/>
  </r>
  <r>
    <x v="2017"/>
    <x v="0"/>
    <x v="1735"/>
    <n v="6188396334"/>
    <n v="767.22"/>
    <s v="UK pounds"/>
    <s v="UK pounds"/>
    <x v="0"/>
    <s v="UK"/>
    <x v="4"/>
    <x v="0"/>
    <x v="2"/>
    <s v="Consistent"/>
    <x v="0"/>
  </r>
  <r>
    <x v="2018"/>
    <x v="0"/>
    <x v="1736"/>
    <n v="4669499191"/>
    <n v="4155.08"/>
    <s v="UK pounds"/>
    <s v="UK pounds"/>
    <x v="0"/>
    <s v="UK"/>
    <x v="2"/>
    <x v="0"/>
    <x v="2"/>
    <s v="Consistent"/>
    <x v="0"/>
  </r>
  <r>
    <x v="2019"/>
    <x v="0"/>
    <x v="1737"/>
    <n v="6565849821"/>
    <n v="334.41"/>
    <s v="UK pounds"/>
    <s v="UK pounds"/>
    <x v="0"/>
    <s v="UK"/>
    <x v="6"/>
    <x v="0"/>
    <x v="5"/>
    <s v="Consistent"/>
    <x v="0"/>
  </r>
  <r>
    <x v="2020"/>
    <x v="0"/>
    <x v="40"/>
    <n v="7074900925"/>
    <n v="5990.52"/>
    <s v="UK pounds"/>
    <s v="UK pounds"/>
    <x v="0"/>
    <s v="UK"/>
    <x v="2"/>
    <x v="0"/>
    <x v="1"/>
    <s v="Consistent"/>
    <x v="0"/>
  </r>
  <r>
    <x v="2021"/>
    <x v="0"/>
    <x v="110"/>
    <n v="7577540230"/>
    <n v="7254.49"/>
    <s v="UK pounds"/>
    <s v="UK pounds"/>
    <x v="0"/>
    <s v="UK"/>
    <x v="4"/>
    <x v="0"/>
    <x v="1"/>
    <s v="Consistent"/>
    <x v="0"/>
  </r>
  <r>
    <x v="2022"/>
    <x v="0"/>
    <x v="1738"/>
    <n v="7732762685"/>
    <n v="1638.98"/>
    <s v="UK pounds"/>
    <s v="UK pounds"/>
    <x v="0"/>
    <s v="UK"/>
    <x v="0"/>
    <x v="0"/>
    <x v="0"/>
    <s v="Consistent"/>
    <x v="0"/>
  </r>
  <r>
    <x v="2023"/>
    <x v="0"/>
    <x v="1739"/>
    <n v="4873913778"/>
    <n v="2194.19"/>
    <s v="UK pounds"/>
    <s v="UK pounds"/>
    <x v="0"/>
    <s v="UK"/>
    <x v="2"/>
    <x v="0"/>
    <x v="2"/>
    <s v="Consistent"/>
    <x v="0"/>
  </r>
  <r>
    <x v="2023"/>
    <x v="0"/>
    <x v="379"/>
    <n v="7106391404"/>
    <n v="9945.27"/>
    <s v="UK pounds"/>
    <s v="Yen"/>
    <x v="0"/>
    <s v="Japan"/>
    <x v="1"/>
    <x v="0"/>
    <x v="1"/>
    <s v="Potential Layering"/>
    <x v="0"/>
  </r>
  <r>
    <x v="2024"/>
    <x v="0"/>
    <x v="1740"/>
    <n v="5858369125"/>
    <n v="9210.7999999999993"/>
    <s v="UK pounds"/>
    <s v="UK pounds"/>
    <x v="0"/>
    <s v="UK"/>
    <x v="3"/>
    <x v="0"/>
    <x v="3"/>
    <s v="Consistent"/>
    <x v="0"/>
  </r>
  <r>
    <x v="2025"/>
    <x v="0"/>
    <x v="1741"/>
    <n v="3147078798"/>
    <n v="231.01"/>
    <s v="UK pounds"/>
    <s v="UK pounds"/>
    <x v="0"/>
    <s v="UK"/>
    <x v="6"/>
    <x v="0"/>
    <x v="5"/>
    <s v="Consistent"/>
    <x v="0"/>
  </r>
  <r>
    <x v="2026"/>
    <x v="0"/>
    <x v="51"/>
    <n v="4447848214"/>
    <n v="8054.2"/>
    <s v="UK pounds"/>
    <s v="UK pounds"/>
    <x v="0"/>
    <s v="UK"/>
    <x v="4"/>
    <x v="0"/>
    <x v="1"/>
    <s v="Consistent"/>
    <x v="0"/>
  </r>
  <r>
    <x v="2027"/>
    <x v="0"/>
    <x v="1742"/>
    <n v="429790152"/>
    <n v="288.01"/>
    <s v="UK pounds"/>
    <s v="UK pounds"/>
    <x v="0"/>
    <s v="UK"/>
    <x v="2"/>
    <x v="0"/>
    <x v="2"/>
    <s v="Consistent"/>
    <x v="0"/>
  </r>
  <r>
    <x v="2027"/>
    <x v="0"/>
    <x v="1743"/>
    <n v="2959021633"/>
    <n v="10295.52"/>
    <s v="UK pounds"/>
    <s v="UK pounds"/>
    <x v="0"/>
    <s v="UK"/>
    <x v="4"/>
    <x v="0"/>
    <x v="2"/>
    <s v="Consistent"/>
    <x v="0"/>
  </r>
  <r>
    <x v="2028"/>
    <x v="0"/>
    <x v="1744"/>
    <n v="2958361606"/>
    <n v="1879.64"/>
    <s v="UK pounds"/>
    <s v="UK pounds"/>
    <x v="0"/>
    <s v="UK"/>
    <x v="5"/>
    <x v="0"/>
    <x v="2"/>
    <s v="Consistent"/>
    <x v="0"/>
  </r>
  <r>
    <x v="2029"/>
    <x v="0"/>
    <x v="1745"/>
    <n v="5359004631"/>
    <n v="78.72"/>
    <s v="UK pounds"/>
    <s v="UK pounds"/>
    <x v="0"/>
    <s v="UK"/>
    <x v="6"/>
    <x v="0"/>
    <x v="5"/>
    <s v="Consistent"/>
    <x v="0"/>
  </r>
  <r>
    <x v="2030"/>
    <x v="0"/>
    <x v="255"/>
    <n v="8950761727"/>
    <n v="6877.12"/>
    <s v="UK pounds"/>
    <s v="UK pounds"/>
    <x v="0"/>
    <s v="UK"/>
    <x v="2"/>
    <x v="0"/>
    <x v="1"/>
    <s v="Consistent"/>
    <x v="0"/>
  </r>
  <r>
    <x v="2031"/>
    <x v="0"/>
    <x v="772"/>
    <n v="8172080174"/>
    <n v="7737.64"/>
    <s v="Pakistani rupee"/>
    <s v="UK pounds"/>
    <x v="9"/>
    <s v="UK"/>
    <x v="1"/>
    <x v="0"/>
    <x v="3"/>
    <s v="Potential Layering"/>
    <x v="1"/>
  </r>
  <r>
    <x v="2032"/>
    <x v="0"/>
    <x v="568"/>
    <n v="4547973270"/>
    <n v="6528.26"/>
    <s v="UK pounds"/>
    <s v="Euro"/>
    <x v="0"/>
    <s v="Italy"/>
    <x v="1"/>
    <x v="0"/>
    <x v="6"/>
    <s v="Potential Layering"/>
    <x v="0"/>
  </r>
  <r>
    <x v="2033"/>
    <x v="0"/>
    <x v="282"/>
    <n v="1316458123"/>
    <n v="5712.75"/>
    <s v="UK pounds"/>
    <s v="Mexican Peso"/>
    <x v="0"/>
    <s v="Mexico"/>
    <x v="1"/>
    <x v="0"/>
    <x v="3"/>
    <s v="Potential Layering"/>
    <x v="0"/>
  </r>
  <r>
    <x v="2034"/>
    <x v="0"/>
    <x v="1746"/>
    <n v="9019995600"/>
    <n v="2126.83"/>
    <s v="UK pounds"/>
    <s v="UK pounds"/>
    <x v="0"/>
    <s v="UK"/>
    <x v="2"/>
    <x v="0"/>
    <x v="2"/>
    <s v="Consistent"/>
    <x v="0"/>
  </r>
  <r>
    <x v="2034"/>
    <x v="0"/>
    <x v="230"/>
    <n v="5628674969"/>
    <n v="6598.91"/>
    <s v="UK pounds"/>
    <s v="UK pounds"/>
    <x v="0"/>
    <s v="UK"/>
    <x v="3"/>
    <x v="0"/>
    <x v="3"/>
    <s v="Consistent"/>
    <x v="0"/>
  </r>
  <r>
    <x v="2035"/>
    <x v="0"/>
    <x v="1747"/>
    <n v="4336977506"/>
    <n v="21587.98"/>
    <s v="UK pounds"/>
    <s v="UK pounds"/>
    <x v="0"/>
    <s v="UK"/>
    <x v="4"/>
    <x v="0"/>
    <x v="3"/>
    <s v="Consistent"/>
    <x v="0"/>
  </r>
  <r>
    <x v="2036"/>
    <x v="0"/>
    <x v="46"/>
    <n v="4409725873"/>
    <n v="8340.26"/>
    <s v="UK pounds"/>
    <s v="UK pounds"/>
    <x v="0"/>
    <s v="UK"/>
    <x v="5"/>
    <x v="0"/>
    <x v="1"/>
    <s v="Consistent"/>
    <x v="0"/>
  </r>
  <r>
    <x v="2037"/>
    <x v="0"/>
    <x v="1748"/>
    <n v="4649664002"/>
    <n v="310.73"/>
    <s v="UK pounds"/>
    <s v="UK pounds"/>
    <x v="0"/>
    <s v="UK"/>
    <x v="5"/>
    <x v="0"/>
    <x v="2"/>
    <s v="Consistent"/>
    <x v="0"/>
  </r>
  <r>
    <x v="2038"/>
    <x v="0"/>
    <x v="1749"/>
    <n v="8503142785"/>
    <n v="2312.96"/>
    <s v="UK pounds"/>
    <s v="UK pounds"/>
    <x v="0"/>
    <s v="UK"/>
    <x v="5"/>
    <x v="0"/>
    <x v="2"/>
    <s v="Consistent"/>
    <x v="0"/>
  </r>
  <r>
    <x v="2039"/>
    <x v="0"/>
    <x v="1750"/>
    <n v="6953672776"/>
    <n v="7785.78"/>
    <s v="Turkish lira"/>
    <s v="Mexican Peso"/>
    <x v="13"/>
    <s v="Mexico"/>
    <x v="1"/>
    <x v="0"/>
    <x v="3"/>
    <s v="Potential Layering"/>
    <x v="1"/>
  </r>
  <r>
    <x v="2040"/>
    <x v="0"/>
    <x v="1751"/>
    <n v="4348841083"/>
    <n v="612.41"/>
    <s v="UK pounds"/>
    <s v="UK pounds"/>
    <x v="0"/>
    <s v="UK"/>
    <x v="2"/>
    <x v="0"/>
    <x v="2"/>
    <s v="Consistent"/>
    <x v="0"/>
  </r>
  <r>
    <x v="2041"/>
    <x v="0"/>
    <x v="1752"/>
    <n v="5929086146"/>
    <n v="1765.18"/>
    <s v="UK pounds"/>
    <s v="UK pounds"/>
    <x v="0"/>
    <s v="UK"/>
    <x v="4"/>
    <x v="0"/>
    <x v="2"/>
    <s v="Consistent"/>
    <x v="0"/>
  </r>
  <r>
    <x v="2042"/>
    <x v="0"/>
    <x v="150"/>
    <n v="8678069851"/>
    <n v="4718.41"/>
    <s v="Yen"/>
    <s v="UK pounds"/>
    <x v="0"/>
    <s v="UK"/>
    <x v="2"/>
    <x v="0"/>
    <x v="1"/>
    <s v="Potential Layering"/>
    <x v="0"/>
  </r>
  <r>
    <x v="2042"/>
    <x v="0"/>
    <x v="20"/>
    <n v="7534701000"/>
    <n v="9049.0499999999993"/>
    <s v="UK pounds"/>
    <s v="UK pounds"/>
    <x v="0"/>
    <s v="UK"/>
    <x v="3"/>
    <x v="0"/>
    <x v="1"/>
    <s v="Consistent"/>
    <x v="0"/>
  </r>
  <r>
    <x v="2043"/>
    <x v="0"/>
    <x v="1753"/>
    <n v="7449377244"/>
    <n v="438.4"/>
    <s v="UK pounds"/>
    <s v="UK pounds"/>
    <x v="0"/>
    <s v="UK"/>
    <x v="5"/>
    <x v="0"/>
    <x v="2"/>
    <s v="Consistent"/>
    <x v="0"/>
  </r>
  <r>
    <x v="2043"/>
    <x v="0"/>
    <x v="1025"/>
    <n v="6444220418"/>
    <n v="9595.89"/>
    <s v="UK pounds"/>
    <s v="UK pounds"/>
    <x v="0"/>
    <s v="UK"/>
    <x v="2"/>
    <x v="0"/>
    <x v="3"/>
    <s v="Consistent"/>
    <x v="0"/>
  </r>
  <r>
    <x v="2044"/>
    <x v="0"/>
    <x v="238"/>
    <n v="1542761342"/>
    <n v="7351.14"/>
    <s v="UK pounds"/>
    <s v="UK pounds"/>
    <x v="0"/>
    <s v="UK"/>
    <x v="4"/>
    <x v="0"/>
    <x v="1"/>
    <s v="Consistent"/>
    <x v="0"/>
  </r>
  <r>
    <x v="2045"/>
    <x v="0"/>
    <x v="163"/>
    <n v="3353965610"/>
    <n v="7153.88"/>
    <s v="UK pounds"/>
    <s v="UK pounds"/>
    <x v="0"/>
    <s v="UK"/>
    <x v="2"/>
    <x v="0"/>
    <x v="1"/>
    <s v="Consistent"/>
    <x v="0"/>
  </r>
  <r>
    <x v="2046"/>
    <x v="0"/>
    <x v="1103"/>
    <n v="8172080174"/>
    <n v="21033.41"/>
    <s v="UK pounds"/>
    <s v="UK pounds"/>
    <x v="0"/>
    <s v="UK"/>
    <x v="5"/>
    <x v="0"/>
    <x v="3"/>
    <s v="Consistent"/>
    <x v="0"/>
  </r>
  <r>
    <x v="2047"/>
    <x v="0"/>
    <x v="1754"/>
    <n v="7802904807"/>
    <n v="504.87"/>
    <s v="UK pounds"/>
    <s v="UK pounds"/>
    <x v="0"/>
    <s v="UK"/>
    <x v="3"/>
    <x v="0"/>
    <x v="2"/>
    <s v="Consistent"/>
    <x v="0"/>
  </r>
  <r>
    <x v="2047"/>
    <x v="0"/>
    <x v="1755"/>
    <n v="3704337866"/>
    <n v="548.86"/>
    <s v="UK pounds"/>
    <s v="UK pounds"/>
    <x v="0"/>
    <s v="UK"/>
    <x v="4"/>
    <x v="0"/>
    <x v="2"/>
    <s v="Consistent"/>
    <x v="0"/>
  </r>
  <r>
    <x v="2048"/>
    <x v="0"/>
    <x v="1756"/>
    <n v="7441497212"/>
    <n v="3771.01"/>
    <s v="UK pounds"/>
    <s v="UK pounds"/>
    <x v="0"/>
    <s v="UK"/>
    <x v="0"/>
    <x v="0"/>
    <x v="0"/>
    <s v="Consistent"/>
    <x v="0"/>
  </r>
  <r>
    <x v="2049"/>
    <x v="0"/>
    <x v="1757"/>
    <n v="9066231296"/>
    <n v="77.19"/>
    <s v="UK pounds"/>
    <s v="UK pounds"/>
    <x v="0"/>
    <s v="UK"/>
    <x v="6"/>
    <x v="0"/>
    <x v="5"/>
    <s v="Consistent"/>
    <x v="0"/>
  </r>
  <r>
    <x v="2050"/>
    <x v="0"/>
    <x v="238"/>
    <n v="3099235880"/>
    <n v="8967.85"/>
    <s v="UK pounds"/>
    <s v="UK pounds"/>
    <x v="0"/>
    <s v="UK"/>
    <x v="5"/>
    <x v="0"/>
    <x v="1"/>
    <s v="Consistent"/>
    <x v="0"/>
  </r>
  <r>
    <x v="2050"/>
    <x v="0"/>
    <x v="243"/>
    <n v="9281561360"/>
    <n v="22084.81"/>
    <s v="Euro"/>
    <s v="UK pounds"/>
    <x v="4"/>
    <s v="UK"/>
    <x v="1"/>
    <x v="0"/>
    <x v="1"/>
    <s v="Potential Layering"/>
    <x v="0"/>
  </r>
  <r>
    <x v="2051"/>
    <x v="0"/>
    <x v="1758"/>
    <n v="297460494"/>
    <n v="73226.52"/>
    <s v="UK pounds"/>
    <s v="UK pounds"/>
    <x v="0"/>
    <s v="UK"/>
    <x v="5"/>
    <x v="0"/>
    <x v="8"/>
    <s v="Consistent"/>
    <x v="0"/>
  </r>
  <r>
    <x v="2052"/>
    <x v="0"/>
    <x v="368"/>
    <n v="4344045246"/>
    <n v="10011.35"/>
    <s v="UK pounds"/>
    <s v="Swiss franc"/>
    <x v="0"/>
    <s v="Switzerland"/>
    <x v="1"/>
    <x v="0"/>
    <x v="1"/>
    <s v="Potential Layering"/>
    <x v="0"/>
  </r>
  <r>
    <x v="2052"/>
    <x v="0"/>
    <x v="779"/>
    <n v="1377603863"/>
    <n v="7359.65"/>
    <s v="UK pounds"/>
    <s v="UK pounds"/>
    <x v="0"/>
    <s v="UK"/>
    <x v="2"/>
    <x v="0"/>
    <x v="3"/>
    <s v="Consistent"/>
    <x v="0"/>
  </r>
  <r>
    <x v="2053"/>
    <x v="0"/>
    <x v="165"/>
    <n v="1377603863"/>
    <n v="9426.74"/>
    <s v="UK pounds"/>
    <s v="UK pounds"/>
    <x v="0"/>
    <s v="UK"/>
    <x v="5"/>
    <x v="0"/>
    <x v="3"/>
    <s v="Consistent"/>
    <x v="0"/>
  </r>
  <r>
    <x v="2053"/>
    <x v="0"/>
    <x v="1291"/>
    <n v="1706802986"/>
    <n v="801.06"/>
    <s v="UK pounds"/>
    <s v="UK pounds"/>
    <x v="0"/>
    <s v="UK"/>
    <x v="2"/>
    <x v="0"/>
    <x v="2"/>
    <s v="Consistent"/>
    <x v="0"/>
  </r>
  <r>
    <x v="2054"/>
    <x v="0"/>
    <x v="1759"/>
    <n v="2326178660"/>
    <n v="895.81"/>
    <s v="UK pounds"/>
    <s v="UK pounds"/>
    <x v="0"/>
    <s v="UK"/>
    <x v="3"/>
    <x v="0"/>
    <x v="2"/>
    <s v="Consistent"/>
    <x v="0"/>
  </r>
  <r>
    <x v="2055"/>
    <x v="0"/>
    <x v="1760"/>
    <n v="4972286009"/>
    <n v="225.23"/>
    <s v="UK pounds"/>
    <s v="UK pounds"/>
    <x v="0"/>
    <s v="UK"/>
    <x v="6"/>
    <x v="0"/>
    <x v="5"/>
    <s v="Consistent"/>
    <x v="0"/>
  </r>
  <r>
    <x v="2056"/>
    <x v="0"/>
    <x v="1761"/>
    <n v="7420366566"/>
    <n v="1137.3"/>
    <s v="UK pounds"/>
    <s v="UK pounds"/>
    <x v="0"/>
    <s v="UK"/>
    <x v="5"/>
    <x v="0"/>
    <x v="2"/>
    <s v="Consistent"/>
    <x v="0"/>
  </r>
  <r>
    <x v="2057"/>
    <x v="0"/>
    <x v="184"/>
    <n v="6953672776"/>
    <n v="7621.27"/>
    <s v="UK pounds"/>
    <s v="Mexican Peso"/>
    <x v="0"/>
    <s v="Mexico"/>
    <x v="1"/>
    <x v="0"/>
    <x v="3"/>
    <s v="Potential Layering"/>
    <x v="0"/>
  </r>
  <r>
    <x v="2058"/>
    <x v="0"/>
    <x v="1762"/>
    <n v="7095013899"/>
    <n v="115.55"/>
    <s v="UK pounds"/>
    <s v="UK pounds"/>
    <x v="0"/>
    <s v="UK"/>
    <x v="5"/>
    <x v="0"/>
    <x v="2"/>
    <s v="Consistent"/>
    <x v="0"/>
  </r>
  <r>
    <x v="2059"/>
    <x v="0"/>
    <x v="1763"/>
    <n v="6310998580"/>
    <n v="2660.04"/>
    <s v="UK pounds"/>
    <s v="UK pounds"/>
    <x v="0"/>
    <s v="UK"/>
    <x v="2"/>
    <x v="0"/>
    <x v="2"/>
    <s v="Consistent"/>
    <x v="0"/>
  </r>
  <r>
    <x v="2060"/>
    <x v="0"/>
    <x v="1764"/>
    <n v="3220735304"/>
    <n v="17559.98"/>
    <s v="UK pounds"/>
    <s v="UK pounds"/>
    <x v="0"/>
    <s v="UK"/>
    <x v="2"/>
    <x v="0"/>
    <x v="3"/>
    <s v="Consistent"/>
    <x v="0"/>
  </r>
  <r>
    <x v="2061"/>
    <x v="0"/>
    <x v="1765"/>
    <n v="8342645228"/>
    <n v="4476.6000000000004"/>
    <s v="UK pounds"/>
    <s v="UK pounds"/>
    <x v="0"/>
    <s v="UK"/>
    <x v="2"/>
    <x v="0"/>
    <x v="2"/>
    <s v="Consistent"/>
    <x v="0"/>
  </r>
  <r>
    <x v="2062"/>
    <x v="0"/>
    <x v="1766"/>
    <n v="4639888494"/>
    <n v="1650.37"/>
    <s v="UK pounds"/>
    <s v="UK pounds"/>
    <x v="0"/>
    <s v="UK"/>
    <x v="4"/>
    <x v="0"/>
    <x v="2"/>
    <s v="Consistent"/>
    <x v="0"/>
  </r>
  <r>
    <x v="2063"/>
    <x v="0"/>
    <x v="1767"/>
    <n v="9353466862"/>
    <n v="2570.9"/>
    <s v="UK pounds"/>
    <s v="UK pounds"/>
    <x v="0"/>
    <s v="UK"/>
    <x v="0"/>
    <x v="0"/>
    <x v="0"/>
    <s v="Consistent"/>
    <x v="0"/>
  </r>
  <r>
    <x v="2064"/>
    <x v="0"/>
    <x v="161"/>
    <n v="5224271258"/>
    <n v="16976.04"/>
    <s v="UK pounds"/>
    <s v="UK pounds"/>
    <x v="0"/>
    <s v="UK"/>
    <x v="2"/>
    <x v="0"/>
    <x v="1"/>
    <s v="Consistent"/>
    <x v="0"/>
  </r>
  <r>
    <x v="2064"/>
    <x v="0"/>
    <x v="1067"/>
    <n v="5466123934"/>
    <n v="5672.85"/>
    <s v="UK pounds"/>
    <s v="UK pounds"/>
    <x v="0"/>
    <s v="UK"/>
    <x v="5"/>
    <x v="0"/>
    <x v="3"/>
    <s v="Consistent"/>
    <x v="0"/>
  </r>
  <r>
    <x v="2065"/>
    <x v="0"/>
    <x v="1768"/>
    <n v="6286566139"/>
    <n v="52.28"/>
    <s v="UK pounds"/>
    <s v="UK pounds"/>
    <x v="0"/>
    <s v="UK"/>
    <x v="4"/>
    <x v="0"/>
    <x v="2"/>
    <s v="Consistent"/>
    <x v="0"/>
  </r>
  <r>
    <x v="2066"/>
    <x v="0"/>
    <x v="20"/>
    <n v="2002969578"/>
    <n v="6360.1"/>
    <s v="UK pounds"/>
    <s v="UK pounds"/>
    <x v="0"/>
    <s v="UK"/>
    <x v="2"/>
    <x v="0"/>
    <x v="1"/>
    <s v="Consistent"/>
    <x v="0"/>
  </r>
  <r>
    <x v="2067"/>
    <x v="0"/>
    <x v="1769"/>
    <n v="1811761608"/>
    <n v="1077.6099999999999"/>
    <s v="UK pounds"/>
    <s v="UK pounds"/>
    <x v="0"/>
    <s v="UK"/>
    <x v="3"/>
    <x v="0"/>
    <x v="2"/>
    <s v="Consistent"/>
    <x v="0"/>
  </r>
  <r>
    <x v="2068"/>
    <x v="0"/>
    <x v="1770"/>
    <n v="2138505015"/>
    <n v="7121.93"/>
    <s v="UK pounds"/>
    <s v="Dirham"/>
    <x v="0"/>
    <s v="UAE"/>
    <x v="1"/>
    <x v="0"/>
    <x v="3"/>
    <s v="Potential Layering"/>
    <x v="0"/>
  </r>
  <r>
    <x v="2069"/>
    <x v="0"/>
    <x v="1120"/>
    <n v="5103043844"/>
    <n v="6656.76"/>
    <s v="UK pounds"/>
    <s v="Naira"/>
    <x v="0"/>
    <s v="Nigeria"/>
    <x v="1"/>
    <x v="0"/>
    <x v="3"/>
    <s v="Potential Layering"/>
    <x v="0"/>
  </r>
  <r>
    <x v="2069"/>
    <x v="0"/>
    <x v="1771"/>
    <n v="8375121355"/>
    <n v="1584.41"/>
    <s v="UK pounds"/>
    <s v="UK pounds"/>
    <x v="0"/>
    <s v="UK"/>
    <x v="5"/>
    <x v="0"/>
    <x v="2"/>
    <s v="Consistent"/>
    <x v="0"/>
  </r>
  <r>
    <x v="2070"/>
    <x v="0"/>
    <x v="70"/>
    <n v="4336977506"/>
    <n v="12672.94"/>
    <s v="UK pounds"/>
    <s v="UK pounds"/>
    <x v="0"/>
    <s v="UK"/>
    <x v="5"/>
    <x v="0"/>
    <x v="3"/>
    <s v="Consistent"/>
    <x v="0"/>
  </r>
  <r>
    <x v="2070"/>
    <x v="0"/>
    <x v="119"/>
    <n v="5109623450"/>
    <n v="6893.58"/>
    <s v="UK pounds"/>
    <s v="UK pounds"/>
    <x v="0"/>
    <s v="UK"/>
    <x v="2"/>
    <x v="0"/>
    <x v="3"/>
    <s v="Consistent"/>
    <x v="0"/>
  </r>
  <r>
    <x v="2071"/>
    <x v="0"/>
    <x v="1772"/>
    <n v="8894839430"/>
    <n v="346.72"/>
    <s v="UK pounds"/>
    <s v="UK pounds"/>
    <x v="0"/>
    <s v="UK"/>
    <x v="3"/>
    <x v="0"/>
    <x v="2"/>
    <s v="Consistent"/>
    <x v="0"/>
  </r>
  <r>
    <x v="2072"/>
    <x v="0"/>
    <x v="40"/>
    <n v="3794172311"/>
    <n v="6985.6"/>
    <s v="UK pounds"/>
    <s v="UK pounds"/>
    <x v="0"/>
    <s v="UK"/>
    <x v="3"/>
    <x v="0"/>
    <x v="1"/>
    <s v="Consistent"/>
    <x v="0"/>
  </r>
  <r>
    <x v="2073"/>
    <x v="0"/>
    <x v="1773"/>
    <n v="8824436599"/>
    <n v="3713.43"/>
    <s v="UK pounds"/>
    <s v="UK pounds"/>
    <x v="0"/>
    <s v="UK"/>
    <x v="5"/>
    <x v="0"/>
    <x v="2"/>
    <s v="Consistent"/>
    <x v="0"/>
  </r>
  <r>
    <x v="2073"/>
    <x v="0"/>
    <x v="1774"/>
    <n v="2394671007"/>
    <n v="2147.23"/>
    <s v="UK pounds"/>
    <s v="Albanian lek"/>
    <x v="0"/>
    <s v="Albania"/>
    <x v="1"/>
    <x v="0"/>
    <x v="2"/>
    <s v="Potential Layering"/>
    <x v="0"/>
  </r>
  <r>
    <x v="2074"/>
    <x v="0"/>
    <x v="1775"/>
    <n v="8681810638"/>
    <n v="1158.32"/>
    <s v="UK pounds"/>
    <s v="UK pounds"/>
    <x v="0"/>
    <s v="UK"/>
    <x v="5"/>
    <x v="0"/>
    <x v="2"/>
    <s v="Consistent"/>
    <x v="0"/>
  </r>
  <r>
    <x v="2075"/>
    <x v="0"/>
    <x v="646"/>
    <n v="6444220418"/>
    <n v="10539.84"/>
    <s v="UK pounds"/>
    <s v="UK pounds"/>
    <x v="0"/>
    <s v="UK"/>
    <x v="3"/>
    <x v="0"/>
    <x v="3"/>
    <s v="Consistent"/>
    <x v="0"/>
  </r>
  <r>
    <x v="2076"/>
    <x v="0"/>
    <x v="1776"/>
    <n v="6302621943"/>
    <n v="932.53"/>
    <s v="UK pounds"/>
    <s v="UK pounds"/>
    <x v="0"/>
    <s v="UK"/>
    <x v="4"/>
    <x v="0"/>
    <x v="2"/>
    <s v="Consistent"/>
    <x v="0"/>
  </r>
  <r>
    <x v="2077"/>
    <x v="0"/>
    <x v="20"/>
    <n v="1421203789"/>
    <n v="7971.47"/>
    <s v="UK pounds"/>
    <s v="UK pounds"/>
    <x v="0"/>
    <s v="UK"/>
    <x v="5"/>
    <x v="0"/>
    <x v="1"/>
    <s v="Consistent"/>
    <x v="0"/>
  </r>
  <r>
    <x v="2078"/>
    <x v="0"/>
    <x v="1777"/>
    <n v="2560701510"/>
    <n v="496.73"/>
    <s v="UK pounds"/>
    <s v="UK pounds"/>
    <x v="0"/>
    <s v="UK"/>
    <x v="0"/>
    <x v="0"/>
    <x v="0"/>
    <s v="Consistent"/>
    <x v="0"/>
  </r>
  <r>
    <x v="2079"/>
    <x v="0"/>
    <x v="1645"/>
    <n v="5858369125"/>
    <n v="4489.32"/>
    <s v="UK pounds"/>
    <s v="UK pounds"/>
    <x v="0"/>
    <s v="UK"/>
    <x v="3"/>
    <x v="0"/>
    <x v="3"/>
    <s v="Consistent"/>
    <x v="0"/>
  </r>
  <r>
    <x v="2080"/>
    <x v="0"/>
    <x v="1778"/>
    <n v="3788972985"/>
    <n v="256.19"/>
    <s v="UK pounds"/>
    <s v="UK pounds"/>
    <x v="0"/>
    <s v="UK"/>
    <x v="4"/>
    <x v="0"/>
    <x v="2"/>
    <s v="Consistent"/>
    <x v="0"/>
  </r>
  <r>
    <x v="2080"/>
    <x v="0"/>
    <x v="1779"/>
    <n v="6647888917"/>
    <n v="5585.37"/>
    <s v="UK pounds"/>
    <s v="UK pounds"/>
    <x v="0"/>
    <s v="UK"/>
    <x v="5"/>
    <x v="0"/>
    <x v="4"/>
    <s v="Consistent"/>
    <x v="0"/>
  </r>
  <r>
    <x v="2081"/>
    <x v="0"/>
    <x v="1119"/>
    <n v="8678802420"/>
    <n v="22176.97"/>
    <s v="UK pounds"/>
    <s v="UK pounds"/>
    <x v="0"/>
    <s v="UK"/>
    <x v="2"/>
    <x v="0"/>
    <x v="3"/>
    <s v="Consistent"/>
    <x v="0"/>
  </r>
  <r>
    <x v="2082"/>
    <x v="0"/>
    <x v="646"/>
    <n v="6444220418"/>
    <n v="10417.44"/>
    <s v="UK pounds"/>
    <s v="UK pounds"/>
    <x v="0"/>
    <s v="UK"/>
    <x v="4"/>
    <x v="0"/>
    <x v="3"/>
    <s v="Consistent"/>
    <x v="0"/>
  </r>
  <r>
    <x v="2083"/>
    <x v="0"/>
    <x v="1780"/>
    <n v="3107050889"/>
    <n v="4922.93"/>
    <s v="UK pounds"/>
    <s v="UK pounds"/>
    <x v="0"/>
    <s v="UK"/>
    <x v="3"/>
    <x v="0"/>
    <x v="2"/>
    <s v="Consistent"/>
    <x v="0"/>
  </r>
  <r>
    <x v="2084"/>
    <x v="0"/>
    <x v="1781"/>
    <n v="7717401164"/>
    <n v="6996.78"/>
    <s v="UK pounds"/>
    <s v="UK pounds"/>
    <x v="0"/>
    <s v="UK"/>
    <x v="4"/>
    <x v="0"/>
    <x v="2"/>
    <s v="Consistent"/>
    <x v="0"/>
  </r>
  <r>
    <x v="2085"/>
    <x v="0"/>
    <x v="1077"/>
    <n v="6034997194"/>
    <n v="5064.01"/>
    <s v="UK pounds"/>
    <s v="UK pounds"/>
    <x v="0"/>
    <s v="UK"/>
    <x v="2"/>
    <x v="0"/>
    <x v="3"/>
    <s v="Consistent"/>
    <x v="0"/>
  </r>
  <r>
    <x v="2085"/>
    <x v="0"/>
    <x v="40"/>
    <n v="7074900925"/>
    <n v="6021.61"/>
    <s v="UK pounds"/>
    <s v="UK pounds"/>
    <x v="0"/>
    <s v="UK"/>
    <x v="4"/>
    <x v="0"/>
    <x v="1"/>
    <s v="Consistent"/>
    <x v="0"/>
  </r>
  <r>
    <x v="2085"/>
    <x v="0"/>
    <x v="502"/>
    <n v="3066321263"/>
    <n v="18411.75"/>
    <s v="UK pounds"/>
    <s v="UK pounds"/>
    <x v="0"/>
    <s v="UK"/>
    <x v="3"/>
    <x v="0"/>
    <x v="3"/>
    <s v="Consistent"/>
    <x v="0"/>
  </r>
  <r>
    <x v="2086"/>
    <x v="0"/>
    <x v="210"/>
    <n v="7141835964"/>
    <n v="8078.15"/>
    <s v="UK pounds"/>
    <s v="UK pounds"/>
    <x v="0"/>
    <s v="UK"/>
    <x v="4"/>
    <x v="0"/>
    <x v="1"/>
    <s v="Consistent"/>
    <x v="0"/>
  </r>
  <r>
    <x v="2086"/>
    <x v="0"/>
    <x v="1782"/>
    <n v="8930559737"/>
    <n v="7251.59"/>
    <s v="UK pounds"/>
    <s v="UK pounds"/>
    <x v="0"/>
    <s v="UK"/>
    <x v="5"/>
    <x v="0"/>
    <x v="2"/>
    <s v="Consistent"/>
    <x v="0"/>
  </r>
  <r>
    <x v="2087"/>
    <x v="0"/>
    <x v="1783"/>
    <n v="5628674969"/>
    <n v="6992.71"/>
    <s v="UK pounds"/>
    <s v="UK pounds"/>
    <x v="0"/>
    <s v="UK"/>
    <x v="4"/>
    <x v="0"/>
    <x v="3"/>
    <s v="Consistent"/>
    <x v="0"/>
  </r>
  <r>
    <x v="2088"/>
    <x v="0"/>
    <x v="1784"/>
    <n v="7742203807"/>
    <n v="326.41000000000003"/>
    <s v="UK pounds"/>
    <s v="UK pounds"/>
    <x v="0"/>
    <s v="UK"/>
    <x v="3"/>
    <x v="0"/>
    <x v="2"/>
    <s v="Consistent"/>
    <x v="0"/>
  </r>
  <r>
    <x v="2089"/>
    <x v="0"/>
    <x v="16"/>
    <n v="6646502650"/>
    <n v="8056.52"/>
    <s v="UK pounds"/>
    <s v="Euro"/>
    <x v="0"/>
    <s v="France"/>
    <x v="1"/>
    <x v="0"/>
    <x v="3"/>
    <s v="Potential Layering"/>
    <x v="0"/>
  </r>
  <r>
    <x v="2090"/>
    <x v="0"/>
    <x v="1785"/>
    <n v="6646502650"/>
    <n v="8591.01"/>
    <s v="Indian rupee"/>
    <s v="Euro"/>
    <x v="0"/>
    <s v="France"/>
    <x v="1"/>
    <x v="0"/>
    <x v="3"/>
    <s v="Potential Layering"/>
    <x v="0"/>
  </r>
  <r>
    <x v="2091"/>
    <x v="0"/>
    <x v="1786"/>
    <n v="5904802925"/>
    <n v="695.72"/>
    <s v="UK pounds"/>
    <s v="UK pounds"/>
    <x v="0"/>
    <s v="UK"/>
    <x v="4"/>
    <x v="0"/>
    <x v="2"/>
    <s v="Consistent"/>
    <x v="0"/>
  </r>
  <r>
    <x v="2091"/>
    <x v="0"/>
    <x v="228"/>
    <n v="6444220418"/>
    <n v="9396.2900000000009"/>
    <s v="UK pounds"/>
    <s v="UK pounds"/>
    <x v="0"/>
    <s v="UK"/>
    <x v="2"/>
    <x v="0"/>
    <x v="3"/>
    <s v="Consistent"/>
    <x v="0"/>
  </r>
  <r>
    <x v="2092"/>
    <x v="0"/>
    <x v="1787"/>
    <n v="7345303997"/>
    <n v="410.99"/>
    <s v="UK pounds"/>
    <s v="UK pounds"/>
    <x v="0"/>
    <s v="UK"/>
    <x v="5"/>
    <x v="0"/>
    <x v="2"/>
    <s v="Consistent"/>
    <x v="0"/>
  </r>
  <r>
    <x v="2093"/>
    <x v="0"/>
    <x v="1241"/>
    <n v="378335393"/>
    <n v="2169.89"/>
    <s v="UK pounds"/>
    <s v="UK pounds"/>
    <x v="0"/>
    <s v="UK"/>
    <x v="5"/>
    <x v="0"/>
    <x v="6"/>
    <s v="Consistent"/>
    <x v="0"/>
  </r>
  <r>
    <x v="2093"/>
    <x v="0"/>
    <x v="163"/>
    <n v="3606979593"/>
    <n v="5055.66"/>
    <s v="UK pounds"/>
    <s v="UK pounds"/>
    <x v="0"/>
    <s v="UK"/>
    <x v="2"/>
    <x v="0"/>
    <x v="1"/>
    <s v="Consistent"/>
    <x v="0"/>
  </r>
  <r>
    <x v="2094"/>
    <x v="0"/>
    <x v="1788"/>
    <n v="6646502650"/>
    <n v="6637.91"/>
    <s v="UK pounds"/>
    <s v="Euro"/>
    <x v="0"/>
    <s v="France"/>
    <x v="1"/>
    <x v="0"/>
    <x v="3"/>
    <s v="Potential Layering"/>
    <x v="0"/>
  </r>
  <r>
    <x v="2095"/>
    <x v="0"/>
    <x v="1789"/>
    <n v="5103043844"/>
    <n v="7524.92"/>
    <s v="UK pounds"/>
    <s v="Naira"/>
    <x v="0"/>
    <s v="Nigeria"/>
    <x v="1"/>
    <x v="0"/>
    <x v="3"/>
    <s v="Potential Layering"/>
    <x v="0"/>
  </r>
  <r>
    <x v="2096"/>
    <x v="0"/>
    <x v="86"/>
    <n v="3540529623"/>
    <n v="9282.2199999999993"/>
    <s v="UK pounds"/>
    <s v="UK pounds"/>
    <x v="0"/>
    <s v="UK"/>
    <x v="2"/>
    <x v="0"/>
    <x v="1"/>
    <s v="Consistent"/>
    <x v="0"/>
  </r>
  <r>
    <x v="2097"/>
    <x v="0"/>
    <x v="1790"/>
    <n v="5920472050"/>
    <n v="11.75"/>
    <s v="UK pounds"/>
    <s v="UK pounds"/>
    <x v="0"/>
    <s v="UK"/>
    <x v="6"/>
    <x v="0"/>
    <x v="5"/>
    <s v="Consistent"/>
    <x v="0"/>
  </r>
  <r>
    <x v="2098"/>
    <x v="0"/>
    <x v="1791"/>
    <n v="797997850"/>
    <n v="2964.32"/>
    <s v="UK pounds"/>
    <s v="UK pounds"/>
    <x v="0"/>
    <s v="UK"/>
    <x v="2"/>
    <x v="0"/>
    <x v="2"/>
    <s v="Consistent"/>
    <x v="0"/>
  </r>
  <r>
    <x v="2099"/>
    <x v="0"/>
    <x v="1792"/>
    <n v="6470081575"/>
    <n v="125.25"/>
    <s v="UK pounds"/>
    <s v="UK pounds"/>
    <x v="0"/>
    <s v="UK"/>
    <x v="6"/>
    <x v="0"/>
    <x v="5"/>
    <s v="Consistent"/>
    <x v="0"/>
  </r>
  <r>
    <x v="2100"/>
    <x v="0"/>
    <x v="1793"/>
    <n v="5703240025"/>
    <n v="2952.25"/>
    <s v="UK pounds"/>
    <s v="UK pounds"/>
    <x v="0"/>
    <s v="UK"/>
    <x v="2"/>
    <x v="0"/>
    <x v="4"/>
    <s v="Consistent"/>
    <x v="0"/>
  </r>
  <r>
    <x v="2101"/>
    <x v="0"/>
    <x v="1794"/>
    <n v="5628674969"/>
    <n v="5133.87"/>
    <s v="UK pounds"/>
    <s v="UK pounds"/>
    <x v="0"/>
    <s v="UK"/>
    <x v="4"/>
    <x v="0"/>
    <x v="3"/>
    <s v="Consistent"/>
    <x v="0"/>
  </r>
  <r>
    <x v="2102"/>
    <x v="0"/>
    <x v="63"/>
    <n v="3889335486"/>
    <n v="14704.1"/>
    <s v="UK pounds"/>
    <s v="UK pounds"/>
    <x v="0"/>
    <s v="UK"/>
    <x v="4"/>
    <x v="0"/>
    <x v="1"/>
    <s v="Consistent"/>
    <x v="0"/>
  </r>
  <r>
    <x v="2103"/>
    <x v="0"/>
    <x v="1795"/>
    <n v="1493436023"/>
    <n v="21440.21"/>
    <s v="UK pounds"/>
    <s v="UK pounds"/>
    <x v="0"/>
    <s v="UK"/>
    <x v="5"/>
    <x v="0"/>
    <x v="3"/>
    <s v="Consistent"/>
    <x v="0"/>
  </r>
  <r>
    <x v="2104"/>
    <x v="0"/>
    <x v="1796"/>
    <n v="2125903586"/>
    <n v="591.26"/>
    <s v="UK pounds"/>
    <s v="UK pounds"/>
    <x v="0"/>
    <s v="UK"/>
    <x v="2"/>
    <x v="0"/>
    <x v="2"/>
    <s v="Consistent"/>
    <x v="0"/>
  </r>
  <r>
    <x v="2105"/>
    <x v="0"/>
    <x v="63"/>
    <n v="8374633169"/>
    <n v="17332.36"/>
    <s v="UK pounds"/>
    <s v="UK pounds"/>
    <x v="0"/>
    <s v="UK"/>
    <x v="2"/>
    <x v="0"/>
    <x v="1"/>
    <s v="Consistent"/>
    <x v="0"/>
  </r>
  <r>
    <x v="2106"/>
    <x v="0"/>
    <x v="255"/>
    <n v="4787209426"/>
    <n v="12001.48"/>
    <s v="UK pounds"/>
    <s v="UK pounds"/>
    <x v="0"/>
    <s v="UK"/>
    <x v="5"/>
    <x v="0"/>
    <x v="1"/>
    <s v="Consistent"/>
    <x v="0"/>
  </r>
  <r>
    <x v="2106"/>
    <x v="0"/>
    <x v="321"/>
    <n v="4538008036"/>
    <n v="10866.87"/>
    <s v="UK pounds"/>
    <s v="UK pounds"/>
    <x v="0"/>
    <s v="UK"/>
    <x v="3"/>
    <x v="0"/>
    <x v="4"/>
    <s v="Consistent"/>
    <x v="0"/>
  </r>
  <r>
    <x v="2107"/>
    <x v="0"/>
    <x v="1797"/>
    <n v="3275026821"/>
    <n v="18930.54"/>
    <s v="UK pounds"/>
    <s v="UK pounds"/>
    <x v="0"/>
    <s v="UK"/>
    <x v="3"/>
    <x v="0"/>
    <x v="2"/>
    <s v="Consistent"/>
    <x v="0"/>
  </r>
  <r>
    <x v="2108"/>
    <x v="0"/>
    <x v="1798"/>
    <n v="5050358107"/>
    <n v="4623.5200000000004"/>
    <s v="UK pounds"/>
    <s v="UK pounds"/>
    <x v="0"/>
    <s v="UK"/>
    <x v="4"/>
    <x v="0"/>
    <x v="2"/>
    <s v="Consistent"/>
    <x v="0"/>
  </r>
  <r>
    <x v="2108"/>
    <x v="0"/>
    <x v="1799"/>
    <n v="4852591739"/>
    <n v="5965.67"/>
    <s v="UK pounds"/>
    <s v="UK pounds"/>
    <x v="0"/>
    <s v="UK"/>
    <x v="3"/>
    <x v="0"/>
    <x v="2"/>
    <s v="Consistent"/>
    <x v="0"/>
  </r>
  <r>
    <x v="2109"/>
    <x v="0"/>
    <x v="1800"/>
    <n v="9377382377"/>
    <n v="292.10000000000002"/>
    <s v="UK pounds"/>
    <s v="UK pounds"/>
    <x v="0"/>
    <s v="UK"/>
    <x v="4"/>
    <x v="0"/>
    <x v="2"/>
    <s v="Consistent"/>
    <x v="0"/>
  </r>
  <r>
    <x v="2110"/>
    <x v="0"/>
    <x v="1801"/>
    <n v="5266807955"/>
    <n v="5820.28"/>
    <s v="UK pounds"/>
    <s v="UK pounds"/>
    <x v="0"/>
    <s v="UK"/>
    <x v="2"/>
    <x v="0"/>
    <x v="2"/>
    <s v="Consistent"/>
    <x v="0"/>
  </r>
  <r>
    <x v="2111"/>
    <x v="0"/>
    <x v="1802"/>
    <n v="6178486333"/>
    <n v="795.79"/>
    <s v="UK pounds"/>
    <s v="UK pounds"/>
    <x v="0"/>
    <s v="UK"/>
    <x v="3"/>
    <x v="0"/>
    <x v="2"/>
    <s v="Consistent"/>
    <x v="0"/>
  </r>
  <r>
    <x v="2112"/>
    <x v="0"/>
    <x v="1803"/>
    <n v="6195314229"/>
    <n v="96.75"/>
    <s v="UK pounds"/>
    <s v="UK pounds"/>
    <x v="0"/>
    <s v="UK"/>
    <x v="3"/>
    <x v="0"/>
    <x v="2"/>
    <s v="Consistent"/>
    <x v="0"/>
  </r>
  <r>
    <x v="2113"/>
    <x v="0"/>
    <x v="1804"/>
    <n v="5860465098"/>
    <n v="21409.95"/>
    <s v="UK pounds"/>
    <s v="UK pounds"/>
    <x v="0"/>
    <s v="UK"/>
    <x v="2"/>
    <x v="0"/>
    <x v="2"/>
    <s v="Consistent"/>
    <x v="0"/>
  </r>
  <r>
    <x v="2114"/>
    <x v="0"/>
    <x v="779"/>
    <n v="1377603863"/>
    <n v="7453.69"/>
    <s v="UK pounds"/>
    <s v="UK pounds"/>
    <x v="0"/>
    <s v="UK"/>
    <x v="3"/>
    <x v="0"/>
    <x v="3"/>
    <s v="Consistent"/>
    <x v="0"/>
  </r>
  <r>
    <x v="2115"/>
    <x v="0"/>
    <x v="1805"/>
    <n v="469404472"/>
    <n v="366.26"/>
    <s v="UK pounds"/>
    <s v="UK pounds"/>
    <x v="0"/>
    <s v="UK"/>
    <x v="3"/>
    <x v="0"/>
    <x v="2"/>
    <s v="Consistent"/>
    <x v="0"/>
  </r>
  <r>
    <x v="2116"/>
    <x v="0"/>
    <x v="149"/>
    <n v="517441754"/>
    <n v="7043.43"/>
    <s v="UK pounds"/>
    <s v="UK pounds"/>
    <x v="0"/>
    <s v="UK"/>
    <x v="4"/>
    <x v="0"/>
    <x v="1"/>
    <s v="Consistent"/>
    <x v="0"/>
  </r>
  <r>
    <x v="2116"/>
    <x v="0"/>
    <x v="8"/>
    <n v="224176497"/>
    <n v="4600.1099999999997"/>
    <s v="UK pounds"/>
    <s v="UK pounds"/>
    <x v="0"/>
    <s v="UK"/>
    <x v="2"/>
    <x v="0"/>
    <x v="1"/>
    <s v="Consistent"/>
    <x v="0"/>
  </r>
  <r>
    <x v="2117"/>
    <x v="0"/>
    <x v="1806"/>
    <n v="5255062394"/>
    <n v="247.92"/>
    <s v="UK pounds"/>
    <s v="UK pounds"/>
    <x v="0"/>
    <s v="UK"/>
    <x v="5"/>
    <x v="0"/>
    <x v="2"/>
    <s v="Consistent"/>
    <x v="0"/>
  </r>
  <r>
    <x v="2118"/>
    <x v="0"/>
    <x v="195"/>
    <n v="1020934931"/>
    <n v="5231.1400000000003"/>
    <s v="UK pounds"/>
    <s v="UK pounds"/>
    <x v="0"/>
    <s v="UK"/>
    <x v="2"/>
    <x v="0"/>
    <x v="1"/>
    <s v="Consistent"/>
    <x v="0"/>
  </r>
  <r>
    <x v="2118"/>
    <x v="0"/>
    <x v="1807"/>
    <n v="8531285273"/>
    <n v="3342.95"/>
    <s v="UK pounds"/>
    <s v="UK pounds"/>
    <x v="0"/>
    <s v="UK"/>
    <x v="2"/>
    <x v="0"/>
    <x v="2"/>
    <s v="Consistent"/>
    <x v="0"/>
  </r>
  <r>
    <x v="2119"/>
    <x v="0"/>
    <x v="1808"/>
    <n v="6660096827"/>
    <n v="2031.32"/>
    <s v="UK pounds"/>
    <s v="UK pounds"/>
    <x v="0"/>
    <s v="UK"/>
    <x v="0"/>
    <x v="0"/>
    <x v="0"/>
    <s v="Consistent"/>
    <x v="0"/>
  </r>
  <r>
    <x v="2119"/>
    <x v="0"/>
    <x v="1809"/>
    <n v="6855935396"/>
    <n v="7062.45"/>
    <s v="UK pounds"/>
    <s v="UK pounds"/>
    <x v="0"/>
    <s v="UK"/>
    <x v="4"/>
    <x v="0"/>
    <x v="3"/>
    <s v="Consistent"/>
    <x v="0"/>
  </r>
  <r>
    <x v="2120"/>
    <x v="0"/>
    <x v="1810"/>
    <n v="379920258"/>
    <n v="2737.23"/>
    <s v="UK pounds"/>
    <s v="UK pounds"/>
    <x v="0"/>
    <s v="UK"/>
    <x v="2"/>
    <x v="0"/>
    <x v="2"/>
    <s v="Consistent"/>
    <x v="0"/>
  </r>
  <r>
    <x v="2121"/>
    <x v="0"/>
    <x v="1811"/>
    <n v="5498937793"/>
    <n v="757.89"/>
    <s v="UK pounds"/>
    <s v="UK pounds"/>
    <x v="0"/>
    <s v="UK"/>
    <x v="2"/>
    <x v="0"/>
    <x v="2"/>
    <s v="Consistent"/>
    <x v="0"/>
  </r>
  <r>
    <x v="2122"/>
    <x v="0"/>
    <x v="8"/>
    <n v="7249249682"/>
    <n v="5741.65"/>
    <s v="UK pounds"/>
    <s v="UK pounds"/>
    <x v="0"/>
    <s v="UK"/>
    <x v="4"/>
    <x v="0"/>
    <x v="1"/>
    <s v="Consistent"/>
    <x v="0"/>
  </r>
  <r>
    <x v="2123"/>
    <x v="0"/>
    <x v="1812"/>
    <n v="6273014681"/>
    <n v="2921.01"/>
    <s v="UK pounds"/>
    <s v="UK pounds"/>
    <x v="0"/>
    <s v="UK"/>
    <x v="0"/>
    <x v="0"/>
    <x v="0"/>
    <s v="Consistent"/>
    <x v="0"/>
  </r>
  <r>
    <x v="2124"/>
    <x v="0"/>
    <x v="1813"/>
    <n v="8586388395"/>
    <n v="12971.85"/>
    <s v="Euro"/>
    <s v="UK pounds"/>
    <x v="0"/>
    <s v="UK"/>
    <x v="4"/>
    <x v="0"/>
    <x v="2"/>
    <s v="Potential Layering"/>
    <x v="0"/>
  </r>
  <r>
    <x v="2125"/>
    <x v="0"/>
    <x v="908"/>
    <n v="5858369125"/>
    <n v="8706.86"/>
    <s v="UK pounds"/>
    <s v="UK pounds"/>
    <x v="0"/>
    <s v="UK"/>
    <x v="5"/>
    <x v="0"/>
    <x v="3"/>
    <s v="Consistent"/>
    <x v="0"/>
  </r>
  <r>
    <x v="2126"/>
    <x v="0"/>
    <x v="1814"/>
    <n v="1193564264"/>
    <n v="15010.59"/>
    <s v="UK pounds"/>
    <s v="UK pounds"/>
    <x v="0"/>
    <s v="UK"/>
    <x v="3"/>
    <x v="0"/>
    <x v="2"/>
    <s v="Consistent"/>
    <x v="0"/>
  </r>
  <r>
    <x v="2127"/>
    <x v="0"/>
    <x v="1260"/>
    <n v="8518184956"/>
    <n v="20763.5"/>
    <s v="UK pounds"/>
    <s v="UK pounds"/>
    <x v="0"/>
    <s v="UK"/>
    <x v="5"/>
    <x v="0"/>
    <x v="3"/>
    <s v="Consistent"/>
    <x v="0"/>
  </r>
  <r>
    <x v="2128"/>
    <x v="0"/>
    <x v="1815"/>
    <n v="5504235715"/>
    <n v="2026.85"/>
    <s v="UK pounds"/>
    <s v="Yen"/>
    <x v="0"/>
    <s v="Japan"/>
    <x v="1"/>
    <x v="0"/>
    <x v="2"/>
    <s v="Potential Layering"/>
    <x v="0"/>
  </r>
  <r>
    <x v="2129"/>
    <x v="0"/>
    <x v="1816"/>
    <n v="9105769228"/>
    <n v="13272.61"/>
    <s v="UK pounds"/>
    <s v="UK pounds"/>
    <x v="0"/>
    <s v="UK"/>
    <x v="2"/>
    <x v="0"/>
    <x v="3"/>
    <s v="Consistent"/>
    <x v="0"/>
  </r>
  <r>
    <x v="2130"/>
    <x v="0"/>
    <x v="63"/>
    <n v="8572828015"/>
    <n v="5612.67"/>
    <s v="UK pounds"/>
    <s v="UK pounds"/>
    <x v="0"/>
    <s v="UK"/>
    <x v="4"/>
    <x v="0"/>
    <x v="1"/>
    <s v="Consistent"/>
    <x v="0"/>
  </r>
  <r>
    <x v="2131"/>
    <x v="0"/>
    <x v="1682"/>
    <n v="5109623450"/>
    <n v="7098.65"/>
    <s v="UK pounds"/>
    <s v="UK pounds"/>
    <x v="0"/>
    <s v="UK"/>
    <x v="4"/>
    <x v="0"/>
    <x v="3"/>
    <s v="Consistent"/>
    <x v="0"/>
  </r>
  <r>
    <x v="2131"/>
    <x v="0"/>
    <x v="1817"/>
    <n v="7520228028"/>
    <n v="6147.76"/>
    <s v="UK pounds"/>
    <s v="UK pounds"/>
    <x v="0"/>
    <s v="UK"/>
    <x v="3"/>
    <x v="0"/>
    <x v="2"/>
    <s v="Consistent"/>
    <x v="0"/>
  </r>
  <r>
    <x v="2132"/>
    <x v="0"/>
    <x v="161"/>
    <n v="2773607558"/>
    <n v="6897.03"/>
    <s v="UK pounds"/>
    <s v="UK pounds"/>
    <x v="0"/>
    <s v="UK"/>
    <x v="4"/>
    <x v="0"/>
    <x v="1"/>
    <s v="Consistent"/>
    <x v="0"/>
  </r>
  <r>
    <x v="2133"/>
    <x v="0"/>
    <x v="1095"/>
    <n v="8673917867"/>
    <n v="5021.04"/>
    <s v="UK pounds"/>
    <s v="UK pounds"/>
    <x v="0"/>
    <s v="UK"/>
    <x v="4"/>
    <x v="0"/>
    <x v="3"/>
    <s v="Consistent"/>
    <x v="0"/>
  </r>
  <r>
    <x v="2134"/>
    <x v="0"/>
    <x v="8"/>
    <n v="7249249682"/>
    <n v="5714.69"/>
    <s v="UK pounds"/>
    <s v="UK pounds"/>
    <x v="0"/>
    <s v="UK"/>
    <x v="3"/>
    <x v="0"/>
    <x v="1"/>
    <s v="Consistent"/>
    <x v="0"/>
  </r>
  <r>
    <x v="2135"/>
    <x v="0"/>
    <x v="86"/>
    <n v="3087234008"/>
    <n v="5053.74"/>
    <s v="UK pounds"/>
    <s v="UK pounds"/>
    <x v="0"/>
    <s v="UK"/>
    <x v="4"/>
    <x v="0"/>
    <x v="1"/>
    <s v="Consistent"/>
    <x v="0"/>
  </r>
  <r>
    <x v="2136"/>
    <x v="0"/>
    <x v="40"/>
    <n v="2595978516"/>
    <n v="9620.7800000000007"/>
    <s v="UK pounds"/>
    <s v="UK pounds"/>
    <x v="0"/>
    <s v="UK"/>
    <x v="3"/>
    <x v="0"/>
    <x v="1"/>
    <s v="Consistent"/>
    <x v="0"/>
  </r>
  <r>
    <x v="2137"/>
    <x v="0"/>
    <x v="110"/>
    <n v="7577540230"/>
    <n v="7287.02"/>
    <s v="UK pounds"/>
    <s v="UK pounds"/>
    <x v="0"/>
    <s v="UK"/>
    <x v="4"/>
    <x v="0"/>
    <x v="1"/>
    <s v="Consistent"/>
    <x v="0"/>
  </r>
  <r>
    <x v="2138"/>
    <x v="0"/>
    <x v="379"/>
    <n v="8402697545"/>
    <n v="13027.05"/>
    <s v="UK pounds"/>
    <s v="UK pounds"/>
    <x v="0"/>
    <s v="UK"/>
    <x v="3"/>
    <x v="0"/>
    <x v="1"/>
    <s v="Consistent"/>
    <x v="0"/>
  </r>
  <r>
    <x v="2139"/>
    <x v="0"/>
    <x v="1818"/>
    <n v="3467030170"/>
    <n v="4028.22"/>
    <s v="UK pounds"/>
    <s v="UK pounds"/>
    <x v="0"/>
    <s v="UK"/>
    <x v="5"/>
    <x v="0"/>
    <x v="2"/>
    <s v="Consistent"/>
    <x v="0"/>
  </r>
  <r>
    <x v="2140"/>
    <x v="0"/>
    <x v="1819"/>
    <n v="6855935396"/>
    <n v="8796.42"/>
    <s v="UK pounds"/>
    <s v="UK pounds"/>
    <x v="0"/>
    <s v="UK"/>
    <x v="4"/>
    <x v="0"/>
    <x v="3"/>
    <s v="Consistent"/>
    <x v="0"/>
  </r>
  <r>
    <x v="2141"/>
    <x v="0"/>
    <x v="1820"/>
    <n v="5277960020"/>
    <n v="5907.06"/>
    <s v="UK pounds"/>
    <s v="UK pounds"/>
    <x v="0"/>
    <s v="UK"/>
    <x v="5"/>
    <x v="0"/>
    <x v="2"/>
    <s v="Consistent"/>
    <x v="0"/>
  </r>
  <r>
    <x v="2142"/>
    <x v="0"/>
    <x v="1821"/>
    <n v="1032937558"/>
    <n v="21867.61"/>
    <s v="UK pounds"/>
    <s v="Dirham"/>
    <x v="0"/>
    <s v="UK"/>
    <x v="4"/>
    <x v="0"/>
    <x v="2"/>
    <s v="Potential Layering"/>
    <x v="0"/>
  </r>
  <r>
    <x v="2142"/>
    <x v="0"/>
    <x v="61"/>
    <n v="4525312913"/>
    <n v="12880.04"/>
    <s v="UK pounds"/>
    <s v="UK pounds"/>
    <x v="0"/>
    <s v="UK"/>
    <x v="2"/>
    <x v="0"/>
    <x v="1"/>
    <s v="Consistent"/>
    <x v="0"/>
  </r>
  <r>
    <x v="2143"/>
    <x v="0"/>
    <x v="1822"/>
    <n v="2413756718"/>
    <n v="1720.21"/>
    <s v="UK pounds"/>
    <s v="UK pounds"/>
    <x v="0"/>
    <s v="UK"/>
    <x v="5"/>
    <x v="0"/>
    <x v="2"/>
    <s v="Consistent"/>
    <x v="0"/>
  </r>
  <r>
    <x v="2144"/>
    <x v="0"/>
    <x v="1823"/>
    <n v="3548585281"/>
    <n v="4202.1899999999996"/>
    <s v="UK pounds"/>
    <s v="UK pounds"/>
    <x v="0"/>
    <s v="UK"/>
    <x v="4"/>
    <x v="0"/>
    <x v="4"/>
    <s v="Consistent"/>
    <x v="0"/>
  </r>
  <r>
    <x v="2145"/>
    <x v="0"/>
    <x v="86"/>
    <n v="545403361"/>
    <n v="5894.82"/>
    <s v="UK pounds"/>
    <s v="UK pounds"/>
    <x v="0"/>
    <s v="UK"/>
    <x v="2"/>
    <x v="0"/>
    <x v="1"/>
    <s v="Consistent"/>
    <x v="0"/>
  </r>
  <r>
    <x v="2146"/>
    <x v="0"/>
    <x v="1824"/>
    <n v="9061868080"/>
    <n v="952.06"/>
    <s v="UK pounds"/>
    <s v="UK pounds"/>
    <x v="0"/>
    <s v="UK"/>
    <x v="4"/>
    <x v="0"/>
    <x v="2"/>
    <s v="Consistent"/>
    <x v="0"/>
  </r>
  <r>
    <x v="2147"/>
    <x v="0"/>
    <x v="1825"/>
    <n v="4621382259"/>
    <n v="2428.11"/>
    <s v="UK pounds"/>
    <s v="UK pounds"/>
    <x v="0"/>
    <s v="UK"/>
    <x v="5"/>
    <x v="0"/>
    <x v="2"/>
    <s v="Consistent"/>
    <x v="0"/>
  </r>
  <r>
    <x v="2148"/>
    <x v="0"/>
    <x v="733"/>
    <n v="1684586461"/>
    <n v="615.65"/>
    <s v="UK pounds"/>
    <s v="UK pounds"/>
    <x v="0"/>
    <s v="UK"/>
    <x v="2"/>
    <x v="0"/>
    <x v="2"/>
    <s v="Consistent"/>
    <x v="0"/>
  </r>
  <r>
    <x v="2149"/>
    <x v="0"/>
    <x v="243"/>
    <n v="114960068"/>
    <n v="8547.67"/>
    <s v="Euro"/>
    <s v="Dirham"/>
    <x v="4"/>
    <s v="UAE"/>
    <x v="1"/>
    <x v="0"/>
    <x v="1"/>
    <s v="Potential Layering"/>
    <x v="0"/>
  </r>
  <r>
    <x v="2149"/>
    <x v="0"/>
    <x v="1826"/>
    <n v="231028956"/>
    <n v="1356.98"/>
    <s v="UK pounds"/>
    <s v="UK pounds"/>
    <x v="0"/>
    <s v="UK"/>
    <x v="2"/>
    <x v="0"/>
    <x v="6"/>
    <s v="Consistent"/>
    <x v="0"/>
  </r>
  <r>
    <x v="2150"/>
    <x v="0"/>
    <x v="1827"/>
    <n v="6165326376"/>
    <n v="3329.77"/>
    <s v="UK pounds"/>
    <s v="UK pounds"/>
    <x v="0"/>
    <s v="UK"/>
    <x v="3"/>
    <x v="0"/>
    <x v="2"/>
    <s v="Consistent"/>
    <x v="0"/>
  </r>
  <r>
    <x v="2151"/>
    <x v="0"/>
    <x v="1828"/>
    <n v="9105769228"/>
    <n v="18855.46"/>
    <s v="UK pounds"/>
    <s v="UK pounds"/>
    <x v="0"/>
    <s v="UK"/>
    <x v="5"/>
    <x v="0"/>
    <x v="3"/>
    <s v="Consistent"/>
    <x v="0"/>
  </r>
  <r>
    <x v="2151"/>
    <x v="0"/>
    <x v="1829"/>
    <n v="5600344315"/>
    <n v="13099.14"/>
    <s v="UK pounds"/>
    <s v="UK pounds"/>
    <x v="0"/>
    <s v="UK"/>
    <x v="4"/>
    <x v="0"/>
    <x v="2"/>
    <s v="Consistent"/>
    <x v="0"/>
  </r>
  <r>
    <x v="2151"/>
    <x v="0"/>
    <x v="1830"/>
    <n v="9707028392"/>
    <n v="2227.9"/>
    <s v="UK pounds"/>
    <s v="UK pounds"/>
    <x v="0"/>
    <s v="UK"/>
    <x v="4"/>
    <x v="0"/>
    <x v="10"/>
    <s v="Consistent"/>
    <x v="0"/>
  </r>
  <r>
    <x v="2152"/>
    <x v="0"/>
    <x v="1831"/>
    <n v="1569626108"/>
    <n v="1561.27"/>
    <s v="UK pounds"/>
    <s v="UK pounds"/>
    <x v="0"/>
    <s v="UK"/>
    <x v="2"/>
    <x v="0"/>
    <x v="2"/>
    <s v="Consistent"/>
    <x v="0"/>
  </r>
  <r>
    <x v="2153"/>
    <x v="0"/>
    <x v="1832"/>
    <n v="7008876594"/>
    <n v="1456.4"/>
    <s v="UK pounds"/>
    <s v="UK pounds"/>
    <x v="0"/>
    <s v="UK"/>
    <x v="5"/>
    <x v="0"/>
    <x v="2"/>
    <s v="Consistent"/>
    <x v="0"/>
  </r>
  <r>
    <x v="2154"/>
    <x v="0"/>
    <x v="1340"/>
    <n v="3079818547"/>
    <n v="12740.35"/>
    <s v="UK pounds"/>
    <s v="UK pounds"/>
    <x v="0"/>
    <s v="UK"/>
    <x v="4"/>
    <x v="0"/>
    <x v="3"/>
    <s v="Consistent"/>
    <x v="0"/>
  </r>
  <r>
    <x v="2154"/>
    <x v="0"/>
    <x v="1833"/>
    <n v="8920016144"/>
    <n v="4131.16"/>
    <s v="UK pounds"/>
    <s v="UK pounds"/>
    <x v="0"/>
    <s v="UK"/>
    <x v="2"/>
    <x v="0"/>
    <x v="2"/>
    <s v="Consistent"/>
    <x v="0"/>
  </r>
  <r>
    <x v="2155"/>
    <x v="0"/>
    <x v="1834"/>
    <n v="5220830087"/>
    <n v="73.290000000000006"/>
    <s v="UK pounds"/>
    <s v="UK pounds"/>
    <x v="0"/>
    <s v="UK"/>
    <x v="6"/>
    <x v="0"/>
    <x v="5"/>
    <s v="Consistent"/>
    <x v="0"/>
  </r>
  <r>
    <x v="2156"/>
    <x v="0"/>
    <x v="1835"/>
    <n v="7364594931"/>
    <n v="1524.37"/>
    <s v="UK pounds"/>
    <s v="UK pounds"/>
    <x v="0"/>
    <s v="UK"/>
    <x v="3"/>
    <x v="0"/>
    <x v="2"/>
    <s v="Consistent"/>
    <x v="0"/>
  </r>
  <r>
    <x v="2157"/>
    <x v="0"/>
    <x v="1836"/>
    <n v="5553149941"/>
    <n v="1372.27"/>
    <s v="UK pounds"/>
    <s v="UK pounds"/>
    <x v="0"/>
    <s v="UK"/>
    <x v="5"/>
    <x v="0"/>
    <x v="2"/>
    <s v="Consistent"/>
    <x v="0"/>
  </r>
  <r>
    <x v="2158"/>
    <x v="0"/>
    <x v="1837"/>
    <n v="1292432858"/>
    <n v="724.33"/>
    <s v="UK pounds"/>
    <s v="UK pounds"/>
    <x v="0"/>
    <s v="UK"/>
    <x v="0"/>
    <x v="0"/>
    <x v="0"/>
    <s v="Consistent"/>
    <x v="0"/>
  </r>
  <r>
    <x v="2159"/>
    <x v="0"/>
    <x v="1838"/>
    <n v="9207253495"/>
    <n v="787.66"/>
    <s v="UK pounds"/>
    <s v="UK pounds"/>
    <x v="0"/>
    <s v="UK"/>
    <x v="0"/>
    <x v="0"/>
    <x v="0"/>
    <s v="Consistent"/>
    <x v="0"/>
  </r>
  <r>
    <x v="2160"/>
    <x v="0"/>
    <x v="61"/>
    <n v="1492744665"/>
    <n v="5942.87"/>
    <s v="UK pounds"/>
    <s v="UK pounds"/>
    <x v="0"/>
    <s v="UK"/>
    <x v="2"/>
    <x v="0"/>
    <x v="1"/>
    <s v="Consistent"/>
    <x v="0"/>
  </r>
  <r>
    <x v="2161"/>
    <x v="0"/>
    <x v="1839"/>
    <n v="4088637962"/>
    <n v="3978.5"/>
    <s v="UK pounds"/>
    <s v="UK pounds"/>
    <x v="0"/>
    <s v="UK"/>
    <x v="2"/>
    <x v="0"/>
    <x v="2"/>
    <s v="Consistent"/>
    <x v="0"/>
  </r>
  <r>
    <x v="2161"/>
    <x v="0"/>
    <x v="1172"/>
    <n v="6953672776"/>
    <n v="32233.200000000001"/>
    <s v="UK pounds"/>
    <s v="Mexican Peso"/>
    <x v="0"/>
    <s v="Mexico"/>
    <x v="1"/>
    <x v="0"/>
    <x v="3"/>
    <s v="Potential Layering"/>
    <x v="0"/>
  </r>
  <r>
    <x v="2162"/>
    <x v="0"/>
    <x v="68"/>
    <n v="5402206630"/>
    <n v="6164.33"/>
    <s v="UK pounds"/>
    <s v="UK pounds"/>
    <x v="0"/>
    <s v="UK"/>
    <x v="3"/>
    <x v="0"/>
    <x v="1"/>
    <s v="Consistent"/>
    <x v="0"/>
  </r>
  <r>
    <x v="2163"/>
    <x v="0"/>
    <x v="584"/>
    <n v="1599151567"/>
    <n v="4276.2"/>
    <s v="UK pounds"/>
    <s v="UK pounds"/>
    <x v="0"/>
    <s v="UK"/>
    <x v="4"/>
    <x v="0"/>
    <x v="2"/>
    <s v="Consistent"/>
    <x v="0"/>
  </r>
  <r>
    <x v="2164"/>
    <x v="0"/>
    <x v="86"/>
    <n v="545403361"/>
    <n v="5884.16"/>
    <s v="UK pounds"/>
    <s v="UK pounds"/>
    <x v="0"/>
    <s v="UK"/>
    <x v="4"/>
    <x v="0"/>
    <x v="1"/>
    <s v="Consistent"/>
    <x v="0"/>
  </r>
  <r>
    <x v="2165"/>
    <x v="0"/>
    <x v="1840"/>
    <n v="3237052601"/>
    <n v="419.2"/>
    <s v="UK pounds"/>
    <s v="UK pounds"/>
    <x v="0"/>
    <s v="UK"/>
    <x v="4"/>
    <x v="0"/>
    <x v="2"/>
    <s v="Consistent"/>
    <x v="0"/>
  </r>
  <r>
    <x v="2166"/>
    <x v="0"/>
    <x v="1841"/>
    <n v="9027966097"/>
    <n v="4277.4799999999996"/>
    <s v="UK pounds"/>
    <s v="UK pounds"/>
    <x v="0"/>
    <s v="UK"/>
    <x v="4"/>
    <x v="0"/>
    <x v="2"/>
    <s v="Consistent"/>
    <x v="0"/>
  </r>
  <r>
    <x v="2166"/>
    <x v="0"/>
    <x v="1842"/>
    <n v="4173195094"/>
    <n v="16378.76"/>
    <s v="UK pounds"/>
    <s v="UK pounds"/>
    <x v="0"/>
    <s v="UK"/>
    <x v="5"/>
    <x v="0"/>
    <x v="3"/>
    <s v="Consistent"/>
    <x v="0"/>
  </r>
  <r>
    <x v="2167"/>
    <x v="0"/>
    <x v="1843"/>
    <n v="2587600007"/>
    <n v="11430.8"/>
    <s v="UK pounds"/>
    <s v="UK pounds"/>
    <x v="0"/>
    <s v="UK"/>
    <x v="5"/>
    <x v="0"/>
    <x v="2"/>
    <s v="Consistent"/>
    <x v="0"/>
  </r>
  <r>
    <x v="2168"/>
    <x v="0"/>
    <x v="238"/>
    <n v="2483418869"/>
    <n v="7543.49"/>
    <s v="UK pounds"/>
    <s v="UK pounds"/>
    <x v="0"/>
    <s v="UK"/>
    <x v="4"/>
    <x v="0"/>
    <x v="1"/>
    <s v="Consistent"/>
    <x v="0"/>
  </r>
  <r>
    <x v="2168"/>
    <x v="0"/>
    <x v="1844"/>
    <n v="1465487567"/>
    <n v="11954.43"/>
    <s v="UK pounds"/>
    <s v="UK pounds"/>
    <x v="0"/>
    <s v="UK"/>
    <x v="3"/>
    <x v="0"/>
    <x v="3"/>
    <s v="Consistent"/>
    <x v="0"/>
  </r>
  <r>
    <x v="2168"/>
    <x v="0"/>
    <x v="1845"/>
    <n v="7080357663"/>
    <n v="18203.560000000001"/>
    <s v="UK pounds"/>
    <s v="UK pounds"/>
    <x v="0"/>
    <s v="UK"/>
    <x v="5"/>
    <x v="0"/>
    <x v="3"/>
    <s v="Consistent"/>
    <x v="0"/>
  </r>
  <r>
    <x v="2169"/>
    <x v="0"/>
    <x v="8"/>
    <n v="1509953998"/>
    <n v="7808.66"/>
    <s v="UK pounds"/>
    <s v="UK pounds"/>
    <x v="0"/>
    <s v="UK"/>
    <x v="2"/>
    <x v="0"/>
    <x v="1"/>
    <s v="Consistent"/>
    <x v="0"/>
  </r>
  <r>
    <x v="2169"/>
    <x v="0"/>
    <x v="1846"/>
    <n v="1493436023"/>
    <n v="5246.41"/>
    <s v="Euro"/>
    <s v="UK pounds"/>
    <x v="10"/>
    <s v="UK"/>
    <x v="1"/>
    <x v="0"/>
    <x v="3"/>
    <s v="Potential Layering"/>
    <x v="1"/>
  </r>
  <r>
    <x v="2169"/>
    <x v="0"/>
    <x v="826"/>
    <n v="5466123934"/>
    <n v="7644.39"/>
    <s v="UK pounds"/>
    <s v="UK pounds"/>
    <x v="0"/>
    <s v="UK"/>
    <x v="5"/>
    <x v="0"/>
    <x v="3"/>
    <s v="Consistent"/>
    <x v="0"/>
  </r>
  <r>
    <x v="2170"/>
    <x v="0"/>
    <x v="667"/>
    <n v="7892884492"/>
    <n v="9184.01"/>
    <s v="UK pounds"/>
    <s v="US dollar"/>
    <x v="0"/>
    <s v="USA"/>
    <x v="1"/>
    <x v="0"/>
    <x v="3"/>
    <s v="Potential Layering"/>
    <x v="0"/>
  </r>
  <r>
    <x v="2171"/>
    <x v="0"/>
    <x v="1847"/>
    <n v="5267880115"/>
    <n v="171.52"/>
    <s v="UK pounds"/>
    <s v="UK pounds"/>
    <x v="0"/>
    <s v="UK"/>
    <x v="4"/>
    <x v="0"/>
    <x v="2"/>
    <s v="Consistent"/>
    <x v="0"/>
  </r>
  <r>
    <x v="2172"/>
    <x v="0"/>
    <x v="1848"/>
    <n v="3368473085"/>
    <n v="1773.36"/>
    <s v="UK pounds"/>
    <s v="UK pounds"/>
    <x v="0"/>
    <s v="UK"/>
    <x v="5"/>
    <x v="0"/>
    <x v="2"/>
    <s v="Consistent"/>
    <x v="0"/>
  </r>
  <r>
    <x v="2173"/>
    <x v="0"/>
    <x v="1849"/>
    <n v="3174825918"/>
    <n v="4972.13"/>
    <s v="UK pounds"/>
    <s v="UK pounds"/>
    <x v="0"/>
    <s v="UK"/>
    <x v="3"/>
    <x v="0"/>
    <x v="2"/>
    <s v="Consistent"/>
    <x v="0"/>
  </r>
  <r>
    <x v="2174"/>
    <x v="0"/>
    <x v="1850"/>
    <n v="7372885823"/>
    <n v="393.68"/>
    <s v="UK pounds"/>
    <s v="Yen"/>
    <x v="0"/>
    <s v="UK"/>
    <x v="5"/>
    <x v="0"/>
    <x v="2"/>
    <s v="Potential Layering"/>
    <x v="0"/>
  </r>
  <r>
    <x v="2174"/>
    <x v="0"/>
    <x v="1851"/>
    <n v="4699004325"/>
    <n v="611.95000000000005"/>
    <s v="UK pounds"/>
    <s v="UK pounds"/>
    <x v="0"/>
    <s v="UK"/>
    <x v="5"/>
    <x v="0"/>
    <x v="2"/>
    <s v="Consistent"/>
    <x v="0"/>
  </r>
  <r>
    <x v="2175"/>
    <x v="0"/>
    <x v="1852"/>
    <n v="4711358038"/>
    <n v="1159.6199999999999"/>
    <s v="UK pounds"/>
    <s v="UK pounds"/>
    <x v="0"/>
    <s v="UK"/>
    <x v="3"/>
    <x v="0"/>
    <x v="2"/>
    <s v="Consistent"/>
    <x v="0"/>
  </r>
  <r>
    <x v="2176"/>
    <x v="0"/>
    <x v="1853"/>
    <n v="3015237774"/>
    <n v="967.97"/>
    <s v="UK pounds"/>
    <s v="UK pounds"/>
    <x v="0"/>
    <s v="UK"/>
    <x v="0"/>
    <x v="0"/>
    <x v="0"/>
    <s v="Consistent"/>
    <x v="0"/>
  </r>
  <r>
    <x v="2177"/>
    <x v="0"/>
    <x v="1854"/>
    <n v="3583588029"/>
    <n v="2418.87"/>
    <s v="UK pounds"/>
    <s v="UK pounds"/>
    <x v="0"/>
    <s v="UK"/>
    <x v="4"/>
    <x v="0"/>
    <x v="2"/>
    <s v="Consistent"/>
    <x v="0"/>
  </r>
  <r>
    <x v="2178"/>
    <x v="0"/>
    <x v="1855"/>
    <n v="409707192"/>
    <n v="24102.95"/>
    <s v="UK pounds"/>
    <s v="UK pounds"/>
    <x v="0"/>
    <s v="UK"/>
    <x v="4"/>
    <x v="0"/>
    <x v="3"/>
    <s v="Consistent"/>
    <x v="0"/>
  </r>
  <r>
    <x v="2179"/>
    <x v="0"/>
    <x v="1856"/>
    <n v="9600420220"/>
    <n v="14166.37"/>
    <s v="UK pounds"/>
    <s v="UK pounds"/>
    <x v="0"/>
    <s v="UK"/>
    <x v="2"/>
    <x v="0"/>
    <x v="3"/>
    <s v="Consistent"/>
    <x v="0"/>
  </r>
  <r>
    <x v="2180"/>
    <x v="0"/>
    <x v="736"/>
    <n v="3695545812"/>
    <n v="7366.05"/>
    <s v="UK pounds"/>
    <s v="UK pounds"/>
    <x v="0"/>
    <s v="UK"/>
    <x v="5"/>
    <x v="0"/>
    <x v="3"/>
    <s v="Consistent"/>
    <x v="0"/>
  </r>
  <r>
    <x v="2181"/>
    <x v="0"/>
    <x v="1740"/>
    <n v="5858369125"/>
    <n v="9234.51"/>
    <s v="UK pounds"/>
    <s v="UK pounds"/>
    <x v="0"/>
    <s v="UK"/>
    <x v="5"/>
    <x v="0"/>
    <x v="3"/>
    <s v="Consistent"/>
    <x v="0"/>
  </r>
  <r>
    <x v="2182"/>
    <x v="0"/>
    <x v="243"/>
    <n v="7840880332"/>
    <n v="4438.45"/>
    <s v="Euro"/>
    <s v="UK pounds"/>
    <x v="4"/>
    <s v="UK"/>
    <x v="1"/>
    <x v="0"/>
    <x v="1"/>
    <s v="Potential Layering"/>
    <x v="0"/>
  </r>
  <r>
    <x v="2182"/>
    <x v="0"/>
    <x v="1062"/>
    <n v="5612472848"/>
    <n v="3417.17"/>
    <s v="UK pounds"/>
    <s v="UK pounds"/>
    <x v="0"/>
    <s v="UK"/>
    <x v="4"/>
    <x v="0"/>
    <x v="2"/>
    <s v="Consistent"/>
    <x v="0"/>
  </r>
  <r>
    <x v="2183"/>
    <x v="0"/>
    <x v="1857"/>
    <n v="5200800781"/>
    <n v="78.36"/>
    <s v="UK pounds"/>
    <s v="UK pounds"/>
    <x v="0"/>
    <s v="UK"/>
    <x v="6"/>
    <x v="0"/>
    <x v="5"/>
    <s v="Consistent"/>
    <x v="0"/>
  </r>
  <r>
    <x v="2183"/>
    <x v="0"/>
    <x v="1858"/>
    <n v="6981031835"/>
    <n v="411.23"/>
    <s v="UK pounds"/>
    <s v="UK pounds"/>
    <x v="0"/>
    <s v="UK"/>
    <x v="2"/>
    <x v="0"/>
    <x v="2"/>
    <s v="Consistent"/>
    <x v="0"/>
  </r>
  <r>
    <x v="2184"/>
    <x v="0"/>
    <x v="1859"/>
    <n v="6754102153"/>
    <n v="19568.05"/>
    <s v="UK pounds"/>
    <s v="UK pounds"/>
    <x v="0"/>
    <s v="UK"/>
    <x v="5"/>
    <x v="0"/>
    <x v="2"/>
    <s v="Consistent"/>
    <x v="0"/>
  </r>
  <r>
    <x v="2185"/>
    <x v="0"/>
    <x v="1860"/>
    <n v="989974158"/>
    <n v="5662.76"/>
    <s v="UK pounds"/>
    <s v="UK pounds"/>
    <x v="0"/>
    <s v="UK"/>
    <x v="4"/>
    <x v="0"/>
    <x v="2"/>
    <s v="Consistent"/>
    <x v="0"/>
  </r>
  <r>
    <x v="2185"/>
    <x v="0"/>
    <x v="1861"/>
    <n v="6468964531"/>
    <n v="1017.63"/>
    <s v="UK pounds"/>
    <s v="UK pounds"/>
    <x v="0"/>
    <s v="UK"/>
    <x v="5"/>
    <x v="0"/>
    <x v="2"/>
    <s v="Consistent"/>
    <x v="0"/>
  </r>
  <r>
    <x v="2186"/>
    <x v="0"/>
    <x v="1614"/>
    <n v="3220735304"/>
    <n v="11724.52"/>
    <s v="UK pounds"/>
    <s v="UK pounds"/>
    <x v="0"/>
    <s v="UK"/>
    <x v="5"/>
    <x v="0"/>
    <x v="3"/>
    <s v="Consistent"/>
    <x v="0"/>
  </r>
  <r>
    <x v="2187"/>
    <x v="0"/>
    <x v="1862"/>
    <n v="7523223921"/>
    <n v="668.74"/>
    <s v="UK pounds"/>
    <s v="UK pounds"/>
    <x v="0"/>
    <s v="UK"/>
    <x v="4"/>
    <x v="0"/>
    <x v="2"/>
    <s v="Consistent"/>
    <x v="0"/>
  </r>
  <r>
    <x v="2188"/>
    <x v="0"/>
    <x v="86"/>
    <n v="545403361"/>
    <n v="5920.67"/>
    <s v="UK pounds"/>
    <s v="UK pounds"/>
    <x v="0"/>
    <s v="UK"/>
    <x v="2"/>
    <x v="0"/>
    <x v="1"/>
    <s v="Consistent"/>
    <x v="0"/>
  </r>
  <r>
    <x v="2189"/>
    <x v="0"/>
    <x v="213"/>
    <n v="3695545812"/>
    <n v="5579.61"/>
    <s v="UK pounds"/>
    <s v="UK pounds"/>
    <x v="0"/>
    <s v="UK"/>
    <x v="4"/>
    <x v="0"/>
    <x v="3"/>
    <s v="Consistent"/>
    <x v="0"/>
  </r>
  <r>
    <x v="2190"/>
    <x v="0"/>
    <x v="149"/>
    <n v="9018284593"/>
    <n v="5693.56"/>
    <s v="UK pounds"/>
    <s v="UK pounds"/>
    <x v="0"/>
    <s v="UK"/>
    <x v="3"/>
    <x v="0"/>
    <x v="1"/>
    <s v="Consistent"/>
    <x v="0"/>
  </r>
  <r>
    <x v="2190"/>
    <x v="0"/>
    <x v="1863"/>
    <n v="8776474286"/>
    <n v="7584.21"/>
    <s v="UK pounds"/>
    <s v="UK pounds"/>
    <x v="0"/>
    <s v="UK"/>
    <x v="5"/>
    <x v="0"/>
    <x v="8"/>
    <s v="Consistent"/>
    <x v="0"/>
  </r>
  <r>
    <x v="2191"/>
    <x v="0"/>
    <x v="1864"/>
    <n v="7024120025"/>
    <n v="800.97"/>
    <s v="UK pounds"/>
    <s v="UK pounds"/>
    <x v="0"/>
    <s v="UK"/>
    <x v="5"/>
    <x v="0"/>
    <x v="2"/>
    <s v="Consistent"/>
    <x v="0"/>
  </r>
  <r>
    <x v="2192"/>
    <x v="0"/>
    <x v="1865"/>
    <n v="5466123934"/>
    <n v="7677.41"/>
    <s v="UK pounds"/>
    <s v="UK pounds"/>
    <x v="0"/>
    <s v="UK"/>
    <x v="5"/>
    <x v="0"/>
    <x v="3"/>
    <s v="Consistent"/>
    <x v="0"/>
  </r>
  <r>
    <x v="2193"/>
    <x v="0"/>
    <x v="1866"/>
    <n v="1465487567"/>
    <n v="10710.16"/>
    <s v="UK pounds"/>
    <s v="UK pounds"/>
    <x v="0"/>
    <s v="UK"/>
    <x v="5"/>
    <x v="0"/>
    <x v="3"/>
    <s v="Consistent"/>
    <x v="0"/>
  </r>
  <r>
    <x v="2193"/>
    <x v="0"/>
    <x v="1208"/>
    <n v="1493436023"/>
    <n v="33245.949999999997"/>
    <s v="UK pounds"/>
    <s v="UK pounds"/>
    <x v="0"/>
    <s v="UK"/>
    <x v="3"/>
    <x v="0"/>
    <x v="3"/>
    <s v="Consistent"/>
    <x v="0"/>
  </r>
  <r>
    <x v="2194"/>
    <x v="0"/>
    <x v="1867"/>
    <n v="3664486901"/>
    <n v="3222.73"/>
    <s v="Swiss franc"/>
    <s v="UK pounds"/>
    <x v="0"/>
    <s v="UK"/>
    <x v="2"/>
    <x v="0"/>
    <x v="2"/>
    <s v="Potential Layering"/>
    <x v="0"/>
  </r>
  <r>
    <x v="2195"/>
    <x v="0"/>
    <x v="238"/>
    <n v="3099235880"/>
    <n v="8913.67"/>
    <s v="UK pounds"/>
    <s v="UK pounds"/>
    <x v="0"/>
    <s v="UK"/>
    <x v="2"/>
    <x v="0"/>
    <x v="1"/>
    <s v="Consistent"/>
    <x v="0"/>
  </r>
  <r>
    <x v="2195"/>
    <x v="0"/>
    <x v="1868"/>
    <n v="5930634382"/>
    <n v="1361.41"/>
    <s v="UK pounds"/>
    <s v="UK pounds"/>
    <x v="0"/>
    <s v="UK"/>
    <x v="4"/>
    <x v="0"/>
    <x v="2"/>
    <s v="Consistent"/>
    <x v="0"/>
  </r>
  <r>
    <x v="2195"/>
    <x v="0"/>
    <x v="1869"/>
    <n v="1573801432"/>
    <n v="1003.82"/>
    <s v="UK pounds"/>
    <s v="UK pounds"/>
    <x v="0"/>
    <s v="UK"/>
    <x v="5"/>
    <x v="0"/>
    <x v="2"/>
    <s v="Consistent"/>
    <x v="0"/>
  </r>
  <r>
    <x v="2195"/>
    <x v="0"/>
    <x v="1870"/>
    <n v="5645906625"/>
    <n v="15528.63"/>
    <s v="UK pounds"/>
    <s v="UK pounds"/>
    <x v="0"/>
    <s v="UK"/>
    <x v="5"/>
    <x v="0"/>
    <x v="2"/>
    <s v="Consistent"/>
    <x v="0"/>
  </r>
  <r>
    <x v="2196"/>
    <x v="0"/>
    <x v="1871"/>
    <n v="6303054928"/>
    <n v="3544.21"/>
    <s v="UK pounds"/>
    <s v="UK pounds"/>
    <x v="0"/>
    <s v="UK"/>
    <x v="2"/>
    <x v="0"/>
    <x v="4"/>
    <s v="Consistent"/>
    <x v="0"/>
  </r>
  <r>
    <x v="2197"/>
    <x v="0"/>
    <x v="379"/>
    <n v="7617666829"/>
    <n v="4530.04"/>
    <s v="UK pounds"/>
    <s v="UK pounds"/>
    <x v="0"/>
    <s v="UK"/>
    <x v="2"/>
    <x v="0"/>
    <x v="1"/>
    <s v="Consistent"/>
    <x v="0"/>
  </r>
  <r>
    <x v="2198"/>
    <x v="0"/>
    <x v="75"/>
    <n v="6883932008"/>
    <n v="10257.6"/>
    <s v="UK pounds"/>
    <s v="UK pounds"/>
    <x v="0"/>
    <s v="UK"/>
    <x v="4"/>
    <x v="0"/>
    <x v="1"/>
    <s v="Consistent"/>
    <x v="0"/>
  </r>
  <r>
    <x v="2198"/>
    <x v="0"/>
    <x v="1337"/>
    <n v="8172080174"/>
    <n v="10865.42"/>
    <s v="UK pounds"/>
    <s v="UK pounds"/>
    <x v="0"/>
    <s v="UK"/>
    <x v="2"/>
    <x v="0"/>
    <x v="3"/>
    <s v="Consistent"/>
    <x v="0"/>
  </r>
  <r>
    <x v="2199"/>
    <x v="0"/>
    <x v="1872"/>
    <n v="2038780642"/>
    <n v="1747.46"/>
    <s v="UK pounds"/>
    <s v="UK pounds"/>
    <x v="0"/>
    <s v="UK"/>
    <x v="4"/>
    <x v="0"/>
    <x v="2"/>
    <s v="Consistent"/>
    <x v="0"/>
  </r>
  <r>
    <x v="2200"/>
    <x v="0"/>
    <x v="1873"/>
    <n v="6118549602"/>
    <n v="5085.92"/>
    <s v="UK pounds"/>
    <s v="UK pounds"/>
    <x v="0"/>
    <s v="UK"/>
    <x v="3"/>
    <x v="0"/>
    <x v="2"/>
    <s v="Consistent"/>
    <x v="0"/>
  </r>
  <r>
    <x v="2201"/>
    <x v="0"/>
    <x v="124"/>
    <n v="8617863283"/>
    <n v="5741.27"/>
    <s v="UK pounds"/>
    <s v="UK pounds"/>
    <x v="0"/>
    <s v="UK"/>
    <x v="2"/>
    <x v="0"/>
    <x v="1"/>
    <s v="Consistent"/>
    <x v="0"/>
  </r>
  <r>
    <x v="2202"/>
    <x v="0"/>
    <x v="1874"/>
    <n v="5489514642"/>
    <n v="1389.91"/>
    <s v="UK pounds"/>
    <s v="UK pounds"/>
    <x v="0"/>
    <s v="UK"/>
    <x v="4"/>
    <x v="0"/>
    <x v="2"/>
    <s v="Consistent"/>
    <x v="0"/>
  </r>
  <r>
    <x v="2203"/>
    <x v="0"/>
    <x v="209"/>
    <n v="5628674969"/>
    <n v="6807.22"/>
    <s v="UK pounds"/>
    <s v="UK pounds"/>
    <x v="0"/>
    <s v="UK"/>
    <x v="3"/>
    <x v="0"/>
    <x v="3"/>
    <s v="Consistent"/>
    <x v="0"/>
  </r>
  <r>
    <x v="2204"/>
    <x v="0"/>
    <x v="1875"/>
    <n v="1071926353"/>
    <n v="590.14"/>
    <s v="UK pounds"/>
    <s v="UK pounds"/>
    <x v="0"/>
    <s v="UK"/>
    <x v="2"/>
    <x v="0"/>
    <x v="2"/>
    <s v="Consistent"/>
    <x v="0"/>
  </r>
  <r>
    <x v="2205"/>
    <x v="0"/>
    <x v="1876"/>
    <n v="2784755986"/>
    <n v="3166.4"/>
    <s v="UK pounds"/>
    <s v="UK pounds"/>
    <x v="0"/>
    <s v="UK"/>
    <x v="0"/>
    <x v="0"/>
    <x v="0"/>
    <s v="Consistent"/>
    <x v="0"/>
  </r>
  <r>
    <x v="2206"/>
    <x v="0"/>
    <x v="163"/>
    <n v="5832927076"/>
    <n v="9887.9599999999991"/>
    <s v="UK pounds"/>
    <s v="UK pounds"/>
    <x v="0"/>
    <s v="UK"/>
    <x v="2"/>
    <x v="0"/>
    <x v="1"/>
    <s v="Consistent"/>
    <x v="0"/>
  </r>
  <r>
    <x v="2207"/>
    <x v="0"/>
    <x v="1877"/>
    <n v="8996236833"/>
    <n v="2184.66"/>
    <s v="UK pounds"/>
    <s v="UK pounds"/>
    <x v="0"/>
    <s v="UK"/>
    <x v="3"/>
    <x v="0"/>
    <x v="2"/>
    <s v="Consistent"/>
    <x v="0"/>
  </r>
  <r>
    <x v="2207"/>
    <x v="0"/>
    <x v="1878"/>
    <n v="5858600176"/>
    <n v="132.34"/>
    <s v="UK pounds"/>
    <s v="UK pounds"/>
    <x v="0"/>
    <s v="UK"/>
    <x v="2"/>
    <x v="0"/>
    <x v="2"/>
    <s v="Consistent"/>
    <x v="0"/>
  </r>
  <r>
    <x v="2208"/>
    <x v="0"/>
    <x v="1879"/>
    <n v="5410017221"/>
    <n v="484.87"/>
    <s v="UK pounds"/>
    <s v="UK pounds"/>
    <x v="0"/>
    <s v="UK"/>
    <x v="0"/>
    <x v="0"/>
    <x v="0"/>
    <s v="Consistent"/>
    <x v="0"/>
  </r>
  <r>
    <x v="2209"/>
    <x v="0"/>
    <x v="1880"/>
    <n v="7924201446"/>
    <n v="833"/>
    <s v="UK pounds"/>
    <s v="UK pounds"/>
    <x v="0"/>
    <s v="UK"/>
    <x v="3"/>
    <x v="0"/>
    <x v="2"/>
    <s v="Consistent"/>
    <x v="0"/>
  </r>
  <r>
    <x v="2210"/>
    <x v="0"/>
    <x v="154"/>
    <n v="1465487567"/>
    <n v="21187.71"/>
    <s v="UK pounds"/>
    <s v="UK pounds"/>
    <x v="0"/>
    <s v="UK"/>
    <x v="2"/>
    <x v="0"/>
    <x v="3"/>
    <s v="Consistent"/>
    <x v="0"/>
  </r>
  <r>
    <x v="2210"/>
    <x v="0"/>
    <x v="1881"/>
    <n v="8530153651"/>
    <n v="22975.9"/>
    <s v="UK pounds"/>
    <s v="UK pounds"/>
    <x v="0"/>
    <s v="UK"/>
    <x v="4"/>
    <x v="0"/>
    <x v="2"/>
    <s v="Consistent"/>
    <x v="0"/>
  </r>
  <r>
    <x v="2211"/>
    <x v="0"/>
    <x v="1882"/>
    <n v="2846742721"/>
    <n v="8634.52"/>
    <s v="UK pounds"/>
    <s v="UK pounds"/>
    <x v="0"/>
    <s v="UK"/>
    <x v="2"/>
    <x v="0"/>
    <x v="2"/>
    <s v="Consistent"/>
    <x v="0"/>
  </r>
  <r>
    <x v="2211"/>
    <x v="0"/>
    <x v="255"/>
    <n v="8091763232"/>
    <n v="6029.61"/>
    <s v="UK pounds"/>
    <s v="UK pounds"/>
    <x v="0"/>
    <s v="UK"/>
    <x v="2"/>
    <x v="0"/>
    <x v="1"/>
    <s v="Consistent"/>
    <x v="0"/>
  </r>
  <r>
    <x v="2212"/>
    <x v="0"/>
    <x v="264"/>
    <n v="5708936901"/>
    <n v="18124.3"/>
    <s v="UK pounds"/>
    <s v="UK pounds"/>
    <x v="0"/>
    <s v="UK"/>
    <x v="3"/>
    <x v="0"/>
    <x v="3"/>
    <s v="Consistent"/>
    <x v="0"/>
  </r>
  <r>
    <x v="2213"/>
    <x v="0"/>
    <x v="1883"/>
    <n v="1915072818"/>
    <n v="4046.92"/>
    <s v="UK pounds"/>
    <s v="UK pounds"/>
    <x v="0"/>
    <s v="UK"/>
    <x v="4"/>
    <x v="0"/>
    <x v="2"/>
    <s v="Consistent"/>
    <x v="0"/>
  </r>
  <r>
    <x v="2213"/>
    <x v="0"/>
    <x v="1884"/>
    <n v="1069374206"/>
    <n v="2178.08"/>
    <s v="UK pounds"/>
    <s v="UK pounds"/>
    <x v="0"/>
    <s v="UK"/>
    <x v="0"/>
    <x v="0"/>
    <x v="0"/>
    <s v="Consistent"/>
    <x v="0"/>
  </r>
  <r>
    <x v="2214"/>
    <x v="0"/>
    <x v="81"/>
    <n v="9199525861"/>
    <n v="6673.84"/>
    <s v="UK pounds"/>
    <s v="Albanian lek"/>
    <x v="0"/>
    <s v="UK"/>
    <x v="5"/>
    <x v="0"/>
    <x v="1"/>
    <s v="Potential Layering"/>
    <x v="0"/>
  </r>
  <r>
    <x v="2215"/>
    <x v="0"/>
    <x v="1885"/>
    <n v="4805499748"/>
    <n v="237.46"/>
    <s v="UK pounds"/>
    <s v="UK pounds"/>
    <x v="0"/>
    <s v="UK"/>
    <x v="6"/>
    <x v="0"/>
    <x v="5"/>
    <s v="Consistent"/>
    <x v="0"/>
  </r>
  <r>
    <x v="2216"/>
    <x v="0"/>
    <x v="1886"/>
    <n v="93607303"/>
    <n v="10318.34"/>
    <s v="UK pounds"/>
    <s v="UK pounds"/>
    <x v="0"/>
    <s v="UK"/>
    <x v="4"/>
    <x v="0"/>
    <x v="2"/>
    <s v="Consistent"/>
    <x v="0"/>
  </r>
  <r>
    <x v="2216"/>
    <x v="0"/>
    <x v="86"/>
    <n v="9136460589"/>
    <n v="13963.21"/>
    <s v="UK pounds"/>
    <s v="UK pounds"/>
    <x v="0"/>
    <s v="UK"/>
    <x v="5"/>
    <x v="0"/>
    <x v="1"/>
    <s v="Consistent"/>
    <x v="0"/>
  </r>
  <r>
    <x v="2217"/>
    <x v="0"/>
    <x v="121"/>
    <n v="5858369125"/>
    <n v="21084.99"/>
    <s v="UK pounds"/>
    <s v="UK pounds"/>
    <x v="0"/>
    <s v="UK"/>
    <x v="2"/>
    <x v="0"/>
    <x v="3"/>
    <s v="Consistent"/>
    <x v="0"/>
  </r>
  <r>
    <x v="2218"/>
    <x v="0"/>
    <x v="1887"/>
    <n v="4837170425"/>
    <n v="386.53"/>
    <s v="UK pounds"/>
    <s v="UK pounds"/>
    <x v="0"/>
    <s v="UK"/>
    <x v="3"/>
    <x v="0"/>
    <x v="2"/>
    <s v="Consistent"/>
    <x v="0"/>
  </r>
  <r>
    <x v="2219"/>
    <x v="0"/>
    <x v="368"/>
    <n v="7140265767"/>
    <n v="5362.17"/>
    <s v="UK pounds"/>
    <s v="UK pounds"/>
    <x v="0"/>
    <s v="UK"/>
    <x v="4"/>
    <x v="0"/>
    <x v="1"/>
    <s v="Consistent"/>
    <x v="0"/>
  </r>
  <r>
    <x v="2220"/>
    <x v="0"/>
    <x v="1888"/>
    <n v="2701434021"/>
    <n v="3932.67"/>
    <s v="UK pounds"/>
    <s v="UK pounds"/>
    <x v="0"/>
    <s v="UK"/>
    <x v="3"/>
    <x v="0"/>
    <x v="4"/>
    <s v="Consistent"/>
    <x v="0"/>
  </r>
  <r>
    <x v="2221"/>
    <x v="0"/>
    <x v="1889"/>
    <n v="4835743431"/>
    <n v="290.39"/>
    <s v="UK pounds"/>
    <s v="UK pounds"/>
    <x v="0"/>
    <s v="UK"/>
    <x v="0"/>
    <x v="0"/>
    <x v="0"/>
    <s v="Consistent"/>
    <x v="0"/>
  </r>
  <r>
    <x v="2222"/>
    <x v="0"/>
    <x v="1890"/>
    <n v="5675697876"/>
    <n v="769.9"/>
    <s v="UK pounds"/>
    <s v="UK pounds"/>
    <x v="0"/>
    <s v="UK"/>
    <x v="2"/>
    <x v="0"/>
    <x v="4"/>
    <s v="Consistent"/>
    <x v="0"/>
  </r>
  <r>
    <x v="2223"/>
    <x v="0"/>
    <x v="1891"/>
    <n v="9161019439"/>
    <n v="966.65"/>
    <s v="UK pounds"/>
    <s v="UK pounds"/>
    <x v="0"/>
    <s v="UK"/>
    <x v="3"/>
    <x v="0"/>
    <x v="2"/>
    <s v="Consistent"/>
    <x v="0"/>
  </r>
  <r>
    <x v="2224"/>
    <x v="0"/>
    <x v="1892"/>
    <n v="9968335822"/>
    <n v="13553.61"/>
    <s v="UK pounds"/>
    <s v="UK pounds"/>
    <x v="0"/>
    <s v="UK"/>
    <x v="4"/>
    <x v="0"/>
    <x v="2"/>
    <s v="Consistent"/>
    <x v="0"/>
  </r>
  <r>
    <x v="2224"/>
    <x v="0"/>
    <x v="1893"/>
    <n v="2821044224"/>
    <n v="5305.32"/>
    <s v="UK pounds"/>
    <s v="UK pounds"/>
    <x v="0"/>
    <s v="UK"/>
    <x v="5"/>
    <x v="0"/>
    <x v="2"/>
    <s v="Consistent"/>
    <x v="0"/>
  </r>
  <r>
    <x v="2225"/>
    <x v="0"/>
    <x v="1894"/>
    <n v="1017657480"/>
    <n v="3566.88"/>
    <s v="UK pounds"/>
    <s v="UK pounds"/>
    <x v="0"/>
    <s v="UK"/>
    <x v="4"/>
    <x v="0"/>
    <x v="2"/>
    <s v="Consistent"/>
    <x v="0"/>
  </r>
  <r>
    <x v="2226"/>
    <x v="0"/>
    <x v="1895"/>
    <n v="4524645107"/>
    <n v="4500.97"/>
    <s v="UK pounds"/>
    <s v="UK pounds"/>
    <x v="0"/>
    <s v="UK"/>
    <x v="4"/>
    <x v="0"/>
    <x v="2"/>
    <s v="Consistent"/>
    <x v="0"/>
  </r>
  <r>
    <x v="2227"/>
    <x v="0"/>
    <x v="772"/>
    <n v="8172080174"/>
    <n v="7829.92"/>
    <s v="Pakistani rupee"/>
    <s v="UK pounds"/>
    <x v="9"/>
    <s v="UK"/>
    <x v="1"/>
    <x v="0"/>
    <x v="3"/>
    <s v="Potential Layering"/>
    <x v="1"/>
  </r>
  <r>
    <x v="2228"/>
    <x v="0"/>
    <x v="1896"/>
    <n v="1689947317"/>
    <n v="9806.6"/>
    <s v="UK pounds"/>
    <s v="UK pounds"/>
    <x v="0"/>
    <s v="UK"/>
    <x v="4"/>
    <x v="0"/>
    <x v="2"/>
    <s v="Consistent"/>
    <x v="0"/>
  </r>
  <r>
    <x v="2229"/>
    <x v="0"/>
    <x v="1897"/>
    <n v="3354575344"/>
    <n v="5057.82"/>
    <s v="UK pounds"/>
    <s v="UK pounds"/>
    <x v="0"/>
    <s v="UK"/>
    <x v="3"/>
    <x v="0"/>
    <x v="4"/>
    <s v="Consistent"/>
    <x v="0"/>
  </r>
  <r>
    <x v="2230"/>
    <x v="0"/>
    <x v="1898"/>
    <n v="2138505015"/>
    <n v="7803.02"/>
    <s v="Euro"/>
    <s v="Dirham"/>
    <x v="8"/>
    <s v="UAE"/>
    <x v="1"/>
    <x v="0"/>
    <x v="3"/>
    <s v="Potential Layering"/>
    <x v="0"/>
  </r>
  <r>
    <x v="2230"/>
    <x v="0"/>
    <x v="1899"/>
    <n v="1493436023"/>
    <n v="7887.34"/>
    <s v="UK pounds"/>
    <s v="UK pounds"/>
    <x v="0"/>
    <s v="UK"/>
    <x v="2"/>
    <x v="0"/>
    <x v="3"/>
    <s v="Consistent"/>
    <x v="0"/>
  </r>
  <r>
    <x v="2231"/>
    <x v="0"/>
    <x v="1048"/>
    <n v="409707192"/>
    <n v="6078.84"/>
    <s v="UK pounds"/>
    <s v="UK pounds"/>
    <x v="0"/>
    <s v="UK"/>
    <x v="5"/>
    <x v="0"/>
    <x v="3"/>
    <s v="Consistent"/>
    <x v="0"/>
  </r>
  <r>
    <x v="2232"/>
    <x v="0"/>
    <x v="1594"/>
    <n v="4173195094"/>
    <n v="9873.7999999999993"/>
    <s v="UK pounds"/>
    <s v="UK pounds"/>
    <x v="0"/>
    <s v="UK"/>
    <x v="2"/>
    <x v="0"/>
    <x v="3"/>
    <s v="Consistent"/>
    <x v="0"/>
  </r>
  <r>
    <x v="2233"/>
    <x v="0"/>
    <x v="857"/>
    <n v="1701666523"/>
    <n v="756.78"/>
    <s v="UK pounds"/>
    <s v="UK pounds"/>
    <x v="0"/>
    <s v="UK"/>
    <x v="4"/>
    <x v="0"/>
    <x v="2"/>
    <s v="Consistent"/>
    <x v="0"/>
  </r>
  <r>
    <x v="2234"/>
    <x v="0"/>
    <x v="851"/>
    <n v="170086039"/>
    <n v="1215.8399999999999"/>
    <s v="UK pounds"/>
    <s v="UK pounds"/>
    <x v="0"/>
    <s v="UK"/>
    <x v="3"/>
    <x v="0"/>
    <x v="6"/>
    <s v="Consistent"/>
    <x v="0"/>
  </r>
  <r>
    <x v="2234"/>
    <x v="0"/>
    <x v="1900"/>
    <n v="8779943173"/>
    <n v="2547.6"/>
    <s v="UK pounds"/>
    <s v="UK pounds"/>
    <x v="0"/>
    <s v="UK"/>
    <x v="4"/>
    <x v="0"/>
    <x v="2"/>
    <s v="Consistent"/>
    <x v="0"/>
  </r>
  <r>
    <x v="2235"/>
    <x v="0"/>
    <x v="1"/>
    <n v="5088960637"/>
    <n v="4404.09"/>
    <s v="UK pounds"/>
    <s v="Swiss franc"/>
    <x v="0"/>
    <s v="Switzerland"/>
    <x v="1"/>
    <x v="0"/>
    <x v="1"/>
    <s v="Potential Layering"/>
    <x v="0"/>
  </r>
  <r>
    <x v="2236"/>
    <x v="0"/>
    <x v="1901"/>
    <n v="4678539890"/>
    <n v="2683.59"/>
    <s v="UK pounds"/>
    <s v="UK pounds"/>
    <x v="0"/>
    <s v="UK"/>
    <x v="3"/>
    <x v="0"/>
    <x v="2"/>
    <s v="Consistent"/>
    <x v="0"/>
  </r>
  <r>
    <x v="2236"/>
    <x v="0"/>
    <x v="1902"/>
    <n v="2980429389"/>
    <n v="320.14"/>
    <s v="UK pounds"/>
    <s v="UK pounds"/>
    <x v="0"/>
    <s v="UK"/>
    <x v="5"/>
    <x v="0"/>
    <x v="2"/>
    <s v="Consistent"/>
    <x v="0"/>
  </r>
  <r>
    <x v="2236"/>
    <x v="0"/>
    <x v="1903"/>
    <n v="563240951"/>
    <n v="2412.83"/>
    <s v="UK pounds"/>
    <s v="UK pounds"/>
    <x v="0"/>
    <s v="UK"/>
    <x v="4"/>
    <x v="0"/>
    <x v="4"/>
    <s v="Consistent"/>
    <x v="0"/>
  </r>
  <r>
    <x v="2237"/>
    <x v="0"/>
    <x v="1904"/>
    <n v="1963292234"/>
    <n v="33973.78"/>
    <s v="Moroccan dirham"/>
    <s v="UK pounds"/>
    <x v="15"/>
    <s v="UK"/>
    <x v="1"/>
    <x v="0"/>
    <x v="8"/>
    <s v="Potential Layering"/>
    <x v="2"/>
  </r>
  <r>
    <x v="2237"/>
    <x v="0"/>
    <x v="163"/>
    <n v="3606979593"/>
    <n v="5122.1400000000003"/>
    <s v="UK pounds"/>
    <s v="UK pounds"/>
    <x v="0"/>
    <s v="UK"/>
    <x v="5"/>
    <x v="0"/>
    <x v="1"/>
    <s v="Consistent"/>
    <x v="0"/>
  </r>
  <r>
    <x v="2238"/>
    <x v="0"/>
    <x v="61"/>
    <n v="4528663768"/>
    <n v="7438.45"/>
    <s v="UK pounds"/>
    <s v="UK pounds"/>
    <x v="0"/>
    <s v="UK"/>
    <x v="3"/>
    <x v="0"/>
    <x v="1"/>
    <s v="Consistent"/>
    <x v="0"/>
  </r>
  <r>
    <x v="2239"/>
    <x v="0"/>
    <x v="1905"/>
    <n v="5061618637"/>
    <n v="3836.96"/>
    <s v="UK pounds"/>
    <s v="UK pounds"/>
    <x v="0"/>
    <s v="UK"/>
    <x v="2"/>
    <x v="0"/>
    <x v="2"/>
    <s v="Consistent"/>
    <x v="0"/>
  </r>
  <r>
    <x v="2239"/>
    <x v="0"/>
    <x v="542"/>
    <n v="5628674969"/>
    <n v="8513.6200000000008"/>
    <s v="Mexican Peso"/>
    <s v="UK pounds"/>
    <x v="10"/>
    <s v="UK"/>
    <x v="1"/>
    <x v="0"/>
    <x v="3"/>
    <s v="Potential Layering"/>
    <x v="1"/>
  </r>
  <r>
    <x v="2240"/>
    <x v="0"/>
    <x v="114"/>
    <n v="7892884492"/>
    <n v="5174.6400000000003"/>
    <s v="UK pounds"/>
    <s v="US dollar"/>
    <x v="0"/>
    <s v="USA"/>
    <x v="1"/>
    <x v="0"/>
    <x v="3"/>
    <s v="Potential Layering"/>
    <x v="0"/>
  </r>
  <r>
    <x v="2240"/>
    <x v="0"/>
    <x v="192"/>
    <n v="2534644942"/>
    <n v="7818.14"/>
    <s v="UK pounds"/>
    <s v="Euro"/>
    <x v="0"/>
    <s v="France"/>
    <x v="1"/>
    <x v="0"/>
    <x v="3"/>
    <s v="Potential Layering"/>
    <x v="0"/>
  </r>
  <r>
    <x v="2241"/>
    <x v="0"/>
    <x v="1906"/>
    <n v="6060853662"/>
    <n v="4672.59"/>
    <s v="Mexican Peso"/>
    <s v="UK pounds"/>
    <x v="10"/>
    <s v="UK"/>
    <x v="1"/>
    <x v="0"/>
    <x v="2"/>
    <s v="Potential Layering"/>
    <x v="1"/>
  </r>
  <r>
    <x v="2242"/>
    <x v="0"/>
    <x v="1907"/>
    <n v="7050354985"/>
    <n v="1963.03"/>
    <s v="UK pounds"/>
    <s v="UK pounds"/>
    <x v="0"/>
    <s v="UK"/>
    <x v="3"/>
    <x v="0"/>
    <x v="2"/>
    <s v="Consistent"/>
    <x v="0"/>
  </r>
  <r>
    <x v="2243"/>
    <x v="0"/>
    <x v="1"/>
    <n v="3672723354"/>
    <n v="4754.07"/>
    <s v="UK pounds"/>
    <s v="UK pounds"/>
    <x v="0"/>
    <s v="UK"/>
    <x v="5"/>
    <x v="0"/>
    <x v="1"/>
    <s v="Consistent"/>
    <x v="0"/>
  </r>
  <r>
    <x v="2244"/>
    <x v="0"/>
    <x v="46"/>
    <n v="1167200543"/>
    <n v="17896.37"/>
    <s v="UK pounds"/>
    <s v="UK pounds"/>
    <x v="0"/>
    <s v="UK"/>
    <x v="3"/>
    <x v="0"/>
    <x v="1"/>
    <s v="Consistent"/>
    <x v="0"/>
  </r>
  <r>
    <x v="2245"/>
    <x v="0"/>
    <x v="1908"/>
    <n v="9430909651"/>
    <n v="34.74"/>
    <s v="UK pounds"/>
    <s v="UK pounds"/>
    <x v="0"/>
    <s v="UK"/>
    <x v="6"/>
    <x v="0"/>
    <x v="5"/>
    <s v="Consistent"/>
    <x v="0"/>
  </r>
  <r>
    <x v="2246"/>
    <x v="0"/>
    <x v="9"/>
    <n v="1702377336"/>
    <n v="6576.41"/>
    <s v="UK pounds"/>
    <s v="UK pounds"/>
    <x v="0"/>
    <s v="UK"/>
    <x v="4"/>
    <x v="0"/>
    <x v="1"/>
    <s v="Consistent"/>
    <x v="0"/>
  </r>
  <r>
    <x v="2247"/>
    <x v="0"/>
    <x v="75"/>
    <n v="6138274964"/>
    <n v="5231.58"/>
    <s v="UK pounds"/>
    <s v="UK pounds"/>
    <x v="0"/>
    <s v="UK"/>
    <x v="5"/>
    <x v="0"/>
    <x v="1"/>
    <s v="Consistent"/>
    <x v="0"/>
  </r>
  <r>
    <x v="2248"/>
    <x v="0"/>
    <x v="1909"/>
    <n v="5896180453"/>
    <n v="18347.04"/>
    <s v="UK pounds"/>
    <s v="UK pounds"/>
    <x v="0"/>
    <s v="UK"/>
    <x v="5"/>
    <x v="0"/>
    <x v="3"/>
    <s v="Consistent"/>
    <x v="0"/>
  </r>
  <r>
    <x v="2249"/>
    <x v="0"/>
    <x v="1910"/>
    <n v="105185176"/>
    <n v="509.05"/>
    <s v="UK pounds"/>
    <s v="UK pounds"/>
    <x v="0"/>
    <s v="UK"/>
    <x v="0"/>
    <x v="0"/>
    <x v="0"/>
    <s v="Consistent"/>
    <x v="0"/>
  </r>
  <r>
    <x v="2250"/>
    <x v="0"/>
    <x v="1911"/>
    <n v="8912097394"/>
    <n v="3238.38"/>
    <s v="UK pounds"/>
    <s v="UK pounds"/>
    <x v="0"/>
    <s v="UK"/>
    <x v="3"/>
    <x v="0"/>
    <x v="4"/>
    <s v="Consistent"/>
    <x v="0"/>
  </r>
  <r>
    <x v="2251"/>
    <x v="0"/>
    <x v="1912"/>
    <n v="25235776"/>
    <n v="820.96"/>
    <s v="UK pounds"/>
    <s v="UK pounds"/>
    <x v="0"/>
    <s v="UK"/>
    <x v="2"/>
    <x v="0"/>
    <x v="2"/>
    <s v="Consistent"/>
    <x v="0"/>
  </r>
  <r>
    <x v="2251"/>
    <x v="0"/>
    <x v="9"/>
    <n v="7591504865"/>
    <n v="12265.33"/>
    <s v="UK pounds"/>
    <s v="UK pounds"/>
    <x v="0"/>
    <s v="UK"/>
    <x v="3"/>
    <x v="0"/>
    <x v="1"/>
    <s v="Consistent"/>
    <x v="0"/>
  </r>
  <r>
    <x v="2252"/>
    <x v="0"/>
    <x v="1913"/>
    <n v="4327697319"/>
    <n v="4713.8900000000003"/>
    <s v="UK pounds"/>
    <s v="UK pounds"/>
    <x v="0"/>
    <s v="UK"/>
    <x v="5"/>
    <x v="0"/>
    <x v="2"/>
    <s v="Consistent"/>
    <x v="0"/>
  </r>
  <r>
    <x v="2253"/>
    <x v="0"/>
    <x v="1914"/>
    <n v="1787992191"/>
    <n v="424.58"/>
    <s v="UK pounds"/>
    <s v="Indian rupee"/>
    <x v="0"/>
    <s v="India"/>
    <x v="1"/>
    <x v="0"/>
    <x v="2"/>
    <s v="Potential Layering"/>
    <x v="0"/>
  </r>
  <r>
    <x v="2253"/>
    <x v="0"/>
    <x v="1915"/>
    <n v="2190893196"/>
    <n v="116.97"/>
    <s v="UK pounds"/>
    <s v="UK pounds"/>
    <x v="0"/>
    <s v="UK"/>
    <x v="6"/>
    <x v="0"/>
    <x v="5"/>
    <s v="Consistent"/>
    <x v="0"/>
  </r>
  <r>
    <x v="2254"/>
    <x v="0"/>
    <x v="1916"/>
    <n v="1212561053"/>
    <n v="2139.5300000000002"/>
    <s v="UK pounds"/>
    <s v="UK pounds"/>
    <x v="0"/>
    <s v="UK"/>
    <x v="3"/>
    <x v="0"/>
    <x v="2"/>
    <s v="Consistent"/>
    <x v="0"/>
  </r>
  <r>
    <x v="2255"/>
    <x v="0"/>
    <x v="1917"/>
    <n v="2238011056"/>
    <n v="1635.84"/>
    <s v="UK pounds"/>
    <s v="UK pounds"/>
    <x v="0"/>
    <s v="UK"/>
    <x v="5"/>
    <x v="0"/>
    <x v="2"/>
    <s v="Consistent"/>
    <x v="0"/>
  </r>
  <r>
    <x v="2256"/>
    <x v="0"/>
    <x v="1918"/>
    <n v="9679319451"/>
    <n v="4877.1499999999996"/>
    <s v="UK pounds"/>
    <s v="UK pounds"/>
    <x v="0"/>
    <s v="UK"/>
    <x v="3"/>
    <x v="0"/>
    <x v="2"/>
    <s v="Consistent"/>
    <x v="0"/>
  </r>
  <r>
    <x v="2257"/>
    <x v="0"/>
    <x v="1919"/>
    <n v="1762047439"/>
    <n v="8653.2099999999991"/>
    <s v="UK pounds"/>
    <s v="UK pounds"/>
    <x v="0"/>
    <s v="UK"/>
    <x v="5"/>
    <x v="0"/>
    <x v="2"/>
    <s v="Consistent"/>
    <x v="0"/>
  </r>
  <r>
    <x v="2258"/>
    <x v="0"/>
    <x v="1182"/>
    <n v="8281742188"/>
    <n v="9625.25"/>
    <s v="UK pounds"/>
    <s v="UK pounds"/>
    <x v="0"/>
    <s v="UK"/>
    <x v="3"/>
    <x v="0"/>
    <x v="2"/>
    <s v="Consistent"/>
    <x v="0"/>
  </r>
  <r>
    <x v="2259"/>
    <x v="0"/>
    <x v="1096"/>
    <n v="1431561040"/>
    <n v="16442.87"/>
    <s v="UK pounds"/>
    <s v="UK pounds"/>
    <x v="0"/>
    <s v="UK"/>
    <x v="5"/>
    <x v="0"/>
    <x v="3"/>
    <s v="Consistent"/>
    <x v="0"/>
  </r>
  <r>
    <x v="2260"/>
    <x v="0"/>
    <x v="1920"/>
    <n v="4587095640"/>
    <n v="784.23"/>
    <s v="UK pounds"/>
    <s v="UK pounds"/>
    <x v="0"/>
    <s v="UK"/>
    <x v="0"/>
    <x v="0"/>
    <x v="0"/>
    <s v="Consistent"/>
    <x v="0"/>
  </r>
  <r>
    <x v="2260"/>
    <x v="0"/>
    <x v="1714"/>
    <n v="5103043844"/>
    <n v="31417.99"/>
    <s v="UK pounds"/>
    <s v="Naira"/>
    <x v="0"/>
    <s v="Nigeria"/>
    <x v="1"/>
    <x v="0"/>
    <x v="3"/>
    <s v="Potential Layering"/>
    <x v="0"/>
  </r>
  <r>
    <x v="2260"/>
    <x v="0"/>
    <x v="1921"/>
    <n v="4605155276"/>
    <n v="5532.29"/>
    <s v="UK pounds"/>
    <s v="UK pounds"/>
    <x v="0"/>
    <s v="UK"/>
    <x v="3"/>
    <x v="0"/>
    <x v="2"/>
    <s v="Consistent"/>
    <x v="0"/>
  </r>
  <r>
    <x v="2261"/>
    <x v="0"/>
    <x v="1922"/>
    <n v="4061381143"/>
    <n v="13295.96"/>
    <s v="UK pounds"/>
    <s v="UK pounds"/>
    <x v="0"/>
    <s v="UK"/>
    <x v="4"/>
    <x v="0"/>
    <x v="4"/>
    <s v="Consistent"/>
    <x v="0"/>
  </r>
  <r>
    <x v="2262"/>
    <x v="0"/>
    <x v="1923"/>
    <n v="3420976917"/>
    <n v="916.21"/>
    <s v="UK pounds"/>
    <s v="UK pounds"/>
    <x v="0"/>
    <s v="UK"/>
    <x v="2"/>
    <x v="0"/>
    <x v="2"/>
    <s v="Consistent"/>
    <x v="0"/>
  </r>
  <r>
    <x v="2263"/>
    <x v="0"/>
    <x v="61"/>
    <n v="1856317214"/>
    <n v="5975.47"/>
    <s v="UK pounds"/>
    <s v="UK pounds"/>
    <x v="0"/>
    <s v="UK"/>
    <x v="4"/>
    <x v="0"/>
    <x v="1"/>
    <s v="Consistent"/>
    <x v="0"/>
  </r>
  <r>
    <x v="2264"/>
    <x v="0"/>
    <x v="1924"/>
    <n v="4986095840"/>
    <n v="2555.98"/>
    <s v="UK pounds"/>
    <s v="UK pounds"/>
    <x v="0"/>
    <s v="UK"/>
    <x v="2"/>
    <x v="0"/>
    <x v="4"/>
    <s v="Consistent"/>
    <x v="0"/>
  </r>
  <r>
    <x v="2265"/>
    <x v="0"/>
    <x v="124"/>
    <n v="3230579354"/>
    <n v="11042.45"/>
    <s v="UK pounds"/>
    <s v="UK pounds"/>
    <x v="0"/>
    <s v="UK"/>
    <x v="5"/>
    <x v="0"/>
    <x v="1"/>
    <s v="Consistent"/>
    <x v="0"/>
  </r>
  <r>
    <x v="2265"/>
    <x v="0"/>
    <x v="168"/>
    <n v="8172080174"/>
    <n v="7934.22"/>
    <s v="UK pounds"/>
    <s v="UK pounds"/>
    <x v="0"/>
    <s v="UK"/>
    <x v="2"/>
    <x v="0"/>
    <x v="3"/>
    <s v="Consistent"/>
    <x v="0"/>
  </r>
  <r>
    <x v="2266"/>
    <x v="0"/>
    <x v="238"/>
    <n v="7050565101"/>
    <n v="12314.37"/>
    <s v="UK pounds"/>
    <s v="UK pounds"/>
    <x v="0"/>
    <s v="UK"/>
    <x v="3"/>
    <x v="0"/>
    <x v="1"/>
    <s v="Consistent"/>
    <x v="0"/>
  </r>
  <r>
    <x v="2266"/>
    <x v="0"/>
    <x v="1925"/>
    <n v="8146065623"/>
    <n v="7083.72"/>
    <s v="UK pounds"/>
    <s v="UK pounds"/>
    <x v="0"/>
    <s v="UK"/>
    <x v="2"/>
    <x v="0"/>
    <x v="2"/>
    <s v="Consistent"/>
    <x v="0"/>
  </r>
  <r>
    <x v="2267"/>
    <x v="0"/>
    <x v="1926"/>
    <n v="4119384490"/>
    <n v="3622.39"/>
    <s v="UK pounds"/>
    <s v="UK pounds"/>
    <x v="0"/>
    <s v="UK"/>
    <x v="0"/>
    <x v="0"/>
    <x v="0"/>
    <s v="Consistent"/>
    <x v="0"/>
  </r>
  <r>
    <x v="2268"/>
    <x v="0"/>
    <x v="1927"/>
    <n v="7252186632"/>
    <n v="3522.3"/>
    <s v="Mexican Peso"/>
    <s v="UK pounds"/>
    <x v="0"/>
    <s v="UK"/>
    <x v="4"/>
    <x v="0"/>
    <x v="2"/>
    <s v="Potential Layering"/>
    <x v="0"/>
  </r>
  <r>
    <x v="2269"/>
    <x v="0"/>
    <x v="1928"/>
    <n v="7875278123"/>
    <n v="17155.330000000002"/>
    <s v="UK pounds"/>
    <s v="UK pounds"/>
    <x v="0"/>
    <s v="UK"/>
    <x v="4"/>
    <x v="0"/>
    <x v="2"/>
    <s v="Consistent"/>
    <x v="0"/>
  </r>
  <r>
    <x v="2270"/>
    <x v="0"/>
    <x v="1929"/>
    <n v="5021942584"/>
    <n v="3797.02"/>
    <s v="UK pounds"/>
    <s v="UK pounds"/>
    <x v="0"/>
    <s v="UK"/>
    <x v="4"/>
    <x v="0"/>
    <x v="2"/>
    <s v="Consistent"/>
    <x v="0"/>
  </r>
  <r>
    <x v="2271"/>
    <x v="0"/>
    <x v="1930"/>
    <n v="7160736915"/>
    <n v="14773.49"/>
    <s v="UK pounds"/>
    <s v="UK pounds"/>
    <x v="0"/>
    <s v="UK"/>
    <x v="3"/>
    <x v="0"/>
    <x v="3"/>
    <s v="Consistent"/>
    <x v="0"/>
  </r>
  <r>
    <x v="2272"/>
    <x v="0"/>
    <x v="1931"/>
    <n v="76041696"/>
    <n v="1534.95"/>
    <s v="UK pounds"/>
    <s v="UK pounds"/>
    <x v="0"/>
    <s v="UK"/>
    <x v="3"/>
    <x v="0"/>
    <x v="2"/>
    <s v="Consistent"/>
    <x v="0"/>
  </r>
  <r>
    <x v="2273"/>
    <x v="0"/>
    <x v="40"/>
    <n v="9616268671"/>
    <n v="10825.88"/>
    <s v="UK pounds"/>
    <s v="UK pounds"/>
    <x v="0"/>
    <s v="UK"/>
    <x v="2"/>
    <x v="0"/>
    <x v="1"/>
    <s v="Consistent"/>
    <x v="0"/>
  </r>
  <r>
    <x v="2274"/>
    <x v="0"/>
    <x v="1932"/>
    <n v="2146096365"/>
    <n v="182.55"/>
    <s v="UK pounds"/>
    <s v="UK pounds"/>
    <x v="0"/>
    <s v="UK"/>
    <x v="6"/>
    <x v="0"/>
    <x v="5"/>
    <s v="Consistent"/>
    <x v="0"/>
  </r>
  <r>
    <x v="2275"/>
    <x v="0"/>
    <x v="1933"/>
    <n v="1455247066"/>
    <n v="256168.57"/>
    <s v="UK pounds"/>
    <s v="UK pounds"/>
    <x v="0"/>
    <s v="UK"/>
    <x v="4"/>
    <x v="0"/>
    <x v="11"/>
    <s v="Consistent"/>
    <x v="0"/>
  </r>
  <r>
    <x v="2275"/>
    <x v="0"/>
    <x v="1934"/>
    <n v="2380339729"/>
    <n v="834.28"/>
    <s v="UK pounds"/>
    <s v="UK pounds"/>
    <x v="0"/>
    <s v="UK"/>
    <x v="2"/>
    <x v="0"/>
    <x v="2"/>
    <s v="Consistent"/>
    <x v="0"/>
  </r>
  <r>
    <x v="2276"/>
    <x v="0"/>
    <x v="91"/>
    <n v="8939055432"/>
    <n v="4906.91"/>
    <s v="UK pounds"/>
    <s v="UK pounds"/>
    <x v="0"/>
    <s v="UK"/>
    <x v="5"/>
    <x v="0"/>
    <x v="1"/>
    <s v="Consistent"/>
    <x v="0"/>
  </r>
  <r>
    <x v="2276"/>
    <x v="0"/>
    <x v="1935"/>
    <n v="2324031931"/>
    <n v="3620.65"/>
    <s v="UK pounds"/>
    <s v="Euro"/>
    <x v="0"/>
    <s v="Italy"/>
    <x v="1"/>
    <x v="0"/>
    <x v="2"/>
    <s v="Potential Layering"/>
    <x v="0"/>
  </r>
  <r>
    <x v="2277"/>
    <x v="0"/>
    <x v="51"/>
    <n v="6345374341"/>
    <n v="7962.56"/>
    <s v="UK pounds"/>
    <s v="Dirham"/>
    <x v="0"/>
    <s v="UK"/>
    <x v="3"/>
    <x v="0"/>
    <x v="1"/>
    <s v="Potential Layering"/>
    <x v="0"/>
  </r>
  <r>
    <x v="2278"/>
    <x v="0"/>
    <x v="1936"/>
    <n v="8518184956"/>
    <n v="22551.98"/>
    <s v="UK pounds"/>
    <s v="UK pounds"/>
    <x v="0"/>
    <s v="UK"/>
    <x v="2"/>
    <x v="0"/>
    <x v="3"/>
    <s v="Consistent"/>
    <x v="0"/>
  </r>
  <r>
    <x v="2279"/>
    <x v="0"/>
    <x v="124"/>
    <n v="8562263055"/>
    <n v="6338.44"/>
    <s v="UK pounds"/>
    <s v="UK pounds"/>
    <x v="0"/>
    <s v="UK"/>
    <x v="4"/>
    <x v="0"/>
    <x v="1"/>
    <s v="Consistent"/>
    <x v="0"/>
  </r>
  <r>
    <x v="2280"/>
    <x v="0"/>
    <x v="1937"/>
    <n v="7036941597"/>
    <n v="1301.45"/>
    <s v="UK pounds"/>
    <s v="UK pounds"/>
    <x v="0"/>
    <s v="UK"/>
    <x v="4"/>
    <x v="0"/>
    <x v="2"/>
    <s v="Consistent"/>
    <x v="0"/>
  </r>
  <r>
    <x v="2281"/>
    <x v="0"/>
    <x v="1938"/>
    <n v="7226351038"/>
    <n v="2771.48"/>
    <s v="UK pounds"/>
    <s v="UK pounds"/>
    <x v="0"/>
    <s v="UK"/>
    <x v="3"/>
    <x v="0"/>
    <x v="2"/>
    <s v="Consistent"/>
    <x v="0"/>
  </r>
  <r>
    <x v="2282"/>
    <x v="0"/>
    <x v="1939"/>
    <n v="4186549455"/>
    <n v="2521.6"/>
    <s v="Moroccan dirham"/>
    <s v="UK pounds"/>
    <x v="0"/>
    <s v="UK"/>
    <x v="3"/>
    <x v="0"/>
    <x v="2"/>
    <s v="Potential Layering"/>
    <x v="0"/>
  </r>
  <r>
    <x v="2283"/>
    <x v="0"/>
    <x v="1940"/>
    <n v="8627691888"/>
    <n v="1621.21"/>
    <s v="Moroccan dirham"/>
    <s v="UK pounds"/>
    <x v="15"/>
    <s v="UK"/>
    <x v="1"/>
    <x v="0"/>
    <x v="2"/>
    <s v="Potential Layering"/>
    <x v="2"/>
  </r>
  <r>
    <x v="2284"/>
    <x v="0"/>
    <x v="1941"/>
    <n v="6339729772"/>
    <n v="3822.6"/>
    <s v="UK pounds"/>
    <s v="UK pounds"/>
    <x v="0"/>
    <s v="UK"/>
    <x v="2"/>
    <x v="0"/>
    <x v="2"/>
    <s v="Consistent"/>
    <x v="0"/>
  </r>
  <r>
    <x v="2284"/>
    <x v="0"/>
    <x v="1942"/>
    <n v="595634483"/>
    <n v="1920.49"/>
    <s v="UK pounds"/>
    <s v="UK pounds"/>
    <x v="0"/>
    <s v="UK"/>
    <x v="5"/>
    <x v="0"/>
    <x v="4"/>
    <s v="Consistent"/>
    <x v="0"/>
  </r>
  <r>
    <x v="2285"/>
    <x v="0"/>
    <x v="275"/>
    <n v="5628674969"/>
    <n v="5512.75"/>
    <s v="UK pounds"/>
    <s v="UK pounds"/>
    <x v="0"/>
    <s v="UK"/>
    <x v="5"/>
    <x v="0"/>
    <x v="3"/>
    <s v="Consistent"/>
    <x v="0"/>
  </r>
  <r>
    <x v="2286"/>
    <x v="0"/>
    <x v="1943"/>
    <n v="6510565170"/>
    <n v="6905.87"/>
    <s v="UK pounds"/>
    <s v="UK pounds"/>
    <x v="0"/>
    <s v="UK"/>
    <x v="3"/>
    <x v="0"/>
    <x v="4"/>
    <s v="Consistent"/>
    <x v="0"/>
  </r>
  <r>
    <x v="2287"/>
    <x v="0"/>
    <x v="885"/>
    <n v="7080357663"/>
    <n v="13879.76"/>
    <s v="UK pounds"/>
    <s v="UK pounds"/>
    <x v="0"/>
    <s v="UK"/>
    <x v="3"/>
    <x v="0"/>
    <x v="3"/>
    <s v="Consistent"/>
    <x v="0"/>
  </r>
  <r>
    <x v="2288"/>
    <x v="0"/>
    <x v="9"/>
    <n v="2755709071"/>
    <n v="5895.71"/>
    <s v="UK pounds"/>
    <s v="UK pounds"/>
    <x v="0"/>
    <s v="UK"/>
    <x v="2"/>
    <x v="0"/>
    <x v="1"/>
    <s v="Consistent"/>
    <x v="0"/>
  </r>
  <r>
    <x v="2288"/>
    <x v="0"/>
    <x v="1220"/>
    <n v="4889197724"/>
    <n v="8252.84"/>
    <s v="UK pounds"/>
    <s v="UK pounds"/>
    <x v="0"/>
    <s v="UK"/>
    <x v="4"/>
    <x v="0"/>
    <x v="6"/>
    <s v="Consistent"/>
    <x v="0"/>
  </r>
  <r>
    <x v="2289"/>
    <x v="0"/>
    <x v="163"/>
    <n v="8015553278"/>
    <n v="6925.37"/>
    <s v="UK pounds"/>
    <s v="UK pounds"/>
    <x v="0"/>
    <s v="UK"/>
    <x v="5"/>
    <x v="0"/>
    <x v="1"/>
    <s v="Consistent"/>
    <x v="0"/>
  </r>
  <r>
    <x v="2290"/>
    <x v="0"/>
    <x v="167"/>
    <n v="5109623450"/>
    <n v="7822.99"/>
    <s v="UK pounds"/>
    <s v="UK pounds"/>
    <x v="0"/>
    <s v="UK"/>
    <x v="3"/>
    <x v="0"/>
    <x v="3"/>
    <s v="Consistent"/>
    <x v="0"/>
  </r>
  <r>
    <x v="2290"/>
    <x v="0"/>
    <x v="1944"/>
    <n v="6953672776"/>
    <n v="7988.75"/>
    <s v="UK pounds"/>
    <s v="Mexican Peso"/>
    <x v="0"/>
    <s v="Mexico"/>
    <x v="1"/>
    <x v="0"/>
    <x v="3"/>
    <s v="Potential Layering"/>
    <x v="0"/>
  </r>
  <r>
    <x v="2291"/>
    <x v="0"/>
    <x v="9"/>
    <n v="6790400322"/>
    <n v="11976.31"/>
    <s v="UK pounds"/>
    <s v="UK pounds"/>
    <x v="0"/>
    <s v="UK"/>
    <x v="3"/>
    <x v="0"/>
    <x v="1"/>
    <s v="Consistent"/>
    <x v="0"/>
  </r>
  <r>
    <x v="2291"/>
    <x v="0"/>
    <x v="1945"/>
    <n v="9416949366"/>
    <n v="4569.51"/>
    <s v="UK pounds"/>
    <s v="UK pounds"/>
    <x v="0"/>
    <s v="UK"/>
    <x v="2"/>
    <x v="0"/>
    <x v="4"/>
    <s v="Consistent"/>
    <x v="0"/>
  </r>
  <r>
    <x v="2292"/>
    <x v="0"/>
    <x v="1946"/>
    <n v="7265570873"/>
    <n v="4428.37"/>
    <s v="UK pounds"/>
    <s v="UK pounds"/>
    <x v="0"/>
    <s v="UK"/>
    <x v="0"/>
    <x v="0"/>
    <x v="0"/>
    <s v="Consistent"/>
    <x v="0"/>
  </r>
  <r>
    <x v="2292"/>
    <x v="0"/>
    <x v="931"/>
    <n v="6888383028"/>
    <n v="1493.71"/>
    <s v="UK pounds"/>
    <s v="UK pounds"/>
    <x v="0"/>
    <s v="UK"/>
    <x v="4"/>
    <x v="0"/>
    <x v="2"/>
    <s v="Consistent"/>
    <x v="0"/>
  </r>
  <r>
    <x v="2293"/>
    <x v="0"/>
    <x v="1947"/>
    <n v="8352571580"/>
    <n v="7176.57"/>
    <s v="UK pounds"/>
    <s v="UK pounds"/>
    <x v="0"/>
    <s v="UK"/>
    <x v="3"/>
    <x v="0"/>
    <x v="3"/>
    <s v="Consistent"/>
    <x v="0"/>
  </r>
  <r>
    <x v="2293"/>
    <x v="0"/>
    <x v="1948"/>
    <n v="8173358571"/>
    <n v="278.58999999999997"/>
    <s v="UK pounds"/>
    <s v="UK pounds"/>
    <x v="0"/>
    <s v="UK"/>
    <x v="5"/>
    <x v="0"/>
    <x v="2"/>
    <s v="Consistent"/>
    <x v="0"/>
  </r>
  <r>
    <x v="2294"/>
    <x v="0"/>
    <x v="1136"/>
    <n v="4270865741"/>
    <n v="5801.86"/>
    <s v="UK pounds"/>
    <s v="UK pounds"/>
    <x v="0"/>
    <s v="UK"/>
    <x v="5"/>
    <x v="0"/>
    <x v="3"/>
    <s v="Consistent"/>
    <x v="0"/>
  </r>
  <r>
    <x v="2294"/>
    <x v="0"/>
    <x v="20"/>
    <n v="192121676"/>
    <n v="5698.08"/>
    <s v="UK pounds"/>
    <s v="UK pounds"/>
    <x v="0"/>
    <s v="UK"/>
    <x v="4"/>
    <x v="0"/>
    <x v="1"/>
    <s v="Consistent"/>
    <x v="0"/>
  </r>
  <r>
    <x v="2295"/>
    <x v="0"/>
    <x v="1949"/>
    <n v="6667745786"/>
    <n v="879.03"/>
    <s v="UK pounds"/>
    <s v="UK pounds"/>
    <x v="0"/>
    <s v="UK"/>
    <x v="3"/>
    <x v="0"/>
    <x v="2"/>
    <s v="Consistent"/>
    <x v="0"/>
  </r>
  <r>
    <x v="2296"/>
    <x v="0"/>
    <x v="1950"/>
    <n v="6079407311"/>
    <n v="4428.75"/>
    <s v="UK pounds"/>
    <s v="Albanian lek"/>
    <x v="0"/>
    <s v="UK"/>
    <x v="3"/>
    <x v="0"/>
    <x v="2"/>
    <s v="Potential Layering"/>
    <x v="0"/>
  </r>
  <r>
    <x v="2297"/>
    <x v="0"/>
    <x v="1951"/>
    <n v="8974454119"/>
    <n v="13993.13"/>
    <s v="UK pounds"/>
    <s v="UK pounds"/>
    <x v="0"/>
    <s v="UK"/>
    <x v="4"/>
    <x v="0"/>
    <x v="2"/>
    <s v="Consistent"/>
    <x v="0"/>
  </r>
  <r>
    <x v="2297"/>
    <x v="0"/>
    <x v="1952"/>
    <n v="8737013850"/>
    <n v="942.18"/>
    <s v="UK pounds"/>
    <s v="UK pounds"/>
    <x v="0"/>
    <s v="UK"/>
    <x v="5"/>
    <x v="0"/>
    <x v="2"/>
    <s v="Consistent"/>
    <x v="0"/>
  </r>
  <r>
    <x v="2298"/>
    <x v="0"/>
    <x v="1953"/>
    <n v="2020131745"/>
    <n v="1063.77"/>
    <s v="UK pounds"/>
    <s v="UK pounds"/>
    <x v="0"/>
    <s v="UK"/>
    <x v="0"/>
    <x v="0"/>
    <x v="0"/>
    <s v="Consistent"/>
    <x v="0"/>
  </r>
  <r>
    <x v="2299"/>
    <x v="0"/>
    <x v="75"/>
    <n v="9923312753"/>
    <n v="12414.15"/>
    <s v="UK pounds"/>
    <s v="UK pounds"/>
    <x v="0"/>
    <s v="UK"/>
    <x v="4"/>
    <x v="0"/>
    <x v="1"/>
    <s v="Consistent"/>
    <x v="0"/>
  </r>
  <r>
    <x v="2299"/>
    <x v="0"/>
    <x v="1947"/>
    <n v="8352571580"/>
    <n v="7210.18"/>
    <s v="UK pounds"/>
    <s v="UK pounds"/>
    <x v="0"/>
    <s v="UK"/>
    <x v="3"/>
    <x v="0"/>
    <x v="3"/>
    <s v="Consistent"/>
    <x v="0"/>
  </r>
  <r>
    <x v="2300"/>
    <x v="0"/>
    <x v="1954"/>
    <n v="7853004735"/>
    <n v="38.799999999999997"/>
    <s v="UK pounds"/>
    <s v="UK pounds"/>
    <x v="0"/>
    <s v="UK"/>
    <x v="6"/>
    <x v="0"/>
    <x v="5"/>
    <s v="Consistent"/>
    <x v="0"/>
  </r>
  <r>
    <x v="2301"/>
    <x v="0"/>
    <x v="1955"/>
    <n v="9798539804"/>
    <n v="2462.56"/>
    <s v="UK pounds"/>
    <s v="UK pounds"/>
    <x v="0"/>
    <s v="UK"/>
    <x v="0"/>
    <x v="0"/>
    <x v="0"/>
    <s v="Consistent"/>
    <x v="0"/>
  </r>
  <r>
    <x v="2302"/>
    <x v="0"/>
    <x v="1956"/>
    <n v="8733891613"/>
    <n v="2991.27"/>
    <s v="UK pounds"/>
    <s v="UK pounds"/>
    <x v="0"/>
    <s v="UK"/>
    <x v="5"/>
    <x v="0"/>
    <x v="2"/>
    <s v="Consistent"/>
    <x v="0"/>
  </r>
  <r>
    <x v="2303"/>
    <x v="0"/>
    <x v="1381"/>
    <n v="1431561040"/>
    <n v="11191.06"/>
    <s v="UK pounds"/>
    <s v="UK pounds"/>
    <x v="0"/>
    <s v="UK"/>
    <x v="5"/>
    <x v="0"/>
    <x v="3"/>
    <s v="Consistent"/>
    <x v="0"/>
  </r>
  <r>
    <x v="2304"/>
    <x v="0"/>
    <x v="1957"/>
    <n v="4336977506"/>
    <n v="4637.08"/>
    <s v="UK pounds"/>
    <s v="UK pounds"/>
    <x v="0"/>
    <s v="UK"/>
    <x v="4"/>
    <x v="0"/>
    <x v="3"/>
    <s v="Consistent"/>
    <x v="0"/>
  </r>
  <r>
    <x v="2305"/>
    <x v="0"/>
    <x v="916"/>
    <n v="7080357663"/>
    <n v="19932.41"/>
    <s v="UK pounds"/>
    <s v="UK pounds"/>
    <x v="0"/>
    <s v="UK"/>
    <x v="3"/>
    <x v="0"/>
    <x v="3"/>
    <s v="Consistent"/>
    <x v="0"/>
  </r>
  <r>
    <x v="2306"/>
    <x v="0"/>
    <x v="150"/>
    <n v="3844741692"/>
    <n v="10935.09"/>
    <s v="UK pounds"/>
    <s v="UK pounds"/>
    <x v="0"/>
    <s v="UK"/>
    <x v="2"/>
    <x v="0"/>
    <x v="1"/>
    <s v="Consistent"/>
    <x v="0"/>
  </r>
  <r>
    <x v="2307"/>
    <x v="0"/>
    <x v="1431"/>
    <n v="1431561040"/>
    <n v="5243.53"/>
    <s v="UK pounds"/>
    <s v="UK pounds"/>
    <x v="0"/>
    <s v="UK"/>
    <x v="4"/>
    <x v="0"/>
    <x v="3"/>
    <s v="Consistent"/>
    <x v="0"/>
  </r>
  <r>
    <x v="2308"/>
    <x v="0"/>
    <x v="1665"/>
    <n v="3712195560"/>
    <n v="4014.07"/>
    <s v="UK pounds"/>
    <s v="Indian rupee"/>
    <x v="0"/>
    <s v="UK"/>
    <x v="5"/>
    <x v="0"/>
    <x v="2"/>
    <s v="Potential Layering"/>
    <x v="0"/>
  </r>
  <r>
    <x v="2309"/>
    <x v="0"/>
    <x v="149"/>
    <n v="7945788794"/>
    <n v="5087.43"/>
    <s v="UK pounds"/>
    <s v="UK pounds"/>
    <x v="0"/>
    <s v="UK"/>
    <x v="2"/>
    <x v="0"/>
    <x v="1"/>
    <s v="Consistent"/>
    <x v="0"/>
  </r>
  <r>
    <x v="2309"/>
    <x v="0"/>
    <x v="719"/>
    <n v="5858369125"/>
    <n v="6098.14"/>
    <s v="UK pounds"/>
    <s v="UK pounds"/>
    <x v="0"/>
    <s v="UK"/>
    <x v="5"/>
    <x v="0"/>
    <x v="3"/>
    <s v="Consistent"/>
    <x v="0"/>
  </r>
  <r>
    <x v="2310"/>
    <x v="0"/>
    <x v="1419"/>
    <n v="6443445068"/>
    <n v="10597.16"/>
    <s v="UK pounds"/>
    <s v="UK pounds"/>
    <x v="0"/>
    <s v="UK"/>
    <x v="2"/>
    <x v="0"/>
    <x v="2"/>
    <s v="Consistent"/>
    <x v="0"/>
  </r>
  <r>
    <x v="2311"/>
    <x v="0"/>
    <x v="1563"/>
    <n v="7892884492"/>
    <n v="17592.55"/>
    <s v="UK pounds"/>
    <s v="US dollar"/>
    <x v="0"/>
    <s v="USA"/>
    <x v="1"/>
    <x v="0"/>
    <x v="3"/>
    <s v="Potential Layering"/>
    <x v="0"/>
  </r>
  <r>
    <x v="2312"/>
    <x v="0"/>
    <x v="1958"/>
    <n v="9870627389"/>
    <n v="2931.44"/>
    <s v="UK pounds"/>
    <s v="UK pounds"/>
    <x v="0"/>
    <s v="UK"/>
    <x v="0"/>
    <x v="0"/>
    <x v="0"/>
    <s v="Consistent"/>
    <x v="0"/>
  </r>
  <r>
    <x v="2313"/>
    <x v="0"/>
    <x v="1959"/>
    <n v="3232505622"/>
    <n v="1620.91"/>
    <s v="UK pounds"/>
    <s v="UK pounds"/>
    <x v="0"/>
    <s v="UK"/>
    <x v="3"/>
    <x v="0"/>
    <x v="6"/>
    <s v="Consistent"/>
    <x v="0"/>
  </r>
  <r>
    <x v="2314"/>
    <x v="0"/>
    <x v="149"/>
    <n v="7534790776"/>
    <n v="5489.98"/>
    <s v="UK pounds"/>
    <s v="UK pounds"/>
    <x v="0"/>
    <s v="UK"/>
    <x v="4"/>
    <x v="0"/>
    <x v="1"/>
    <s v="Consistent"/>
    <x v="0"/>
  </r>
  <r>
    <x v="2315"/>
    <x v="0"/>
    <x v="1909"/>
    <n v="5896180453"/>
    <n v="18531.7"/>
    <s v="UK pounds"/>
    <s v="UK pounds"/>
    <x v="0"/>
    <s v="UK"/>
    <x v="4"/>
    <x v="0"/>
    <x v="3"/>
    <s v="Consistent"/>
    <x v="0"/>
  </r>
  <r>
    <x v="2316"/>
    <x v="0"/>
    <x v="1960"/>
    <n v="4978397216"/>
    <n v="1240.29"/>
    <s v="UK pounds"/>
    <s v="UK pounds"/>
    <x v="0"/>
    <s v="UK"/>
    <x v="0"/>
    <x v="0"/>
    <x v="0"/>
    <s v="Consistent"/>
    <x v="0"/>
  </r>
  <r>
    <x v="2317"/>
    <x v="0"/>
    <x v="149"/>
    <n v="7534790776"/>
    <n v="5537.22"/>
    <s v="UK pounds"/>
    <s v="UK pounds"/>
    <x v="0"/>
    <s v="UK"/>
    <x v="5"/>
    <x v="0"/>
    <x v="1"/>
    <s v="Consistent"/>
    <x v="0"/>
  </r>
  <r>
    <x v="2318"/>
    <x v="0"/>
    <x v="68"/>
    <n v="8969112643"/>
    <n v="13632.33"/>
    <s v="UK pounds"/>
    <s v="UK pounds"/>
    <x v="0"/>
    <s v="UK"/>
    <x v="4"/>
    <x v="0"/>
    <x v="1"/>
    <s v="Consistent"/>
    <x v="0"/>
  </r>
  <r>
    <x v="2319"/>
    <x v="0"/>
    <x v="399"/>
    <n v="1431561040"/>
    <n v="19823.2"/>
    <s v="UK pounds"/>
    <s v="UK pounds"/>
    <x v="0"/>
    <s v="UK"/>
    <x v="4"/>
    <x v="0"/>
    <x v="3"/>
    <s v="Consistent"/>
    <x v="0"/>
  </r>
  <r>
    <x v="2320"/>
    <x v="0"/>
    <x v="1961"/>
    <n v="8532343899"/>
    <n v="4515.7299999999996"/>
    <s v="UK pounds"/>
    <s v="UK pounds"/>
    <x v="0"/>
    <s v="UK"/>
    <x v="5"/>
    <x v="0"/>
    <x v="2"/>
    <s v="Consistent"/>
    <x v="0"/>
  </r>
  <r>
    <x v="2321"/>
    <x v="0"/>
    <x v="1962"/>
    <n v="3079818547"/>
    <n v="7767.12"/>
    <s v="UK pounds"/>
    <s v="UK pounds"/>
    <x v="0"/>
    <s v="UK"/>
    <x v="5"/>
    <x v="0"/>
    <x v="3"/>
    <s v="Consistent"/>
    <x v="0"/>
  </r>
  <r>
    <x v="2322"/>
    <x v="0"/>
    <x v="1963"/>
    <n v="6701308019"/>
    <n v="10789.9"/>
    <s v="UK pounds"/>
    <s v="UK pounds"/>
    <x v="0"/>
    <s v="UK"/>
    <x v="4"/>
    <x v="0"/>
    <x v="2"/>
    <s v="Consistent"/>
    <x v="0"/>
  </r>
  <r>
    <x v="2323"/>
    <x v="0"/>
    <x v="1385"/>
    <n v="8518184956"/>
    <n v="6989.6"/>
    <s v="UK pounds"/>
    <s v="UK pounds"/>
    <x v="0"/>
    <s v="UK"/>
    <x v="3"/>
    <x v="0"/>
    <x v="3"/>
    <s v="Consistent"/>
    <x v="0"/>
  </r>
  <r>
    <x v="2323"/>
    <x v="0"/>
    <x v="46"/>
    <n v="7927090992"/>
    <n v="9181.85"/>
    <s v="UK pounds"/>
    <s v="UK pounds"/>
    <x v="0"/>
    <s v="UK"/>
    <x v="4"/>
    <x v="0"/>
    <x v="1"/>
    <s v="Consistent"/>
    <x v="0"/>
  </r>
  <r>
    <x v="2324"/>
    <x v="0"/>
    <x v="9"/>
    <n v="1160338470"/>
    <n v="4531.3500000000004"/>
    <s v="UK pounds"/>
    <s v="UK pounds"/>
    <x v="0"/>
    <s v="UK"/>
    <x v="3"/>
    <x v="0"/>
    <x v="1"/>
    <s v="Consistent"/>
    <x v="0"/>
  </r>
  <r>
    <x v="2324"/>
    <x v="0"/>
    <x v="1964"/>
    <n v="5858369125"/>
    <n v="12484.04"/>
    <s v="UK pounds"/>
    <s v="UK pounds"/>
    <x v="0"/>
    <s v="UK"/>
    <x v="2"/>
    <x v="0"/>
    <x v="3"/>
    <s v="Consistent"/>
    <x v="0"/>
  </r>
  <r>
    <x v="2325"/>
    <x v="0"/>
    <x v="1965"/>
    <n v="5124936865"/>
    <n v="3488.57"/>
    <s v="UK pounds"/>
    <s v="UK pounds"/>
    <x v="0"/>
    <s v="UK"/>
    <x v="0"/>
    <x v="0"/>
    <x v="0"/>
    <s v="Consistent"/>
    <x v="0"/>
  </r>
  <r>
    <x v="2326"/>
    <x v="0"/>
    <x v="1966"/>
    <n v="6748996302"/>
    <n v="1362.91"/>
    <s v="UK pounds"/>
    <s v="UK pounds"/>
    <x v="0"/>
    <s v="UK"/>
    <x v="5"/>
    <x v="0"/>
    <x v="2"/>
    <s v="Consistent"/>
    <x v="0"/>
  </r>
  <r>
    <x v="2327"/>
    <x v="0"/>
    <x v="1967"/>
    <n v="5363117119"/>
    <n v="20214.810000000001"/>
    <s v="UK pounds"/>
    <s v="UK pounds"/>
    <x v="0"/>
    <s v="UK"/>
    <x v="4"/>
    <x v="0"/>
    <x v="3"/>
    <s v="Consistent"/>
    <x v="0"/>
  </r>
  <r>
    <x v="2328"/>
    <x v="0"/>
    <x v="385"/>
    <n v="6444220418"/>
    <n v="17583.189999999999"/>
    <s v="UK pounds"/>
    <s v="UK pounds"/>
    <x v="0"/>
    <s v="UK"/>
    <x v="4"/>
    <x v="0"/>
    <x v="3"/>
    <s v="Consistent"/>
    <x v="0"/>
  </r>
  <r>
    <x v="2328"/>
    <x v="0"/>
    <x v="1968"/>
    <n v="3668971235"/>
    <n v="1704.43"/>
    <s v="UK pounds"/>
    <s v="UK pounds"/>
    <x v="0"/>
    <s v="UK"/>
    <x v="3"/>
    <x v="0"/>
    <x v="2"/>
    <s v="Consistent"/>
    <x v="0"/>
  </r>
  <r>
    <x v="2329"/>
    <x v="0"/>
    <x v="163"/>
    <n v="2695185687"/>
    <n v="7934.5"/>
    <s v="UK pounds"/>
    <s v="UK pounds"/>
    <x v="0"/>
    <s v="UK"/>
    <x v="5"/>
    <x v="0"/>
    <x v="1"/>
    <s v="Consistent"/>
    <x v="0"/>
  </r>
  <r>
    <x v="2330"/>
    <x v="0"/>
    <x v="1969"/>
    <n v="8733023294"/>
    <n v="147.61000000000001"/>
    <s v="UK pounds"/>
    <s v="UK pounds"/>
    <x v="0"/>
    <s v="UK"/>
    <x v="6"/>
    <x v="0"/>
    <x v="5"/>
    <s v="Consistent"/>
    <x v="0"/>
  </r>
  <r>
    <x v="2331"/>
    <x v="0"/>
    <x v="34"/>
    <n v="3009426762"/>
    <n v="5411.59"/>
    <s v="UK pounds"/>
    <s v="UK pounds"/>
    <x v="0"/>
    <s v="UK"/>
    <x v="3"/>
    <x v="0"/>
    <x v="1"/>
    <s v="Consistent"/>
    <x v="0"/>
  </r>
  <r>
    <x v="2331"/>
    <x v="0"/>
    <x v="1970"/>
    <n v="7895110347"/>
    <n v="206.38"/>
    <s v="UK pounds"/>
    <s v="UK pounds"/>
    <x v="0"/>
    <s v="UK"/>
    <x v="6"/>
    <x v="0"/>
    <x v="5"/>
    <s v="Consistent"/>
    <x v="0"/>
  </r>
  <r>
    <x v="2331"/>
    <x v="0"/>
    <x v="124"/>
    <n v="9329185542"/>
    <n v="29561.09"/>
    <s v="UK pounds"/>
    <s v="UK pounds"/>
    <x v="0"/>
    <s v="UK"/>
    <x v="2"/>
    <x v="0"/>
    <x v="1"/>
    <s v="Consistent"/>
    <x v="0"/>
  </r>
  <r>
    <x v="2332"/>
    <x v="0"/>
    <x v="1971"/>
    <n v="2447476655"/>
    <n v="4522.54"/>
    <s v="UK pounds"/>
    <s v="UK pounds"/>
    <x v="0"/>
    <s v="UK"/>
    <x v="0"/>
    <x v="0"/>
    <x v="0"/>
    <s v="Consistent"/>
    <x v="0"/>
  </r>
  <r>
    <x v="2333"/>
    <x v="0"/>
    <x v="1972"/>
    <n v="9958510480"/>
    <n v="40496.54"/>
    <s v="UK pounds"/>
    <s v="UK pounds"/>
    <x v="0"/>
    <s v="UK"/>
    <x v="3"/>
    <x v="0"/>
    <x v="8"/>
    <s v="Consistent"/>
    <x v="0"/>
  </r>
  <r>
    <x v="2334"/>
    <x v="0"/>
    <x v="1973"/>
    <n v="1786865548"/>
    <n v="1103.68"/>
    <s v="UK pounds"/>
    <s v="UK pounds"/>
    <x v="0"/>
    <s v="UK"/>
    <x v="3"/>
    <x v="0"/>
    <x v="2"/>
    <s v="Consistent"/>
    <x v="0"/>
  </r>
  <r>
    <x v="2334"/>
    <x v="0"/>
    <x v="1974"/>
    <n v="5708936901"/>
    <n v="4661.1099999999997"/>
    <s v="UK pounds"/>
    <s v="UK pounds"/>
    <x v="0"/>
    <s v="UK"/>
    <x v="5"/>
    <x v="0"/>
    <x v="3"/>
    <s v="Consistent"/>
    <x v="0"/>
  </r>
  <r>
    <x v="2335"/>
    <x v="0"/>
    <x v="1975"/>
    <n v="6102699678"/>
    <n v="7668.67"/>
    <s v="UK pounds"/>
    <s v="UK pounds"/>
    <x v="0"/>
    <s v="UK"/>
    <x v="5"/>
    <x v="0"/>
    <x v="2"/>
    <s v="Consistent"/>
    <x v="0"/>
  </r>
  <r>
    <x v="2335"/>
    <x v="0"/>
    <x v="166"/>
    <n v="4293580479"/>
    <n v="25780.14"/>
    <s v="UK pounds"/>
    <s v="UK pounds"/>
    <x v="0"/>
    <s v="UK"/>
    <x v="2"/>
    <x v="0"/>
    <x v="3"/>
    <s v="Consistent"/>
    <x v="0"/>
  </r>
  <r>
    <x v="2336"/>
    <x v="0"/>
    <x v="1976"/>
    <n v="8137373839"/>
    <n v="1131.25"/>
    <s v="UK pounds"/>
    <s v="UK pounds"/>
    <x v="0"/>
    <s v="UK"/>
    <x v="0"/>
    <x v="0"/>
    <x v="0"/>
    <s v="Consistent"/>
    <x v="0"/>
  </r>
  <r>
    <x v="2337"/>
    <x v="0"/>
    <x v="9"/>
    <n v="6790400322"/>
    <n v="11867.27"/>
    <s v="UK pounds"/>
    <s v="UK pounds"/>
    <x v="0"/>
    <s v="UK"/>
    <x v="3"/>
    <x v="0"/>
    <x v="1"/>
    <s v="Consistent"/>
    <x v="0"/>
  </r>
  <r>
    <x v="2338"/>
    <x v="0"/>
    <x v="1977"/>
    <n v="2434943049"/>
    <n v="2820.69"/>
    <s v="UK pounds"/>
    <s v="UK pounds"/>
    <x v="0"/>
    <s v="UK"/>
    <x v="3"/>
    <x v="0"/>
    <x v="2"/>
    <s v="Consistent"/>
    <x v="0"/>
  </r>
  <r>
    <x v="2338"/>
    <x v="0"/>
    <x v="1978"/>
    <n v="6581031438"/>
    <n v="1549.22"/>
    <s v="UK pounds"/>
    <s v="UK pounds"/>
    <x v="0"/>
    <s v="UK"/>
    <x v="5"/>
    <x v="0"/>
    <x v="2"/>
    <s v="Consistent"/>
    <x v="0"/>
  </r>
  <r>
    <x v="2339"/>
    <x v="0"/>
    <x v="110"/>
    <n v="1812525358"/>
    <n v="5781.39"/>
    <s v="UK pounds"/>
    <s v="UK pounds"/>
    <x v="0"/>
    <s v="UK"/>
    <x v="5"/>
    <x v="0"/>
    <x v="1"/>
    <s v="Consistent"/>
    <x v="0"/>
  </r>
  <r>
    <x v="2340"/>
    <x v="0"/>
    <x v="339"/>
    <n v="7963107269"/>
    <n v="8624.82"/>
    <s v="UK pounds"/>
    <s v="UK pounds"/>
    <x v="0"/>
    <s v="UK"/>
    <x v="3"/>
    <x v="0"/>
    <x v="1"/>
    <s v="Consistent"/>
    <x v="0"/>
  </r>
  <r>
    <x v="2341"/>
    <x v="0"/>
    <x v="1119"/>
    <n v="8678802420"/>
    <n v="22085.59"/>
    <s v="UK pounds"/>
    <s v="UK pounds"/>
    <x v="0"/>
    <s v="UK"/>
    <x v="2"/>
    <x v="0"/>
    <x v="3"/>
    <s v="Consistent"/>
    <x v="0"/>
  </r>
  <r>
    <x v="2342"/>
    <x v="0"/>
    <x v="986"/>
    <n v="960080488"/>
    <n v="3900.03"/>
    <s v="UK pounds"/>
    <s v="UK pounds"/>
    <x v="0"/>
    <s v="UK"/>
    <x v="5"/>
    <x v="0"/>
    <x v="6"/>
    <s v="Consistent"/>
    <x v="0"/>
  </r>
  <r>
    <x v="2343"/>
    <x v="0"/>
    <x v="1979"/>
    <n v="351184098"/>
    <n v="3245.64"/>
    <s v="UK pounds"/>
    <s v="UK pounds"/>
    <x v="0"/>
    <s v="UK"/>
    <x v="4"/>
    <x v="0"/>
    <x v="4"/>
    <s v="Consistent"/>
    <x v="0"/>
  </r>
  <r>
    <x v="2344"/>
    <x v="0"/>
    <x v="1980"/>
    <n v="1431561040"/>
    <n v="8211.5499999999993"/>
    <s v="UK pounds"/>
    <s v="UK pounds"/>
    <x v="0"/>
    <s v="UK"/>
    <x v="5"/>
    <x v="0"/>
    <x v="3"/>
    <s v="Consistent"/>
    <x v="0"/>
  </r>
  <r>
    <x v="2345"/>
    <x v="0"/>
    <x v="1981"/>
    <n v="5762820588"/>
    <n v="4815.76"/>
    <s v="UK pounds"/>
    <s v="UK pounds"/>
    <x v="0"/>
    <s v="UK"/>
    <x v="2"/>
    <x v="0"/>
    <x v="2"/>
    <s v="Consistent"/>
    <x v="0"/>
  </r>
  <r>
    <x v="2346"/>
    <x v="0"/>
    <x v="1982"/>
    <n v="8518184956"/>
    <n v="15925.23"/>
    <s v="UK pounds"/>
    <s v="UK pounds"/>
    <x v="0"/>
    <s v="UK"/>
    <x v="4"/>
    <x v="0"/>
    <x v="3"/>
    <s v="Consistent"/>
    <x v="0"/>
  </r>
  <r>
    <x v="2346"/>
    <x v="0"/>
    <x v="740"/>
    <n v="1316458123"/>
    <n v="4556.5200000000004"/>
    <s v="UK pounds"/>
    <s v="Mexican Peso"/>
    <x v="0"/>
    <s v="Mexico"/>
    <x v="1"/>
    <x v="0"/>
    <x v="3"/>
    <s v="Potential Layering"/>
    <x v="0"/>
  </r>
  <r>
    <x v="2347"/>
    <x v="0"/>
    <x v="1614"/>
    <n v="3220735304"/>
    <n v="11626.29"/>
    <s v="UK pounds"/>
    <s v="UK pounds"/>
    <x v="0"/>
    <s v="UK"/>
    <x v="2"/>
    <x v="0"/>
    <x v="3"/>
    <s v="Consistent"/>
    <x v="0"/>
  </r>
  <r>
    <x v="2348"/>
    <x v="0"/>
    <x v="470"/>
    <n v="5628674969"/>
    <n v="9838.64"/>
    <s v="UK pounds"/>
    <s v="UK pounds"/>
    <x v="0"/>
    <s v="UK"/>
    <x v="3"/>
    <x v="0"/>
    <x v="3"/>
    <s v="Consistent"/>
    <x v="0"/>
  </r>
  <r>
    <x v="2349"/>
    <x v="0"/>
    <x v="1983"/>
    <n v="5628674969"/>
    <n v="22595.29"/>
    <s v="UK pounds"/>
    <s v="UK pounds"/>
    <x v="0"/>
    <s v="UK"/>
    <x v="3"/>
    <x v="0"/>
    <x v="3"/>
    <s v="Consistent"/>
    <x v="0"/>
  </r>
  <r>
    <x v="2350"/>
    <x v="0"/>
    <x v="1984"/>
    <n v="5552513514"/>
    <n v="16065.47"/>
    <s v="UK pounds"/>
    <s v="UK pounds"/>
    <x v="0"/>
    <s v="UK"/>
    <x v="2"/>
    <x v="0"/>
    <x v="2"/>
    <s v="Consistent"/>
    <x v="0"/>
  </r>
  <r>
    <x v="2351"/>
    <x v="0"/>
    <x v="1985"/>
    <n v="7992026831"/>
    <n v="1072.48"/>
    <s v="UK pounds"/>
    <s v="UK pounds"/>
    <x v="0"/>
    <s v="UK"/>
    <x v="3"/>
    <x v="0"/>
    <x v="2"/>
    <s v="Consistent"/>
    <x v="0"/>
  </r>
  <r>
    <x v="2352"/>
    <x v="0"/>
    <x v="1986"/>
    <n v="2961150172"/>
    <n v="7530.89"/>
    <s v="UK pounds"/>
    <s v="UK pounds"/>
    <x v="0"/>
    <s v="UK"/>
    <x v="3"/>
    <x v="0"/>
    <x v="4"/>
    <s v="Consistent"/>
    <x v="0"/>
  </r>
  <r>
    <x v="2353"/>
    <x v="0"/>
    <x v="243"/>
    <n v="8135174919"/>
    <n v="10813.82"/>
    <s v="Euro"/>
    <s v="UK pounds"/>
    <x v="4"/>
    <s v="UK"/>
    <x v="1"/>
    <x v="0"/>
    <x v="1"/>
    <s v="Potential Layering"/>
    <x v="0"/>
  </r>
  <r>
    <x v="2353"/>
    <x v="0"/>
    <x v="40"/>
    <n v="8384550734"/>
    <n v="4817.72"/>
    <s v="UK pounds"/>
    <s v="UK pounds"/>
    <x v="0"/>
    <s v="UK"/>
    <x v="4"/>
    <x v="0"/>
    <x v="1"/>
    <s v="Consistent"/>
    <x v="0"/>
  </r>
  <r>
    <x v="2354"/>
    <x v="0"/>
    <x v="1987"/>
    <n v="8594270874"/>
    <n v="130.9"/>
    <s v="UK pounds"/>
    <s v="UK pounds"/>
    <x v="0"/>
    <s v="UK"/>
    <x v="6"/>
    <x v="0"/>
    <x v="5"/>
    <s v="Consistent"/>
    <x v="0"/>
  </r>
  <r>
    <x v="2355"/>
    <x v="0"/>
    <x v="1988"/>
    <n v="4270865741"/>
    <n v="7734.31"/>
    <s v="UK pounds"/>
    <s v="UK pounds"/>
    <x v="0"/>
    <s v="UK"/>
    <x v="4"/>
    <x v="0"/>
    <x v="3"/>
    <s v="Consistent"/>
    <x v="0"/>
  </r>
  <r>
    <x v="2355"/>
    <x v="0"/>
    <x v="1989"/>
    <n v="9285879778"/>
    <n v="26877.73"/>
    <s v="UK pounds"/>
    <s v="UK pounds"/>
    <x v="0"/>
    <s v="UK"/>
    <x v="4"/>
    <x v="0"/>
    <x v="4"/>
    <s v="Consistent"/>
    <x v="0"/>
  </r>
  <r>
    <x v="2356"/>
    <x v="0"/>
    <x v="1207"/>
    <n v="5858369125"/>
    <n v="13593.77"/>
    <s v="UK pounds"/>
    <s v="UK pounds"/>
    <x v="0"/>
    <s v="UK"/>
    <x v="3"/>
    <x v="0"/>
    <x v="3"/>
    <s v="Consistent"/>
    <x v="0"/>
  </r>
  <r>
    <x v="2357"/>
    <x v="0"/>
    <x v="52"/>
    <n v="5517479211"/>
    <n v="13428.61"/>
    <s v="UK pounds"/>
    <s v="UK pounds"/>
    <x v="0"/>
    <s v="UK"/>
    <x v="2"/>
    <x v="0"/>
    <x v="1"/>
    <s v="Consistent"/>
    <x v="0"/>
  </r>
  <r>
    <x v="2358"/>
    <x v="0"/>
    <x v="1990"/>
    <n v="5586245359"/>
    <n v="6446.64"/>
    <s v="UK pounds"/>
    <s v="UK pounds"/>
    <x v="0"/>
    <s v="UK"/>
    <x v="2"/>
    <x v="0"/>
    <x v="2"/>
    <s v="Consistent"/>
    <x v="0"/>
  </r>
  <r>
    <x v="2359"/>
    <x v="0"/>
    <x v="907"/>
    <n v="6034997194"/>
    <n v="5405.83"/>
    <s v="UK pounds"/>
    <s v="UK pounds"/>
    <x v="0"/>
    <s v="UK"/>
    <x v="4"/>
    <x v="0"/>
    <x v="3"/>
    <s v="Consistent"/>
    <x v="0"/>
  </r>
  <r>
    <x v="2360"/>
    <x v="0"/>
    <x v="110"/>
    <n v="1812525358"/>
    <n v="5810.41"/>
    <s v="UK pounds"/>
    <s v="UK pounds"/>
    <x v="0"/>
    <s v="UK"/>
    <x v="4"/>
    <x v="0"/>
    <x v="1"/>
    <s v="Consistent"/>
    <x v="0"/>
  </r>
  <r>
    <x v="2361"/>
    <x v="0"/>
    <x v="75"/>
    <n v="7900569005"/>
    <n v="6186.35"/>
    <s v="UK pounds"/>
    <s v="UK pounds"/>
    <x v="0"/>
    <s v="UK"/>
    <x v="5"/>
    <x v="0"/>
    <x v="1"/>
    <s v="Consistent"/>
    <x v="0"/>
  </r>
  <r>
    <x v="2362"/>
    <x v="0"/>
    <x v="1991"/>
    <n v="7892884492"/>
    <n v="9027.74"/>
    <s v="UK pounds"/>
    <s v="US dollar"/>
    <x v="0"/>
    <s v="USA"/>
    <x v="1"/>
    <x v="0"/>
    <x v="3"/>
    <s v="Potential Layering"/>
    <x v="0"/>
  </r>
  <r>
    <x v="2363"/>
    <x v="0"/>
    <x v="1992"/>
    <n v="1465487567"/>
    <n v="14837.15"/>
    <s v="UK pounds"/>
    <s v="UK pounds"/>
    <x v="0"/>
    <s v="UK"/>
    <x v="3"/>
    <x v="0"/>
    <x v="3"/>
    <s v="Consistent"/>
    <x v="0"/>
  </r>
  <r>
    <x v="2363"/>
    <x v="0"/>
    <x v="1993"/>
    <n v="8172080174"/>
    <n v="9222.7099999999991"/>
    <s v="UK pounds"/>
    <s v="UK pounds"/>
    <x v="0"/>
    <s v="UK"/>
    <x v="4"/>
    <x v="0"/>
    <x v="3"/>
    <s v="Consistent"/>
    <x v="0"/>
  </r>
  <r>
    <x v="2364"/>
    <x v="0"/>
    <x v="1994"/>
    <n v="5900191933"/>
    <n v="594.13"/>
    <s v="UK pounds"/>
    <s v="UK pounds"/>
    <x v="0"/>
    <s v="UK"/>
    <x v="2"/>
    <x v="0"/>
    <x v="2"/>
    <s v="Consistent"/>
    <x v="0"/>
  </r>
  <r>
    <x v="2365"/>
    <x v="0"/>
    <x v="1995"/>
    <n v="4811288498"/>
    <n v="2791.38"/>
    <s v="UK pounds"/>
    <s v="UK pounds"/>
    <x v="0"/>
    <s v="UK"/>
    <x v="0"/>
    <x v="0"/>
    <x v="0"/>
    <s v="Consistent"/>
    <x v="0"/>
  </r>
  <r>
    <x v="2366"/>
    <x v="0"/>
    <x v="1996"/>
    <n v="4293580479"/>
    <n v="11021.17"/>
    <s v="UK pounds"/>
    <s v="UK pounds"/>
    <x v="0"/>
    <s v="UK"/>
    <x v="2"/>
    <x v="0"/>
    <x v="3"/>
    <s v="Consistent"/>
    <x v="0"/>
  </r>
  <r>
    <x v="2366"/>
    <x v="0"/>
    <x v="1997"/>
    <n v="6444220418"/>
    <n v="9211.2999999999993"/>
    <s v="UK pounds"/>
    <s v="UK pounds"/>
    <x v="0"/>
    <s v="UK"/>
    <x v="2"/>
    <x v="0"/>
    <x v="3"/>
    <s v="Consistent"/>
    <x v="0"/>
  </r>
  <r>
    <x v="2367"/>
    <x v="0"/>
    <x v="1360"/>
    <n v="6584025804"/>
    <n v="12491.64"/>
    <s v="UK pounds"/>
    <s v="UK pounds"/>
    <x v="0"/>
    <s v="UK"/>
    <x v="3"/>
    <x v="0"/>
    <x v="2"/>
    <s v="Consistent"/>
    <x v="0"/>
  </r>
  <r>
    <x v="2367"/>
    <x v="0"/>
    <x v="1998"/>
    <n v="2415599111"/>
    <n v="3486.04"/>
    <s v="UK pounds"/>
    <s v="UK pounds"/>
    <x v="0"/>
    <s v="UK"/>
    <x v="5"/>
    <x v="0"/>
    <x v="4"/>
    <s v="Consistent"/>
    <x v="0"/>
  </r>
  <r>
    <x v="2368"/>
    <x v="0"/>
    <x v="238"/>
    <n v="2547799506"/>
    <n v="12133.14"/>
    <s v="UK pounds"/>
    <s v="UK pounds"/>
    <x v="0"/>
    <s v="UK"/>
    <x v="4"/>
    <x v="0"/>
    <x v="1"/>
    <s v="Consistent"/>
    <x v="0"/>
  </r>
  <r>
    <x v="2368"/>
    <x v="0"/>
    <x v="742"/>
    <n v="4270865741"/>
    <n v="10619.3"/>
    <s v="UK pounds"/>
    <s v="UK pounds"/>
    <x v="0"/>
    <s v="UK"/>
    <x v="2"/>
    <x v="0"/>
    <x v="3"/>
    <s v="Consistent"/>
    <x v="0"/>
  </r>
  <r>
    <x v="2369"/>
    <x v="0"/>
    <x v="1999"/>
    <n v="2534644942"/>
    <n v="9754.0499999999993"/>
    <s v="UK pounds"/>
    <s v="Euro"/>
    <x v="0"/>
    <s v="France"/>
    <x v="1"/>
    <x v="0"/>
    <x v="3"/>
    <s v="Potential Layering"/>
    <x v="0"/>
  </r>
  <r>
    <x v="2369"/>
    <x v="0"/>
    <x v="68"/>
    <n v="3325153054"/>
    <n v="9969.58"/>
    <s v="UK pounds"/>
    <s v="UK pounds"/>
    <x v="0"/>
    <s v="UK"/>
    <x v="5"/>
    <x v="0"/>
    <x v="1"/>
    <s v="Consistent"/>
    <x v="0"/>
  </r>
  <r>
    <x v="2370"/>
    <x v="0"/>
    <x v="149"/>
    <n v="7945788794"/>
    <n v="5154.83"/>
    <s v="UK pounds"/>
    <s v="UK pounds"/>
    <x v="0"/>
    <s v="UK"/>
    <x v="2"/>
    <x v="0"/>
    <x v="1"/>
    <s v="Consistent"/>
    <x v="0"/>
  </r>
  <r>
    <x v="2370"/>
    <x v="0"/>
    <x v="2000"/>
    <n v="8173101094"/>
    <n v="549.1"/>
    <s v="UK pounds"/>
    <s v="UK pounds"/>
    <x v="0"/>
    <s v="UK"/>
    <x v="2"/>
    <x v="0"/>
    <x v="2"/>
    <s v="Consistent"/>
    <x v="0"/>
  </r>
  <r>
    <x v="2371"/>
    <x v="0"/>
    <x v="2001"/>
    <n v="7452882306"/>
    <n v="988.18"/>
    <s v="UK pounds"/>
    <s v="UK pounds"/>
    <x v="0"/>
    <s v="UK"/>
    <x v="2"/>
    <x v="0"/>
    <x v="2"/>
    <s v="Consistent"/>
    <x v="0"/>
  </r>
  <r>
    <x v="2372"/>
    <x v="0"/>
    <x v="2002"/>
    <n v="3099700449"/>
    <n v="789.93"/>
    <s v="UK pounds"/>
    <s v="UK pounds"/>
    <x v="0"/>
    <s v="UK"/>
    <x v="0"/>
    <x v="0"/>
    <x v="0"/>
    <s v="Consistent"/>
    <x v="0"/>
  </r>
  <r>
    <x v="2373"/>
    <x v="0"/>
    <x v="2003"/>
    <n v="5466123934"/>
    <n v="5313.11"/>
    <s v="UK pounds"/>
    <s v="UK pounds"/>
    <x v="0"/>
    <s v="UK"/>
    <x v="5"/>
    <x v="0"/>
    <x v="3"/>
    <s v="Consistent"/>
    <x v="0"/>
  </r>
  <r>
    <x v="2374"/>
    <x v="0"/>
    <x v="1625"/>
    <n v="1320927231"/>
    <n v="37903.24"/>
    <s v="UK pounds"/>
    <s v="UK pounds"/>
    <x v="0"/>
    <s v="UK"/>
    <x v="4"/>
    <x v="0"/>
    <x v="3"/>
    <s v="Consistent"/>
    <x v="0"/>
  </r>
  <r>
    <x v="2375"/>
    <x v="0"/>
    <x v="2004"/>
    <n v="4293047671"/>
    <n v="916.3"/>
    <s v="UK pounds"/>
    <s v="UK pounds"/>
    <x v="0"/>
    <s v="UK"/>
    <x v="2"/>
    <x v="0"/>
    <x v="2"/>
    <s v="Consistent"/>
    <x v="0"/>
  </r>
  <r>
    <x v="2376"/>
    <x v="0"/>
    <x v="110"/>
    <n v="2792106785"/>
    <n v="7834.32"/>
    <s v="UK pounds"/>
    <s v="UK pounds"/>
    <x v="0"/>
    <s v="UK"/>
    <x v="3"/>
    <x v="0"/>
    <x v="1"/>
    <s v="Consistent"/>
    <x v="0"/>
  </r>
  <r>
    <x v="2377"/>
    <x v="0"/>
    <x v="2005"/>
    <n v="7080357663"/>
    <n v="9484.56"/>
    <s v="UK pounds"/>
    <s v="UK pounds"/>
    <x v="0"/>
    <s v="UK"/>
    <x v="3"/>
    <x v="0"/>
    <x v="3"/>
    <s v="Consistent"/>
    <x v="0"/>
  </r>
  <r>
    <x v="2378"/>
    <x v="0"/>
    <x v="165"/>
    <n v="1377603863"/>
    <n v="9573.39"/>
    <s v="UK pounds"/>
    <s v="UK pounds"/>
    <x v="0"/>
    <s v="UK"/>
    <x v="2"/>
    <x v="0"/>
    <x v="3"/>
    <s v="Consistent"/>
    <x v="0"/>
  </r>
  <r>
    <x v="2378"/>
    <x v="0"/>
    <x v="2006"/>
    <n v="1316458123"/>
    <n v="8112.34"/>
    <s v="UK pounds"/>
    <s v="Mexican Peso"/>
    <x v="0"/>
    <s v="Mexico"/>
    <x v="1"/>
    <x v="0"/>
    <x v="3"/>
    <s v="Potential Layering"/>
    <x v="0"/>
  </r>
  <r>
    <x v="2379"/>
    <x v="0"/>
    <x v="2007"/>
    <n v="4855546080"/>
    <n v="311.83"/>
    <s v="UK pounds"/>
    <s v="UK pounds"/>
    <x v="0"/>
    <s v="UK"/>
    <x v="2"/>
    <x v="0"/>
    <x v="4"/>
    <s v="Consistent"/>
    <x v="0"/>
  </r>
  <r>
    <x v="2379"/>
    <x v="0"/>
    <x v="2008"/>
    <n v="842581915"/>
    <n v="17112.810000000001"/>
    <s v="UK pounds"/>
    <s v="UK pounds"/>
    <x v="0"/>
    <s v="UK"/>
    <x v="4"/>
    <x v="0"/>
    <x v="4"/>
    <s v="Consistent"/>
    <x v="0"/>
  </r>
  <r>
    <x v="2380"/>
    <x v="0"/>
    <x v="2009"/>
    <n v="7118531732"/>
    <n v="18.920000000000002"/>
    <s v="UK pounds"/>
    <s v="UK pounds"/>
    <x v="0"/>
    <s v="UK"/>
    <x v="2"/>
    <x v="0"/>
    <x v="2"/>
    <s v="Consistent"/>
    <x v="0"/>
  </r>
  <r>
    <x v="2381"/>
    <x v="0"/>
    <x v="75"/>
    <n v="7221383296"/>
    <n v="10113.219999999999"/>
    <s v="UK pounds"/>
    <s v="UK pounds"/>
    <x v="0"/>
    <s v="UK"/>
    <x v="2"/>
    <x v="0"/>
    <x v="1"/>
    <s v="Consistent"/>
    <x v="0"/>
  </r>
  <r>
    <x v="2382"/>
    <x v="0"/>
    <x v="169"/>
    <n v="642091252"/>
    <n v="18096.78"/>
    <s v="UK pounds"/>
    <s v="UK pounds"/>
    <x v="0"/>
    <s v="UK"/>
    <x v="2"/>
    <x v="0"/>
    <x v="2"/>
    <s v="Consistent"/>
    <x v="0"/>
  </r>
  <r>
    <x v="2383"/>
    <x v="0"/>
    <x v="68"/>
    <n v="3795566341"/>
    <n v="6233.46"/>
    <s v="UK pounds"/>
    <s v="UK pounds"/>
    <x v="0"/>
    <s v="UK"/>
    <x v="3"/>
    <x v="0"/>
    <x v="1"/>
    <s v="Consistent"/>
    <x v="0"/>
  </r>
  <r>
    <x v="2383"/>
    <x v="0"/>
    <x v="2010"/>
    <n v="6469512649"/>
    <n v="1692.46"/>
    <s v="UK pounds"/>
    <s v="UK pounds"/>
    <x v="0"/>
    <s v="UK"/>
    <x v="5"/>
    <x v="0"/>
    <x v="4"/>
    <s v="Consistent"/>
    <x v="0"/>
  </r>
  <r>
    <x v="2384"/>
    <x v="0"/>
    <x v="46"/>
    <n v="9386007080"/>
    <n v="9179.07"/>
    <s v="UK pounds"/>
    <s v="UK pounds"/>
    <x v="0"/>
    <s v="UK"/>
    <x v="4"/>
    <x v="0"/>
    <x v="1"/>
    <s v="Consistent"/>
    <x v="0"/>
  </r>
  <r>
    <x v="2385"/>
    <x v="0"/>
    <x v="2011"/>
    <n v="7754927334"/>
    <n v="4198.49"/>
    <s v="UK pounds"/>
    <s v="UK pounds"/>
    <x v="0"/>
    <s v="UK"/>
    <x v="2"/>
    <x v="0"/>
    <x v="4"/>
    <s v="Consistent"/>
    <x v="0"/>
  </r>
  <r>
    <x v="2386"/>
    <x v="0"/>
    <x v="163"/>
    <n v="5391949334"/>
    <n v="9155.17"/>
    <s v="UK pounds"/>
    <s v="UK pounds"/>
    <x v="0"/>
    <s v="UK"/>
    <x v="3"/>
    <x v="0"/>
    <x v="1"/>
    <s v="Consistent"/>
    <x v="0"/>
  </r>
  <r>
    <x v="2387"/>
    <x v="0"/>
    <x v="1088"/>
    <n v="2040572795"/>
    <n v="2264.1"/>
    <s v="UK pounds"/>
    <s v="UK pounds"/>
    <x v="0"/>
    <s v="UK"/>
    <x v="4"/>
    <x v="0"/>
    <x v="2"/>
    <s v="Consistent"/>
    <x v="0"/>
  </r>
  <r>
    <x v="2388"/>
    <x v="0"/>
    <x v="2012"/>
    <n v="5622498928"/>
    <n v="346.34"/>
    <s v="UK pounds"/>
    <s v="Turkish lira"/>
    <x v="0"/>
    <s v="UK"/>
    <x v="5"/>
    <x v="0"/>
    <x v="2"/>
    <s v="Potential Layering"/>
    <x v="0"/>
  </r>
  <r>
    <x v="2388"/>
    <x v="0"/>
    <x v="2013"/>
    <n v="2632218163"/>
    <n v="6271.53"/>
    <s v="UK pounds"/>
    <s v="UK pounds"/>
    <x v="0"/>
    <s v="UK"/>
    <x v="5"/>
    <x v="0"/>
    <x v="2"/>
    <s v="Consistent"/>
    <x v="0"/>
  </r>
  <r>
    <x v="2389"/>
    <x v="0"/>
    <x v="2014"/>
    <n v="9957514046"/>
    <n v="516.41999999999996"/>
    <s v="UK pounds"/>
    <s v="UK pounds"/>
    <x v="0"/>
    <s v="UK"/>
    <x v="4"/>
    <x v="0"/>
    <x v="2"/>
    <s v="Consistent"/>
    <x v="0"/>
  </r>
  <r>
    <x v="2390"/>
    <x v="0"/>
    <x v="2015"/>
    <n v="2836869610"/>
    <n v="9968.0400000000009"/>
    <s v="UK pounds"/>
    <s v="UK pounds"/>
    <x v="0"/>
    <s v="UK"/>
    <x v="3"/>
    <x v="0"/>
    <x v="4"/>
    <s v="Consistent"/>
    <x v="0"/>
  </r>
  <r>
    <x v="2391"/>
    <x v="0"/>
    <x v="1446"/>
    <n v="3695545812"/>
    <n v="8529.07"/>
    <s v="UK pounds"/>
    <s v="UK pounds"/>
    <x v="0"/>
    <s v="UK"/>
    <x v="5"/>
    <x v="0"/>
    <x v="3"/>
    <s v="Consistent"/>
    <x v="0"/>
  </r>
  <r>
    <x v="2392"/>
    <x v="0"/>
    <x v="2016"/>
    <n v="6072029953"/>
    <n v="16632.849999999999"/>
    <s v="UK pounds"/>
    <s v="UK pounds"/>
    <x v="0"/>
    <s v="UK"/>
    <x v="3"/>
    <x v="0"/>
    <x v="2"/>
    <s v="Consistent"/>
    <x v="0"/>
  </r>
  <r>
    <x v="2393"/>
    <x v="0"/>
    <x v="2017"/>
    <n v="9651948796"/>
    <n v="3002.2"/>
    <s v="UK pounds"/>
    <s v="UK pounds"/>
    <x v="0"/>
    <s v="UK"/>
    <x v="5"/>
    <x v="0"/>
    <x v="2"/>
    <s v="Consistent"/>
    <x v="0"/>
  </r>
  <r>
    <x v="2394"/>
    <x v="0"/>
    <x v="592"/>
    <n v="2138505015"/>
    <n v="6721.24"/>
    <s v="UK pounds"/>
    <s v="Dirham"/>
    <x v="0"/>
    <s v="UAE"/>
    <x v="1"/>
    <x v="0"/>
    <x v="3"/>
    <s v="Potential Layering"/>
    <x v="0"/>
  </r>
  <r>
    <x v="2395"/>
    <x v="0"/>
    <x v="2018"/>
    <n v="4045077735"/>
    <n v="816.84"/>
    <s v="UK pounds"/>
    <s v="UK pounds"/>
    <x v="0"/>
    <s v="UK"/>
    <x v="3"/>
    <x v="0"/>
    <x v="2"/>
    <s v="Consistent"/>
    <x v="0"/>
  </r>
  <r>
    <x v="2395"/>
    <x v="0"/>
    <x v="2019"/>
    <n v="5056736796"/>
    <n v="12159.31"/>
    <s v="UK pounds"/>
    <s v="UK pounds"/>
    <x v="0"/>
    <s v="UK"/>
    <x v="3"/>
    <x v="0"/>
    <x v="2"/>
    <s v="Consistent"/>
    <x v="0"/>
  </r>
  <r>
    <x v="2396"/>
    <x v="0"/>
    <x v="426"/>
    <n v="4336977506"/>
    <n v="5922.38"/>
    <s v="UK pounds"/>
    <s v="UK pounds"/>
    <x v="0"/>
    <s v="UK"/>
    <x v="5"/>
    <x v="0"/>
    <x v="3"/>
    <s v="Consistent"/>
    <x v="0"/>
  </r>
  <r>
    <x v="2397"/>
    <x v="0"/>
    <x v="2020"/>
    <n v="7440479684"/>
    <n v="2943.83"/>
    <s v="UK pounds"/>
    <s v="UK pounds"/>
    <x v="0"/>
    <s v="UK"/>
    <x v="3"/>
    <x v="0"/>
    <x v="2"/>
    <s v="Consistent"/>
    <x v="0"/>
  </r>
  <r>
    <x v="2398"/>
    <x v="0"/>
    <x v="2021"/>
    <n v="2011043679"/>
    <n v="5149.05"/>
    <s v="UK pounds"/>
    <s v="UK pounds"/>
    <x v="0"/>
    <s v="UK"/>
    <x v="4"/>
    <x v="0"/>
    <x v="4"/>
    <s v="Consistent"/>
    <x v="0"/>
  </r>
  <r>
    <x v="2399"/>
    <x v="0"/>
    <x v="2022"/>
    <n v="4573643005"/>
    <n v="677.09"/>
    <s v="UK pounds"/>
    <s v="UK pounds"/>
    <x v="0"/>
    <s v="UK"/>
    <x v="2"/>
    <x v="0"/>
    <x v="2"/>
    <s v="Consistent"/>
    <x v="0"/>
  </r>
  <r>
    <x v="2400"/>
    <x v="0"/>
    <x v="2023"/>
    <n v="4350657360"/>
    <n v="4284.8999999999996"/>
    <s v="UK pounds"/>
    <s v="UK pounds"/>
    <x v="0"/>
    <s v="UK"/>
    <x v="3"/>
    <x v="0"/>
    <x v="4"/>
    <s v="Consistent"/>
    <x v="0"/>
  </r>
  <r>
    <x v="2401"/>
    <x v="0"/>
    <x v="2024"/>
    <n v="8490891430"/>
    <n v="2479.71"/>
    <s v="UK pounds"/>
    <s v="UK pounds"/>
    <x v="0"/>
    <s v="UK"/>
    <x v="5"/>
    <x v="0"/>
    <x v="2"/>
    <s v="Consistent"/>
    <x v="0"/>
  </r>
  <r>
    <x v="2401"/>
    <x v="0"/>
    <x v="1"/>
    <n v="2482957386"/>
    <n v="26435.45"/>
    <s v="UK pounds"/>
    <s v="UK pounds"/>
    <x v="0"/>
    <s v="UK"/>
    <x v="5"/>
    <x v="0"/>
    <x v="1"/>
    <s v="Consistent"/>
    <x v="0"/>
  </r>
  <r>
    <x v="2402"/>
    <x v="0"/>
    <x v="2025"/>
    <n v="2314836559"/>
    <n v="14473.49"/>
    <s v="UK pounds"/>
    <s v="UK pounds"/>
    <x v="0"/>
    <s v="UK"/>
    <x v="3"/>
    <x v="0"/>
    <x v="4"/>
    <s v="Consistent"/>
    <x v="0"/>
  </r>
  <r>
    <x v="2403"/>
    <x v="0"/>
    <x v="2026"/>
    <n v="9252007880"/>
    <n v="1662.26"/>
    <s v="UK pounds"/>
    <s v="UK pounds"/>
    <x v="0"/>
    <s v="UK"/>
    <x v="0"/>
    <x v="0"/>
    <x v="0"/>
    <s v="Consistent"/>
    <x v="0"/>
  </r>
  <r>
    <x v="2404"/>
    <x v="0"/>
    <x v="68"/>
    <n v="4048410232"/>
    <n v="17624.439999999999"/>
    <s v="UK pounds"/>
    <s v="UK pounds"/>
    <x v="0"/>
    <s v="UK"/>
    <x v="5"/>
    <x v="0"/>
    <x v="1"/>
    <s v="Consistent"/>
    <x v="0"/>
  </r>
  <r>
    <x v="2405"/>
    <x v="0"/>
    <x v="2027"/>
    <n v="6754524587"/>
    <n v="4015"/>
    <s v="UK pounds"/>
    <s v="UK pounds"/>
    <x v="0"/>
    <s v="UK"/>
    <x v="5"/>
    <x v="0"/>
    <x v="2"/>
    <s v="Consistent"/>
    <x v="0"/>
  </r>
  <r>
    <x v="2406"/>
    <x v="0"/>
    <x v="2028"/>
    <n v="7001040288"/>
    <n v="6193.33"/>
    <s v="UK pounds"/>
    <s v="UK pounds"/>
    <x v="0"/>
    <s v="UK"/>
    <x v="5"/>
    <x v="0"/>
    <x v="2"/>
    <s v="Consistent"/>
    <x v="0"/>
  </r>
  <r>
    <x v="2406"/>
    <x v="0"/>
    <x v="1676"/>
    <n v="3695545812"/>
    <n v="6774.41"/>
    <s v="UK pounds"/>
    <s v="UK pounds"/>
    <x v="0"/>
    <s v="UK"/>
    <x v="2"/>
    <x v="0"/>
    <x v="3"/>
    <s v="Consistent"/>
    <x v="0"/>
  </r>
  <r>
    <x v="2407"/>
    <x v="0"/>
    <x v="2029"/>
    <n v="2867318469"/>
    <n v="139.35"/>
    <s v="UK pounds"/>
    <s v="Indian rupee"/>
    <x v="0"/>
    <s v="India"/>
    <x v="1"/>
    <x v="0"/>
    <x v="2"/>
    <s v="Potential Layering"/>
    <x v="0"/>
  </r>
  <r>
    <x v="2408"/>
    <x v="0"/>
    <x v="161"/>
    <n v="8617902721"/>
    <n v="6200.93"/>
    <s v="UK pounds"/>
    <s v="UK pounds"/>
    <x v="0"/>
    <s v="UK"/>
    <x v="2"/>
    <x v="0"/>
    <x v="1"/>
    <s v="Consistent"/>
    <x v="0"/>
  </r>
  <r>
    <x v="2408"/>
    <x v="0"/>
    <x v="25"/>
    <n v="3220735304"/>
    <n v="10551.08"/>
    <s v="Yen"/>
    <s v="UK pounds"/>
    <x v="0"/>
    <s v="UK"/>
    <x v="4"/>
    <x v="0"/>
    <x v="3"/>
    <s v="Potential Layering"/>
    <x v="0"/>
  </r>
  <r>
    <x v="2409"/>
    <x v="0"/>
    <x v="248"/>
    <n v="3764741730"/>
    <n v="6218.31"/>
    <s v="UK pounds"/>
    <s v="UK pounds"/>
    <x v="0"/>
    <s v="UK"/>
    <x v="2"/>
    <x v="0"/>
    <x v="1"/>
    <s v="Consistent"/>
    <x v="0"/>
  </r>
  <r>
    <x v="2410"/>
    <x v="0"/>
    <x v="1783"/>
    <n v="5628674969"/>
    <n v="6924.18"/>
    <s v="UK pounds"/>
    <s v="UK pounds"/>
    <x v="0"/>
    <s v="UK"/>
    <x v="2"/>
    <x v="0"/>
    <x v="3"/>
    <s v="Consistent"/>
    <x v="0"/>
  </r>
  <r>
    <x v="2410"/>
    <x v="0"/>
    <x v="2030"/>
    <n v="6905979898"/>
    <n v="6241.88"/>
    <s v="UK pounds"/>
    <s v="Euro"/>
    <x v="0"/>
    <s v="Netherlands"/>
    <x v="1"/>
    <x v="0"/>
    <x v="2"/>
    <s v="Potential Layering"/>
    <x v="0"/>
  </r>
  <r>
    <x v="2411"/>
    <x v="0"/>
    <x v="2031"/>
    <n v="2218617563"/>
    <n v="301.68"/>
    <s v="UK pounds"/>
    <s v="UK pounds"/>
    <x v="0"/>
    <s v="UK"/>
    <x v="2"/>
    <x v="0"/>
    <x v="2"/>
    <s v="Consistent"/>
    <x v="0"/>
  </r>
  <r>
    <x v="2412"/>
    <x v="0"/>
    <x v="196"/>
    <n v="2584568182"/>
    <n v="2795.13"/>
    <s v="UK pounds"/>
    <s v="UK pounds"/>
    <x v="0"/>
    <s v="UK"/>
    <x v="5"/>
    <x v="0"/>
    <x v="6"/>
    <s v="Consistent"/>
    <x v="0"/>
  </r>
  <r>
    <x v="2413"/>
    <x v="0"/>
    <x v="2032"/>
    <n v="1250738209"/>
    <n v="1791.62"/>
    <s v="UK pounds"/>
    <s v="UK pounds"/>
    <x v="0"/>
    <s v="UK"/>
    <x v="2"/>
    <x v="0"/>
    <x v="2"/>
    <s v="Consistent"/>
    <x v="0"/>
  </r>
  <r>
    <x v="2413"/>
    <x v="0"/>
    <x v="2033"/>
    <n v="9271533389"/>
    <n v="940.98"/>
    <s v="UK pounds"/>
    <s v="UK pounds"/>
    <x v="0"/>
    <s v="UK"/>
    <x v="0"/>
    <x v="0"/>
    <x v="0"/>
    <s v="Consistent"/>
    <x v="0"/>
  </r>
  <r>
    <x v="2413"/>
    <x v="0"/>
    <x v="2034"/>
    <n v="7198494429"/>
    <n v="12206.81"/>
    <s v="UK pounds"/>
    <s v="UK pounds"/>
    <x v="0"/>
    <s v="UK"/>
    <x v="4"/>
    <x v="0"/>
    <x v="2"/>
    <s v="Consistent"/>
    <x v="0"/>
  </r>
  <r>
    <x v="2414"/>
    <x v="0"/>
    <x v="2035"/>
    <n v="884794468"/>
    <n v="500.67"/>
    <s v="UK pounds"/>
    <s v="UK pounds"/>
    <x v="0"/>
    <s v="UK"/>
    <x v="3"/>
    <x v="0"/>
    <x v="2"/>
    <s v="Consistent"/>
    <x v="0"/>
  </r>
  <r>
    <x v="2414"/>
    <x v="0"/>
    <x v="2036"/>
    <n v="7441547021"/>
    <n v="2568.6"/>
    <s v="UK pounds"/>
    <s v="Moroccan dirham"/>
    <x v="0"/>
    <s v="Morocco"/>
    <x v="1"/>
    <x v="0"/>
    <x v="2"/>
    <s v="Potential Layering"/>
    <x v="0"/>
  </r>
  <r>
    <x v="2415"/>
    <x v="0"/>
    <x v="427"/>
    <n v="6646502650"/>
    <n v="5185.9399999999996"/>
    <s v="UK pounds"/>
    <s v="Euro"/>
    <x v="0"/>
    <s v="France"/>
    <x v="1"/>
    <x v="0"/>
    <x v="3"/>
    <s v="Potential Layering"/>
    <x v="0"/>
  </r>
  <r>
    <x v="2416"/>
    <x v="0"/>
    <x v="2037"/>
    <n v="6048304694"/>
    <n v="26811.64"/>
    <s v="UK pounds"/>
    <s v="UK pounds"/>
    <x v="0"/>
    <s v="UK"/>
    <x v="4"/>
    <x v="0"/>
    <x v="2"/>
    <s v="Consistent"/>
    <x v="0"/>
  </r>
  <r>
    <x v="2417"/>
    <x v="0"/>
    <x v="2038"/>
    <n v="3213309316"/>
    <n v="3043"/>
    <s v="UK pounds"/>
    <s v="UK pounds"/>
    <x v="0"/>
    <s v="UK"/>
    <x v="5"/>
    <x v="0"/>
    <x v="2"/>
    <s v="Consistent"/>
    <x v="0"/>
  </r>
  <r>
    <x v="2418"/>
    <x v="0"/>
    <x v="238"/>
    <n v="4917300261"/>
    <n v="6119.4"/>
    <s v="UK pounds"/>
    <s v="UK pounds"/>
    <x v="0"/>
    <s v="UK"/>
    <x v="3"/>
    <x v="0"/>
    <x v="1"/>
    <s v="Consistent"/>
    <x v="0"/>
  </r>
  <r>
    <x v="2419"/>
    <x v="0"/>
    <x v="1065"/>
    <n v="7080357663"/>
    <n v="6781.92"/>
    <s v="UK pounds"/>
    <s v="UK pounds"/>
    <x v="0"/>
    <s v="UK"/>
    <x v="3"/>
    <x v="0"/>
    <x v="3"/>
    <s v="Consistent"/>
    <x v="0"/>
  </r>
  <r>
    <x v="2420"/>
    <x v="0"/>
    <x v="163"/>
    <n v="9797294707"/>
    <n v="9114.0400000000009"/>
    <s v="UK pounds"/>
    <s v="UK pounds"/>
    <x v="0"/>
    <s v="UK"/>
    <x v="5"/>
    <x v="0"/>
    <x v="1"/>
    <s v="Consistent"/>
    <x v="0"/>
  </r>
  <r>
    <x v="2421"/>
    <x v="0"/>
    <x v="2039"/>
    <n v="8636169803"/>
    <n v="8594.6299999999992"/>
    <s v="UK pounds"/>
    <s v="UK pounds"/>
    <x v="0"/>
    <s v="UK"/>
    <x v="2"/>
    <x v="0"/>
    <x v="2"/>
    <s v="Consistent"/>
    <x v="0"/>
  </r>
  <r>
    <x v="2422"/>
    <x v="0"/>
    <x v="2040"/>
    <n v="9023878405"/>
    <n v="3019.71"/>
    <s v="UK pounds"/>
    <s v="UK pounds"/>
    <x v="0"/>
    <s v="UK"/>
    <x v="0"/>
    <x v="0"/>
    <x v="0"/>
    <s v="Consistent"/>
    <x v="0"/>
  </r>
  <r>
    <x v="2423"/>
    <x v="0"/>
    <x v="221"/>
    <n v="5896180453"/>
    <n v="6273.84"/>
    <s v="UK pounds"/>
    <s v="UK pounds"/>
    <x v="0"/>
    <s v="UK"/>
    <x v="3"/>
    <x v="0"/>
    <x v="3"/>
    <s v="Consistent"/>
    <x v="0"/>
  </r>
  <r>
    <x v="2424"/>
    <x v="0"/>
    <x v="2041"/>
    <n v="3247289386"/>
    <n v="1981.52"/>
    <s v="UK pounds"/>
    <s v="UK pounds"/>
    <x v="0"/>
    <s v="UK"/>
    <x v="5"/>
    <x v="0"/>
    <x v="4"/>
    <s v="Consistent"/>
    <x v="0"/>
  </r>
  <r>
    <x v="2425"/>
    <x v="0"/>
    <x v="2042"/>
    <n v="8931201593"/>
    <n v="3005.16"/>
    <s v="UK pounds"/>
    <s v="UK pounds"/>
    <x v="0"/>
    <s v="UK"/>
    <x v="5"/>
    <x v="0"/>
    <x v="4"/>
    <s v="Consistent"/>
    <x v="0"/>
  </r>
  <r>
    <x v="2426"/>
    <x v="0"/>
    <x v="2043"/>
    <n v="2585569686"/>
    <n v="443.95"/>
    <s v="UK pounds"/>
    <s v="UK pounds"/>
    <x v="0"/>
    <s v="UK"/>
    <x v="2"/>
    <x v="0"/>
    <x v="2"/>
    <s v="Consistent"/>
    <x v="0"/>
  </r>
  <r>
    <x v="2427"/>
    <x v="0"/>
    <x v="2044"/>
    <n v="3343432755"/>
    <n v="1466.63"/>
    <s v="UK pounds"/>
    <s v="UK pounds"/>
    <x v="0"/>
    <s v="UK"/>
    <x v="4"/>
    <x v="0"/>
    <x v="2"/>
    <s v="Consistent"/>
    <x v="0"/>
  </r>
  <r>
    <x v="2428"/>
    <x v="0"/>
    <x v="2045"/>
    <n v="6231854483"/>
    <n v="6919.22"/>
    <s v="UK pounds"/>
    <s v="UK pounds"/>
    <x v="0"/>
    <s v="UK"/>
    <x v="5"/>
    <x v="0"/>
    <x v="2"/>
    <s v="Consistent"/>
    <x v="0"/>
  </r>
  <r>
    <x v="2429"/>
    <x v="0"/>
    <x v="2046"/>
    <n v="1730717041"/>
    <n v="6220.51"/>
    <s v="UK pounds"/>
    <s v="UK pounds"/>
    <x v="0"/>
    <s v="UK"/>
    <x v="3"/>
    <x v="0"/>
    <x v="7"/>
    <s v="Consistent"/>
    <x v="0"/>
  </r>
  <r>
    <x v="2430"/>
    <x v="0"/>
    <x v="1666"/>
    <n v="7080357663"/>
    <n v="5393.67"/>
    <s v="Mexican Peso"/>
    <s v="UK pounds"/>
    <x v="10"/>
    <s v="UK"/>
    <x v="1"/>
    <x v="0"/>
    <x v="3"/>
    <s v="Potential Layering"/>
    <x v="1"/>
  </r>
  <r>
    <x v="2431"/>
    <x v="0"/>
    <x v="2047"/>
    <n v="8154718696"/>
    <n v="553.46"/>
    <s v="UK pounds"/>
    <s v="UK pounds"/>
    <x v="0"/>
    <s v="UK"/>
    <x v="5"/>
    <x v="0"/>
    <x v="4"/>
    <s v="Consistent"/>
    <x v="0"/>
  </r>
  <r>
    <x v="2432"/>
    <x v="0"/>
    <x v="2048"/>
    <n v="957585424"/>
    <n v="3566.27"/>
    <s v="UK pounds"/>
    <s v="UK pounds"/>
    <x v="0"/>
    <s v="UK"/>
    <x v="0"/>
    <x v="0"/>
    <x v="0"/>
    <s v="Consistent"/>
    <x v="0"/>
  </r>
  <r>
    <x v="2433"/>
    <x v="0"/>
    <x v="2049"/>
    <n v="9645984583"/>
    <n v="132.04"/>
    <s v="UK pounds"/>
    <s v="UK pounds"/>
    <x v="0"/>
    <s v="UK"/>
    <x v="2"/>
    <x v="0"/>
    <x v="2"/>
    <s v="Consistent"/>
    <x v="0"/>
  </r>
  <r>
    <x v="2434"/>
    <x v="0"/>
    <x v="2050"/>
    <n v="8322397330"/>
    <n v="529.75"/>
    <s v="UK pounds"/>
    <s v="UK pounds"/>
    <x v="0"/>
    <s v="UK"/>
    <x v="0"/>
    <x v="0"/>
    <x v="0"/>
    <s v="Consistent"/>
    <x v="0"/>
  </r>
  <r>
    <x v="2435"/>
    <x v="0"/>
    <x v="1855"/>
    <n v="409707192"/>
    <n v="24064.48"/>
    <s v="UK pounds"/>
    <s v="UK pounds"/>
    <x v="0"/>
    <s v="UK"/>
    <x v="3"/>
    <x v="0"/>
    <x v="3"/>
    <s v="Consistent"/>
    <x v="0"/>
  </r>
  <r>
    <x v="2436"/>
    <x v="0"/>
    <x v="2051"/>
    <n v="3513488785"/>
    <n v="170.57"/>
    <s v="UK pounds"/>
    <s v="UK pounds"/>
    <x v="0"/>
    <s v="UK"/>
    <x v="5"/>
    <x v="0"/>
    <x v="2"/>
    <s v="Consistent"/>
    <x v="0"/>
  </r>
  <r>
    <x v="2437"/>
    <x v="0"/>
    <x v="2052"/>
    <n v="6114871264"/>
    <n v="466.17"/>
    <s v="UK pounds"/>
    <s v="UK pounds"/>
    <x v="0"/>
    <s v="UK"/>
    <x v="3"/>
    <x v="0"/>
    <x v="2"/>
    <s v="Consistent"/>
    <x v="0"/>
  </r>
  <r>
    <x v="2438"/>
    <x v="0"/>
    <x v="2053"/>
    <n v="2260244739"/>
    <n v="1286.22"/>
    <s v="UK pounds"/>
    <s v="UK pounds"/>
    <x v="0"/>
    <s v="UK"/>
    <x v="3"/>
    <x v="0"/>
    <x v="2"/>
    <s v="Consistent"/>
    <x v="0"/>
  </r>
  <r>
    <x v="2439"/>
    <x v="0"/>
    <x v="3"/>
    <n v="9600420220"/>
    <n v="11923.14"/>
    <s v="UK pounds"/>
    <s v="UK pounds"/>
    <x v="0"/>
    <s v="UK"/>
    <x v="4"/>
    <x v="0"/>
    <x v="3"/>
    <s v="Consistent"/>
    <x v="0"/>
  </r>
  <r>
    <x v="2440"/>
    <x v="0"/>
    <x v="2054"/>
    <n v="2976862701"/>
    <n v="348.93"/>
    <s v="UK pounds"/>
    <s v="UK pounds"/>
    <x v="0"/>
    <s v="UK"/>
    <x v="5"/>
    <x v="0"/>
    <x v="2"/>
    <s v="Consistent"/>
    <x v="0"/>
  </r>
  <r>
    <x v="2441"/>
    <x v="0"/>
    <x v="2055"/>
    <n v="5716715936"/>
    <n v="902.88"/>
    <s v="UK pounds"/>
    <s v="UK pounds"/>
    <x v="0"/>
    <s v="UK"/>
    <x v="2"/>
    <x v="0"/>
    <x v="2"/>
    <s v="Consistent"/>
    <x v="0"/>
  </r>
  <r>
    <x v="2442"/>
    <x v="0"/>
    <x v="1740"/>
    <n v="5858369125"/>
    <n v="9148.23"/>
    <s v="UK pounds"/>
    <s v="UK pounds"/>
    <x v="0"/>
    <s v="UK"/>
    <x v="5"/>
    <x v="0"/>
    <x v="3"/>
    <s v="Consistent"/>
    <x v="0"/>
  </r>
  <r>
    <x v="2443"/>
    <x v="0"/>
    <x v="1065"/>
    <n v="7080357663"/>
    <n v="6887.15"/>
    <s v="UK pounds"/>
    <s v="UK pounds"/>
    <x v="0"/>
    <s v="UK"/>
    <x v="5"/>
    <x v="0"/>
    <x v="3"/>
    <s v="Consistent"/>
    <x v="0"/>
  </r>
  <r>
    <x v="2444"/>
    <x v="0"/>
    <x v="537"/>
    <n v="2591280855"/>
    <n v="5827.78"/>
    <s v="UK pounds"/>
    <s v="UK pounds"/>
    <x v="0"/>
    <s v="UK"/>
    <x v="4"/>
    <x v="0"/>
    <x v="6"/>
    <s v="Consistent"/>
    <x v="0"/>
  </r>
  <r>
    <x v="2445"/>
    <x v="0"/>
    <x v="1514"/>
    <n v="6034997194"/>
    <n v="12757.76"/>
    <s v="UK pounds"/>
    <s v="UK pounds"/>
    <x v="0"/>
    <s v="UK"/>
    <x v="5"/>
    <x v="0"/>
    <x v="3"/>
    <s v="Consistent"/>
    <x v="0"/>
  </r>
  <r>
    <x v="2446"/>
    <x v="0"/>
    <x v="90"/>
    <n v="409707192"/>
    <n v="10694.19"/>
    <s v="UK pounds"/>
    <s v="UK pounds"/>
    <x v="0"/>
    <s v="UK"/>
    <x v="4"/>
    <x v="0"/>
    <x v="3"/>
    <s v="Consistent"/>
    <x v="0"/>
  </r>
  <r>
    <x v="2447"/>
    <x v="0"/>
    <x v="2056"/>
    <n v="3870376826"/>
    <n v="1141.4100000000001"/>
    <s v="UK pounds"/>
    <s v="UK pounds"/>
    <x v="0"/>
    <s v="UK"/>
    <x v="0"/>
    <x v="0"/>
    <x v="0"/>
    <s v="Consistent"/>
    <x v="0"/>
  </r>
  <r>
    <x v="2448"/>
    <x v="0"/>
    <x v="2057"/>
    <n v="2402135355"/>
    <n v="109.55"/>
    <s v="UK pounds"/>
    <s v="UK pounds"/>
    <x v="0"/>
    <s v="UK"/>
    <x v="6"/>
    <x v="0"/>
    <x v="5"/>
    <s v="Consistent"/>
    <x v="0"/>
  </r>
  <r>
    <x v="2449"/>
    <x v="0"/>
    <x v="35"/>
    <n v="9858029207"/>
    <n v="8415.64"/>
    <s v="UK pounds"/>
    <s v="Turkish lira"/>
    <x v="0"/>
    <s v="Turkey"/>
    <x v="1"/>
    <x v="0"/>
    <x v="1"/>
    <s v="Potential Layering"/>
    <x v="0"/>
  </r>
  <r>
    <x v="2450"/>
    <x v="0"/>
    <x v="2058"/>
    <n v="1946099401"/>
    <n v="2212.5100000000002"/>
    <s v="UK pounds"/>
    <s v="UK pounds"/>
    <x v="0"/>
    <s v="UK"/>
    <x v="5"/>
    <x v="0"/>
    <x v="4"/>
    <s v="Consistent"/>
    <x v="0"/>
  </r>
  <r>
    <x v="2451"/>
    <x v="0"/>
    <x v="2059"/>
    <n v="7960201974"/>
    <n v="1039.8499999999999"/>
    <s v="UK pounds"/>
    <s v="UK pounds"/>
    <x v="0"/>
    <s v="UK"/>
    <x v="2"/>
    <x v="0"/>
    <x v="2"/>
    <s v="Consistent"/>
    <x v="0"/>
  </r>
  <r>
    <x v="2451"/>
    <x v="0"/>
    <x v="161"/>
    <n v="7780773895"/>
    <n v="5154.7299999999996"/>
    <s v="UK pounds"/>
    <s v="UK pounds"/>
    <x v="0"/>
    <s v="UK"/>
    <x v="3"/>
    <x v="0"/>
    <x v="1"/>
    <s v="Consistent"/>
    <x v="0"/>
  </r>
  <r>
    <x v="2452"/>
    <x v="0"/>
    <x v="2060"/>
    <n v="8678802420"/>
    <n v="4435.38"/>
    <s v="UK pounds"/>
    <s v="UK pounds"/>
    <x v="0"/>
    <s v="UK"/>
    <x v="3"/>
    <x v="0"/>
    <x v="3"/>
    <s v="Consistent"/>
    <x v="0"/>
  </r>
  <r>
    <x v="2453"/>
    <x v="0"/>
    <x v="2061"/>
    <n v="2027496484"/>
    <n v="3796.98"/>
    <s v="UK pounds"/>
    <s v="UK pounds"/>
    <x v="0"/>
    <s v="UK"/>
    <x v="4"/>
    <x v="0"/>
    <x v="2"/>
    <s v="Consistent"/>
    <x v="0"/>
  </r>
  <r>
    <x v="2454"/>
    <x v="0"/>
    <x v="2062"/>
    <n v="3695545812"/>
    <n v="4781.04"/>
    <s v="UK pounds"/>
    <s v="UK pounds"/>
    <x v="0"/>
    <s v="UK"/>
    <x v="2"/>
    <x v="0"/>
    <x v="3"/>
    <s v="Consistent"/>
    <x v="0"/>
  </r>
  <r>
    <x v="2455"/>
    <x v="0"/>
    <x v="2063"/>
    <n v="1740103909"/>
    <n v="11431.39"/>
    <s v="UK pounds"/>
    <s v="UK pounds"/>
    <x v="0"/>
    <s v="UK"/>
    <x v="5"/>
    <x v="0"/>
    <x v="6"/>
    <s v="Consistent"/>
    <x v="0"/>
  </r>
  <r>
    <x v="2456"/>
    <x v="0"/>
    <x v="161"/>
    <n v="7780773895"/>
    <n v="5153.41"/>
    <s v="UK pounds"/>
    <s v="UK pounds"/>
    <x v="0"/>
    <s v="UK"/>
    <x v="3"/>
    <x v="0"/>
    <x v="1"/>
    <s v="Consistent"/>
    <x v="0"/>
  </r>
  <r>
    <x v="2456"/>
    <x v="0"/>
    <x v="2064"/>
    <n v="9701749283"/>
    <n v="4715.67"/>
    <s v="Euro"/>
    <s v="Turkish lira"/>
    <x v="4"/>
    <s v="Turkey"/>
    <x v="1"/>
    <x v="0"/>
    <x v="2"/>
    <s v="Potential Layering"/>
    <x v="0"/>
  </r>
  <r>
    <x v="2457"/>
    <x v="0"/>
    <x v="2065"/>
    <n v="512060548"/>
    <n v="2255.12"/>
    <s v="UK pounds"/>
    <s v="UK pounds"/>
    <x v="0"/>
    <s v="UK"/>
    <x v="4"/>
    <x v="0"/>
    <x v="2"/>
    <s v="Consistent"/>
    <x v="0"/>
  </r>
  <r>
    <x v="2458"/>
    <x v="0"/>
    <x v="845"/>
    <n v="5858369125"/>
    <n v="9200.59"/>
    <s v="UK pounds"/>
    <s v="UK pounds"/>
    <x v="0"/>
    <s v="UK"/>
    <x v="5"/>
    <x v="0"/>
    <x v="3"/>
    <s v="Consistent"/>
    <x v="0"/>
  </r>
  <r>
    <x v="2459"/>
    <x v="0"/>
    <x v="195"/>
    <n v="1662926606"/>
    <n v="5334.84"/>
    <s v="UK pounds"/>
    <s v="UK pounds"/>
    <x v="0"/>
    <s v="UK"/>
    <x v="3"/>
    <x v="0"/>
    <x v="1"/>
    <s v="Consistent"/>
    <x v="0"/>
  </r>
  <r>
    <x v="2460"/>
    <x v="0"/>
    <x v="2066"/>
    <n v="6223365730"/>
    <n v="10549.18"/>
    <s v="UK pounds"/>
    <s v="UK pounds"/>
    <x v="0"/>
    <s v="UK"/>
    <x v="4"/>
    <x v="0"/>
    <x v="3"/>
    <s v="Consistent"/>
    <x v="0"/>
  </r>
  <r>
    <x v="2461"/>
    <x v="0"/>
    <x v="2067"/>
    <n v="910540991"/>
    <n v="3470.55"/>
    <s v="UK pounds"/>
    <s v="UK pounds"/>
    <x v="0"/>
    <s v="UK"/>
    <x v="4"/>
    <x v="0"/>
    <x v="2"/>
    <s v="Consistent"/>
    <x v="0"/>
  </r>
  <r>
    <x v="2461"/>
    <x v="0"/>
    <x v="2005"/>
    <n v="7080357663"/>
    <n v="9606.2999999999993"/>
    <s v="UK pounds"/>
    <s v="UK pounds"/>
    <x v="0"/>
    <s v="UK"/>
    <x v="4"/>
    <x v="0"/>
    <x v="3"/>
    <s v="Consistent"/>
    <x v="0"/>
  </r>
  <r>
    <x v="2462"/>
    <x v="0"/>
    <x v="195"/>
    <n v="6846852475"/>
    <n v="5273.87"/>
    <s v="UK pounds"/>
    <s v="UK pounds"/>
    <x v="0"/>
    <s v="UK"/>
    <x v="3"/>
    <x v="0"/>
    <x v="1"/>
    <s v="Consistent"/>
    <x v="0"/>
  </r>
  <r>
    <x v="2463"/>
    <x v="0"/>
    <x v="2068"/>
    <n v="2366367055"/>
    <n v="6074.61"/>
    <s v="UK pounds"/>
    <s v="UK pounds"/>
    <x v="0"/>
    <s v="UK"/>
    <x v="3"/>
    <x v="0"/>
    <x v="2"/>
    <s v="Consistent"/>
    <x v="0"/>
  </r>
  <r>
    <x v="2464"/>
    <x v="0"/>
    <x v="1980"/>
    <n v="1431561040"/>
    <n v="8182.41"/>
    <s v="UK pounds"/>
    <s v="UK pounds"/>
    <x v="0"/>
    <s v="UK"/>
    <x v="5"/>
    <x v="0"/>
    <x v="3"/>
    <s v="Consistent"/>
    <x v="0"/>
  </r>
  <r>
    <x v="2465"/>
    <x v="0"/>
    <x v="2069"/>
    <n v="3299303649"/>
    <n v="3476.22"/>
    <s v="UK pounds"/>
    <s v="UK pounds"/>
    <x v="0"/>
    <s v="UK"/>
    <x v="4"/>
    <x v="0"/>
    <x v="2"/>
    <s v="Consistent"/>
    <x v="0"/>
  </r>
  <r>
    <x v="2466"/>
    <x v="0"/>
    <x v="2070"/>
    <n v="8598564263"/>
    <n v="5060.2299999999996"/>
    <s v="UK pounds"/>
    <s v="UK pounds"/>
    <x v="0"/>
    <s v="UK"/>
    <x v="2"/>
    <x v="0"/>
    <x v="2"/>
    <s v="Consistent"/>
    <x v="0"/>
  </r>
  <r>
    <x v="2466"/>
    <x v="0"/>
    <x v="2071"/>
    <n v="8046124742"/>
    <n v="3230.6"/>
    <s v="UK pounds"/>
    <s v="UK pounds"/>
    <x v="0"/>
    <s v="UK"/>
    <x v="2"/>
    <x v="0"/>
    <x v="2"/>
    <s v="Consistent"/>
    <x v="0"/>
  </r>
  <r>
    <x v="2467"/>
    <x v="0"/>
    <x v="124"/>
    <n v="9329185542"/>
    <n v="29576.71"/>
    <s v="UK pounds"/>
    <s v="UK pounds"/>
    <x v="0"/>
    <s v="UK"/>
    <x v="4"/>
    <x v="0"/>
    <x v="1"/>
    <s v="Consistent"/>
    <x v="0"/>
  </r>
  <r>
    <x v="2468"/>
    <x v="0"/>
    <x v="2072"/>
    <n v="6069927293"/>
    <n v="13031.89"/>
    <s v="UK pounds"/>
    <s v="UK pounds"/>
    <x v="0"/>
    <s v="UK"/>
    <x v="5"/>
    <x v="0"/>
    <x v="2"/>
    <s v="Consistent"/>
    <x v="0"/>
  </r>
  <r>
    <x v="2469"/>
    <x v="0"/>
    <x v="2073"/>
    <n v="3712652442"/>
    <n v="1536.52"/>
    <s v="UK pounds"/>
    <s v="UK pounds"/>
    <x v="0"/>
    <s v="UK"/>
    <x v="3"/>
    <x v="0"/>
    <x v="2"/>
    <s v="Consistent"/>
    <x v="0"/>
  </r>
  <r>
    <x v="2470"/>
    <x v="0"/>
    <x v="1447"/>
    <n v="5103043844"/>
    <n v="6430.55"/>
    <s v="UK pounds"/>
    <s v="Naira"/>
    <x v="0"/>
    <s v="Nigeria"/>
    <x v="1"/>
    <x v="0"/>
    <x v="3"/>
    <s v="Potential Layering"/>
    <x v="0"/>
  </r>
  <r>
    <x v="2471"/>
    <x v="0"/>
    <x v="2074"/>
    <n v="1493040691"/>
    <n v="14496"/>
    <s v="UK pounds"/>
    <s v="UK pounds"/>
    <x v="0"/>
    <s v="UK"/>
    <x v="5"/>
    <x v="0"/>
    <x v="2"/>
    <s v="Consistent"/>
    <x v="0"/>
  </r>
  <r>
    <x v="2472"/>
    <x v="0"/>
    <x v="2075"/>
    <n v="6947426291"/>
    <n v="15358.01"/>
    <s v="UK pounds"/>
    <s v="UK pounds"/>
    <x v="0"/>
    <s v="UK"/>
    <x v="4"/>
    <x v="0"/>
    <x v="2"/>
    <s v="Consistent"/>
    <x v="0"/>
  </r>
  <r>
    <x v="2472"/>
    <x v="0"/>
    <x v="2076"/>
    <n v="3919851582"/>
    <n v="2065.11"/>
    <s v="UK pounds"/>
    <s v="UK pounds"/>
    <x v="0"/>
    <s v="UK"/>
    <x v="4"/>
    <x v="0"/>
    <x v="4"/>
    <s v="Consistent"/>
    <x v="0"/>
  </r>
  <r>
    <x v="2473"/>
    <x v="0"/>
    <x v="1747"/>
    <n v="4336977506"/>
    <n v="20974.29"/>
    <s v="UK pounds"/>
    <s v="UK pounds"/>
    <x v="0"/>
    <s v="UK"/>
    <x v="5"/>
    <x v="0"/>
    <x v="3"/>
    <s v="Consistent"/>
    <x v="0"/>
  </r>
  <r>
    <x v="2474"/>
    <x v="0"/>
    <x v="2077"/>
    <n v="2360303796"/>
    <n v="1590.55"/>
    <s v="UK pounds"/>
    <s v="UK pounds"/>
    <x v="0"/>
    <s v="UK"/>
    <x v="4"/>
    <x v="0"/>
    <x v="2"/>
    <s v="Consistent"/>
    <x v="0"/>
  </r>
  <r>
    <x v="2475"/>
    <x v="0"/>
    <x v="2078"/>
    <n v="8409585096"/>
    <n v="2911.42"/>
    <s v="UK pounds"/>
    <s v="UK pounds"/>
    <x v="0"/>
    <s v="UK"/>
    <x v="2"/>
    <x v="0"/>
    <x v="2"/>
    <s v="Consistent"/>
    <x v="0"/>
  </r>
  <r>
    <x v="2475"/>
    <x v="0"/>
    <x v="2079"/>
    <n v="2433353791"/>
    <n v="317.11"/>
    <s v="UK pounds"/>
    <s v="UK pounds"/>
    <x v="0"/>
    <s v="UK"/>
    <x v="4"/>
    <x v="0"/>
    <x v="2"/>
    <s v="Consistent"/>
    <x v="0"/>
  </r>
  <r>
    <x v="2476"/>
    <x v="0"/>
    <x v="1340"/>
    <n v="3079818547"/>
    <n v="12744.68"/>
    <s v="UK pounds"/>
    <s v="UK pounds"/>
    <x v="0"/>
    <s v="UK"/>
    <x v="2"/>
    <x v="0"/>
    <x v="3"/>
    <s v="Consistent"/>
    <x v="0"/>
  </r>
  <r>
    <x v="2477"/>
    <x v="0"/>
    <x v="2080"/>
    <n v="774169166"/>
    <n v="635.66"/>
    <s v="UK pounds"/>
    <s v="Indian rupee"/>
    <x v="0"/>
    <s v="India"/>
    <x v="1"/>
    <x v="0"/>
    <x v="2"/>
    <s v="Potential Layering"/>
    <x v="0"/>
  </r>
  <r>
    <x v="2478"/>
    <x v="0"/>
    <x v="2081"/>
    <n v="9258433900"/>
    <n v="5478.75"/>
    <s v="UK pounds"/>
    <s v="UK pounds"/>
    <x v="0"/>
    <s v="UK"/>
    <x v="3"/>
    <x v="0"/>
    <x v="2"/>
    <s v="Consistent"/>
    <x v="0"/>
  </r>
  <r>
    <x v="2479"/>
    <x v="0"/>
    <x v="2082"/>
    <n v="8956773426"/>
    <n v="2817.67"/>
    <s v="UK pounds"/>
    <s v="UK pounds"/>
    <x v="0"/>
    <s v="UK"/>
    <x v="2"/>
    <x v="0"/>
    <x v="2"/>
    <s v="Consistent"/>
    <x v="0"/>
  </r>
  <r>
    <x v="2480"/>
    <x v="0"/>
    <x v="1554"/>
    <n v="8767395048"/>
    <n v="2161.54"/>
    <s v="UK pounds"/>
    <s v="UK pounds"/>
    <x v="0"/>
    <s v="UK"/>
    <x v="2"/>
    <x v="0"/>
    <x v="2"/>
    <s v="Consistent"/>
    <x v="0"/>
  </r>
  <r>
    <x v="2480"/>
    <x v="0"/>
    <x v="2083"/>
    <n v="5575082922"/>
    <n v="437.18"/>
    <s v="UK pounds"/>
    <s v="UK pounds"/>
    <x v="0"/>
    <s v="UK"/>
    <x v="4"/>
    <x v="0"/>
    <x v="2"/>
    <s v="Consistent"/>
    <x v="0"/>
  </r>
  <r>
    <x v="2481"/>
    <x v="0"/>
    <x v="1996"/>
    <n v="4293580479"/>
    <n v="11101.83"/>
    <s v="UK pounds"/>
    <s v="UK pounds"/>
    <x v="0"/>
    <s v="UK"/>
    <x v="4"/>
    <x v="0"/>
    <x v="3"/>
    <s v="Consistent"/>
    <x v="0"/>
  </r>
  <r>
    <x v="2481"/>
    <x v="0"/>
    <x v="124"/>
    <n v="6987770930"/>
    <n v="7047.58"/>
    <s v="UK pounds"/>
    <s v="UK pounds"/>
    <x v="0"/>
    <s v="UK"/>
    <x v="5"/>
    <x v="0"/>
    <x v="1"/>
    <s v="Consistent"/>
    <x v="0"/>
  </r>
  <r>
    <x v="2482"/>
    <x v="0"/>
    <x v="75"/>
    <n v="9757535272"/>
    <n v="11267.7"/>
    <s v="UK pounds"/>
    <s v="UK pounds"/>
    <x v="0"/>
    <s v="UK"/>
    <x v="2"/>
    <x v="0"/>
    <x v="1"/>
    <s v="Consistent"/>
    <x v="0"/>
  </r>
  <r>
    <x v="2483"/>
    <x v="0"/>
    <x v="2084"/>
    <n v="4707306046"/>
    <n v="611.83000000000004"/>
    <s v="UK pounds"/>
    <s v="UK pounds"/>
    <x v="0"/>
    <s v="UK"/>
    <x v="4"/>
    <x v="0"/>
    <x v="2"/>
    <s v="Consistent"/>
    <x v="0"/>
  </r>
  <r>
    <x v="2484"/>
    <x v="0"/>
    <x v="2085"/>
    <n v="9776568873"/>
    <n v="3701.75"/>
    <s v="UK pounds"/>
    <s v="UK pounds"/>
    <x v="0"/>
    <s v="UK"/>
    <x v="3"/>
    <x v="0"/>
    <x v="2"/>
    <s v="Consistent"/>
    <x v="0"/>
  </r>
  <r>
    <x v="2485"/>
    <x v="0"/>
    <x v="2086"/>
    <n v="6581153496"/>
    <n v="353.59"/>
    <s v="UK pounds"/>
    <s v="UK pounds"/>
    <x v="0"/>
    <s v="UK"/>
    <x v="4"/>
    <x v="0"/>
    <x v="2"/>
    <s v="Consistent"/>
    <x v="0"/>
  </r>
  <r>
    <x v="2486"/>
    <x v="0"/>
    <x v="68"/>
    <n v="8992041252"/>
    <n v="7630.69"/>
    <s v="UK pounds"/>
    <s v="UK pounds"/>
    <x v="0"/>
    <s v="UK"/>
    <x v="2"/>
    <x v="0"/>
    <x v="1"/>
    <s v="Consistent"/>
    <x v="0"/>
  </r>
  <r>
    <x v="2487"/>
    <x v="0"/>
    <x v="2087"/>
    <n v="6128849878"/>
    <n v="1154.6600000000001"/>
    <s v="UK pounds"/>
    <s v="UK pounds"/>
    <x v="0"/>
    <s v="UK"/>
    <x v="4"/>
    <x v="0"/>
    <x v="2"/>
    <s v="Consistent"/>
    <x v="0"/>
  </r>
  <r>
    <x v="2488"/>
    <x v="0"/>
    <x v="2088"/>
    <n v="6316305063"/>
    <n v="2138.85"/>
    <s v="UK pounds"/>
    <s v="UK pounds"/>
    <x v="0"/>
    <s v="UK"/>
    <x v="3"/>
    <x v="0"/>
    <x v="2"/>
    <s v="Consistent"/>
    <x v="0"/>
  </r>
  <r>
    <x v="2488"/>
    <x v="0"/>
    <x v="2089"/>
    <n v="3623458268"/>
    <n v="5789.62"/>
    <s v="UK pounds"/>
    <s v="UK pounds"/>
    <x v="0"/>
    <s v="UK"/>
    <x v="2"/>
    <x v="0"/>
    <x v="2"/>
    <s v="Consistent"/>
    <x v="0"/>
  </r>
  <r>
    <x v="2489"/>
    <x v="0"/>
    <x v="2090"/>
    <n v="8352571580"/>
    <n v="6058.46"/>
    <s v="UK pounds"/>
    <s v="UK pounds"/>
    <x v="0"/>
    <s v="UK"/>
    <x v="5"/>
    <x v="0"/>
    <x v="3"/>
    <s v="Consistent"/>
    <x v="0"/>
  </r>
  <r>
    <x v="2490"/>
    <x v="0"/>
    <x v="1172"/>
    <n v="6953672776"/>
    <n v="31610.12"/>
    <s v="UK pounds"/>
    <s v="Mexican Peso"/>
    <x v="0"/>
    <s v="Mexico"/>
    <x v="1"/>
    <x v="0"/>
    <x v="3"/>
    <s v="Potential Layering"/>
    <x v="0"/>
  </r>
  <r>
    <x v="2491"/>
    <x v="0"/>
    <x v="819"/>
    <n v="3695545812"/>
    <n v="4525.92"/>
    <s v="UK pounds"/>
    <s v="UK pounds"/>
    <x v="0"/>
    <s v="UK"/>
    <x v="5"/>
    <x v="0"/>
    <x v="3"/>
    <s v="Consistent"/>
    <x v="0"/>
  </r>
  <r>
    <x v="2492"/>
    <x v="0"/>
    <x v="255"/>
    <n v="8950761727"/>
    <n v="6861.97"/>
    <s v="UK pounds"/>
    <s v="UK pounds"/>
    <x v="0"/>
    <s v="UK"/>
    <x v="5"/>
    <x v="0"/>
    <x v="1"/>
    <s v="Consistent"/>
    <x v="0"/>
  </r>
  <r>
    <x v="2492"/>
    <x v="0"/>
    <x v="619"/>
    <n v="5628674969"/>
    <n v="7444.86"/>
    <s v="UK pounds"/>
    <s v="UK pounds"/>
    <x v="0"/>
    <s v="UK"/>
    <x v="2"/>
    <x v="0"/>
    <x v="3"/>
    <s v="Consistent"/>
    <x v="0"/>
  </r>
  <r>
    <x v="2492"/>
    <x v="0"/>
    <x v="2091"/>
    <n v="9600420220"/>
    <n v="7669.27"/>
    <s v="UK pounds"/>
    <s v="UK pounds"/>
    <x v="0"/>
    <s v="UK"/>
    <x v="3"/>
    <x v="0"/>
    <x v="3"/>
    <s v="Consistent"/>
    <x v="0"/>
  </r>
  <r>
    <x v="2492"/>
    <x v="0"/>
    <x v="2092"/>
    <n v="6183867950"/>
    <n v="4460.46"/>
    <s v="UK pounds"/>
    <s v="UK pounds"/>
    <x v="0"/>
    <s v="UK"/>
    <x v="4"/>
    <x v="0"/>
    <x v="4"/>
    <s v="Consistent"/>
    <x v="0"/>
  </r>
  <r>
    <x v="2493"/>
    <x v="0"/>
    <x v="2093"/>
    <n v="4154833225"/>
    <n v="14944"/>
    <s v="UK pounds"/>
    <s v="UK pounds"/>
    <x v="0"/>
    <s v="UK"/>
    <x v="4"/>
    <x v="0"/>
    <x v="2"/>
    <s v="Consistent"/>
    <x v="0"/>
  </r>
  <r>
    <x v="2494"/>
    <x v="0"/>
    <x v="368"/>
    <n v="2297324653"/>
    <n v="312.45"/>
    <s v="UK pounds"/>
    <s v="UK pounds"/>
    <x v="0"/>
    <s v="UK"/>
    <x v="3"/>
    <x v="0"/>
    <x v="2"/>
    <s v="Consistent"/>
    <x v="0"/>
  </r>
  <r>
    <x v="2495"/>
    <x v="0"/>
    <x v="537"/>
    <n v="2591280855"/>
    <n v="5658.67"/>
    <s v="UK pounds"/>
    <s v="UK pounds"/>
    <x v="0"/>
    <s v="UK"/>
    <x v="4"/>
    <x v="0"/>
    <x v="6"/>
    <s v="Consistent"/>
    <x v="0"/>
  </r>
  <r>
    <x v="2496"/>
    <x v="0"/>
    <x v="2094"/>
    <n v="5109623450"/>
    <n v="10199.790000000001"/>
    <s v="UK pounds"/>
    <s v="UK pounds"/>
    <x v="0"/>
    <s v="UK"/>
    <x v="4"/>
    <x v="0"/>
    <x v="3"/>
    <s v="Consistent"/>
    <x v="0"/>
  </r>
  <r>
    <x v="2496"/>
    <x v="0"/>
    <x v="149"/>
    <n v="8861171324"/>
    <n v="10643.02"/>
    <s v="UK pounds"/>
    <s v="UK pounds"/>
    <x v="0"/>
    <s v="UK"/>
    <x v="5"/>
    <x v="0"/>
    <x v="1"/>
    <s v="Consistent"/>
    <x v="0"/>
  </r>
  <r>
    <x v="2496"/>
    <x v="0"/>
    <x v="150"/>
    <n v="2877832458"/>
    <n v="6852.22"/>
    <s v="UK pounds"/>
    <s v="Moroccan dirham"/>
    <x v="0"/>
    <s v="Morocco"/>
    <x v="1"/>
    <x v="0"/>
    <x v="1"/>
    <s v="Potential Layering"/>
    <x v="0"/>
  </r>
  <r>
    <x v="2496"/>
    <x v="0"/>
    <x v="2095"/>
    <n v="6577488706"/>
    <n v="44895.22"/>
    <s v="UK pounds"/>
    <s v="UK pounds"/>
    <x v="0"/>
    <s v="UK"/>
    <x v="3"/>
    <x v="0"/>
    <x v="8"/>
    <s v="Consistent"/>
    <x v="0"/>
  </r>
  <r>
    <x v="2497"/>
    <x v="0"/>
    <x v="8"/>
    <n v="7749320382"/>
    <n v="10841.66"/>
    <s v="UK pounds"/>
    <s v="UK pounds"/>
    <x v="0"/>
    <s v="UK"/>
    <x v="5"/>
    <x v="0"/>
    <x v="1"/>
    <s v="Consistent"/>
    <x v="0"/>
  </r>
  <r>
    <x v="2498"/>
    <x v="0"/>
    <x v="1072"/>
    <n v="6615179883"/>
    <n v="15915.12"/>
    <s v="UK pounds"/>
    <s v="UK pounds"/>
    <x v="0"/>
    <s v="UK"/>
    <x v="3"/>
    <x v="0"/>
    <x v="6"/>
    <s v="Consistent"/>
    <x v="0"/>
  </r>
  <r>
    <x v="2499"/>
    <x v="0"/>
    <x v="2096"/>
    <n v="1498907373"/>
    <n v="11775.29"/>
    <s v="UK pounds"/>
    <s v="UK pounds"/>
    <x v="0"/>
    <s v="UK"/>
    <x v="3"/>
    <x v="0"/>
    <x v="2"/>
    <s v="Consistent"/>
    <x v="0"/>
  </r>
  <r>
    <x v="2500"/>
    <x v="0"/>
    <x v="2097"/>
    <n v="1431561040"/>
    <n v="11893.26"/>
    <s v="UK pounds"/>
    <s v="UK pounds"/>
    <x v="0"/>
    <s v="UK"/>
    <x v="4"/>
    <x v="0"/>
    <x v="3"/>
    <s v="Consistent"/>
    <x v="0"/>
  </r>
  <r>
    <x v="2501"/>
    <x v="0"/>
    <x v="2098"/>
    <n v="5609423363"/>
    <n v="219.36"/>
    <s v="UK pounds"/>
    <s v="UK pounds"/>
    <x v="0"/>
    <s v="UK"/>
    <x v="2"/>
    <x v="0"/>
    <x v="2"/>
    <s v="Consistent"/>
    <x v="0"/>
  </r>
  <r>
    <x v="2502"/>
    <x v="0"/>
    <x v="2099"/>
    <n v="9358720010"/>
    <n v="15926.2"/>
    <s v="UK pounds"/>
    <s v="UK pounds"/>
    <x v="0"/>
    <s v="UK"/>
    <x v="3"/>
    <x v="0"/>
    <x v="2"/>
    <s v="Consistent"/>
    <x v="0"/>
  </r>
  <r>
    <x v="2502"/>
    <x v="0"/>
    <x v="725"/>
    <n v="4270865741"/>
    <n v="8678.43"/>
    <s v="UK pounds"/>
    <s v="UK pounds"/>
    <x v="0"/>
    <s v="UK"/>
    <x v="5"/>
    <x v="0"/>
    <x v="3"/>
    <s v="Consistent"/>
    <x v="0"/>
  </r>
  <r>
    <x v="2503"/>
    <x v="0"/>
    <x v="2100"/>
    <n v="8411156473"/>
    <n v="156.09"/>
    <s v="UK pounds"/>
    <s v="UK pounds"/>
    <x v="0"/>
    <s v="UK"/>
    <x v="4"/>
    <x v="0"/>
    <x v="2"/>
    <s v="Consistent"/>
    <x v="0"/>
  </r>
  <r>
    <x v="2504"/>
    <x v="0"/>
    <x v="2101"/>
    <n v="7762846837"/>
    <n v="326.45"/>
    <s v="UK pounds"/>
    <s v="UK pounds"/>
    <x v="0"/>
    <s v="UK"/>
    <x v="3"/>
    <x v="0"/>
    <x v="2"/>
    <s v="Consistent"/>
    <x v="0"/>
  </r>
  <r>
    <x v="2505"/>
    <x v="0"/>
    <x v="20"/>
    <n v="2300358725"/>
    <n v="12545.06"/>
    <s v="UK pounds"/>
    <s v="UK pounds"/>
    <x v="0"/>
    <s v="UK"/>
    <x v="5"/>
    <x v="0"/>
    <x v="1"/>
    <s v="Consistent"/>
    <x v="0"/>
  </r>
  <r>
    <x v="2506"/>
    <x v="0"/>
    <x v="2102"/>
    <n v="8088403108"/>
    <n v="3920.12"/>
    <s v="UK pounds"/>
    <s v="UK pounds"/>
    <x v="0"/>
    <s v="UK"/>
    <x v="0"/>
    <x v="0"/>
    <x v="0"/>
    <s v="Consistent"/>
    <x v="0"/>
  </r>
  <r>
    <x v="2507"/>
    <x v="0"/>
    <x v="238"/>
    <n v="9145896387"/>
    <n v="8307.5499999999993"/>
    <s v="UK pounds"/>
    <s v="UK pounds"/>
    <x v="0"/>
    <s v="UK"/>
    <x v="4"/>
    <x v="0"/>
    <x v="1"/>
    <s v="Consistent"/>
    <x v="0"/>
  </r>
  <r>
    <x v="2508"/>
    <x v="0"/>
    <x v="2103"/>
    <n v="6066672865"/>
    <n v="2615.83"/>
    <s v="Euro"/>
    <s v="Pakistani rupee"/>
    <x v="0"/>
    <s v="Pakistan"/>
    <x v="1"/>
    <x v="0"/>
    <x v="2"/>
    <s v="Potential Layering"/>
    <x v="0"/>
  </r>
  <r>
    <x v="2509"/>
    <x v="0"/>
    <x v="2104"/>
    <n v="5313805569"/>
    <n v="8804.16"/>
    <s v="UK pounds"/>
    <s v="UK pounds"/>
    <x v="0"/>
    <s v="UK"/>
    <x v="2"/>
    <x v="0"/>
    <x v="2"/>
    <s v="Consistent"/>
    <x v="0"/>
  </r>
  <r>
    <x v="2510"/>
    <x v="0"/>
    <x v="753"/>
    <n v="5109623450"/>
    <n v="8433.24"/>
    <s v="UK pounds"/>
    <s v="UK pounds"/>
    <x v="0"/>
    <s v="UK"/>
    <x v="2"/>
    <x v="0"/>
    <x v="3"/>
    <s v="Consistent"/>
    <x v="0"/>
  </r>
  <r>
    <x v="2510"/>
    <x v="0"/>
    <x v="2105"/>
    <n v="8823232130"/>
    <n v="1780.12"/>
    <s v="UK pounds"/>
    <s v="UK pounds"/>
    <x v="0"/>
    <s v="UK"/>
    <x v="5"/>
    <x v="0"/>
    <x v="4"/>
    <s v="Consistent"/>
    <x v="0"/>
  </r>
  <r>
    <x v="2511"/>
    <x v="0"/>
    <x v="2106"/>
    <n v="934605333"/>
    <n v="3286.1"/>
    <s v="UK pounds"/>
    <s v="Yen"/>
    <x v="0"/>
    <s v="Japan"/>
    <x v="1"/>
    <x v="0"/>
    <x v="2"/>
    <s v="Potential Layering"/>
    <x v="0"/>
  </r>
  <r>
    <x v="2511"/>
    <x v="0"/>
    <x v="2107"/>
    <n v="2543025128"/>
    <n v="5697.51"/>
    <s v="UK pounds"/>
    <s v="UK pounds"/>
    <x v="0"/>
    <s v="UK"/>
    <x v="3"/>
    <x v="0"/>
    <x v="2"/>
    <s v="Consistent"/>
    <x v="0"/>
  </r>
  <r>
    <x v="2512"/>
    <x v="0"/>
    <x v="1"/>
    <n v="5088960637"/>
    <n v="4473.09"/>
    <s v="UK pounds"/>
    <s v="Swiss franc"/>
    <x v="0"/>
    <s v="Switzerland"/>
    <x v="1"/>
    <x v="0"/>
    <x v="1"/>
    <s v="Potential Layering"/>
    <x v="0"/>
  </r>
  <r>
    <x v="2512"/>
    <x v="0"/>
    <x v="1846"/>
    <n v="1493436023"/>
    <n v="5224.3"/>
    <s v="Mexican Peso"/>
    <s v="UK pounds"/>
    <x v="10"/>
    <s v="UK"/>
    <x v="1"/>
    <x v="0"/>
    <x v="3"/>
    <s v="Potential Layering"/>
    <x v="1"/>
  </r>
  <r>
    <x v="2513"/>
    <x v="0"/>
    <x v="68"/>
    <n v="6000485397"/>
    <n v="9238.41"/>
    <s v="UK pounds"/>
    <s v="UK pounds"/>
    <x v="0"/>
    <s v="UK"/>
    <x v="2"/>
    <x v="0"/>
    <x v="1"/>
    <s v="Consistent"/>
    <x v="0"/>
  </r>
  <r>
    <x v="2514"/>
    <x v="0"/>
    <x v="2108"/>
    <n v="6249003594"/>
    <n v="8397.15"/>
    <s v="UK pounds"/>
    <s v="UK pounds"/>
    <x v="0"/>
    <s v="UK"/>
    <x v="4"/>
    <x v="0"/>
    <x v="2"/>
    <s v="Consistent"/>
    <x v="0"/>
  </r>
  <r>
    <x v="2514"/>
    <x v="0"/>
    <x v="2109"/>
    <n v="7227262964"/>
    <n v="3535.32"/>
    <s v="UK pounds"/>
    <s v="UK pounds"/>
    <x v="0"/>
    <s v="UK"/>
    <x v="4"/>
    <x v="0"/>
    <x v="2"/>
    <s v="Consistent"/>
    <x v="0"/>
  </r>
  <r>
    <x v="2515"/>
    <x v="0"/>
    <x v="68"/>
    <n v="9609750441"/>
    <n v="17071.37"/>
    <s v="UK pounds"/>
    <s v="Naira"/>
    <x v="0"/>
    <s v="Nigeria"/>
    <x v="1"/>
    <x v="0"/>
    <x v="1"/>
    <s v="Potential Layering"/>
    <x v="0"/>
  </r>
  <r>
    <x v="2516"/>
    <x v="0"/>
    <x v="2110"/>
    <n v="8673917867"/>
    <n v="8851.7999999999993"/>
    <s v="UK pounds"/>
    <s v="UK pounds"/>
    <x v="0"/>
    <s v="UK"/>
    <x v="4"/>
    <x v="0"/>
    <x v="3"/>
    <s v="Consistent"/>
    <x v="0"/>
  </r>
  <r>
    <x v="2517"/>
    <x v="0"/>
    <x v="1962"/>
    <n v="3079818547"/>
    <n v="7786.97"/>
    <s v="UK pounds"/>
    <s v="UK pounds"/>
    <x v="0"/>
    <s v="UK"/>
    <x v="4"/>
    <x v="0"/>
    <x v="3"/>
    <s v="Consistent"/>
    <x v="0"/>
  </r>
  <r>
    <x v="2518"/>
    <x v="0"/>
    <x v="2111"/>
    <n v="957638863"/>
    <n v="10874.91"/>
    <s v="UK pounds"/>
    <s v="UK pounds"/>
    <x v="0"/>
    <s v="UK"/>
    <x v="2"/>
    <x v="0"/>
    <x v="2"/>
    <s v="Consistent"/>
    <x v="0"/>
  </r>
  <r>
    <x v="2519"/>
    <x v="0"/>
    <x v="81"/>
    <n v="4135708880"/>
    <n v="7795.11"/>
    <s v="UK pounds"/>
    <s v="UK pounds"/>
    <x v="0"/>
    <s v="UK"/>
    <x v="4"/>
    <x v="0"/>
    <x v="1"/>
    <s v="Consistent"/>
    <x v="0"/>
  </r>
  <r>
    <x v="2520"/>
    <x v="0"/>
    <x v="1860"/>
    <n v="3120350918"/>
    <n v="397.65"/>
    <s v="UK pounds"/>
    <s v="Moroccan dirham"/>
    <x v="0"/>
    <s v="Morocco"/>
    <x v="1"/>
    <x v="0"/>
    <x v="2"/>
    <s v="Potential Layering"/>
    <x v="0"/>
  </r>
  <r>
    <x v="2521"/>
    <x v="0"/>
    <x v="344"/>
    <n v="5708936901"/>
    <n v="10438.15"/>
    <s v="UK pounds"/>
    <s v="UK pounds"/>
    <x v="0"/>
    <s v="UK"/>
    <x v="3"/>
    <x v="0"/>
    <x v="3"/>
    <s v="Consistent"/>
    <x v="0"/>
  </r>
  <r>
    <x v="2522"/>
    <x v="0"/>
    <x v="46"/>
    <n v="7927090992"/>
    <n v="9162.44"/>
    <s v="UK pounds"/>
    <s v="UK pounds"/>
    <x v="0"/>
    <s v="UK"/>
    <x v="3"/>
    <x v="0"/>
    <x v="1"/>
    <s v="Consistent"/>
    <x v="0"/>
  </r>
  <r>
    <x v="2523"/>
    <x v="0"/>
    <x v="1666"/>
    <n v="7080357663"/>
    <n v="5475.38"/>
    <s v="Mexican Peso"/>
    <s v="UK pounds"/>
    <x v="10"/>
    <s v="UK"/>
    <x v="1"/>
    <x v="0"/>
    <x v="3"/>
    <s v="Potential Layering"/>
    <x v="1"/>
  </r>
  <r>
    <x v="2524"/>
    <x v="0"/>
    <x v="2112"/>
    <n v="7419883586"/>
    <n v="1608.18"/>
    <s v="UK pounds"/>
    <s v="Yen"/>
    <x v="0"/>
    <s v="Japan"/>
    <x v="1"/>
    <x v="0"/>
    <x v="2"/>
    <s v="Potential Layering"/>
    <x v="0"/>
  </r>
  <r>
    <x v="2525"/>
    <x v="0"/>
    <x v="2113"/>
    <n v="5445865285"/>
    <n v="2026.67"/>
    <s v="UK pounds"/>
    <s v="UK pounds"/>
    <x v="0"/>
    <s v="UK"/>
    <x v="3"/>
    <x v="0"/>
    <x v="2"/>
    <s v="Consistent"/>
    <x v="0"/>
  </r>
  <r>
    <x v="2525"/>
    <x v="0"/>
    <x v="345"/>
    <n v="1377603863"/>
    <n v="5426.51"/>
    <s v="UK pounds"/>
    <s v="UK pounds"/>
    <x v="0"/>
    <s v="UK"/>
    <x v="5"/>
    <x v="0"/>
    <x v="3"/>
    <s v="Consistent"/>
    <x v="0"/>
  </r>
  <r>
    <x v="2526"/>
    <x v="0"/>
    <x v="2114"/>
    <n v="9060628582"/>
    <n v="918.3"/>
    <s v="UK pounds"/>
    <s v="UK pounds"/>
    <x v="0"/>
    <s v="UK"/>
    <x v="3"/>
    <x v="0"/>
    <x v="2"/>
    <s v="Consistent"/>
    <x v="0"/>
  </r>
  <r>
    <x v="2527"/>
    <x v="0"/>
    <x v="188"/>
    <n v="8352571580"/>
    <n v="14685.12"/>
    <s v="UK pounds"/>
    <s v="UK pounds"/>
    <x v="0"/>
    <s v="UK"/>
    <x v="2"/>
    <x v="0"/>
    <x v="3"/>
    <s v="Consistent"/>
    <x v="0"/>
  </r>
  <r>
    <x v="2527"/>
    <x v="0"/>
    <x v="2115"/>
    <n v="1528028091"/>
    <n v="1202.97"/>
    <s v="UK pounds"/>
    <s v="UK pounds"/>
    <x v="0"/>
    <s v="UK"/>
    <x v="5"/>
    <x v="0"/>
    <x v="2"/>
    <s v="Consistent"/>
    <x v="0"/>
  </r>
  <r>
    <x v="2528"/>
    <x v="0"/>
    <x v="2116"/>
    <n v="5745001680"/>
    <n v="4452.78"/>
    <s v="UK pounds"/>
    <s v="UK pounds"/>
    <x v="0"/>
    <s v="UK"/>
    <x v="4"/>
    <x v="0"/>
    <x v="2"/>
    <s v="Consistent"/>
    <x v="0"/>
  </r>
  <r>
    <x v="2529"/>
    <x v="0"/>
    <x v="2117"/>
    <n v="8234466984"/>
    <n v="578.29999999999995"/>
    <s v="UK pounds"/>
    <s v="UK pounds"/>
    <x v="0"/>
    <s v="UK"/>
    <x v="3"/>
    <x v="0"/>
    <x v="2"/>
    <s v="Consistent"/>
    <x v="0"/>
  </r>
  <r>
    <x v="2530"/>
    <x v="0"/>
    <x v="1297"/>
    <n v="8172080174"/>
    <n v="6214.75"/>
    <s v="UK pounds"/>
    <s v="UK pounds"/>
    <x v="0"/>
    <s v="UK"/>
    <x v="5"/>
    <x v="0"/>
    <x v="3"/>
    <s v="Consistent"/>
    <x v="0"/>
  </r>
  <r>
    <x v="2531"/>
    <x v="0"/>
    <x v="2118"/>
    <n v="7352635472"/>
    <n v="19108.830000000002"/>
    <s v="UK pounds"/>
    <s v="UK pounds"/>
    <x v="0"/>
    <s v="UK"/>
    <x v="5"/>
    <x v="0"/>
    <x v="8"/>
    <s v="Consistent"/>
    <x v="0"/>
  </r>
  <r>
    <x v="2532"/>
    <x v="0"/>
    <x v="210"/>
    <n v="5033682319"/>
    <n v="14702.61"/>
    <s v="UK pounds"/>
    <s v="UK pounds"/>
    <x v="0"/>
    <s v="UK"/>
    <x v="5"/>
    <x v="0"/>
    <x v="1"/>
    <s v="Consistent"/>
    <x v="0"/>
  </r>
  <r>
    <x v="2533"/>
    <x v="0"/>
    <x v="894"/>
    <n v="6914782058"/>
    <n v="22921.52"/>
    <s v="UK pounds"/>
    <s v="UK pounds"/>
    <x v="0"/>
    <s v="UK"/>
    <x v="4"/>
    <x v="0"/>
    <x v="2"/>
    <s v="Consistent"/>
    <x v="0"/>
  </r>
  <r>
    <x v="2534"/>
    <x v="0"/>
    <x v="34"/>
    <n v="1363901484"/>
    <n v="10203.6"/>
    <s v="UK pounds"/>
    <s v="UK pounds"/>
    <x v="0"/>
    <s v="UK"/>
    <x v="5"/>
    <x v="0"/>
    <x v="1"/>
    <s v="Consistent"/>
    <x v="0"/>
  </r>
  <r>
    <x v="2534"/>
    <x v="0"/>
    <x v="2119"/>
    <n v="7135352757"/>
    <n v="1863.07"/>
    <s v="UK pounds"/>
    <s v="UK pounds"/>
    <x v="0"/>
    <s v="UK"/>
    <x v="4"/>
    <x v="0"/>
    <x v="2"/>
    <s v="Consistent"/>
    <x v="0"/>
  </r>
  <r>
    <x v="2535"/>
    <x v="0"/>
    <x v="2120"/>
    <n v="767910895"/>
    <n v="6346.16"/>
    <s v="UK pounds"/>
    <s v="UK pounds"/>
    <x v="0"/>
    <s v="UK"/>
    <x v="2"/>
    <x v="0"/>
    <x v="2"/>
    <s v="Consistent"/>
    <x v="0"/>
  </r>
  <r>
    <x v="2536"/>
    <x v="0"/>
    <x v="63"/>
    <n v="5344331047"/>
    <n v="4670.84"/>
    <s v="UK pounds"/>
    <s v="UK pounds"/>
    <x v="0"/>
    <s v="UK"/>
    <x v="2"/>
    <x v="0"/>
    <x v="1"/>
    <s v="Consistent"/>
    <x v="0"/>
  </r>
  <r>
    <x v="2537"/>
    <x v="0"/>
    <x v="649"/>
    <n v="3220735304"/>
    <n v="7948.85"/>
    <s v="UK pounds"/>
    <s v="UK pounds"/>
    <x v="0"/>
    <s v="UK"/>
    <x v="5"/>
    <x v="0"/>
    <x v="3"/>
    <s v="Consistent"/>
    <x v="0"/>
  </r>
  <r>
    <x v="2538"/>
    <x v="0"/>
    <x v="2121"/>
    <n v="7171059697"/>
    <n v="4012.83"/>
    <s v="UK pounds"/>
    <s v="UK pounds"/>
    <x v="0"/>
    <s v="UK"/>
    <x v="3"/>
    <x v="0"/>
    <x v="2"/>
    <s v="Consistent"/>
    <x v="0"/>
  </r>
  <r>
    <x v="2539"/>
    <x v="0"/>
    <x v="2122"/>
    <n v="2580810242"/>
    <n v="1384.29"/>
    <s v="UK pounds"/>
    <s v="UK pounds"/>
    <x v="0"/>
    <s v="UK"/>
    <x v="0"/>
    <x v="0"/>
    <x v="0"/>
    <s v="Consistent"/>
    <x v="0"/>
  </r>
  <r>
    <x v="2540"/>
    <x v="0"/>
    <x v="20"/>
    <n v="3402269996"/>
    <n v="8100.32"/>
    <s v="UK pounds"/>
    <s v="UK pounds"/>
    <x v="0"/>
    <s v="UK"/>
    <x v="2"/>
    <x v="0"/>
    <x v="1"/>
    <s v="Consistent"/>
    <x v="0"/>
  </r>
  <r>
    <x v="2541"/>
    <x v="0"/>
    <x v="2123"/>
    <n v="3770534770"/>
    <n v="2028.1"/>
    <s v="UK pounds"/>
    <s v="UK pounds"/>
    <x v="0"/>
    <s v="UK"/>
    <x v="4"/>
    <x v="0"/>
    <x v="4"/>
    <s v="Consistent"/>
    <x v="0"/>
  </r>
  <r>
    <x v="2542"/>
    <x v="0"/>
    <x v="2124"/>
    <n v="270790087"/>
    <n v="467.46"/>
    <s v="UK pounds"/>
    <s v="UK pounds"/>
    <x v="0"/>
    <s v="UK"/>
    <x v="4"/>
    <x v="0"/>
    <x v="2"/>
    <s v="Consistent"/>
    <x v="0"/>
  </r>
  <r>
    <x v="2543"/>
    <x v="0"/>
    <x v="2125"/>
    <n v="6953672776"/>
    <n v="10473.18"/>
    <s v="UK pounds"/>
    <s v="Mexican Peso"/>
    <x v="0"/>
    <s v="Mexico"/>
    <x v="1"/>
    <x v="0"/>
    <x v="3"/>
    <s v="Potential Layering"/>
    <x v="0"/>
  </r>
  <r>
    <x v="2544"/>
    <x v="0"/>
    <x v="2126"/>
    <n v="2449644566"/>
    <n v="932.33"/>
    <s v="UK pounds"/>
    <s v="UK pounds"/>
    <x v="0"/>
    <s v="UK"/>
    <x v="2"/>
    <x v="0"/>
    <x v="2"/>
    <s v="Consistent"/>
    <x v="0"/>
  </r>
  <r>
    <x v="2545"/>
    <x v="0"/>
    <x v="1977"/>
    <n v="5418528318"/>
    <n v="3267.25"/>
    <s v="UK pounds"/>
    <s v="UK pounds"/>
    <x v="0"/>
    <s v="UK"/>
    <x v="2"/>
    <x v="0"/>
    <x v="2"/>
    <s v="Consistent"/>
    <x v="0"/>
  </r>
  <r>
    <x v="2545"/>
    <x v="0"/>
    <x v="2127"/>
    <n v="2442647982"/>
    <n v="276.35000000000002"/>
    <s v="UK pounds"/>
    <s v="UK pounds"/>
    <x v="0"/>
    <s v="UK"/>
    <x v="3"/>
    <x v="0"/>
    <x v="2"/>
    <s v="Consistent"/>
    <x v="0"/>
  </r>
  <r>
    <x v="2546"/>
    <x v="0"/>
    <x v="2128"/>
    <n v="6940605997"/>
    <n v="3246.22"/>
    <s v="UK pounds"/>
    <s v="UK pounds"/>
    <x v="0"/>
    <s v="UK"/>
    <x v="0"/>
    <x v="0"/>
    <x v="0"/>
    <s v="Consistent"/>
    <x v="0"/>
  </r>
  <r>
    <x v="2547"/>
    <x v="0"/>
    <x v="2129"/>
    <n v="7649191174"/>
    <n v="1412.34"/>
    <s v="UK pounds"/>
    <s v="UK pounds"/>
    <x v="0"/>
    <s v="UK"/>
    <x v="2"/>
    <x v="0"/>
    <x v="4"/>
    <s v="Consistent"/>
    <x v="0"/>
  </r>
  <r>
    <x v="2548"/>
    <x v="0"/>
    <x v="2130"/>
    <n v="9350697921"/>
    <n v="338.2"/>
    <s v="UK pounds"/>
    <s v="UK pounds"/>
    <x v="0"/>
    <s v="UK"/>
    <x v="3"/>
    <x v="0"/>
    <x v="2"/>
    <s v="Consistent"/>
    <x v="0"/>
  </r>
  <r>
    <x v="2548"/>
    <x v="0"/>
    <x v="2131"/>
    <n v="8352571580"/>
    <n v="4505.34"/>
    <s v="UK pounds"/>
    <s v="UK pounds"/>
    <x v="0"/>
    <s v="UK"/>
    <x v="4"/>
    <x v="0"/>
    <x v="3"/>
    <s v="Consistent"/>
    <x v="0"/>
  </r>
  <r>
    <x v="2549"/>
    <x v="0"/>
    <x v="63"/>
    <n v="1194597483"/>
    <n v="9289.7000000000007"/>
    <s v="UK pounds"/>
    <s v="UK pounds"/>
    <x v="0"/>
    <s v="UK"/>
    <x v="3"/>
    <x v="0"/>
    <x v="1"/>
    <s v="Consistent"/>
    <x v="0"/>
  </r>
  <r>
    <x v="2550"/>
    <x v="0"/>
    <x v="2132"/>
    <n v="5012637680"/>
    <n v="2067.5300000000002"/>
    <s v="UK pounds"/>
    <s v="UK pounds"/>
    <x v="0"/>
    <s v="UK"/>
    <x v="4"/>
    <x v="0"/>
    <x v="2"/>
    <s v="Consistent"/>
    <x v="0"/>
  </r>
  <r>
    <x v="2551"/>
    <x v="0"/>
    <x v="210"/>
    <n v="4967072739"/>
    <n v="4850.04"/>
    <s v="UK pounds"/>
    <s v="UK pounds"/>
    <x v="0"/>
    <s v="UK"/>
    <x v="4"/>
    <x v="0"/>
    <x v="1"/>
    <s v="Consistent"/>
    <x v="0"/>
  </r>
  <r>
    <x v="2552"/>
    <x v="0"/>
    <x v="494"/>
    <n v="6646502650"/>
    <n v="10121.52"/>
    <s v="UK pounds"/>
    <s v="Euro"/>
    <x v="0"/>
    <s v="France"/>
    <x v="1"/>
    <x v="0"/>
    <x v="3"/>
    <s v="Potential Layering"/>
    <x v="0"/>
  </r>
  <r>
    <x v="2553"/>
    <x v="0"/>
    <x v="1211"/>
    <n v="5896180453"/>
    <n v="7008.86"/>
    <s v="UK pounds"/>
    <s v="UK pounds"/>
    <x v="0"/>
    <s v="UK"/>
    <x v="2"/>
    <x v="0"/>
    <x v="3"/>
    <s v="Consistent"/>
    <x v="0"/>
  </r>
  <r>
    <x v="2554"/>
    <x v="0"/>
    <x v="644"/>
    <n v="1465487567"/>
    <n v="17596.21"/>
    <s v="UK pounds"/>
    <s v="UK pounds"/>
    <x v="0"/>
    <s v="UK"/>
    <x v="4"/>
    <x v="0"/>
    <x v="3"/>
    <s v="Consistent"/>
    <x v="0"/>
  </r>
  <r>
    <x v="2555"/>
    <x v="0"/>
    <x v="2133"/>
    <n v="1493436023"/>
    <n v="20801.07"/>
    <s v="UK pounds"/>
    <s v="UK pounds"/>
    <x v="0"/>
    <s v="UK"/>
    <x v="4"/>
    <x v="0"/>
    <x v="3"/>
    <s v="Consistent"/>
    <x v="0"/>
  </r>
  <r>
    <x v="2556"/>
    <x v="0"/>
    <x v="2134"/>
    <n v="5896180453"/>
    <n v="9970.93"/>
    <s v="UK pounds"/>
    <s v="UK pounds"/>
    <x v="0"/>
    <s v="UK"/>
    <x v="3"/>
    <x v="0"/>
    <x v="3"/>
    <s v="Consistent"/>
    <x v="0"/>
  </r>
  <r>
    <x v="2556"/>
    <x v="0"/>
    <x v="2005"/>
    <n v="7080357663"/>
    <n v="9537.39"/>
    <s v="UK pounds"/>
    <s v="UK pounds"/>
    <x v="0"/>
    <s v="UK"/>
    <x v="2"/>
    <x v="0"/>
    <x v="3"/>
    <s v="Consistent"/>
    <x v="0"/>
  </r>
  <r>
    <x v="2557"/>
    <x v="0"/>
    <x v="2135"/>
    <n v="9056158417"/>
    <n v="1382.61"/>
    <s v="UK pounds"/>
    <s v="UK pounds"/>
    <x v="0"/>
    <s v="UK"/>
    <x v="5"/>
    <x v="0"/>
    <x v="2"/>
    <s v="Consistent"/>
    <x v="0"/>
  </r>
  <r>
    <x v="2558"/>
    <x v="0"/>
    <x v="2136"/>
    <n v="7607499593"/>
    <n v="4700.58"/>
    <s v="UK pounds"/>
    <s v="UK pounds"/>
    <x v="0"/>
    <s v="UK"/>
    <x v="0"/>
    <x v="0"/>
    <x v="0"/>
    <s v="Consistent"/>
    <x v="0"/>
  </r>
  <r>
    <x v="2559"/>
    <x v="0"/>
    <x v="46"/>
    <n v="5903480509"/>
    <n v="7936.72"/>
    <s v="UK pounds"/>
    <s v="Euro"/>
    <x v="0"/>
    <s v="Italy"/>
    <x v="1"/>
    <x v="0"/>
    <x v="1"/>
    <s v="Potential Layering"/>
    <x v="0"/>
  </r>
  <r>
    <x v="2560"/>
    <x v="0"/>
    <x v="2137"/>
    <n v="306152338"/>
    <n v="17761.05"/>
    <s v="UK pounds"/>
    <s v="UK pounds"/>
    <x v="0"/>
    <s v="UK"/>
    <x v="5"/>
    <x v="0"/>
    <x v="2"/>
    <s v="Consistent"/>
    <x v="0"/>
  </r>
  <r>
    <x v="2560"/>
    <x v="0"/>
    <x v="2138"/>
    <n v="1702231858"/>
    <n v="3503.84"/>
    <s v="UK pounds"/>
    <s v="UK pounds"/>
    <x v="0"/>
    <s v="UK"/>
    <x v="2"/>
    <x v="0"/>
    <x v="2"/>
    <s v="Consistent"/>
    <x v="0"/>
  </r>
  <r>
    <x v="2561"/>
    <x v="0"/>
    <x v="427"/>
    <n v="6646502650"/>
    <n v="5210.79"/>
    <s v="UK pounds"/>
    <s v="Euro"/>
    <x v="0"/>
    <s v="France"/>
    <x v="1"/>
    <x v="0"/>
    <x v="3"/>
    <s v="Potential Layering"/>
    <x v="0"/>
  </r>
  <r>
    <x v="2562"/>
    <x v="0"/>
    <x v="2139"/>
    <n v="2967873171"/>
    <n v="1552.98"/>
    <s v="UK pounds"/>
    <s v="UK pounds"/>
    <x v="0"/>
    <s v="UK"/>
    <x v="4"/>
    <x v="0"/>
    <x v="2"/>
    <s v="Consistent"/>
    <x v="0"/>
  </r>
  <r>
    <x v="2563"/>
    <x v="0"/>
    <x v="150"/>
    <n v="7752965423"/>
    <n v="11219.98"/>
    <s v="UK pounds"/>
    <s v="UK pounds"/>
    <x v="0"/>
    <s v="UK"/>
    <x v="4"/>
    <x v="0"/>
    <x v="1"/>
    <s v="Consistent"/>
    <x v="0"/>
  </r>
  <r>
    <x v="2564"/>
    <x v="0"/>
    <x v="1870"/>
    <n v="7186185892"/>
    <n v="1353.23"/>
    <s v="UK pounds"/>
    <s v="UK pounds"/>
    <x v="0"/>
    <s v="UK"/>
    <x v="5"/>
    <x v="0"/>
    <x v="2"/>
    <s v="Consistent"/>
    <x v="0"/>
  </r>
  <r>
    <x v="2565"/>
    <x v="0"/>
    <x v="46"/>
    <n v="5903480509"/>
    <n v="7898.95"/>
    <s v="UK pounds"/>
    <s v="Euro"/>
    <x v="0"/>
    <s v="Italy"/>
    <x v="1"/>
    <x v="0"/>
    <x v="1"/>
    <s v="Potential Layering"/>
    <x v="0"/>
  </r>
  <r>
    <x v="2566"/>
    <x v="0"/>
    <x v="2140"/>
    <n v="4775867787"/>
    <n v="6076.03"/>
    <s v="UK pounds"/>
    <s v="UK pounds"/>
    <x v="0"/>
    <s v="UK"/>
    <x v="2"/>
    <x v="0"/>
    <x v="2"/>
    <s v="Consistent"/>
    <x v="0"/>
  </r>
  <r>
    <x v="2566"/>
    <x v="0"/>
    <x v="2141"/>
    <n v="4342674943"/>
    <n v="440.75"/>
    <s v="UK pounds"/>
    <s v="UK pounds"/>
    <x v="0"/>
    <s v="UK"/>
    <x v="3"/>
    <x v="0"/>
    <x v="2"/>
    <s v="Consistent"/>
    <x v="0"/>
  </r>
  <r>
    <x v="2567"/>
    <x v="0"/>
    <x v="2142"/>
    <n v="3593843926"/>
    <n v="2679.02"/>
    <s v="UK pounds"/>
    <s v="UK pounds"/>
    <x v="0"/>
    <s v="UK"/>
    <x v="4"/>
    <x v="0"/>
    <x v="2"/>
    <s v="Consistent"/>
    <x v="0"/>
  </r>
  <r>
    <x v="2568"/>
    <x v="0"/>
    <x v="195"/>
    <n v="5162401694"/>
    <n v="10648.51"/>
    <s v="UK pounds"/>
    <s v="UK pounds"/>
    <x v="0"/>
    <s v="UK"/>
    <x v="4"/>
    <x v="0"/>
    <x v="1"/>
    <s v="Consistent"/>
    <x v="0"/>
  </r>
  <r>
    <x v="2568"/>
    <x v="0"/>
    <x v="2143"/>
    <n v="6000644740"/>
    <n v="7237"/>
    <s v="UK pounds"/>
    <s v="UK pounds"/>
    <x v="0"/>
    <s v="UK"/>
    <x v="4"/>
    <x v="0"/>
    <x v="2"/>
    <s v="Consistent"/>
    <x v="0"/>
  </r>
  <r>
    <x v="2569"/>
    <x v="0"/>
    <x v="2144"/>
    <n v="8673917867"/>
    <n v="7723.71"/>
    <s v="UK pounds"/>
    <s v="UK pounds"/>
    <x v="0"/>
    <s v="UK"/>
    <x v="5"/>
    <x v="0"/>
    <x v="3"/>
    <s v="Consistent"/>
    <x v="0"/>
  </r>
  <r>
    <x v="2570"/>
    <x v="0"/>
    <x v="75"/>
    <n v="9757535272"/>
    <n v="11183.09"/>
    <s v="UK pounds"/>
    <s v="UK pounds"/>
    <x v="0"/>
    <s v="UK"/>
    <x v="2"/>
    <x v="0"/>
    <x v="1"/>
    <s v="Consistent"/>
    <x v="0"/>
  </r>
  <r>
    <x v="2571"/>
    <x v="0"/>
    <x v="2145"/>
    <n v="216432405"/>
    <n v="5588.14"/>
    <s v="UK pounds"/>
    <s v="UK pounds"/>
    <x v="0"/>
    <s v="UK"/>
    <x v="5"/>
    <x v="0"/>
    <x v="2"/>
    <s v="Consistent"/>
    <x v="0"/>
  </r>
  <r>
    <x v="2572"/>
    <x v="0"/>
    <x v="662"/>
    <n v="7713641622"/>
    <n v="10133.32"/>
    <s v="UK pounds"/>
    <s v="UK pounds"/>
    <x v="0"/>
    <s v="UK"/>
    <x v="5"/>
    <x v="0"/>
    <x v="6"/>
    <s v="Consistent"/>
    <x v="0"/>
  </r>
  <r>
    <x v="2573"/>
    <x v="0"/>
    <x v="2146"/>
    <n v="3398200543"/>
    <n v="1221.5999999999999"/>
    <s v="UK pounds"/>
    <s v="UK pounds"/>
    <x v="0"/>
    <s v="UK"/>
    <x v="5"/>
    <x v="0"/>
    <x v="2"/>
    <s v="Consistent"/>
    <x v="0"/>
  </r>
  <r>
    <x v="2574"/>
    <x v="0"/>
    <x v="734"/>
    <n v="6034997194"/>
    <n v="13387.52"/>
    <s v="Euro"/>
    <s v="UK pounds"/>
    <x v="12"/>
    <s v="UK"/>
    <x v="1"/>
    <x v="0"/>
    <x v="3"/>
    <s v="Potential Layering"/>
    <x v="0"/>
  </r>
  <r>
    <x v="2575"/>
    <x v="0"/>
    <x v="1594"/>
    <n v="4173195094"/>
    <n v="9809.51"/>
    <s v="UK pounds"/>
    <s v="UK pounds"/>
    <x v="0"/>
    <s v="UK"/>
    <x v="5"/>
    <x v="0"/>
    <x v="3"/>
    <s v="Consistent"/>
    <x v="0"/>
  </r>
  <r>
    <x v="2575"/>
    <x v="0"/>
    <x v="2147"/>
    <n v="5466123934"/>
    <n v="15340.92"/>
    <s v="UK pounds"/>
    <s v="UK pounds"/>
    <x v="0"/>
    <s v="UK"/>
    <x v="4"/>
    <x v="0"/>
    <x v="3"/>
    <s v="Consistent"/>
    <x v="0"/>
  </r>
  <r>
    <x v="2576"/>
    <x v="0"/>
    <x v="149"/>
    <n v="8861171324"/>
    <n v="10680.81"/>
    <s v="UK pounds"/>
    <s v="UK pounds"/>
    <x v="0"/>
    <s v="UK"/>
    <x v="3"/>
    <x v="0"/>
    <x v="1"/>
    <s v="Consistent"/>
    <x v="0"/>
  </r>
  <r>
    <x v="2577"/>
    <x v="0"/>
    <x v="2148"/>
    <n v="4293580479"/>
    <n v="5556.64"/>
    <s v="UK pounds"/>
    <s v="UK pounds"/>
    <x v="0"/>
    <s v="UK"/>
    <x v="2"/>
    <x v="0"/>
    <x v="3"/>
    <s v="Consistent"/>
    <x v="0"/>
  </r>
  <r>
    <x v="2578"/>
    <x v="0"/>
    <x v="1447"/>
    <n v="5103043844"/>
    <n v="6508.27"/>
    <s v="UK pounds"/>
    <s v="Naira"/>
    <x v="0"/>
    <s v="Nigeria"/>
    <x v="1"/>
    <x v="0"/>
    <x v="3"/>
    <s v="Potential Layering"/>
    <x v="0"/>
  </r>
  <r>
    <x v="2578"/>
    <x v="0"/>
    <x v="46"/>
    <n v="1509557999"/>
    <n v="15926.5"/>
    <s v="UK pounds"/>
    <s v="UK pounds"/>
    <x v="0"/>
    <s v="UK"/>
    <x v="5"/>
    <x v="0"/>
    <x v="1"/>
    <s v="Consistent"/>
    <x v="0"/>
  </r>
  <r>
    <x v="2578"/>
    <x v="0"/>
    <x v="1219"/>
    <n v="409707192"/>
    <n v="6141.15"/>
    <s v="UK pounds"/>
    <s v="UK pounds"/>
    <x v="0"/>
    <s v="UK"/>
    <x v="3"/>
    <x v="0"/>
    <x v="3"/>
    <s v="Consistent"/>
    <x v="0"/>
  </r>
  <r>
    <x v="2578"/>
    <x v="0"/>
    <x v="2149"/>
    <n v="7344703677"/>
    <n v="3004.69"/>
    <s v="UK pounds"/>
    <s v="UK pounds"/>
    <x v="0"/>
    <s v="UK"/>
    <x v="2"/>
    <x v="0"/>
    <x v="4"/>
    <s v="Consistent"/>
    <x v="0"/>
  </r>
  <r>
    <x v="2579"/>
    <x v="0"/>
    <x v="2150"/>
    <n v="7946546044"/>
    <n v="4988.75"/>
    <s v="UK pounds"/>
    <s v="UK pounds"/>
    <x v="0"/>
    <s v="UK"/>
    <x v="3"/>
    <x v="0"/>
    <x v="2"/>
    <s v="Consistent"/>
    <x v="0"/>
  </r>
  <r>
    <x v="2580"/>
    <x v="0"/>
    <x v="2151"/>
    <n v="8939591778"/>
    <n v="476.1"/>
    <s v="UK pounds"/>
    <s v="UK pounds"/>
    <x v="0"/>
    <s v="UK"/>
    <x v="5"/>
    <x v="0"/>
    <x v="2"/>
    <s v="Consistent"/>
    <x v="0"/>
  </r>
  <r>
    <x v="2580"/>
    <x v="0"/>
    <x v="40"/>
    <n v="1675218057"/>
    <n v="7621.78"/>
    <s v="UK pounds"/>
    <s v="UK pounds"/>
    <x v="0"/>
    <s v="UK"/>
    <x v="4"/>
    <x v="0"/>
    <x v="1"/>
    <s v="Consistent"/>
    <x v="0"/>
  </r>
  <r>
    <x v="2581"/>
    <x v="0"/>
    <x v="2152"/>
    <n v="8513822796"/>
    <n v="586.1"/>
    <s v="UK pounds"/>
    <s v="UK pounds"/>
    <x v="0"/>
    <s v="UK"/>
    <x v="0"/>
    <x v="0"/>
    <x v="0"/>
    <s v="Consistent"/>
    <x v="0"/>
  </r>
  <r>
    <x v="2581"/>
    <x v="0"/>
    <x v="920"/>
    <n v="5363117119"/>
    <n v="9551.59"/>
    <s v="UK pounds"/>
    <s v="UK pounds"/>
    <x v="0"/>
    <s v="UK"/>
    <x v="5"/>
    <x v="0"/>
    <x v="3"/>
    <s v="Consistent"/>
    <x v="0"/>
  </r>
  <r>
    <x v="2582"/>
    <x v="0"/>
    <x v="2153"/>
    <n v="8770129427"/>
    <n v="156.38999999999999"/>
    <s v="UK pounds"/>
    <s v="UK pounds"/>
    <x v="0"/>
    <s v="UK"/>
    <x v="3"/>
    <x v="0"/>
    <x v="2"/>
    <s v="Consistent"/>
    <x v="0"/>
  </r>
  <r>
    <x v="2583"/>
    <x v="0"/>
    <x v="2154"/>
    <n v="6844932076"/>
    <n v="3755.83"/>
    <s v="UK pounds"/>
    <s v="UK pounds"/>
    <x v="0"/>
    <s v="UK"/>
    <x v="5"/>
    <x v="0"/>
    <x v="2"/>
    <s v="Consistent"/>
    <x v="0"/>
  </r>
  <r>
    <x v="2583"/>
    <x v="0"/>
    <x v="2155"/>
    <n v="1220741242"/>
    <n v="11100.77"/>
    <s v="UK pounds"/>
    <s v="UK pounds"/>
    <x v="0"/>
    <s v="UK"/>
    <x v="4"/>
    <x v="0"/>
    <x v="2"/>
    <s v="Consistent"/>
    <x v="0"/>
  </r>
  <r>
    <x v="2584"/>
    <x v="0"/>
    <x v="2156"/>
    <n v="5708556305"/>
    <n v="739.64"/>
    <s v="UK pounds"/>
    <s v="UK pounds"/>
    <x v="0"/>
    <s v="UK"/>
    <x v="4"/>
    <x v="0"/>
    <x v="2"/>
    <s v="Consistent"/>
    <x v="0"/>
  </r>
  <r>
    <x v="2585"/>
    <x v="0"/>
    <x v="2157"/>
    <n v="2710108791"/>
    <n v="8727.06"/>
    <s v="UK pounds"/>
    <s v="UK pounds"/>
    <x v="0"/>
    <s v="UK"/>
    <x v="2"/>
    <x v="0"/>
    <x v="4"/>
    <s v="Consistent"/>
    <x v="0"/>
  </r>
  <r>
    <x v="2585"/>
    <x v="0"/>
    <x v="2158"/>
    <n v="9349227107"/>
    <n v="6302.02"/>
    <s v="UK pounds"/>
    <s v="UK pounds"/>
    <x v="0"/>
    <s v="UK"/>
    <x v="2"/>
    <x v="0"/>
    <x v="4"/>
    <s v="Consistent"/>
    <x v="0"/>
  </r>
  <r>
    <x v="2586"/>
    <x v="0"/>
    <x v="2159"/>
    <n v="2138505015"/>
    <n v="5034.82"/>
    <s v="UK pounds"/>
    <s v="Dirham"/>
    <x v="0"/>
    <s v="UAE"/>
    <x v="1"/>
    <x v="0"/>
    <x v="3"/>
    <s v="Potential Layering"/>
    <x v="0"/>
  </r>
  <r>
    <x v="2586"/>
    <x v="0"/>
    <x v="81"/>
    <n v="4851478280"/>
    <n v="4476.57"/>
    <s v="UK pounds"/>
    <s v="UK pounds"/>
    <x v="0"/>
    <s v="UK"/>
    <x v="5"/>
    <x v="0"/>
    <x v="1"/>
    <s v="Consistent"/>
    <x v="0"/>
  </r>
  <r>
    <x v="2587"/>
    <x v="0"/>
    <x v="288"/>
    <n v="6034997194"/>
    <n v="15432.68"/>
    <s v="UK pounds"/>
    <s v="UK pounds"/>
    <x v="0"/>
    <s v="UK"/>
    <x v="4"/>
    <x v="0"/>
    <x v="3"/>
    <s v="Consistent"/>
    <x v="0"/>
  </r>
  <r>
    <x v="2588"/>
    <x v="0"/>
    <x v="2160"/>
    <n v="5243319221"/>
    <n v="4678.43"/>
    <s v="UK pounds"/>
    <s v="UK pounds"/>
    <x v="0"/>
    <s v="UK"/>
    <x v="4"/>
    <x v="0"/>
    <x v="2"/>
    <s v="Consistent"/>
    <x v="0"/>
  </r>
  <r>
    <x v="2588"/>
    <x v="0"/>
    <x v="1364"/>
    <n v="1493436023"/>
    <n v="10040.870000000001"/>
    <s v="UK pounds"/>
    <s v="UK pounds"/>
    <x v="0"/>
    <s v="UK"/>
    <x v="4"/>
    <x v="0"/>
    <x v="3"/>
    <s v="Consistent"/>
    <x v="0"/>
  </r>
  <r>
    <x v="2589"/>
    <x v="0"/>
    <x v="63"/>
    <n v="2341493832"/>
    <n v="7883.86"/>
    <s v="UK pounds"/>
    <s v="UK pounds"/>
    <x v="0"/>
    <s v="UK"/>
    <x v="3"/>
    <x v="0"/>
    <x v="1"/>
    <s v="Consistent"/>
    <x v="0"/>
  </r>
  <r>
    <x v="2590"/>
    <x v="0"/>
    <x v="164"/>
    <n v="4336977506"/>
    <n v="7234.39"/>
    <s v="UK pounds"/>
    <s v="UK pounds"/>
    <x v="0"/>
    <s v="UK"/>
    <x v="4"/>
    <x v="0"/>
    <x v="3"/>
    <s v="Consistent"/>
    <x v="0"/>
  </r>
  <r>
    <x v="2591"/>
    <x v="0"/>
    <x v="51"/>
    <n v="7715811349"/>
    <n v="6953.54"/>
    <s v="UK pounds"/>
    <s v="UK pounds"/>
    <x v="0"/>
    <s v="UK"/>
    <x v="3"/>
    <x v="0"/>
    <x v="1"/>
    <s v="Consistent"/>
    <x v="0"/>
  </r>
  <r>
    <x v="2592"/>
    <x v="0"/>
    <x v="2161"/>
    <n v="5268552509"/>
    <n v="132.1"/>
    <s v="UK pounds"/>
    <s v="UK pounds"/>
    <x v="0"/>
    <s v="UK"/>
    <x v="3"/>
    <x v="0"/>
    <x v="2"/>
    <s v="Consistent"/>
    <x v="0"/>
  </r>
  <r>
    <x v="2593"/>
    <x v="0"/>
    <x v="35"/>
    <n v="2749487707"/>
    <n v="7984.9"/>
    <s v="UK pounds"/>
    <s v="Euro"/>
    <x v="0"/>
    <s v="France"/>
    <x v="1"/>
    <x v="0"/>
    <x v="1"/>
    <s v="Potential Layering"/>
    <x v="0"/>
  </r>
  <r>
    <x v="2594"/>
    <x v="0"/>
    <x v="2162"/>
    <n v="7198324572"/>
    <n v="197.59"/>
    <s v="UK pounds"/>
    <s v="UK pounds"/>
    <x v="0"/>
    <s v="UK"/>
    <x v="6"/>
    <x v="0"/>
    <x v="5"/>
    <s v="Consistent"/>
    <x v="0"/>
  </r>
  <r>
    <x v="2594"/>
    <x v="0"/>
    <x v="2163"/>
    <n v="1945718877"/>
    <n v="2288.3000000000002"/>
    <s v="UK pounds"/>
    <s v="UK pounds"/>
    <x v="0"/>
    <s v="UK"/>
    <x v="4"/>
    <x v="0"/>
    <x v="2"/>
    <s v="Consistent"/>
    <x v="0"/>
  </r>
  <r>
    <x v="2595"/>
    <x v="0"/>
    <x v="2164"/>
    <n v="1238586959"/>
    <n v="27722.18"/>
    <s v="UK pounds"/>
    <s v="UK pounds"/>
    <x v="0"/>
    <s v="UK"/>
    <x v="5"/>
    <x v="0"/>
    <x v="2"/>
    <s v="Consistent"/>
    <x v="0"/>
  </r>
  <r>
    <x v="2596"/>
    <x v="0"/>
    <x v="2165"/>
    <n v="5181479443"/>
    <n v="223.96"/>
    <s v="UK pounds"/>
    <s v="UK pounds"/>
    <x v="0"/>
    <s v="UK"/>
    <x v="4"/>
    <x v="0"/>
    <x v="2"/>
    <s v="Consistent"/>
    <x v="0"/>
  </r>
  <r>
    <x v="2597"/>
    <x v="0"/>
    <x v="40"/>
    <n v="3794172311"/>
    <n v="6986.29"/>
    <s v="UK pounds"/>
    <s v="UK pounds"/>
    <x v="0"/>
    <s v="UK"/>
    <x v="2"/>
    <x v="0"/>
    <x v="1"/>
    <s v="Consistent"/>
    <x v="0"/>
  </r>
  <r>
    <x v="2597"/>
    <x v="0"/>
    <x v="339"/>
    <n v="2176869707"/>
    <n v="18626.07"/>
    <s v="UK pounds"/>
    <s v="UK pounds"/>
    <x v="0"/>
    <s v="UK"/>
    <x v="5"/>
    <x v="0"/>
    <x v="1"/>
    <s v="Consistent"/>
    <x v="0"/>
  </r>
  <r>
    <x v="2598"/>
    <x v="0"/>
    <x v="687"/>
    <n v="3555966786"/>
    <n v="2200.6"/>
    <s v="UK pounds"/>
    <s v="UK pounds"/>
    <x v="0"/>
    <s v="UK"/>
    <x v="3"/>
    <x v="0"/>
    <x v="6"/>
    <s v="Consistent"/>
    <x v="0"/>
  </r>
  <r>
    <x v="2599"/>
    <x v="0"/>
    <x v="2166"/>
    <n v="1347973695"/>
    <n v="431.7"/>
    <s v="UK pounds"/>
    <s v="UK pounds"/>
    <x v="0"/>
    <s v="UK"/>
    <x v="3"/>
    <x v="0"/>
    <x v="2"/>
    <s v="Consistent"/>
    <x v="0"/>
  </r>
  <r>
    <x v="2600"/>
    <x v="0"/>
    <x v="2167"/>
    <n v="942819998"/>
    <n v="1045.47"/>
    <s v="UK pounds"/>
    <s v="UK pounds"/>
    <x v="0"/>
    <s v="UK"/>
    <x v="2"/>
    <x v="0"/>
    <x v="2"/>
    <s v="Consistent"/>
    <x v="0"/>
  </r>
  <r>
    <x v="2601"/>
    <x v="0"/>
    <x v="2168"/>
    <n v="8789372878"/>
    <n v="581.73"/>
    <s v="UK pounds"/>
    <s v="UK pounds"/>
    <x v="0"/>
    <s v="UK"/>
    <x v="2"/>
    <x v="0"/>
    <x v="2"/>
    <s v="Consistent"/>
    <x v="0"/>
  </r>
  <r>
    <x v="2602"/>
    <x v="0"/>
    <x v="2169"/>
    <n v="9222079021"/>
    <n v="879.43"/>
    <s v="UK pounds"/>
    <s v="UK pounds"/>
    <x v="0"/>
    <s v="UK"/>
    <x v="5"/>
    <x v="0"/>
    <x v="2"/>
    <s v="Consistent"/>
    <x v="0"/>
  </r>
  <r>
    <x v="2603"/>
    <x v="0"/>
    <x v="2170"/>
    <n v="2327833614"/>
    <n v="3089.75"/>
    <s v="UK pounds"/>
    <s v="UK pounds"/>
    <x v="0"/>
    <s v="UK"/>
    <x v="4"/>
    <x v="0"/>
    <x v="2"/>
    <s v="Consistent"/>
    <x v="0"/>
  </r>
  <r>
    <x v="2604"/>
    <x v="0"/>
    <x v="2171"/>
    <n v="6292966139"/>
    <n v="4213.1000000000004"/>
    <s v="UK pounds"/>
    <s v="UK pounds"/>
    <x v="0"/>
    <s v="UK"/>
    <x v="5"/>
    <x v="0"/>
    <x v="2"/>
    <s v="Consistent"/>
    <x v="0"/>
  </r>
  <r>
    <x v="2605"/>
    <x v="0"/>
    <x v="2172"/>
    <n v="3040951732"/>
    <n v="1374.47"/>
    <s v="UK pounds"/>
    <s v="UK pounds"/>
    <x v="0"/>
    <s v="UK"/>
    <x v="0"/>
    <x v="0"/>
    <x v="0"/>
    <s v="Consistent"/>
    <x v="0"/>
  </r>
  <r>
    <x v="2606"/>
    <x v="0"/>
    <x v="2173"/>
    <n v="4464729965"/>
    <n v="4124.07"/>
    <s v="UK pounds"/>
    <s v="UK pounds"/>
    <x v="0"/>
    <s v="UK"/>
    <x v="0"/>
    <x v="0"/>
    <x v="0"/>
    <s v="Consistent"/>
    <x v="0"/>
  </r>
  <r>
    <x v="2607"/>
    <x v="0"/>
    <x v="2174"/>
    <n v="9376574500"/>
    <n v="53663.92"/>
    <s v="UK pounds"/>
    <s v="UK pounds"/>
    <x v="0"/>
    <s v="UK"/>
    <x v="5"/>
    <x v="0"/>
    <x v="8"/>
    <s v="Consistent"/>
    <x v="0"/>
  </r>
  <r>
    <x v="2608"/>
    <x v="0"/>
    <x v="2175"/>
    <n v="5800480436"/>
    <n v="750.54"/>
    <s v="UK pounds"/>
    <s v="UK pounds"/>
    <x v="0"/>
    <s v="UK"/>
    <x v="4"/>
    <x v="0"/>
    <x v="2"/>
    <s v="Consistent"/>
    <x v="0"/>
  </r>
  <r>
    <x v="2609"/>
    <x v="0"/>
    <x v="1294"/>
    <n v="1465487567"/>
    <n v="7008.08"/>
    <s v="UK pounds"/>
    <s v="UK pounds"/>
    <x v="0"/>
    <s v="UK"/>
    <x v="5"/>
    <x v="0"/>
    <x v="3"/>
    <s v="Consistent"/>
    <x v="0"/>
  </r>
  <r>
    <x v="2610"/>
    <x v="0"/>
    <x v="2176"/>
    <n v="3291329620"/>
    <n v="5197.9799999999996"/>
    <s v="UK pounds"/>
    <s v="UK pounds"/>
    <x v="0"/>
    <s v="UK"/>
    <x v="2"/>
    <x v="0"/>
    <x v="2"/>
    <s v="Consistent"/>
    <x v="0"/>
  </r>
  <r>
    <x v="2610"/>
    <x v="0"/>
    <x v="1988"/>
    <n v="4270865741"/>
    <n v="7722.08"/>
    <s v="UK pounds"/>
    <s v="UK pounds"/>
    <x v="0"/>
    <s v="UK"/>
    <x v="5"/>
    <x v="0"/>
    <x v="3"/>
    <s v="Consistent"/>
    <x v="0"/>
  </r>
  <r>
    <x v="2611"/>
    <x v="0"/>
    <x v="2177"/>
    <n v="6718144837"/>
    <n v="8892.2000000000007"/>
    <s v="UK pounds"/>
    <s v="Mexican Peso"/>
    <x v="0"/>
    <s v="Mexico"/>
    <x v="1"/>
    <x v="0"/>
    <x v="2"/>
    <s v="Potential Layering"/>
    <x v="0"/>
  </r>
  <r>
    <x v="2612"/>
    <x v="0"/>
    <x v="868"/>
    <n v="6646502650"/>
    <n v="8512.52"/>
    <s v="UK pounds"/>
    <s v="Euro"/>
    <x v="0"/>
    <s v="France"/>
    <x v="1"/>
    <x v="0"/>
    <x v="3"/>
    <s v="Potential Layering"/>
    <x v="0"/>
  </r>
  <r>
    <x v="2613"/>
    <x v="0"/>
    <x v="2178"/>
    <n v="2934751586"/>
    <n v="2405.12"/>
    <s v="UK pounds"/>
    <s v="UK pounds"/>
    <x v="0"/>
    <s v="UK"/>
    <x v="0"/>
    <x v="0"/>
    <x v="0"/>
    <s v="Consistent"/>
    <x v="0"/>
  </r>
  <r>
    <x v="2614"/>
    <x v="0"/>
    <x v="333"/>
    <n v="3353913084"/>
    <n v="1391.86"/>
    <s v="UK pounds"/>
    <s v="UK pounds"/>
    <x v="0"/>
    <s v="UK"/>
    <x v="4"/>
    <x v="0"/>
    <x v="6"/>
    <s v="Consistent"/>
    <x v="0"/>
  </r>
  <r>
    <x v="2615"/>
    <x v="0"/>
    <x v="2179"/>
    <n v="1657787062"/>
    <n v="99.44"/>
    <s v="UK pounds"/>
    <s v="UK pounds"/>
    <x v="0"/>
    <s v="UK"/>
    <x v="4"/>
    <x v="0"/>
    <x v="2"/>
    <s v="Consistent"/>
    <x v="0"/>
  </r>
  <r>
    <x v="2616"/>
    <x v="0"/>
    <x v="2180"/>
    <n v="6646502650"/>
    <n v="6284.79"/>
    <s v="UK pounds"/>
    <s v="Euro"/>
    <x v="0"/>
    <s v="France"/>
    <x v="1"/>
    <x v="0"/>
    <x v="3"/>
    <s v="Potential Layering"/>
    <x v="0"/>
  </r>
  <r>
    <x v="2617"/>
    <x v="0"/>
    <x v="2181"/>
    <n v="9371425801"/>
    <n v="9597.0300000000007"/>
    <s v="UK pounds"/>
    <s v="UK pounds"/>
    <x v="0"/>
    <s v="UK"/>
    <x v="2"/>
    <x v="0"/>
    <x v="2"/>
    <s v="Consistent"/>
    <x v="0"/>
  </r>
  <r>
    <x v="2618"/>
    <x v="0"/>
    <x v="2182"/>
    <n v="1978540456"/>
    <n v="3485.33"/>
    <s v="UK pounds"/>
    <s v="UK pounds"/>
    <x v="0"/>
    <s v="UK"/>
    <x v="0"/>
    <x v="0"/>
    <x v="0"/>
    <s v="Consistent"/>
    <x v="0"/>
  </r>
  <r>
    <x v="2619"/>
    <x v="0"/>
    <x v="1521"/>
    <n v="8334222412"/>
    <n v="1962.56"/>
    <s v="UK pounds"/>
    <s v="UK pounds"/>
    <x v="0"/>
    <s v="UK"/>
    <x v="2"/>
    <x v="0"/>
    <x v="2"/>
    <s v="Consistent"/>
    <x v="0"/>
  </r>
  <r>
    <x v="2620"/>
    <x v="0"/>
    <x v="2183"/>
    <n v="6223365730"/>
    <n v="5924.72"/>
    <s v="UK pounds"/>
    <s v="UK pounds"/>
    <x v="0"/>
    <s v="UK"/>
    <x v="3"/>
    <x v="0"/>
    <x v="3"/>
    <s v="Consistent"/>
    <x v="0"/>
  </r>
  <r>
    <x v="2620"/>
    <x v="0"/>
    <x v="2184"/>
    <n v="6797815376"/>
    <n v="2918.54"/>
    <s v="UK pounds"/>
    <s v="UK pounds"/>
    <x v="0"/>
    <s v="UK"/>
    <x v="2"/>
    <x v="0"/>
    <x v="4"/>
    <s v="Consistent"/>
    <x v="0"/>
  </r>
  <r>
    <x v="2621"/>
    <x v="0"/>
    <x v="2185"/>
    <n v="7634251729"/>
    <n v="573.54999999999995"/>
    <s v="UK pounds"/>
    <s v="UK pounds"/>
    <x v="0"/>
    <s v="UK"/>
    <x v="0"/>
    <x v="0"/>
    <x v="0"/>
    <s v="Consistent"/>
    <x v="0"/>
  </r>
  <r>
    <x v="2621"/>
    <x v="0"/>
    <x v="46"/>
    <n v="4409725873"/>
    <n v="8226.9500000000007"/>
    <s v="UK pounds"/>
    <s v="UK pounds"/>
    <x v="0"/>
    <s v="UK"/>
    <x v="3"/>
    <x v="0"/>
    <x v="1"/>
    <s v="Consistent"/>
    <x v="0"/>
  </r>
  <r>
    <x v="2622"/>
    <x v="0"/>
    <x v="238"/>
    <n v="4917300261"/>
    <n v="6163.57"/>
    <s v="UK pounds"/>
    <s v="UK pounds"/>
    <x v="0"/>
    <s v="UK"/>
    <x v="3"/>
    <x v="0"/>
    <x v="1"/>
    <s v="Consistent"/>
    <x v="0"/>
  </r>
  <r>
    <x v="2623"/>
    <x v="0"/>
    <x v="2186"/>
    <n v="5701859955"/>
    <n v="2525.9299999999998"/>
    <s v="UK pounds"/>
    <s v="UK pounds"/>
    <x v="0"/>
    <s v="UK"/>
    <x v="4"/>
    <x v="0"/>
    <x v="4"/>
    <s v="Consistent"/>
    <x v="0"/>
  </r>
  <r>
    <x v="2624"/>
    <x v="0"/>
    <x v="2187"/>
    <n v="8609841521"/>
    <n v="1363"/>
    <s v="UK pounds"/>
    <s v="UK pounds"/>
    <x v="0"/>
    <s v="UK"/>
    <x v="4"/>
    <x v="0"/>
    <x v="2"/>
    <s v="Consistent"/>
    <x v="0"/>
  </r>
  <r>
    <x v="2625"/>
    <x v="0"/>
    <x v="2188"/>
    <n v="8803744387"/>
    <n v="10032.94"/>
    <s v="UK pounds"/>
    <s v="UK pounds"/>
    <x v="0"/>
    <s v="UK"/>
    <x v="4"/>
    <x v="0"/>
    <x v="2"/>
    <s v="Consistent"/>
    <x v="0"/>
  </r>
  <r>
    <x v="2626"/>
    <x v="0"/>
    <x v="61"/>
    <n v="1984629662"/>
    <n v="6852.19"/>
    <s v="UK pounds"/>
    <s v="Euro"/>
    <x v="0"/>
    <s v="Netherlands"/>
    <x v="1"/>
    <x v="0"/>
    <x v="1"/>
    <s v="Potential Layering"/>
    <x v="0"/>
  </r>
  <r>
    <x v="2627"/>
    <x v="0"/>
    <x v="1208"/>
    <n v="1493436023"/>
    <n v="33221.06"/>
    <s v="UK pounds"/>
    <s v="UK pounds"/>
    <x v="0"/>
    <s v="UK"/>
    <x v="2"/>
    <x v="0"/>
    <x v="3"/>
    <s v="Consistent"/>
    <x v="0"/>
  </r>
  <r>
    <x v="2628"/>
    <x v="0"/>
    <x v="2189"/>
    <n v="7075009013"/>
    <n v="665.78"/>
    <s v="UK pounds"/>
    <s v="UK pounds"/>
    <x v="0"/>
    <s v="UK"/>
    <x v="3"/>
    <x v="0"/>
    <x v="2"/>
    <s v="Consistent"/>
    <x v="0"/>
  </r>
  <r>
    <x v="2629"/>
    <x v="0"/>
    <x v="1318"/>
    <n v="5363117119"/>
    <n v="12764.79"/>
    <s v="UK pounds"/>
    <s v="UK pounds"/>
    <x v="0"/>
    <s v="UK"/>
    <x v="2"/>
    <x v="0"/>
    <x v="3"/>
    <s v="Consistent"/>
    <x v="0"/>
  </r>
  <r>
    <x v="2630"/>
    <x v="0"/>
    <x v="46"/>
    <n v="1509557999"/>
    <n v="15842.18"/>
    <s v="UK pounds"/>
    <s v="UK pounds"/>
    <x v="0"/>
    <s v="UK"/>
    <x v="4"/>
    <x v="0"/>
    <x v="1"/>
    <s v="Consistent"/>
    <x v="0"/>
  </r>
  <r>
    <x v="2631"/>
    <x v="0"/>
    <x v="826"/>
    <n v="5466123934"/>
    <n v="7732.96"/>
    <s v="UK pounds"/>
    <s v="UK pounds"/>
    <x v="0"/>
    <s v="UK"/>
    <x v="4"/>
    <x v="0"/>
    <x v="3"/>
    <s v="Consistent"/>
    <x v="0"/>
  </r>
  <r>
    <x v="2632"/>
    <x v="0"/>
    <x v="2190"/>
    <n v="5267203008"/>
    <n v="15249.93"/>
    <s v="UK pounds"/>
    <s v="UK pounds"/>
    <x v="0"/>
    <s v="UK"/>
    <x v="5"/>
    <x v="0"/>
    <x v="2"/>
    <s v="Consistent"/>
    <x v="0"/>
  </r>
  <r>
    <x v="2632"/>
    <x v="0"/>
    <x v="1856"/>
    <n v="9600420220"/>
    <n v="14143.32"/>
    <s v="UK pounds"/>
    <s v="UK pounds"/>
    <x v="0"/>
    <s v="UK"/>
    <x v="2"/>
    <x v="0"/>
    <x v="3"/>
    <s v="Consistent"/>
    <x v="0"/>
  </r>
  <r>
    <x v="2633"/>
    <x v="0"/>
    <x v="2191"/>
    <n v="6186231810"/>
    <n v="82452.72"/>
    <s v="UK pounds"/>
    <s v="UK pounds"/>
    <x v="0"/>
    <s v="UK"/>
    <x v="5"/>
    <x v="0"/>
    <x v="11"/>
    <s v="Consistent"/>
    <x v="0"/>
  </r>
  <r>
    <x v="2634"/>
    <x v="0"/>
    <x v="2138"/>
    <n v="4083711024"/>
    <n v="2084.25"/>
    <s v="UK pounds"/>
    <s v="UK pounds"/>
    <x v="0"/>
    <s v="UK"/>
    <x v="5"/>
    <x v="0"/>
    <x v="2"/>
    <s v="Consistent"/>
    <x v="0"/>
  </r>
  <r>
    <x v="2635"/>
    <x v="0"/>
    <x v="1540"/>
    <n v="1627096143"/>
    <n v="809.76"/>
    <s v="UK pounds"/>
    <s v="UK pounds"/>
    <x v="0"/>
    <s v="UK"/>
    <x v="5"/>
    <x v="0"/>
    <x v="4"/>
    <s v="Consistent"/>
    <x v="0"/>
  </r>
  <r>
    <x v="2636"/>
    <x v="0"/>
    <x v="866"/>
    <n v="1316458123"/>
    <n v="6450.64"/>
    <s v="UK pounds"/>
    <s v="Mexican Peso"/>
    <x v="0"/>
    <s v="Mexico"/>
    <x v="1"/>
    <x v="0"/>
    <x v="3"/>
    <s v="Potential Layering"/>
    <x v="0"/>
  </r>
  <r>
    <x v="2637"/>
    <x v="0"/>
    <x v="2192"/>
    <n v="2915325387"/>
    <n v="2873.47"/>
    <s v="UK pounds"/>
    <s v="UK pounds"/>
    <x v="0"/>
    <s v="UK"/>
    <x v="3"/>
    <x v="0"/>
    <x v="4"/>
    <s v="Consistent"/>
    <x v="0"/>
  </r>
  <r>
    <x v="2638"/>
    <x v="0"/>
    <x v="2193"/>
    <n v="72498599"/>
    <n v="15382.01"/>
    <s v="UK pounds"/>
    <s v="UK pounds"/>
    <x v="0"/>
    <s v="UK"/>
    <x v="4"/>
    <x v="0"/>
    <x v="2"/>
    <s v="Consistent"/>
    <x v="0"/>
  </r>
  <r>
    <x v="2638"/>
    <x v="0"/>
    <x v="2194"/>
    <n v="6937779697"/>
    <n v="981.49"/>
    <s v="UK pounds"/>
    <s v="UK pounds"/>
    <x v="0"/>
    <s v="UK"/>
    <x v="5"/>
    <x v="0"/>
    <x v="2"/>
    <s v="Consistent"/>
    <x v="0"/>
  </r>
  <r>
    <x v="2638"/>
    <x v="0"/>
    <x v="2195"/>
    <n v="1316458123"/>
    <n v="12963.47"/>
    <s v="UK pounds"/>
    <s v="Mexican Peso"/>
    <x v="0"/>
    <s v="Mexico"/>
    <x v="1"/>
    <x v="0"/>
    <x v="3"/>
    <s v="Potential Layering"/>
    <x v="0"/>
  </r>
  <r>
    <x v="2639"/>
    <x v="0"/>
    <x v="2196"/>
    <n v="9716435258"/>
    <n v="28896.22"/>
    <s v="UK pounds"/>
    <s v="UK pounds"/>
    <x v="0"/>
    <s v="UK"/>
    <x v="3"/>
    <x v="0"/>
    <x v="8"/>
    <s v="Consistent"/>
    <x v="0"/>
  </r>
  <r>
    <x v="2639"/>
    <x v="0"/>
    <x v="2197"/>
    <n v="1667302057"/>
    <n v="8677.59"/>
    <s v="UK pounds"/>
    <s v="UK pounds"/>
    <x v="0"/>
    <s v="UK"/>
    <x v="4"/>
    <x v="0"/>
    <x v="2"/>
    <s v="Consistent"/>
    <x v="0"/>
  </r>
  <r>
    <x v="2639"/>
    <x v="0"/>
    <x v="208"/>
    <n v="7199625988"/>
    <n v="15648.6"/>
    <s v="UK pounds"/>
    <s v="UK pounds"/>
    <x v="0"/>
    <s v="UK"/>
    <x v="3"/>
    <x v="0"/>
    <x v="3"/>
    <s v="Consistent"/>
    <x v="0"/>
  </r>
  <r>
    <x v="2640"/>
    <x v="0"/>
    <x v="163"/>
    <n v="5745861775"/>
    <n v="9123.48"/>
    <s v="UK pounds"/>
    <s v="UK pounds"/>
    <x v="0"/>
    <s v="UK"/>
    <x v="5"/>
    <x v="0"/>
    <x v="1"/>
    <s v="Consistent"/>
    <x v="0"/>
  </r>
  <r>
    <x v="2641"/>
    <x v="0"/>
    <x v="2198"/>
    <n v="6393572288"/>
    <n v="649.91"/>
    <s v="UK pounds"/>
    <s v="UK pounds"/>
    <x v="0"/>
    <s v="UK"/>
    <x v="2"/>
    <x v="0"/>
    <x v="2"/>
    <s v="Consistent"/>
    <x v="0"/>
  </r>
  <r>
    <x v="2642"/>
    <x v="0"/>
    <x v="124"/>
    <n v="3230579354"/>
    <n v="11100.69"/>
    <s v="UK pounds"/>
    <s v="UK pounds"/>
    <x v="0"/>
    <s v="UK"/>
    <x v="5"/>
    <x v="0"/>
    <x v="1"/>
    <s v="Consistent"/>
    <x v="0"/>
  </r>
  <r>
    <x v="2643"/>
    <x v="0"/>
    <x v="2199"/>
    <n v="5051270513"/>
    <n v="993.41"/>
    <s v="UK pounds"/>
    <s v="UK pounds"/>
    <x v="0"/>
    <s v="UK"/>
    <x v="2"/>
    <x v="0"/>
    <x v="2"/>
    <s v="Consistent"/>
    <x v="0"/>
  </r>
  <r>
    <x v="2644"/>
    <x v="0"/>
    <x v="2200"/>
    <n v="834478594"/>
    <n v="3534.79"/>
    <s v="UK pounds"/>
    <s v="UK pounds"/>
    <x v="0"/>
    <s v="UK"/>
    <x v="5"/>
    <x v="0"/>
    <x v="2"/>
    <s v="Consistent"/>
    <x v="0"/>
  </r>
  <r>
    <x v="2644"/>
    <x v="0"/>
    <x v="2201"/>
    <n v="6904830786"/>
    <n v="11646.09"/>
    <s v="UK pounds"/>
    <s v="UK pounds"/>
    <x v="0"/>
    <s v="UK"/>
    <x v="5"/>
    <x v="0"/>
    <x v="4"/>
    <s v="Consistent"/>
    <x v="0"/>
  </r>
  <r>
    <x v="2645"/>
    <x v="0"/>
    <x v="350"/>
    <n v="3695545812"/>
    <n v="4876.1899999999996"/>
    <s v="UK pounds"/>
    <s v="UK pounds"/>
    <x v="0"/>
    <s v="UK"/>
    <x v="5"/>
    <x v="0"/>
    <x v="3"/>
    <s v="Consistent"/>
    <x v="0"/>
  </r>
  <r>
    <x v="2646"/>
    <x v="0"/>
    <x v="2202"/>
    <n v="8190226676"/>
    <n v="1994.9"/>
    <s v="UK pounds"/>
    <s v="UK pounds"/>
    <x v="0"/>
    <s v="UK"/>
    <x v="5"/>
    <x v="0"/>
    <x v="2"/>
    <s v="Consistent"/>
    <x v="0"/>
  </r>
  <r>
    <x v="2647"/>
    <x v="0"/>
    <x v="2203"/>
    <n v="9402378660"/>
    <n v="304.45999999999998"/>
    <s v="UK pounds"/>
    <s v="UK pounds"/>
    <x v="0"/>
    <s v="UK"/>
    <x v="5"/>
    <x v="0"/>
    <x v="2"/>
    <s v="Consistent"/>
    <x v="0"/>
  </r>
  <r>
    <x v="2648"/>
    <x v="0"/>
    <x v="2204"/>
    <n v="9358088952"/>
    <n v="3901.45"/>
    <s v="UK pounds"/>
    <s v="UK pounds"/>
    <x v="0"/>
    <s v="UK"/>
    <x v="2"/>
    <x v="0"/>
    <x v="2"/>
    <s v="Consistent"/>
    <x v="0"/>
  </r>
  <r>
    <x v="2649"/>
    <x v="0"/>
    <x v="2205"/>
    <n v="9640437025"/>
    <n v="165.77"/>
    <s v="UK pounds"/>
    <s v="UK pounds"/>
    <x v="0"/>
    <s v="UK"/>
    <x v="6"/>
    <x v="0"/>
    <x v="5"/>
    <s v="Consistent"/>
    <x v="0"/>
  </r>
  <r>
    <x v="2650"/>
    <x v="0"/>
    <x v="626"/>
    <n v="1377603863"/>
    <n v="7040.12"/>
    <s v="UK pounds"/>
    <s v="UK pounds"/>
    <x v="0"/>
    <s v="UK"/>
    <x v="4"/>
    <x v="0"/>
    <x v="3"/>
    <s v="Consistent"/>
    <x v="0"/>
  </r>
  <r>
    <x v="2651"/>
    <x v="0"/>
    <x v="2206"/>
    <n v="8089060569"/>
    <n v="3867.74"/>
    <s v="UK pounds"/>
    <s v="UK pounds"/>
    <x v="0"/>
    <s v="UK"/>
    <x v="3"/>
    <x v="0"/>
    <x v="2"/>
    <s v="Consistent"/>
    <x v="0"/>
  </r>
  <r>
    <x v="2652"/>
    <x v="0"/>
    <x v="2207"/>
    <n v="5337146715"/>
    <n v="9381.09"/>
    <s v="UK pounds"/>
    <s v="UK pounds"/>
    <x v="0"/>
    <s v="UK"/>
    <x v="3"/>
    <x v="0"/>
    <x v="2"/>
    <s v="Consistent"/>
    <x v="0"/>
  </r>
  <r>
    <x v="2653"/>
    <x v="0"/>
    <x v="2208"/>
    <n v="3079818547"/>
    <n v="7945.57"/>
    <s v="UK pounds"/>
    <s v="UK pounds"/>
    <x v="0"/>
    <s v="UK"/>
    <x v="3"/>
    <x v="0"/>
    <x v="3"/>
    <s v="Consistent"/>
    <x v="0"/>
  </r>
  <r>
    <x v="2653"/>
    <x v="0"/>
    <x v="1"/>
    <n v="4658438113"/>
    <n v="8746.8799999999992"/>
    <s v="UK pounds"/>
    <s v="UK pounds"/>
    <x v="0"/>
    <s v="UK"/>
    <x v="3"/>
    <x v="0"/>
    <x v="1"/>
    <s v="Consistent"/>
    <x v="0"/>
  </r>
  <r>
    <x v="2654"/>
    <x v="0"/>
    <x v="339"/>
    <n v="8818164834"/>
    <n v="4707.24"/>
    <s v="UK pounds"/>
    <s v="UK pounds"/>
    <x v="0"/>
    <s v="UK"/>
    <x v="3"/>
    <x v="0"/>
    <x v="1"/>
    <s v="Consistent"/>
    <x v="0"/>
  </r>
  <r>
    <x v="2655"/>
    <x v="0"/>
    <x v="571"/>
    <n v="8172080174"/>
    <n v="10980.35"/>
    <s v="UK pounds"/>
    <s v="UK pounds"/>
    <x v="0"/>
    <s v="UK"/>
    <x v="3"/>
    <x v="0"/>
    <x v="3"/>
    <s v="Consistent"/>
    <x v="0"/>
  </r>
  <r>
    <x v="2655"/>
    <x v="0"/>
    <x v="163"/>
    <n v="8015553278"/>
    <n v="6957.05"/>
    <s v="UK pounds"/>
    <s v="UK pounds"/>
    <x v="0"/>
    <s v="UK"/>
    <x v="4"/>
    <x v="0"/>
    <x v="1"/>
    <s v="Consistent"/>
    <x v="0"/>
  </r>
  <r>
    <x v="2656"/>
    <x v="0"/>
    <x v="2209"/>
    <n v="5648962768"/>
    <n v="1632.2"/>
    <s v="UK pounds"/>
    <s v="UK pounds"/>
    <x v="0"/>
    <s v="UK"/>
    <x v="3"/>
    <x v="0"/>
    <x v="2"/>
    <s v="Consistent"/>
    <x v="0"/>
  </r>
  <r>
    <x v="2656"/>
    <x v="0"/>
    <x v="99"/>
    <n v="1316458123"/>
    <n v="7492.17"/>
    <s v="UK pounds"/>
    <s v="Mexican Peso"/>
    <x v="0"/>
    <s v="Mexico"/>
    <x v="1"/>
    <x v="0"/>
    <x v="3"/>
    <s v="Potential Layering"/>
    <x v="0"/>
  </r>
  <r>
    <x v="2657"/>
    <x v="0"/>
    <x v="2210"/>
    <n v="6453321674"/>
    <n v="1675.76"/>
    <s v="UK pounds"/>
    <s v="UK pounds"/>
    <x v="0"/>
    <s v="UK"/>
    <x v="3"/>
    <x v="0"/>
    <x v="2"/>
    <s v="Consistent"/>
    <x v="0"/>
  </r>
  <r>
    <x v="2657"/>
    <x v="0"/>
    <x v="2211"/>
    <n v="6171001766"/>
    <n v="715.74"/>
    <s v="UK pounds"/>
    <s v="UK pounds"/>
    <x v="0"/>
    <s v="UK"/>
    <x v="2"/>
    <x v="0"/>
    <x v="2"/>
    <s v="Consistent"/>
    <x v="0"/>
  </r>
  <r>
    <x v="2658"/>
    <x v="0"/>
    <x v="466"/>
    <n v="7080357663"/>
    <n v="5892.34"/>
    <s v="UK pounds"/>
    <s v="UK pounds"/>
    <x v="0"/>
    <s v="UK"/>
    <x v="2"/>
    <x v="0"/>
    <x v="3"/>
    <s v="Consistent"/>
    <x v="0"/>
  </r>
  <r>
    <x v="2659"/>
    <x v="0"/>
    <x v="2212"/>
    <n v="2559054396"/>
    <n v="8645.83"/>
    <s v="UK pounds"/>
    <s v="UK pounds"/>
    <x v="0"/>
    <s v="UK"/>
    <x v="3"/>
    <x v="0"/>
    <x v="2"/>
    <s v="Consistent"/>
    <x v="0"/>
  </r>
  <r>
    <x v="2660"/>
    <x v="0"/>
    <x v="216"/>
    <n v="1431561040"/>
    <n v="7014.92"/>
    <s v="UK pounds"/>
    <s v="UK pounds"/>
    <x v="0"/>
    <s v="UK"/>
    <x v="3"/>
    <x v="0"/>
    <x v="3"/>
    <s v="Consistent"/>
    <x v="0"/>
  </r>
  <r>
    <x v="2661"/>
    <x v="0"/>
    <x v="2213"/>
    <n v="2987279234"/>
    <n v="7832.41"/>
    <s v="UK pounds"/>
    <s v="UK pounds"/>
    <x v="0"/>
    <s v="UK"/>
    <x v="5"/>
    <x v="1"/>
    <x v="14"/>
    <s v="Consistent"/>
    <x v="0"/>
  </r>
  <r>
    <x v="2662"/>
    <x v="0"/>
    <x v="81"/>
    <n v="737679962"/>
    <n v="4504.43"/>
    <s v="UK pounds"/>
    <s v="UK pounds"/>
    <x v="0"/>
    <s v="UK"/>
    <x v="3"/>
    <x v="0"/>
    <x v="1"/>
    <s v="Consistent"/>
    <x v="0"/>
  </r>
  <r>
    <x v="2663"/>
    <x v="0"/>
    <x v="75"/>
    <n v="6883932008"/>
    <n v="10276.75"/>
    <s v="UK pounds"/>
    <s v="UK pounds"/>
    <x v="0"/>
    <s v="UK"/>
    <x v="3"/>
    <x v="0"/>
    <x v="1"/>
    <s v="Consistent"/>
    <x v="0"/>
  </r>
  <r>
    <x v="2663"/>
    <x v="0"/>
    <x v="68"/>
    <n v="7778416970"/>
    <n v="7199.97"/>
    <s v="UK pounds"/>
    <s v="UK pounds"/>
    <x v="0"/>
    <s v="UK"/>
    <x v="4"/>
    <x v="0"/>
    <x v="1"/>
    <s v="Consistent"/>
    <x v="0"/>
  </r>
  <r>
    <x v="2664"/>
    <x v="0"/>
    <x v="1634"/>
    <n v="460441499"/>
    <n v="3466.61"/>
    <s v="UK pounds"/>
    <s v="UK pounds"/>
    <x v="0"/>
    <s v="UK"/>
    <x v="3"/>
    <x v="0"/>
    <x v="2"/>
    <s v="Consistent"/>
    <x v="0"/>
  </r>
  <r>
    <x v="2665"/>
    <x v="0"/>
    <x v="2214"/>
    <n v="9904448700"/>
    <n v="2453.75"/>
    <s v="UK pounds"/>
    <s v="UK pounds"/>
    <x v="0"/>
    <s v="UK"/>
    <x v="2"/>
    <x v="0"/>
    <x v="2"/>
    <s v="Consistent"/>
    <x v="0"/>
  </r>
  <r>
    <x v="2666"/>
    <x v="0"/>
    <x v="2215"/>
    <n v="2747976171"/>
    <n v="2597.1799999999998"/>
    <s v="UK pounds"/>
    <s v="UK pounds"/>
    <x v="0"/>
    <s v="UK"/>
    <x v="5"/>
    <x v="0"/>
    <x v="2"/>
    <s v="Consistent"/>
    <x v="0"/>
  </r>
  <r>
    <x v="2666"/>
    <x v="0"/>
    <x v="2216"/>
    <n v="1773720798"/>
    <n v="1137.7"/>
    <s v="UK pounds"/>
    <s v="Naira"/>
    <x v="0"/>
    <s v="Nigeria"/>
    <x v="1"/>
    <x v="0"/>
    <x v="2"/>
    <s v="Potential Layering"/>
    <x v="0"/>
  </r>
  <r>
    <x v="2667"/>
    <x v="0"/>
    <x v="2217"/>
    <n v="1511822968"/>
    <n v="307.58"/>
    <s v="UK pounds"/>
    <s v="UK pounds"/>
    <x v="0"/>
    <s v="UK"/>
    <x v="5"/>
    <x v="0"/>
    <x v="4"/>
    <s v="Consistent"/>
    <x v="0"/>
  </r>
  <r>
    <x v="2668"/>
    <x v="0"/>
    <x v="2218"/>
    <n v="9611218127"/>
    <n v="2787.91"/>
    <s v="UK pounds"/>
    <s v="UK pounds"/>
    <x v="0"/>
    <s v="UK"/>
    <x v="0"/>
    <x v="0"/>
    <x v="0"/>
    <s v="Consistent"/>
    <x v="0"/>
  </r>
  <r>
    <x v="2669"/>
    <x v="0"/>
    <x v="2219"/>
    <n v="9906556450"/>
    <n v="5218.2299999999996"/>
    <s v="UK pounds"/>
    <s v="UK pounds"/>
    <x v="0"/>
    <s v="UK"/>
    <x v="0"/>
    <x v="0"/>
    <x v="0"/>
    <s v="Consistent"/>
    <x v="0"/>
  </r>
  <r>
    <x v="2670"/>
    <x v="0"/>
    <x v="163"/>
    <n v="3353965610"/>
    <n v="7145.85"/>
    <s v="UK pounds"/>
    <s v="UK pounds"/>
    <x v="0"/>
    <s v="UK"/>
    <x v="5"/>
    <x v="0"/>
    <x v="1"/>
    <s v="Consistent"/>
    <x v="0"/>
  </r>
  <r>
    <x v="2671"/>
    <x v="0"/>
    <x v="414"/>
    <n v="5103043844"/>
    <n v="7431.41"/>
    <s v="UK pounds"/>
    <s v="Naira"/>
    <x v="0"/>
    <s v="Nigeria"/>
    <x v="1"/>
    <x v="0"/>
    <x v="3"/>
    <s v="Potential Layering"/>
    <x v="0"/>
  </r>
  <r>
    <x v="2672"/>
    <x v="0"/>
    <x v="2220"/>
    <n v="9090924093"/>
    <n v="6108.1"/>
    <s v="UK pounds"/>
    <s v="UK pounds"/>
    <x v="0"/>
    <s v="UK"/>
    <x v="4"/>
    <x v="0"/>
    <x v="2"/>
    <s v="Consistent"/>
    <x v="0"/>
  </r>
  <r>
    <x v="2673"/>
    <x v="0"/>
    <x v="2221"/>
    <n v="3550331525"/>
    <n v="34089.800000000003"/>
    <s v="UK pounds"/>
    <s v="UK pounds"/>
    <x v="0"/>
    <s v="UK"/>
    <x v="4"/>
    <x v="0"/>
    <x v="2"/>
    <s v="Consistent"/>
    <x v="0"/>
  </r>
  <r>
    <x v="2673"/>
    <x v="0"/>
    <x v="61"/>
    <n v="4525312913"/>
    <n v="12554.81"/>
    <s v="UK pounds"/>
    <s v="UK pounds"/>
    <x v="0"/>
    <s v="UK"/>
    <x v="5"/>
    <x v="0"/>
    <x v="1"/>
    <s v="Consistent"/>
    <x v="0"/>
  </r>
  <r>
    <x v="2674"/>
    <x v="0"/>
    <x v="2222"/>
    <n v="8764266930"/>
    <n v="1440.22"/>
    <s v="UK pounds"/>
    <s v="UK pounds"/>
    <x v="0"/>
    <s v="UK"/>
    <x v="4"/>
    <x v="0"/>
    <x v="2"/>
    <s v="Consistent"/>
    <x v="0"/>
  </r>
  <r>
    <x v="2675"/>
    <x v="0"/>
    <x v="2223"/>
    <n v="3576141507"/>
    <n v="1074.79"/>
    <s v="UK pounds"/>
    <s v="UK pounds"/>
    <x v="0"/>
    <s v="UK"/>
    <x v="4"/>
    <x v="0"/>
    <x v="2"/>
    <s v="Consistent"/>
    <x v="0"/>
  </r>
  <r>
    <x v="2675"/>
    <x v="0"/>
    <x v="51"/>
    <n v="6424463145"/>
    <n v="12517.79"/>
    <s v="UK pounds"/>
    <s v="UK pounds"/>
    <x v="0"/>
    <s v="UK"/>
    <x v="4"/>
    <x v="0"/>
    <x v="1"/>
    <s v="Consistent"/>
    <x v="0"/>
  </r>
  <r>
    <x v="2676"/>
    <x v="0"/>
    <x v="241"/>
    <n v="1279455312"/>
    <n v="4042.85"/>
    <s v="UK pounds"/>
    <s v="UK pounds"/>
    <x v="0"/>
    <s v="UK"/>
    <x v="2"/>
    <x v="0"/>
    <x v="2"/>
    <s v="Consistent"/>
    <x v="0"/>
  </r>
  <r>
    <x v="2677"/>
    <x v="0"/>
    <x v="2224"/>
    <n v="2373413974"/>
    <n v="2120.7199999999998"/>
    <s v="UK pounds"/>
    <s v="UK pounds"/>
    <x v="0"/>
    <s v="UK"/>
    <x v="0"/>
    <x v="0"/>
    <x v="0"/>
    <s v="Consistent"/>
    <x v="0"/>
  </r>
  <r>
    <x v="2678"/>
    <x v="0"/>
    <x v="86"/>
    <n v="1546051426"/>
    <n v="5768.2"/>
    <s v="UK pounds"/>
    <s v="UK pounds"/>
    <x v="0"/>
    <s v="UK"/>
    <x v="2"/>
    <x v="0"/>
    <x v="1"/>
    <s v="Consistent"/>
    <x v="0"/>
  </r>
  <r>
    <x v="2679"/>
    <x v="0"/>
    <x v="2225"/>
    <n v="2279038656"/>
    <n v="10199.6"/>
    <s v="UK pounds"/>
    <s v="UK pounds"/>
    <x v="0"/>
    <s v="UK"/>
    <x v="3"/>
    <x v="0"/>
    <x v="2"/>
    <s v="Consistent"/>
    <x v="0"/>
  </r>
  <r>
    <x v="2680"/>
    <x v="0"/>
    <x v="163"/>
    <n v="3606979593"/>
    <n v="5047.09"/>
    <s v="UK pounds"/>
    <s v="UK pounds"/>
    <x v="0"/>
    <s v="UK"/>
    <x v="5"/>
    <x v="0"/>
    <x v="1"/>
    <s v="Consistent"/>
    <x v="0"/>
  </r>
  <r>
    <x v="2680"/>
    <x v="0"/>
    <x v="2226"/>
    <n v="1257410521"/>
    <n v="6804.84"/>
    <s v="UK pounds"/>
    <s v="UK pounds"/>
    <x v="0"/>
    <s v="UK"/>
    <x v="2"/>
    <x v="0"/>
    <x v="2"/>
    <s v="Consistent"/>
    <x v="0"/>
  </r>
  <r>
    <x v="2681"/>
    <x v="0"/>
    <x v="9"/>
    <n v="804519509"/>
    <n v="6154.6"/>
    <s v="UK pounds"/>
    <s v="UK pounds"/>
    <x v="0"/>
    <s v="UK"/>
    <x v="3"/>
    <x v="0"/>
    <x v="1"/>
    <s v="Consistent"/>
    <x v="0"/>
  </r>
  <r>
    <x v="2682"/>
    <x v="0"/>
    <x v="2227"/>
    <n v="8398957312"/>
    <n v="1087.1099999999999"/>
    <s v="UK pounds"/>
    <s v="UK pounds"/>
    <x v="0"/>
    <s v="UK"/>
    <x v="2"/>
    <x v="0"/>
    <x v="2"/>
    <s v="Consistent"/>
    <x v="0"/>
  </r>
  <r>
    <x v="2682"/>
    <x v="0"/>
    <x v="2228"/>
    <n v="8317083727"/>
    <n v="4428.18"/>
    <s v="UK pounds"/>
    <s v="UK pounds"/>
    <x v="0"/>
    <s v="UK"/>
    <x v="3"/>
    <x v="0"/>
    <x v="2"/>
    <s v="Consistent"/>
    <x v="0"/>
  </r>
  <r>
    <x v="2683"/>
    <x v="0"/>
    <x v="46"/>
    <n v="7927090992"/>
    <n v="9518.5400000000009"/>
    <s v="UK pounds"/>
    <s v="UK pounds"/>
    <x v="0"/>
    <s v="UK"/>
    <x v="4"/>
    <x v="0"/>
    <x v="1"/>
    <s v="Consistent"/>
    <x v="0"/>
  </r>
  <r>
    <x v="2683"/>
    <x v="0"/>
    <x v="2229"/>
    <n v="339957925"/>
    <n v="1292.74"/>
    <s v="UK pounds"/>
    <s v="UK pounds"/>
    <x v="0"/>
    <s v="UK"/>
    <x v="0"/>
    <x v="0"/>
    <x v="0"/>
    <s v="Consistent"/>
    <x v="0"/>
  </r>
  <r>
    <x v="2684"/>
    <x v="0"/>
    <x v="2230"/>
    <n v="9875305912"/>
    <n v="3671.77"/>
    <s v="UK pounds"/>
    <s v="UK pounds"/>
    <x v="0"/>
    <s v="UK"/>
    <x v="0"/>
    <x v="0"/>
    <x v="0"/>
    <s v="Consistent"/>
    <x v="0"/>
  </r>
  <r>
    <x v="2684"/>
    <x v="0"/>
    <x v="2231"/>
    <n v="1567901533"/>
    <n v="11575.8"/>
    <s v="UK pounds"/>
    <s v="UK pounds"/>
    <x v="0"/>
    <s v="UK"/>
    <x v="2"/>
    <x v="0"/>
    <x v="2"/>
    <s v="Consistent"/>
    <x v="0"/>
  </r>
  <r>
    <x v="2684"/>
    <x v="0"/>
    <x v="2232"/>
    <n v="4327749491"/>
    <n v="3945.09"/>
    <s v="UK pounds"/>
    <s v="UK pounds"/>
    <x v="0"/>
    <s v="UK"/>
    <x v="3"/>
    <x v="0"/>
    <x v="2"/>
    <s v="Consistent"/>
    <x v="0"/>
  </r>
  <r>
    <x v="2685"/>
    <x v="0"/>
    <x v="2233"/>
    <n v="3171998828"/>
    <n v="2457.77"/>
    <s v="UK pounds"/>
    <s v="UK pounds"/>
    <x v="0"/>
    <s v="UK"/>
    <x v="5"/>
    <x v="0"/>
    <x v="2"/>
    <s v="Consistent"/>
    <x v="0"/>
  </r>
  <r>
    <x v="2685"/>
    <x v="0"/>
    <x v="2234"/>
    <n v="3590124164"/>
    <n v="7353.07"/>
    <s v="UK pounds"/>
    <s v="UK pounds"/>
    <x v="0"/>
    <s v="UK"/>
    <x v="4"/>
    <x v="0"/>
    <x v="2"/>
    <s v="Consistent"/>
    <x v="0"/>
  </r>
  <r>
    <x v="2686"/>
    <x v="0"/>
    <x v="20"/>
    <n v="8223450970"/>
    <n v="5144.6899999999996"/>
    <s v="UK pounds"/>
    <s v="UK pounds"/>
    <x v="0"/>
    <s v="UK"/>
    <x v="4"/>
    <x v="0"/>
    <x v="1"/>
    <s v="Consistent"/>
    <x v="0"/>
  </r>
  <r>
    <x v="2687"/>
    <x v="0"/>
    <x v="195"/>
    <n v="6338941383"/>
    <n v="6274.52"/>
    <s v="UK pounds"/>
    <s v="UK pounds"/>
    <x v="0"/>
    <s v="UK"/>
    <x v="4"/>
    <x v="0"/>
    <x v="1"/>
    <s v="Consistent"/>
    <x v="0"/>
  </r>
  <r>
    <x v="2688"/>
    <x v="0"/>
    <x v="2235"/>
    <n v="7395120841"/>
    <n v="329.68"/>
    <s v="UK pounds"/>
    <s v="UK pounds"/>
    <x v="0"/>
    <s v="UK"/>
    <x v="3"/>
    <x v="0"/>
    <x v="2"/>
    <s v="Consistent"/>
    <x v="0"/>
  </r>
  <r>
    <x v="2689"/>
    <x v="0"/>
    <x v="248"/>
    <n v="6744312059"/>
    <n v="9517.66"/>
    <s v="UK pounds"/>
    <s v="UK pounds"/>
    <x v="0"/>
    <s v="UK"/>
    <x v="5"/>
    <x v="0"/>
    <x v="1"/>
    <s v="Consistent"/>
    <x v="0"/>
  </r>
  <r>
    <x v="2690"/>
    <x v="0"/>
    <x v="2236"/>
    <n v="2304768092"/>
    <n v="2843.77"/>
    <s v="Swiss franc"/>
    <s v="UK pounds"/>
    <x v="0"/>
    <s v="UK"/>
    <x v="2"/>
    <x v="0"/>
    <x v="2"/>
    <s v="Potential Layering"/>
    <x v="0"/>
  </r>
  <r>
    <x v="2691"/>
    <x v="0"/>
    <x v="2237"/>
    <n v="9019488892"/>
    <n v="521.4"/>
    <s v="UK pounds"/>
    <s v="UK pounds"/>
    <x v="0"/>
    <s v="UK"/>
    <x v="5"/>
    <x v="0"/>
    <x v="2"/>
    <s v="Consistent"/>
    <x v="0"/>
  </r>
  <r>
    <x v="2692"/>
    <x v="0"/>
    <x v="2238"/>
    <n v="5501451179"/>
    <n v="461.66"/>
    <s v="UK pounds"/>
    <s v="UK pounds"/>
    <x v="0"/>
    <s v="UK"/>
    <x v="3"/>
    <x v="0"/>
    <x v="2"/>
    <s v="Consistent"/>
    <x v="0"/>
  </r>
  <r>
    <x v="2693"/>
    <x v="0"/>
    <x v="476"/>
    <n v="7160736915"/>
    <n v="13483.43"/>
    <s v="UK pounds"/>
    <s v="UK pounds"/>
    <x v="0"/>
    <s v="UK"/>
    <x v="5"/>
    <x v="0"/>
    <x v="3"/>
    <s v="Consistent"/>
    <x v="0"/>
  </r>
  <r>
    <x v="2694"/>
    <x v="0"/>
    <x v="149"/>
    <n v="8237840407"/>
    <n v="7653.13"/>
    <s v="UK pounds"/>
    <s v="UK pounds"/>
    <x v="0"/>
    <s v="UK"/>
    <x v="3"/>
    <x v="0"/>
    <x v="1"/>
    <s v="Consistent"/>
    <x v="0"/>
  </r>
  <r>
    <x v="2695"/>
    <x v="0"/>
    <x v="9"/>
    <n v="6790400322"/>
    <n v="11809.66"/>
    <s v="UK pounds"/>
    <s v="UK pounds"/>
    <x v="0"/>
    <s v="UK"/>
    <x v="5"/>
    <x v="0"/>
    <x v="1"/>
    <s v="Consistent"/>
    <x v="0"/>
  </r>
  <r>
    <x v="2695"/>
    <x v="0"/>
    <x v="2239"/>
    <n v="6354878016"/>
    <n v="7406.96"/>
    <s v="UK pounds"/>
    <s v="UK pounds"/>
    <x v="0"/>
    <s v="UK"/>
    <x v="5"/>
    <x v="0"/>
    <x v="8"/>
    <s v="Consistent"/>
    <x v="0"/>
  </r>
  <r>
    <x v="2696"/>
    <x v="0"/>
    <x v="2240"/>
    <n v="6646502650"/>
    <n v="7942.08"/>
    <s v="UK pounds"/>
    <s v="Euro"/>
    <x v="0"/>
    <s v="France"/>
    <x v="1"/>
    <x v="0"/>
    <x v="3"/>
    <s v="Potential Layering"/>
    <x v="0"/>
  </r>
  <r>
    <x v="2697"/>
    <x v="0"/>
    <x v="2241"/>
    <n v="6992076226"/>
    <n v="1234.1099999999999"/>
    <s v="UK pounds"/>
    <s v="UK pounds"/>
    <x v="0"/>
    <s v="UK"/>
    <x v="4"/>
    <x v="0"/>
    <x v="2"/>
    <s v="Consistent"/>
    <x v="0"/>
  </r>
  <r>
    <x v="2698"/>
    <x v="0"/>
    <x v="2242"/>
    <n v="3933371170"/>
    <n v="219.37"/>
    <s v="UK pounds"/>
    <s v="Pakistani rupee"/>
    <x v="0"/>
    <s v="Pakistan"/>
    <x v="1"/>
    <x v="0"/>
    <x v="2"/>
    <s v="Potential Layering"/>
    <x v="0"/>
  </r>
  <r>
    <x v="2699"/>
    <x v="0"/>
    <x v="2243"/>
    <n v="300937002"/>
    <n v="174.8"/>
    <s v="UK pounds"/>
    <s v="UK pounds"/>
    <x v="0"/>
    <s v="UK"/>
    <x v="3"/>
    <x v="0"/>
    <x v="2"/>
    <s v="Consistent"/>
    <x v="0"/>
  </r>
  <r>
    <x v="2699"/>
    <x v="0"/>
    <x v="2244"/>
    <n v="5723255582"/>
    <n v="1856.16"/>
    <s v="UK pounds"/>
    <s v="UK pounds"/>
    <x v="0"/>
    <s v="UK"/>
    <x v="2"/>
    <x v="0"/>
    <x v="2"/>
    <s v="Consistent"/>
    <x v="0"/>
  </r>
  <r>
    <x v="2700"/>
    <x v="0"/>
    <x v="2245"/>
    <n v="2391437347"/>
    <n v="952.95"/>
    <s v="UK pounds"/>
    <s v="UK pounds"/>
    <x v="0"/>
    <s v="UK"/>
    <x v="0"/>
    <x v="0"/>
    <x v="0"/>
    <s v="Consistent"/>
    <x v="0"/>
  </r>
  <r>
    <x v="2701"/>
    <x v="0"/>
    <x v="34"/>
    <n v="5320133137"/>
    <n v="7640.98"/>
    <s v="UK pounds"/>
    <s v="UK pounds"/>
    <x v="0"/>
    <s v="UK"/>
    <x v="5"/>
    <x v="0"/>
    <x v="1"/>
    <s v="Consistent"/>
    <x v="0"/>
  </r>
  <r>
    <x v="2702"/>
    <x v="0"/>
    <x v="2246"/>
    <n v="7208985535"/>
    <n v="2039.3"/>
    <s v="Turkish lira"/>
    <s v="UK pounds"/>
    <x v="13"/>
    <s v="UK"/>
    <x v="1"/>
    <x v="0"/>
    <x v="2"/>
    <s v="Potential Layering"/>
    <x v="1"/>
  </r>
  <r>
    <x v="2703"/>
    <x v="0"/>
    <x v="195"/>
    <n v="9424448642"/>
    <n v="6204"/>
    <s v="UK pounds"/>
    <s v="UK pounds"/>
    <x v="0"/>
    <s v="UK"/>
    <x v="3"/>
    <x v="0"/>
    <x v="1"/>
    <s v="Consistent"/>
    <x v="0"/>
  </r>
  <r>
    <x v="2703"/>
    <x v="0"/>
    <x v="1647"/>
    <n v="7160736915"/>
    <n v="10932.16"/>
    <s v="UK pounds"/>
    <s v="UK pounds"/>
    <x v="0"/>
    <s v="UK"/>
    <x v="4"/>
    <x v="0"/>
    <x v="3"/>
    <s v="Consistent"/>
    <x v="0"/>
  </r>
  <r>
    <x v="2704"/>
    <x v="0"/>
    <x v="2247"/>
    <n v="6096982439"/>
    <n v="4647.53"/>
    <s v="UK pounds"/>
    <s v="UK pounds"/>
    <x v="0"/>
    <s v="UK"/>
    <x v="2"/>
    <x v="0"/>
    <x v="2"/>
    <s v="Consistent"/>
    <x v="0"/>
  </r>
  <r>
    <x v="2705"/>
    <x v="0"/>
    <x v="2248"/>
    <n v="2508215300"/>
    <n v="1528.57"/>
    <s v="UK pounds"/>
    <s v="UK pounds"/>
    <x v="0"/>
    <s v="UK"/>
    <x v="0"/>
    <x v="0"/>
    <x v="0"/>
    <s v="Consistent"/>
    <x v="0"/>
  </r>
  <r>
    <x v="2706"/>
    <x v="0"/>
    <x v="2249"/>
    <n v="6271161687"/>
    <n v="7250.37"/>
    <s v="UK pounds"/>
    <s v="UK pounds"/>
    <x v="0"/>
    <s v="UK"/>
    <x v="3"/>
    <x v="0"/>
    <x v="4"/>
    <s v="Consistent"/>
    <x v="0"/>
  </r>
  <r>
    <x v="2707"/>
    <x v="0"/>
    <x v="86"/>
    <n v="3540529623"/>
    <n v="9373.31"/>
    <s v="UK pounds"/>
    <s v="UK pounds"/>
    <x v="0"/>
    <s v="UK"/>
    <x v="5"/>
    <x v="0"/>
    <x v="1"/>
    <s v="Consistent"/>
    <x v="0"/>
  </r>
  <r>
    <x v="2708"/>
    <x v="0"/>
    <x v="444"/>
    <n v="409707192"/>
    <n v="9698.9599999999991"/>
    <s v="UK pounds"/>
    <s v="UK pounds"/>
    <x v="0"/>
    <s v="UK"/>
    <x v="4"/>
    <x v="0"/>
    <x v="3"/>
    <s v="Consistent"/>
    <x v="0"/>
  </r>
  <r>
    <x v="2709"/>
    <x v="0"/>
    <x v="1899"/>
    <n v="1493436023"/>
    <n v="7901.8"/>
    <s v="UK pounds"/>
    <s v="UK pounds"/>
    <x v="0"/>
    <s v="UK"/>
    <x v="3"/>
    <x v="0"/>
    <x v="3"/>
    <s v="Consistent"/>
    <x v="0"/>
  </r>
  <r>
    <x v="2710"/>
    <x v="0"/>
    <x v="2250"/>
    <n v="7049235868"/>
    <n v="1025.68"/>
    <s v="UK pounds"/>
    <s v="UK pounds"/>
    <x v="0"/>
    <s v="UK"/>
    <x v="3"/>
    <x v="0"/>
    <x v="2"/>
    <s v="Consistent"/>
    <x v="0"/>
  </r>
  <r>
    <x v="2711"/>
    <x v="0"/>
    <x v="243"/>
    <n v="148220861"/>
    <n v="4666.17"/>
    <s v="Dirham"/>
    <s v="Euro"/>
    <x v="4"/>
    <s v="France"/>
    <x v="1"/>
    <x v="0"/>
    <x v="1"/>
    <s v="Potential Layering"/>
    <x v="0"/>
  </r>
  <r>
    <x v="2712"/>
    <x v="0"/>
    <x v="2251"/>
    <n v="700368446"/>
    <n v="1736.85"/>
    <s v="UK pounds"/>
    <s v="UK pounds"/>
    <x v="0"/>
    <s v="UK"/>
    <x v="3"/>
    <x v="0"/>
    <x v="2"/>
    <s v="Consistent"/>
    <x v="0"/>
  </r>
  <r>
    <x v="2713"/>
    <x v="0"/>
    <x v="2252"/>
    <n v="3542584170"/>
    <n v="98.52"/>
    <s v="UK pounds"/>
    <s v="UK pounds"/>
    <x v="0"/>
    <s v="UK"/>
    <x v="5"/>
    <x v="0"/>
    <x v="2"/>
    <s v="Consistent"/>
    <x v="0"/>
  </r>
  <r>
    <x v="2713"/>
    <x v="0"/>
    <x v="239"/>
    <n v="1377603863"/>
    <n v="22118.65"/>
    <s v="UK pounds"/>
    <s v="UK pounds"/>
    <x v="0"/>
    <s v="UK"/>
    <x v="3"/>
    <x v="0"/>
    <x v="3"/>
    <s v="Consistent"/>
    <x v="0"/>
  </r>
  <r>
    <x v="2714"/>
    <x v="0"/>
    <x v="2253"/>
    <n v="9752465441"/>
    <n v="6406.29"/>
    <s v="UK pounds"/>
    <s v="UK pounds"/>
    <x v="0"/>
    <s v="UK"/>
    <x v="4"/>
    <x v="0"/>
    <x v="2"/>
    <s v="Consistent"/>
    <x v="0"/>
  </r>
  <r>
    <x v="2715"/>
    <x v="0"/>
    <x v="2254"/>
    <n v="2416232398"/>
    <n v="418029.64"/>
    <s v="UK pounds"/>
    <s v="UK pounds"/>
    <x v="0"/>
    <s v="UK"/>
    <x v="3"/>
    <x v="0"/>
    <x v="10"/>
    <s v="Consistent"/>
    <x v="0"/>
  </r>
  <r>
    <x v="2716"/>
    <x v="0"/>
    <x v="2255"/>
    <n v="1269148386"/>
    <n v="118.31"/>
    <s v="UK pounds"/>
    <s v="UK pounds"/>
    <x v="0"/>
    <s v="UK"/>
    <x v="4"/>
    <x v="0"/>
    <x v="2"/>
    <s v="Consistent"/>
    <x v="0"/>
  </r>
  <r>
    <x v="2716"/>
    <x v="0"/>
    <x v="1541"/>
    <n v="1320927231"/>
    <n v="7236.4"/>
    <s v="UK pounds"/>
    <s v="UK pounds"/>
    <x v="0"/>
    <s v="UK"/>
    <x v="4"/>
    <x v="0"/>
    <x v="3"/>
    <s v="Consistent"/>
    <x v="0"/>
  </r>
  <r>
    <x v="2717"/>
    <x v="0"/>
    <x v="75"/>
    <n v="6883932008"/>
    <n v="10199.870000000001"/>
    <s v="UK pounds"/>
    <s v="UK pounds"/>
    <x v="0"/>
    <s v="UK"/>
    <x v="3"/>
    <x v="0"/>
    <x v="1"/>
    <s v="Consistent"/>
    <x v="0"/>
  </r>
  <r>
    <x v="2718"/>
    <x v="0"/>
    <x v="2097"/>
    <n v="1431561040"/>
    <n v="11868.1"/>
    <s v="UK pounds"/>
    <s v="UK pounds"/>
    <x v="0"/>
    <s v="UK"/>
    <x v="5"/>
    <x v="0"/>
    <x v="3"/>
    <s v="Consistent"/>
    <x v="0"/>
  </r>
  <r>
    <x v="2719"/>
    <x v="0"/>
    <x v="238"/>
    <n v="7590986319"/>
    <n v="5451.84"/>
    <s v="UK pounds"/>
    <s v="Euro"/>
    <x v="0"/>
    <s v="Spain"/>
    <x v="1"/>
    <x v="0"/>
    <x v="1"/>
    <s v="Potential Layering"/>
    <x v="0"/>
  </r>
  <r>
    <x v="2719"/>
    <x v="0"/>
    <x v="1740"/>
    <n v="5858369125"/>
    <n v="9188.9599999999991"/>
    <s v="UK pounds"/>
    <s v="UK pounds"/>
    <x v="0"/>
    <s v="UK"/>
    <x v="4"/>
    <x v="0"/>
    <x v="3"/>
    <s v="Consistent"/>
    <x v="0"/>
  </r>
  <r>
    <x v="2720"/>
    <x v="0"/>
    <x v="2256"/>
    <n v="3528830157"/>
    <n v="855.89"/>
    <s v="UK pounds"/>
    <s v="UK pounds"/>
    <x v="0"/>
    <s v="UK"/>
    <x v="2"/>
    <x v="0"/>
    <x v="2"/>
    <s v="Consistent"/>
    <x v="0"/>
  </r>
  <r>
    <x v="2721"/>
    <x v="0"/>
    <x v="2257"/>
    <n v="2138505015"/>
    <n v="8543.65"/>
    <s v="UK pounds"/>
    <s v="Dirham"/>
    <x v="0"/>
    <s v="UAE"/>
    <x v="1"/>
    <x v="0"/>
    <x v="3"/>
    <s v="Potential Layering"/>
    <x v="0"/>
  </r>
  <r>
    <x v="2722"/>
    <x v="0"/>
    <x v="1906"/>
    <n v="1720474513"/>
    <n v="259.48"/>
    <s v="UK pounds"/>
    <s v="UK pounds"/>
    <x v="0"/>
    <s v="UK"/>
    <x v="6"/>
    <x v="0"/>
    <x v="5"/>
    <s v="Consistent"/>
    <x v="0"/>
  </r>
  <r>
    <x v="2723"/>
    <x v="0"/>
    <x v="2258"/>
    <n v="17166864"/>
    <n v="8531.51"/>
    <s v="UK pounds"/>
    <s v="UK pounds"/>
    <x v="0"/>
    <s v="UK"/>
    <x v="4"/>
    <x v="0"/>
    <x v="2"/>
    <s v="Consistent"/>
    <x v="0"/>
  </r>
  <r>
    <x v="2723"/>
    <x v="0"/>
    <x v="2259"/>
    <n v="1873218023"/>
    <n v="644.30999999999995"/>
    <s v="UK pounds"/>
    <s v="UK pounds"/>
    <x v="0"/>
    <s v="UK"/>
    <x v="5"/>
    <x v="0"/>
    <x v="2"/>
    <s v="Consistent"/>
    <x v="0"/>
  </r>
  <r>
    <x v="2724"/>
    <x v="0"/>
    <x v="2260"/>
    <n v="8150681561"/>
    <n v="33009.370000000003"/>
    <s v="UK pounds"/>
    <s v="UK pounds"/>
    <x v="0"/>
    <s v="UK"/>
    <x v="5"/>
    <x v="0"/>
    <x v="8"/>
    <s v="Consistent"/>
    <x v="0"/>
  </r>
  <r>
    <x v="2725"/>
    <x v="0"/>
    <x v="2261"/>
    <n v="3190615169"/>
    <n v="2988.94"/>
    <s v="UK pounds"/>
    <s v="UK pounds"/>
    <x v="0"/>
    <s v="UK"/>
    <x v="2"/>
    <x v="0"/>
    <x v="2"/>
    <s v="Consistent"/>
    <x v="0"/>
  </r>
  <r>
    <x v="2726"/>
    <x v="0"/>
    <x v="2262"/>
    <n v="6309560791"/>
    <n v="2562.1799999999998"/>
    <s v="UK pounds"/>
    <s v="UK pounds"/>
    <x v="0"/>
    <s v="UK"/>
    <x v="4"/>
    <x v="0"/>
    <x v="2"/>
    <s v="Consistent"/>
    <x v="0"/>
  </r>
  <r>
    <x v="2727"/>
    <x v="0"/>
    <x v="2263"/>
    <n v="4977123092"/>
    <n v="1032.1099999999999"/>
    <s v="UK pounds"/>
    <s v="UK pounds"/>
    <x v="0"/>
    <s v="UK"/>
    <x v="2"/>
    <x v="0"/>
    <x v="4"/>
    <s v="Consistent"/>
    <x v="0"/>
  </r>
  <r>
    <x v="2728"/>
    <x v="0"/>
    <x v="1177"/>
    <n v="6522784509"/>
    <n v="5956.67"/>
    <s v="UK pounds"/>
    <s v="UK pounds"/>
    <x v="0"/>
    <s v="UK"/>
    <x v="3"/>
    <x v="0"/>
    <x v="6"/>
    <s v="Consistent"/>
    <x v="0"/>
  </r>
  <r>
    <x v="2729"/>
    <x v="0"/>
    <x v="2264"/>
    <n v="5741860810"/>
    <n v="32184.44"/>
    <s v="UK pounds"/>
    <s v="UK pounds"/>
    <x v="0"/>
    <s v="UK"/>
    <x v="4"/>
    <x v="0"/>
    <x v="2"/>
    <s v="Consistent"/>
    <x v="0"/>
  </r>
  <r>
    <x v="2730"/>
    <x v="0"/>
    <x v="2265"/>
    <n v="9710838491"/>
    <n v="2644.87"/>
    <s v="UK pounds"/>
    <s v="UK pounds"/>
    <x v="0"/>
    <s v="UK"/>
    <x v="0"/>
    <x v="0"/>
    <x v="0"/>
    <s v="Consistent"/>
    <x v="0"/>
  </r>
  <r>
    <x v="2731"/>
    <x v="0"/>
    <x v="2266"/>
    <n v="5896180453"/>
    <n v="6158.11"/>
    <s v="UK pounds"/>
    <s v="UK pounds"/>
    <x v="0"/>
    <s v="UK"/>
    <x v="4"/>
    <x v="0"/>
    <x v="3"/>
    <s v="Consistent"/>
    <x v="0"/>
  </r>
  <r>
    <x v="2731"/>
    <x v="0"/>
    <x v="2267"/>
    <n v="3538220260"/>
    <n v="2815.43"/>
    <s v="UK pounds"/>
    <s v="UK pounds"/>
    <x v="0"/>
    <s v="UK"/>
    <x v="2"/>
    <x v="0"/>
    <x v="2"/>
    <s v="Consistent"/>
    <x v="0"/>
  </r>
  <r>
    <x v="2732"/>
    <x v="0"/>
    <x v="2268"/>
    <n v="5182741221"/>
    <n v="946.99"/>
    <s v="UK pounds"/>
    <s v="UK pounds"/>
    <x v="0"/>
    <s v="UK"/>
    <x v="3"/>
    <x v="0"/>
    <x v="2"/>
    <s v="Consistent"/>
    <x v="0"/>
  </r>
  <r>
    <x v="2733"/>
    <x v="0"/>
    <x v="2269"/>
    <n v="1520019731"/>
    <n v="4425.66"/>
    <s v="UK pounds"/>
    <s v="UK pounds"/>
    <x v="0"/>
    <s v="UK"/>
    <x v="4"/>
    <x v="0"/>
    <x v="4"/>
    <s v="Consistent"/>
    <x v="0"/>
  </r>
  <r>
    <x v="2734"/>
    <x v="0"/>
    <x v="1358"/>
    <n v="7548582439"/>
    <n v="6238.28"/>
    <s v="UK pounds"/>
    <s v="UK pounds"/>
    <x v="0"/>
    <s v="UK"/>
    <x v="3"/>
    <x v="0"/>
    <x v="2"/>
    <s v="Consistent"/>
    <x v="0"/>
  </r>
  <r>
    <x v="2734"/>
    <x v="0"/>
    <x v="1183"/>
    <n v="2897508498"/>
    <n v="4347.68"/>
    <s v="UK pounds"/>
    <s v="UK pounds"/>
    <x v="0"/>
    <s v="UK"/>
    <x v="5"/>
    <x v="0"/>
    <x v="2"/>
    <s v="Consistent"/>
    <x v="0"/>
  </r>
  <r>
    <x v="2735"/>
    <x v="0"/>
    <x v="2270"/>
    <n v="3661467253"/>
    <n v="273.70999999999998"/>
    <s v="UK pounds"/>
    <s v="UK pounds"/>
    <x v="0"/>
    <s v="UK"/>
    <x v="3"/>
    <x v="0"/>
    <x v="2"/>
    <s v="Consistent"/>
    <x v="0"/>
  </r>
  <r>
    <x v="2736"/>
    <x v="0"/>
    <x v="2271"/>
    <n v="2922700745"/>
    <n v="3279.28"/>
    <s v="UK pounds"/>
    <s v="UK pounds"/>
    <x v="0"/>
    <s v="UK"/>
    <x v="5"/>
    <x v="0"/>
    <x v="4"/>
    <s v="Consistent"/>
    <x v="0"/>
  </r>
  <r>
    <x v="2737"/>
    <x v="0"/>
    <x v="35"/>
    <n v="1625701030"/>
    <n v="6292.38"/>
    <s v="UK pounds"/>
    <s v="UK pounds"/>
    <x v="0"/>
    <s v="UK"/>
    <x v="3"/>
    <x v="0"/>
    <x v="1"/>
    <s v="Consistent"/>
    <x v="0"/>
  </r>
  <r>
    <x v="2738"/>
    <x v="0"/>
    <x v="866"/>
    <n v="1316458123"/>
    <n v="6559.7"/>
    <s v="UK pounds"/>
    <s v="Mexican Peso"/>
    <x v="0"/>
    <s v="Mexico"/>
    <x v="1"/>
    <x v="0"/>
    <x v="3"/>
    <s v="Potential Layering"/>
    <x v="0"/>
  </r>
  <r>
    <x v="2739"/>
    <x v="0"/>
    <x v="68"/>
    <n v="9781013421"/>
    <n v="9687.92"/>
    <s v="UK pounds"/>
    <s v="UK pounds"/>
    <x v="0"/>
    <s v="UK"/>
    <x v="3"/>
    <x v="0"/>
    <x v="1"/>
    <s v="Consistent"/>
    <x v="0"/>
  </r>
  <r>
    <x v="2740"/>
    <x v="0"/>
    <x v="2272"/>
    <n v="9284374487"/>
    <n v="3542.15"/>
    <s v="UK pounds"/>
    <s v="UK pounds"/>
    <x v="0"/>
    <s v="UK"/>
    <x v="2"/>
    <x v="0"/>
    <x v="2"/>
    <s v="Consistent"/>
    <x v="0"/>
  </r>
  <r>
    <x v="2740"/>
    <x v="0"/>
    <x v="2273"/>
    <n v="5784381078"/>
    <n v="1193.72"/>
    <s v="UK pounds"/>
    <s v="UK pounds"/>
    <x v="0"/>
    <s v="UK"/>
    <x v="5"/>
    <x v="0"/>
    <x v="4"/>
    <s v="Consistent"/>
    <x v="0"/>
  </r>
  <r>
    <x v="2741"/>
    <x v="0"/>
    <x v="8"/>
    <n v="1672288255"/>
    <n v="7289.47"/>
    <s v="UK pounds"/>
    <s v="UK pounds"/>
    <x v="0"/>
    <s v="UK"/>
    <x v="4"/>
    <x v="0"/>
    <x v="1"/>
    <s v="Consistent"/>
    <x v="0"/>
  </r>
  <r>
    <x v="2742"/>
    <x v="0"/>
    <x v="154"/>
    <n v="1465487567"/>
    <n v="21203.91"/>
    <s v="UK pounds"/>
    <s v="UK pounds"/>
    <x v="0"/>
    <s v="UK"/>
    <x v="2"/>
    <x v="0"/>
    <x v="3"/>
    <s v="Consistent"/>
    <x v="0"/>
  </r>
  <r>
    <x v="2742"/>
    <x v="0"/>
    <x v="2274"/>
    <n v="9420023151"/>
    <n v="79.77"/>
    <s v="UK pounds"/>
    <s v="UK pounds"/>
    <x v="0"/>
    <s v="UK"/>
    <x v="3"/>
    <x v="0"/>
    <x v="2"/>
    <s v="Consistent"/>
    <x v="0"/>
  </r>
  <r>
    <x v="2743"/>
    <x v="0"/>
    <x v="2275"/>
    <n v="1299324105"/>
    <n v="8662.33"/>
    <s v="UK pounds"/>
    <s v="UK pounds"/>
    <x v="0"/>
    <s v="UK"/>
    <x v="3"/>
    <x v="0"/>
    <x v="2"/>
    <s v="Consistent"/>
    <x v="0"/>
  </r>
  <r>
    <x v="2743"/>
    <x v="0"/>
    <x v="1338"/>
    <n v="7047814082"/>
    <n v="1775.87"/>
    <s v="UK pounds"/>
    <s v="UK pounds"/>
    <x v="0"/>
    <s v="UK"/>
    <x v="3"/>
    <x v="0"/>
    <x v="6"/>
    <s v="Consistent"/>
    <x v="0"/>
  </r>
  <r>
    <x v="2744"/>
    <x v="0"/>
    <x v="1538"/>
    <n v="9874339405"/>
    <n v="8431.85"/>
    <s v="UK pounds"/>
    <s v="UK pounds"/>
    <x v="0"/>
    <s v="UK"/>
    <x v="5"/>
    <x v="0"/>
    <x v="2"/>
    <s v="Consistent"/>
    <x v="0"/>
  </r>
  <r>
    <x v="2745"/>
    <x v="0"/>
    <x v="662"/>
    <n v="7713641622"/>
    <n v="9910.85"/>
    <s v="UK pounds"/>
    <s v="UK pounds"/>
    <x v="0"/>
    <s v="UK"/>
    <x v="3"/>
    <x v="0"/>
    <x v="6"/>
    <s v="Consistent"/>
    <x v="0"/>
  </r>
  <r>
    <x v="2746"/>
    <x v="0"/>
    <x v="2276"/>
    <n v="2138505015"/>
    <n v="12598.47"/>
    <s v="UK pounds"/>
    <s v="Dirham"/>
    <x v="0"/>
    <s v="UAE"/>
    <x v="1"/>
    <x v="0"/>
    <x v="3"/>
    <s v="Potential Layering"/>
    <x v="0"/>
  </r>
  <r>
    <x v="2747"/>
    <x v="0"/>
    <x v="1338"/>
    <n v="7548524701"/>
    <n v="704.55"/>
    <s v="UK pounds"/>
    <s v="UK pounds"/>
    <x v="0"/>
    <s v="UK"/>
    <x v="5"/>
    <x v="0"/>
    <x v="2"/>
    <s v="Consistent"/>
    <x v="0"/>
  </r>
  <r>
    <x v="2748"/>
    <x v="0"/>
    <x v="2277"/>
    <n v="7148856115"/>
    <n v="1646.99"/>
    <s v="UK pounds"/>
    <s v="UK pounds"/>
    <x v="0"/>
    <s v="UK"/>
    <x v="0"/>
    <x v="0"/>
    <x v="0"/>
    <s v="Consistent"/>
    <x v="0"/>
  </r>
  <r>
    <x v="2749"/>
    <x v="0"/>
    <x v="871"/>
    <n v="1465487567"/>
    <n v="7300.93"/>
    <s v="UK pounds"/>
    <s v="UK pounds"/>
    <x v="0"/>
    <s v="UK"/>
    <x v="5"/>
    <x v="0"/>
    <x v="3"/>
    <s v="Consistent"/>
    <x v="0"/>
  </r>
  <r>
    <x v="2750"/>
    <x v="0"/>
    <x v="734"/>
    <n v="6034997194"/>
    <n v="13321.52"/>
    <s v="Euro"/>
    <s v="UK pounds"/>
    <x v="12"/>
    <s v="UK"/>
    <x v="1"/>
    <x v="0"/>
    <x v="3"/>
    <s v="Potential Layering"/>
    <x v="0"/>
  </r>
  <r>
    <x v="2751"/>
    <x v="0"/>
    <x v="2278"/>
    <n v="3535201459"/>
    <n v="241.39"/>
    <s v="UK pounds"/>
    <s v="UK pounds"/>
    <x v="0"/>
    <s v="UK"/>
    <x v="6"/>
    <x v="0"/>
    <x v="5"/>
    <s v="Consistent"/>
    <x v="0"/>
  </r>
  <r>
    <x v="2752"/>
    <x v="0"/>
    <x v="425"/>
    <n v="6034997194"/>
    <n v="33756.74"/>
    <s v="UK pounds"/>
    <s v="UK pounds"/>
    <x v="0"/>
    <s v="UK"/>
    <x v="3"/>
    <x v="0"/>
    <x v="3"/>
    <s v="Consistent"/>
    <x v="0"/>
  </r>
  <r>
    <x v="2753"/>
    <x v="0"/>
    <x v="2279"/>
    <n v="8725751410"/>
    <n v="4811.2"/>
    <s v="UK pounds"/>
    <s v="UK pounds"/>
    <x v="0"/>
    <s v="UK"/>
    <x v="2"/>
    <x v="0"/>
    <x v="2"/>
    <s v="Consistent"/>
    <x v="0"/>
  </r>
  <r>
    <x v="2754"/>
    <x v="0"/>
    <x v="2280"/>
    <n v="1165137022"/>
    <n v="8087.83"/>
    <s v="UK pounds"/>
    <s v="UK pounds"/>
    <x v="0"/>
    <s v="UK"/>
    <x v="2"/>
    <x v="0"/>
    <x v="2"/>
    <s v="Consistent"/>
    <x v="0"/>
  </r>
  <r>
    <x v="2755"/>
    <x v="0"/>
    <x v="2281"/>
    <n v="6428079472"/>
    <n v="1006.1"/>
    <s v="UK pounds"/>
    <s v="UK pounds"/>
    <x v="0"/>
    <s v="UK"/>
    <x v="2"/>
    <x v="0"/>
    <x v="2"/>
    <s v="Consistent"/>
    <x v="0"/>
  </r>
  <r>
    <x v="2756"/>
    <x v="0"/>
    <x v="2282"/>
    <n v="3488425844"/>
    <n v="6282.38"/>
    <s v="UK pounds"/>
    <s v="UK pounds"/>
    <x v="0"/>
    <s v="UK"/>
    <x v="3"/>
    <x v="0"/>
    <x v="2"/>
    <s v="Consistent"/>
    <x v="0"/>
  </r>
  <r>
    <x v="2757"/>
    <x v="0"/>
    <x v="219"/>
    <n v="3220735304"/>
    <n v="19371.89"/>
    <s v="UK pounds"/>
    <s v="UK pounds"/>
    <x v="0"/>
    <s v="UK"/>
    <x v="3"/>
    <x v="0"/>
    <x v="3"/>
    <s v="Consistent"/>
    <x v="0"/>
  </r>
  <r>
    <x v="2758"/>
    <x v="0"/>
    <x v="2283"/>
    <n v="1911427515"/>
    <n v="1703.31"/>
    <s v="UK pounds"/>
    <s v="UK pounds"/>
    <x v="0"/>
    <s v="UK"/>
    <x v="3"/>
    <x v="0"/>
    <x v="2"/>
    <s v="Consistent"/>
    <x v="0"/>
  </r>
  <r>
    <x v="2759"/>
    <x v="0"/>
    <x v="2284"/>
    <n v="7979406195"/>
    <n v="508.6"/>
    <s v="UK pounds"/>
    <s v="UK pounds"/>
    <x v="0"/>
    <s v="UK"/>
    <x v="0"/>
    <x v="0"/>
    <x v="0"/>
    <s v="Consistent"/>
    <x v="0"/>
  </r>
  <r>
    <x v="2760"/>
    <x v="0"/>
    <x v="2285"/>
    <n v="7892884492"/>
    <n v="12379.04"/>
    <s v="UK pounds"/>
    <s v="US dollar"/>
    <x v="0"/>
    <s v="USA"/>
    <x v="1"/>
    <x v="0"/>
    <x v="3"/>
    <s v="Potential Layering"/>
    <x v="0"/>
  </r>
  <r>
    <x v="2761"/>
    <x v="0"/>
    <x v="2286"/>
    <n v="6264003209"/>
    <n v="47664.17"/>
    <s v="UK pounds"/>
    <s v="UK pounds"/>
    <x v="0"/>
    <s v="UK"/>
    <x v="3"/>
    <x v="0"/>
    <x v="2"/>
    <s v="Consistent"/>
    <x v="0"/>
  </r>
  <r>
    <x v="2762"/>
    <x v="0"/>
    <x v="1432"/>
    <n v="8678802420"/>
    <n v="21291.14"/>
    <s v="UK pounds"/>
    <s v="UK pounds"/>
    <x v="0"/>
    <s v="UK"/>
    <x v="4"/>
    <x v="0"/>
    <x v="3"/>
    <s v="Consistent"/>
    <x v="0"/>
  </r>
  <r>
    <x v="2763"/>
    <x v="0"/>
    <x v="124"/>
    <n v="4961006135"/>
    <n v="6420.34"/>
    <s v="UK pounds"/>
    <s v="UK pounds"/>
    <x v="0"/>
    <s v="UK"/>
    <x v="3"/>
    <x v="0"/>
    <x v="1"/>
    <s v="Consistent"/>
    <x v="0"/>
  </r>
  <r>
    <x v="2763"/>
    <x v="0"/>
    <x v="2287"/>
    <n v="5719844228"/>
    <n v="9419.81"/>
    <s v="UK pounds"/>
    <s v="UK pounds"/>
    <x v="0"/>
    <s v="UK"/>
    <x v="2"/>
    <x v="0"/>
    <x v="2"/>
    <s v="Consistent"/>
    <x v="0"/>
  </r>
  <r>
    <x v="2764"/>
    <x v="0"/>
    <x v="2288"/>
    <n v="2478696011"/>
    <n v="1324.54"/>
    <s v="UK pounds"/>
    <s v="UK pounds"/>
    <x v="0"/>
    <s v="UK"/>
    <x v="5"/>
    <x v="0"/>
    <x v="2"/>
    <s v="Consistent"/>
    <x v="0"/>
  </r>
  <r>
    <x v="2765"/>
    <x v="0"/>
    <x v="2289"/>
    <n v="1186537090"/>
    <n v="5790.54"/>
    <s v="UK pounds"/>
    <s v="UK pounds"/>
    <x v="0"/>
    <s v="UK"/>
    <x v="4"/>
    <x v="0"/>
    <x v="2"/>
    <s v="Consistent"/>
    <x v="0"/>
  </r>
  <r>
    <x v="2765"/>
    <x v="0"/>
    <x v="81"/>
    <n v="9199525861"/>
    <n v="6612.83"/>
    <s v="UK pounds"/>
    <s v="UK pounds"/>
    <x v="0"/>
    <s v="UK"/>
    <x v="5"/>
    <x v="0"/>
    <x v="1"/>
    <s v="Consistent"/>
    <x v="0"/>
  </r>
  <r>
    <x v="2766"/>
    <x v="0"/>
    <x v="1294"/>
    <n v="1465487567"/>
    <n v="6996.39"/>
    <s v="UK pounds"/>
    <s v="UK pounds"/>
    <x v="0"/>
    <s v="UK"/>
    <x v="3"/>
    <x v="0"/>
    <x v="3"/>
    <s v="Consistent"/>
    <x v="0"/>
  </r>
  <r>
    <x v="2767"/>
    <x v="0"/>
    <x v="215"/>
    <n v="8898445416"/>
    <n v="3061.65"/>
    <s v="UK pounds"/>
    <s v="UK pounds"/>
    <x v="0"/>
    <s v="UK"/>
    <x v="4"/>
    <x v="0"/>
    <x v="2"/>
    <s v="Consistent"/>
    <x v="0"/>
  </r>
  <r>
    <x v="2768"/>
    <x v="0"/>
    <x v="2290"/>
    <n v="1689748473"/>
    <n v="2716.35"/>
    <s v="UK pounds"/>
    <s v="UK pounds"/>
    <x v="0"/>
    <s v="UK"/>
    <x v="0"/>
    <x v="0"/>
    <x v="0"/>
    <s v="Consistent"/>
    <x v="0"/>
  </r>
  <r>
    <x v="2768"/>
    <x v="0"/>
    <x v="2291"/>
    <n v="9501125485"/>
    <n v="2338.6799999999998"/>
    <s v="UK pounds"/>
    <s v="UK pounds"/>
    <x v="0"/>
    <s v="UK"/>
    <x v="0"/>
    <x v="0"/>
    <x v="0"/>
    <s v="Consistent"/>
    <x v="0"/>
  </r>
  <r>
    <x v="2769"/>
    <x v="0"/>
    <x v="2292"/>
    <n v="5583952328"/>
    <n v="74.33"/>
    <s v="UK pounds"/>
    <s v="UK pounds"/>
    <x v="0"/>
    <s v="UK"/>
    <x v="5"/>
    <x v="0"/>
    <x v="2"/>
    <s v="Consistent"/>
    <x v="0"/>
  </r>
  <r>
    <x v="2770"/>
    <x v="0"/>
    <x v="2293"/>
    <n v="8678802420"/>
    <n v="7009.58"/>
    <s v="UK pounds"/>
    <s v="UK pounds"/>
    <x v="0"/>
    <s v="UK"/>
    <x v="3"/>
    <x v="0"/>
    <x v="3"/>
    <s v="Consistent"/>
    <x v="0"/>
  </r>
  <r>
    <x v="2771"/>
    <x v="0"/>
    <x v="2294"/>
    <n v="3506140194"/>
    <n v="1667.98"/>
    <s v="UK pounds"/>
    <s v="UK pounds"/>
    <x v="0"/>
    <s v="UK"/>
    <x v="2"/>
    <x v="0"/>
    <x v="2"/>
    <s v="Consistent"/>
    <x v="0"/>
  </r>
  <r>
    <x v="2771"/>
    <x v="0"/>
    <x v="2295"/>
    <n v="791276398"/>
    <n v="19245.02"/>
    <s v="UK pounds"/>
    <s v="UK pounds"/>
    <x v="0"/>
    <s v="UK"/>
    <x v="3"/>
    <x v="0"/>
    <x v="6"/>
    <s v="Consistent"/>
    <x v="0"/>
  </r>
  <r>
    <x v="2772"/>
    <x v="0"/>
    <x v="676"/>
    <n v="375261355"/>
    <n v="513.74"/>
    <s v="UK pounds"/>
    <s v="UK pounds"/>
    <x v="0"/>
    <s v="UK"/>
    <x v="2"/>
    <x v="0"/>
    <x v="2"/>
    <s v="Consistent"/>
    <x v="0"/>
  </r>
  <r>
    <x v="2773"/>
    <x v="0"/>
    <x v="2296"/>
    <n v="5708936901"/>
    <n v="11425.34"/>
    <s v="UK pounds"/>
    <s v="UK pounds"/>
    <x v="0"/>
    <s v="UK"/>
    <x v="2"/>
    <x v="0"/>
    <x v="3"/>
    <s v="Consistent"/>
    <x v="0"/>
  </r>
  <r>
    <x v="2774"/>
    <x v="0"/>
    <x v="2297"/>
    <n v="905071615"/>
    <n v="4593.9399999999996"/>
    <s v="UK pounds"/>
    <s v="UK pounds"/>
    <x v="0"/>
    <s v="UK"/>
    <x v="0"/>
    <x v="0"/>
    <x v="0"/>
    <s v="Consistent"/>
    <x v="0"/>
  </r>
  <r>
    <x v="2775"/>
    <x v="0"/>
    <x v="2298"/>
    <n v="6511116461"/>
    <n v="5945.35"/>
    <s v="UK pounds"/>
    <s v="UK pounds"/>
    <x v="0"/>
    <s v="UK"/>
    <x v="5"/>
    <x v="0"/>
    <x v="2"/>
    <s v="Consistent"/>
    <x v="0"/>
  </r>
  <r>
    <x v="2776"/>
    <x v="0"/>
    <x v="1647"/>
    <n v="7160736915"/>
    <n v="10944.41"/>
    <s v="UK pounds"/>
    <s v="UK pounds"/>
    <x v="0"/>
    <s v="UK"/>
    <x v="2"/>
    <x v="0"/>
    <x v="3"/>
    <s v="Consistent"/>
    <x v="0"/>
  </r>
  <r>
    <x v="2777"/>
    <x v="0"/>
    <x v="2299"/>
    <n v="172510384"/>
    <n v="852.71"/>
    <s v="UK pounds"/>
    <s v="UK pounds"/>
    <x v="0"/>
    <s v="UK"/>
    <x v="2"/>
    <x v="0"/>
    <x v="2"/>
    <s v="Consistent"/>
    <x v="0"/>
  </r>
  <r>
    <x v="2778"/>
    <x v="0"/>
    <x v="2300"/>
    <n v="4305970891"/>
    <n v="1539.47"/>
    <s v="UK pounds"/>
    <s v="UK pounds"/>
    <x v="0"/>
    <s v="UK"/>
    <x v="4"/>
    <x v="0"/>
    <x v="2"/>
    <s v="Consistent"/>
    <x v="0"/>
  </r>
  <r>
    <x v="2779"/>
    <x v="0"/>
    <x v="195"/>
    <n v="6846852475"/>
    <n v="5211.74"/>
    <s v="UK pounds"/>
    <s v="UK pounds"/>
    <x v="0"/>
    <s v="UK"/>
    <x v="2"/>
    <x v="0"/>
    <x v="1"/>
    <s v="Consistent"/>
    <x v="0"/>
  </r>
  <r>
    <x v="2780"/>
    <x v="0"/>
    <x v="238"/>
    <n v="2547799506"/>
    <n v="12298.47"/>
    <s v="UK pounds"/>
    <s v="UK pounds"/>
    <x v="0"/>
    <s v="UK"/>
    <x v="4"/>
    <x v="0"/>
    <x v="1"/>
    <s v="Consistent"/>
    <x v="0"/>
  </r>
  <r>
    <x v="2781"/>
    <x v="0"/>
    <x v="1274"/>
    <n v="3220735304"/>
    <n v="18943.66"/>
    <s v="UK pounds"/>
    <s v="UK pounds"/>
    <x v="0"/>
    <s v="UK"/>
    <x v="2"/>
    <x v="0"/>
    <x v="3"/>
    <s v="Consistent"/>
    <x v="0"/>
  </r>
  <r>
    <x v="2782"/>
    <x v="0"/>
    <x v="2301"/>
    <n v="2485684866"/>
    <n v="3296.53"/>
    <s v="UK pounds"/>
    <s v="UK pounds"/>
    <x v="0"/>
    <s v="UK"/>
    <x v="2"/>
    <x v="0"/>
    <x v="2"/>
    <s v="Consistent"/>
    <x v="0"/>
  </r>
  <r>
    <x v="2783"/>
    <x v="0"/>
    <x v="1"/>
    <n v="7160767531"/>
    <n v="8287.4"/>
    <s v="UK pounds"/>
    <s v="UK pounds"/>
    <x v="0"/>
    <s v="UK"/>
    <x v="3"/>
    <x v="0"/>
    <x v="1"/>
    <s v="Consistent"/>
    <x v="0"/>
  </r>
  <r>
    <x v="2784"/>
    <x v="0"/>
    <x v="709"/>
    <n v="8355436243"/>
    <n v="2504.69"/>
    <s v="UK pounds"/>
    <s v="UK pounds"/>
    <x v="0"/>
    <s v="UK"/>
    <x v="2"/>
    <x v="0"/>
    <x v="2"/>
    <s v="Consistent"/>
    <x v="0"/>
  </r>
  <r>
    <x v="2784"/>
    <x v="0"/>
    <x v="2302"/>
    <n v="5624016781"/>
    <n v="11256.14"/>
    <s v="UK pounds"/>
    <s v="UK pounds"/>
    <x v="0"/>
    <s v="UK"/>
    <x v="4"/>
    <x v="0"/>
    <x v="4"/>
    <s v="Consistent"/>
    <x v="0"/>
  </r>
  <r>
    <x v="2785"/>
    <x v="0"/>
    <x v="2303"/>
    <n v="6574810359"/>
    <n v="6630.56"/>
    <s v="UK pounds"/>
    <s v="UK pounds"/>
    <x v="0"/>
    <s v="UK"/>
    <x v="4"/>
    <x v="0"/>
    <x v="4"/>
    <s v="Consistent"/>
    <x v="0"/>
  </r>
  <r>
    <x v="2786"/>
    <x v="0"/>
    <x v="2304"/>
    <n v="7596697023"/>
    <n v="694.12"/>
    <s v="UK pounds"/>
    <s v="UK pounds"/>
    <x v="0"/>
    <s v="UK"/>
    <x v="4"/>
    <x v="0"/>
    <x v="2"/>
    <s v="Consistent"/>
    <x v="0"/>
  </r>
  <r>
    <x v="2787"/>
    <x v="0"/>
    <x v="527"/>
    <n v="9663002809"/>
    <n v="1032.26"/>
    <s v="UK pounds"/>
    <s v="UK pounds"/>
    <x v="0"/>
    <s v="UK"/>
    <x v="5"/>
    <x v="0"/>
    <x v="2"/>
    <s v="Consistent"/>
    <x v="0"/>
  </r>
  <r>
    <x v="2788"/>
    <x v="0"/>
    <x v="2305"/>
    <n v="7412789597"/>
    <n v="10869.63"/>
    <s v="UK pounds"/>
    <s v="UK pounds"/>
    <x v="0"/>
    <s v="UK"/>
    <x v="3"/>
    <x v="0"/>
    <x v="2"/>
    <s v="Consistent"/>
    <x v="0"/>
  </r>
  <r>
    <x v="2788"/>
    <x v="0"/>
    <x v="2306"/>
    <n v="6233217293"/>
    <n v="5483.39"/>
    <s v="UK pounds"/>
    <s v="UK pounds"/>
    <x v="0"/>
    <s v="UK"/>
    <x v="4"/>
    <x v="0"/>
    <x v="4"/>
    <s v="Consistent"/>
    <x v="0"/>
  </r>
  <r>
    <x v="2789"/>
    <x v="0"/>
    <x v="2307"/>
    <n v="488828934"/>
    <n v="608.17999999999995"/>
    <s v="UK pounds"/>
    <s v="UK pounds"/>
    <x v="0"/>
    <s v="UK"/>
    <x v="5"/>
    <x v="0"/>
    <x v="2"/>
    <s v="Consistent"/>
    <x v="0"/>
  </r>
  <r>
    <x v="2790"/>
    <x v="0"/>
    <x v="1412"/>
    <n v="5466123934"/>
    <n v="8060.25"/>
    <s v="UK pounds"/>
    <s v="UK pounds"/>
    <x v="0"/>
    <s v="UK"/>
    <x v="2"/>
    <x v="0"/>
    <x v="3"/>
    <s v="Consistent"/>
    <x v="0"/>
  </r>
  <r>
    <x v="2791"/>
    <x v="0"/>
    <x v="2308"/>
    <n v="1072942380"/>
    <n v="15674.01"/>
    <s v="UK pounds"/>
    <s v="UK pounds"/>
    <x v="0"/>
    <s v="UK"/>
    <x v="4"/>
    <x v="0"/>
    <x v="4"/>
    <s v="Consistent"/>
    <x v="0"/>
  </r>
  <r>
    <x v="2792"/>
    <x v="0"/>
    <x v="149"/>
    <n v="9106702668"/>
    <n v="12066.3"/>
    <s v="UK pounds"/>
    <s v="UK pounds"/>
    <x v="0"/>
    <s v="UK"/>
    <x v="3"/>
    <x v="0"/>
    <x v="1"/>
    <s v="Consistent"/>
    <x v="0"/>
  </r>
  <r>
    <x v="2793"/>
    <x v="0"/>
    <x v="2309"/>
    <n v="8496082065"/>
    <n v="1229.46"/>
    <s v="UK pounds"/>
    <s v="UK pounds"/>
    <x v="0"/>
    <s v="UK"/>
    <x v="5"/>
    <x v="0"/>
    <x v="2"/>
    <s v="Consistent"/>
    <x v="0"/>
  </r>
  <r>
    <x v="2794"/>
    <x v="0"/>
    <x v="2310"/>
    <n v="8172080174"/>
    <n v="7004.45"/>
    <s v="UK pounds"/>
    <s v="UK pounds"/>
    <x v="0"/>
    <s v="UK"/>
    <x v="4"/>
    <x v="0"/>
    <x v="3"/>
    <s v="Consistent"/>
    <x v="0"/>
  </r>
  <r>
    <x v="2795"/>
    <x v="0"/>
    <x v="2311"/>
    <n v="8048071901"/>
    <n v="10218.65"/>
    <s v="UK pounds"/>
    <s v="UK pounds"/>
    <x v="0"/>
    <s v="UK"/>
    <x v="3"/>
    <x v="0"/>
    <x v="4"/>
    <s v="Consistent"/>
    <x v="0"/>
  </r>
  <r>
    <x v="2796"/>
    <x v="0"/>
    <x v="2312"/>
    <n v="3084479105"/>
    <n v="946.87"/>
    <s v="UK pounds"/>
    <s v="UK pounds"/>
    <x v="0"/>
    <s v="UK"/>
    <x v="5"/>
    <x v="0"/>
    <x v="2"/>
    <s v="Consistent"/>
    <x v="0"/>
  </r>
  <r>
    <x v="2797"/>
    <x v="0"/>
    <x v="46"/>
    <n v="7504808702"/>
    <n v="16670.04"/>
    <s v="UK pounds"/>
    <s v="UK pounds"/>
    <x v="0"/>
    <s v="UK"/>
    <x v="2"/>
    <x v="0"/>
    <x v="1"/>
    <s v="Consistent"/>
    <x v="0"/>
  </r>
  <r>
    <x v="2798"/>
    <x v="0"/>
    <x v="2313"/>
    <n v="3993366206"/>
    <n v="107.09"/>
    <s v="UK pounds"/>
    <s v="UK pounds"/>
    <x v="0"/>
    <s v="UK"/>
    <x v="6"/>
    <x v="0"/>
    <x v="5"/>
    <s v="Consistent"/>
    <x v="0"/>
  </r>
  <r>
    <x v="2799"/>
    <x v="0"/>
    <x v="110"/>
    <n v="6917865488"/>
    <n v="13894.37"/>
    <s v="UK pounds"/>
    <s v="UK pounds"/>
    <x v="0"/>
    <s v="UK"/>
    <x v="4"/>
    <x v="0"/>
    <x v="1"/>
    <s v="Consistent"/>
    <x v="0"/>
  </r>
  <r>
    <x v="2800"/>
    <x v="0"/>
    <x v="51"/>
    <n v="6345374341"/>
    <n v="8004.58"/>
    <s v="UK pounds"/>
    <s v="UK pounds"/>
    <x v="0"/>
    <s v="UK"/>
    <x v="5"/>
    <x v="0"/>
    <x v="1"/>
    <s v="Consistent"/>
    <x v="0"/>
  </r>
  <r>
    <x v="2801"/>
    <x v="0"/>
    <x v="20"/>
    <n v="7472952117"/>
    <n v="7045.17"/>
    <s v="UK pounds"/>
    <s v="UK pounds"/>
    <x v="0"/>
    <s v="UK"/>
    <x v="4"/>
    <x v="0"/>
    <x v="1"/>
    <s v="Consistent"/>
    <x v="0"/>
  </r>
  <r>
    <x v="2802"/>
    <x v="0"/>
    <x v="2314"/>
    <n v="59113258"/>
    <n v="2430.48"/>
    <s v="UK pounds"/>
    <s v="UK pounds"/>
    <x v="0"/>
    <s v="UK"/>
    <x v="0"/>
    <x v="0"/>
    <x v="0"/>
    <s v="Consistent"/>
    <x v="0"/>
  </r>
  <r>
    <x v="2803"/>
    <x v="0"/>
    <x v="2315"/>
    <n v="6073604896"/>
    <n v="1471.77"/>
    <s v="UK pounds"/>
    <s v="UK pounds"/>
    <x v="0"/>
    <s v="UK"/>
    <x v="4"/>
    <x v="0"/>
    <x v="7"/>
    <s v="Consistent"/>
    <x v="0"/>
  </r>
  <r>
    <x v="2804"/>
    <x v="0"/>
    <x v="149"/>
    <n v="9018284593"/>
    <n v="5733.62"/>
    <s v="UK pounds"/>
    <s v="UK pounds"/>
    <x v="0"/>
    <s v="UK"/>
    <x v="2"/>
    <x v="0"/>
    <x v="1"/>
    <s v="Consistent"/>
    <x v="0"/>
  </r>
  <r>
    <x v="2805"/>
    <x v="0"/>
    <x v="2316"/>
    <n v="9040068292"/>
    <n v="2477.83"/>
    <s v="UK pounds"/>
    <s v="UK pounds"/>
    <x v="0"/>
    <s v="UK"/>
    <x v="4"/>
    <x v="0"/>
    <x v="2"/>
    <s v="Consistent"/>
    <x v="0"/>
  </r>
  <r>
    <x v="2806"/>
    <x v="0"/>
    <x v="56"/>
    <n v="6444220418"/>
    <n v="8402.6299999999992"/>
    <s v="UK pounds"/>
    <s v="UK pounds"/>
    <x v="0"/>
    <s v="UK"/>
    <x v="3"/>
    <x v="0"/>
    <x v="3"/>
    <s v="Consistent"/>
    <x v="0"/>
  </r>
  <r>
    <x v="2807"/>
    <x v="0"/>
    <x v="2317"/>
    <n v="4270968526"/>
    <n v="2401.9299999999998"/>
    <s v="UK pounds"/>
    <s v="UK pounds"/>
    <x v="0"/>
    <s v="UK"/>
    <x v="4"/>
    <x v="0"/>
    <x v="2"/>
    <s v="Consistent"/>
    <x v="0"/>
  </r>
  <r>
    <x v="2808"/>
    <x v="0"/>
    <x v="2318"/>
    <n v="2694436648"/>
    <n v="5045.6499999999996"/>
    <s v="UK pounds"/>
    <s v="UK pounds"/>
    <x v="0"/>
    <s v="UK"/>
    <x v="2"/>
    <x v="0"/>
    <x v="2"/>
    <s v="Consistent"/>
    <x v="0"/>
  </r>
  <r>
    <x v="2809"/>
    <x v="0"/>
    <x v="110"/>
    <n v="7577540230"/>
    <n v="7232.34"/>
    <s v="UK pounds"/>
    <s v="UK pounds"/>
    <x v="0"/>
    <s v="UK"/>
    <x v="4"/>
    <x v="0"/>
    <x v="1"/>
    <s v="Consistent"/>
    <x v="0"/>
  </r>
  <r>
    <x v="2810"/>
    <x v="0"/>
    <x v="2319"/>
    <n v="5971760311"/>
    <n v="3252.35"/>
    <s v="UK pounds"/>
    <s v="US dollar"/>
    <x v="0"/>
    <s v="USA"/>
    <x v="1"/>
    <x v="1"/>
    <x v="15"/>
    <s v="Potential Layering"/>
    <x v="0"/>
  </r>
  <r>
    <x v="2811"/>
    <x v="0"/>
    <x v="150"/>
    <n v="5393260130"/>
    <n v="8298.84"/>
    <s v="UK pounds"/>
    <s v="Swiss franc"/>
    <x v="0"/>
    <s v="Switzerland"/>
    <x v="1"/>
    <x v="0"/>
    <x v="1"/>
    <s v="Potential Layering"/>
    <x v="0"/>
  </r>
  <r>
    <x v="2812"/>
    <x v="0"/>
    <x v="2320"/>
    <n v="2010672441"/>
    <n v="1412.67"/>
    <s v="UK pounds"/>
    <s v="UK pounds"/>
    <x v="0"/>
    <s v="UK"/>
    <x v="0"/>
    <x v="0"/>
    <x v="0"/>
    <s v="Consistent"/>
    <x v="0"/>
  </r>
  <r>
    <x v="2813"/>
    <x v="0"/>
    <x v="124"/>
    <n v="9848553102"/>
    <n v="10366.82"/>
    <s v="UK pounds"/>
    <s v="UK pounds"/>
    <x v="0"/>
    <s v="UK"/>
    <x v="5"/>
    <x v="0"/>
    <x v="1"/>
    <s v="Consistent"/>
    <x v="0"/>
  </r>
  <r>
    <x v="2814"/>
    <x v="0"/>
    <x v="399"/>
    <n v="1431561040"/>
    <n v="19782.73"/>
    <s v="UK pounds"/>
    <s v="UK pounds"/>
    <x v="0"/>
    <s v="UK"/>
    <x v="3"/>
    <x v="0"/>
    <x v="3"/>
    <s v="Consistent"/>
    <x v="0"/>
  </r>
  <r>
    <x v="2814"/>
    <x v="0"/>
    <x v="2321"/>
    <n v="5708936901"/>
    <n v="9590.0300000000007"/>
    <s v="UK pounds"/>
    <s v="UK pounds"/>
    <x v="0"/>
    <s v="UK"/>
    <x v="5"/>
    <x v="0"/>
    <x v="3"/>
    <s v="Consistent"/>
    <x v="0"/>
  </r>
  <r>
    <x v="2815"/>
    <x v="0"/>
    <x v="195"/>
    <n v="3772874052"/>
    <n v="11061.36"/>
    <s v="UK pounds"/>
    <s v="Turkish lira"/>
    <x v="0"/>
    <s v="Turkey"/>
    <x v="1"/>
    <x v="0"/>
    <x v="1"/>
    <s v="Potential Layering"/>
    <x v="0"/>
  </r>
  <r>
    <x v="2816"/>
    <x v="0"/>
    <x v="2322"/>
    <n v="7796880373"/>
    <n v="426.82"/>
    <s v="UK pounds"/>
    <s v="UK pounds"/>
    <x v="0"/>
    <s v="UK"/>
    <x v="0"/>
    <x v="0"/>
    <x v="0"/>
    <s v="Consistent"/>
    <x v="0"/>
  </r>
  <r>
    <x v="2817"/>
    <x v="0"/>
    <x v="2323"/>
    <n v="5579295130"/>
    <n v="9783.19"/>
    <s v="Dirham"/>
    <s v="UK pounds"/>
    <x v="6"/>
    <s v="UK"/>
    <x v="1"/>
    <x v="0"/>
    <x v="4"/>
    <s v="Potential Layering"/>
    <x v="2"/>
  </r>
  <r>
    <x v="2818"/>
    <x v="0"/>
    <x v="163"/>
    <n v="5832927076"/>
    <n v="9897.61"/>
    <s v="UK pounds"/>
    <s v="UK pounds"/>
    <x v="0"/>
    <s v="UK"/>
    <x v="4"/>
    <x v="0"/>
    <x v="1"/>
    <s v="Consistent"/>
    <x v="0"/>
  </r>
  <r>
    <x v="2819"/>
    <x v="0"/>
    <x v="9"/>
    <n v="1702377336"/>
    <n v="6652.68"/>
    <s v="UK pounds"/>
    <s v="UK pounds"/>
    <x v="0"/>
    <s v="UK"/>
    <x v="3"/>
    <x v="0"/>
    <x v="1"/>
    <s v="Consistent"/>
    <x v="0"/>
  </r>
  <r>
    <x v="2820"/>
    <x v="0"/>
    <x v="2324"/>
    <n v="1593175702"/>
    <n v="102.29"/>
    <s v="UK pounds"/>
    <s v="UK pounds"/>
    <x v="0"/>
    <s v="UK"/>
    <x v="6"/>
    <x v="0"/>
    <x v="5"/>
    <s v="Consistent"/>
    <x v="0"/>
  </r>
  <r>
    <x v="2821"/>
    <x v="0"/>
    <x v="91"/>
    <n v="6973117783"/>
    <n v="4694.24"/>
    <s v="UK pounds"/>
    <s v="Mexican Peso"/>
    <x v="0"/>
    <s v="Mexico"/>
    <x v="1"/>
    <x v="0"/>
    <x v="1"/>
    <s v="Potential Layering"/>
    <x v="0"/>
  </r>
  <r>
    <x v="2822"/>
    <x v="0"/>
    <x v="2325"/>
    <n v="687183818"/>
    <n v="140.99"/>
    <s v="UK pounds"/>
    <s v="UK pounds"/>
    <x v="0"/>
    <s v="UK"/>
    <x v="5"/>
    <x v="0"/>
    <x v="2"/>
    <s v="Consistent"/>
    <x v="0"/>
  </r>
  <r>
    <x v="2823"/>
    <x v="0"/>
    <x v="210"/>
    <n v="8140432476"/>
    <n v="7760.85"/>
    <s v="UK pounds"/>
    <s v="UK pounds"/>
    <x v="0"/>
    <s v="UK"/>
    <x v="2"/>
    <x v="0"/>
    <x v="1"/>
    <s v="Consistent"/>
    <x v="0"/>
  </r>
  <r>
    <x v="2824"/>
    <x v="0"/>
    <x v="2326"/>
    <n v="4551471712"/>
    <n v="4316.2700000000004"/>
    <s v="UK pounds"/>
    <s v="UK pounds"/>
    <x v="0"/>
    <s v="UK"/>
    <x v="3"/>
    <x v="0"/>
    <x v="2"/>
    <s v="Consistent"/>
    <x v="0"/>
  </r>
  <r>
    <x v="2825"/>
    <x v="0"/>
    <x v="317"/>
    <n v="5466123934"/>
    <n v="7893.44"/>
    <s v="UK pounds"/>
    <s v="UK pounds"/>
    <x v="0"/>
    <s v="UK"/>
    <x v="2"/>
    <x v="0"/>
    <x v="3"/>
    <s v="Consistent"/>
    <x v="0"/>
  </r>
  <r>
    <x v="2826"/>
    <x v="0"/>
    <x v="2327"/>
    <n v="4388814424"/>
    <n v="11259.75"/>
    <s v="UK pounds"/>
    <s v="UK pounds"/>
    <x v="0"/>
    <s v="UK"/>
    <x v="3"/>
    <x v="0"/>
    <x v="2"/>
    <s v="Consistent"/>
    <x v="0"/>
  </r>
  <r>
    <x v="2827"/>
    <x v="0"/>
    <x v="2328"/>
    <n v="822880832"/>
    <n v="4258.38"/>
    <s v="UK pounds"/>
    <s v="UK pounds"/>
    <x v="0"/>
    <s v="UK"/>
    <x v="3"/>
    <x v="0"/>
    <x v="2"/>
    <s v="Consistent"/>
    <x v="0"/>
  </r>
  <r>
    <x v="2828"/>
    <x v="0"/>
    <x v="2329"/>
    <n v="9564235003"/>
    <n v="3643.87"/>
    <s v="UK pounds"/>
    <s v="UK pounds"/>
    <x v="0"/>
    <s v="UK"/>
    <x v="3"/>
    <x v="0"/>
    <x v="2"/>
    <s v="Consistent"/>
    <x v="0"/>
  </r>
  <r>
    <x v="2829"/>
    <x v="0"/>
    <x v="2330"/>
    <n v="1526933793"/>
    <n v="1332.29"/>
    <s v="UK pounds"/>
    <s v="UK pounds"/>
    <x v="0"/>
    <s v="UK"/>
    <x v="4"/>
    <x v="0"/>
    <x v="2"/>
    <s v="Consistent"/>
    <x v="0"/>
  </r>
  <r>
    <x v="2830"/>
    <x v="0"/>
    <x v="251"/>
    <n v="5858369125"/>
    <n v="17468.580000000002"/>
    <s v="UK pounds"/>
    <s v="UK pounds"/>
    <x v="0"/>
    <s v="UK"/>
    <x v="2"/>
    <x v="0"/>
    <x v="3"/>
    <s v="Consistent"/>
    <x v="0"/>
  </r>
  <r>
    <x v="2831"/>
    <x v="0"/>
    <x v="2331"/>
    <n v="1433435465"/>
    <n v="1054.58"/>
    <s v="UK pounds"/>
    <s v="UK pounds"/>
    <x v="0"/>
    <s v="UK"/>
    <x v="3"/>
    <x v="0"/>
    <x v="2"/>
    <s v="Consistent"/>
    <x v="0"/>
  </r>
  <r>
    <x v="2831"/>
    <x v="0"/>
    <x v="1478"/>
    <n v="8352571580"/>
    <n v="10889.98"/>
    <s v="UK pounds"/>
    <s v="UK pounds"/>
    <x v="0"/>
    <s v="UK"/>
    <x v="5"/>
    <x v="0"/>
    <x v="3"/>
    <s v="Consistent"/>
    <x v="0"/>
  </r>
  <r>
    <x v="2832"/>
    <x v="0"/>
    <x v="650"/>
    <n v="1465487567"/>
    <n v="11837.56"/>
    <s v="UK pounds"/>
    <s v="UK pounds"/>
    <x v="0"/>
    <s v="UK"/>
    <x v="5"/>
    <x v="0"/>
    <x v="3"/>
    <s v="Consistent"/>
    <x v="0"/>
  </r>
  <r>
    <x v="2833"/>
    <x v="0"/>
    <x v="239"/>
    <n v="1377603863"/>
    <n v="21999.87"/>
    <s v="UK pounds"/>
    <s v="UK pounds"/>
    <x v="0"/>
    <s v="UK"/>
    <x v="3"/>
    <x v="0"/>
    <x v="3"/>
    <s v="Consistent"/>
    <x v="0"/>
  </r>
  <r>
    <x v="2834"/>
    <x v="0"/>
    <x v="63"/>
    <n v="8073790137"/>
    <n v="9845.09"/>
    <s v="UK pounds"/>
    <s v="Euro"/>
    <x v="0"/>
    <s v="Germany"/>
    <x v="1"/>
    <x v="0"/>
    <x v="1"/>
    <s v="Potential Layering"/>
    <x v="0"/>
  </r>
  <r>
    <x v="2835"/>
    <x v="0"/>
    <x v="2332"/>
    <n v="5335763850"/>
    <n v="1820.13"/>
    <s v="UK pounds"/>
    <s v="UK pounds"/>
    <x v="0"/>
    <s v="UK"/>
    <x v="4"/>
    <x v="0"/>
    <x v="2"/>
    <s v="Consistent"/>
    <x v="0"/>
  </r>
  <r>
    <x v="2836"/>
    <x v="0"/>
    <x v="2333"/>
    <n v="4119784181"/>
    <n v="9513.93"/>
    <s v="UK pounds"/>
    <s v="UK pounds"/>
    <x v="0"/>
    <s v="UK"/>
    <x v="3"/>
    <x v="0"/>
    <x v="2"/>
    <s v="Consistent"/>
    <x v="0"/>
  </r>
  <r>
    <x v="2837"/>
    <x v="0"/>
    <x v="1715"/>
    <n v="4281746314"/>
    <n v="5500.32"/>
    <s v="UK pounds"/>
    <s v="Turkish lira"/>
    <x v="0"/>
    <s v="Turkey"/>
    <x v="1"/>
    <x v="0"/>
    <x v="4"/>
    <s v="Potential Layering"/>
    <x v="0"/>
  </r>
  <r>
    <x v="2838"/>
    <x v="0"/>
    <x v="2334"/>
    <n v="5103043844"/>
    <n v="43228.82"/>
    <s v="UK pounds"/>
    <s v="Naira"/>
    <x v="0"/>
    <s v="Nigeria"/>
    <x v="1"/>
    <x v="0"/>
    <x v="3"/>
    <s v="Potential Layering"/>
    <x v="0"/>
  </r>
  <r>
    <x v="2838"/>
    <x v="0"/>
    <x v="2335"/>
    <n v="9426285596"/>
    <n v="1091.3499999999999"/>
    <s v="UK pounds"/>
    <s v="UK pounds"/>
    <x v="0"/>
    <s v="UK"/>
    <x v="5"/>
    <x v="0"/>
    <x v="2"/>
    <s v="Consistent"/>
    <x v="0"/>
  </r>
  <r>
    <x v="2839"/>
    <x v="0"/>
    <x v="1072"/>
    <n v="6615179883"/>
    <n v="16095.05"/>
    <s v="UK pounds"/>
    <s v="UK pounds"/>
    <x v="0"/>
    <s v="UK"/>
    <x v="2"/>
    <x v="0"/>
    <x v="6"/>
    <s v="Consistent"/>
    <x v="0"/>
  </r>
  <r>
    <x v="2840"/>
    <x v="0"/>
    <x v="2336"/>
    <n v="393509754"/>
    <n v="7283.77"/>
    <s v="UK pounds"/>
    <s v="UK pounds"/>
    <x v="0"/>
    <s v="UK"/>
    <x v="2"/>
    <x v="0"/>
    <x v="2"/>
    <s v="Consistent"/>
    <x v="0"/>
  </r>
  <r>
    <x v="2840"/>
    <x v="0"/>
    <x v="40"/>
    <n v="9616268671"/>
    <n v="10886.29"/>
    <s v="UK pounds"/>
    <s v="UK pounds"/>
    <x v="0"/>
    <s v="UK"/>
    <x v="4"/>
    <x v="0"/>
    <x v="1"/>
    <s v="Consistent"/>
    <x v="0"/>
  </r>
  <r>
    <x v="2841"/>
    <x v="0"/>
    <x v="2337"/>
    <n v="1396808599"/>
    <n v="3714.67"/>
    <s v="UK pounds"/>
    <s v="UK pounds"/>
    <x v="0"/>
    <s v="UK"/>
    <x v="0"/>
    <x v="0"/>
    <x v="0"/>
    <s v="Consistent"/>
    <x v="0"/>
  </r>
  <r>
    <x v="2842"/>
    <x v="0"/>
    <x v="852"/>
    <n v="2534644942"/>
    <n v="16755.419999999998"/>
    <s v="UK pounds"/>
    <s v="Euro"/>
    <x v="0"/>
    <s v="France"/>
    <x v="1"/>
    <x v="0"/>
    <x v="3"/>
    <s v="Potential Layering"/>
    <x v="0"/>
  </r>
  <r>
    <x v="2842"/>
    <x v="0"/>
    <x v="706"/>
    <n v="5708936901"/>
    <n v="12680.78"/>
    <s v="UK pounds"/>
    <s v="UK pounds"/>
    <x v="0"/>
    <s v="UK"/>
    <x v="3"/>
    <x v="0"/>
    <x v="3"/>
    <s v="Consistent"/>
    <x v="0"/>
  </r>
  <r>
    <x v="2843"/>
    <x v="0"/>
    <x v="379"/>
    <n v="8900742620"/>
    <n v="6227.22"/>
    <s v="UK pounds"/>
    <s v="Swiss franc"/>
    <x v="0"/>
    <s v="Switzerland"/>
    <x v="1"/>
    <x v="0"/>
    <x v="1"/>
    <s v="Potential Layering"/>
    <x v="0"/>
  </r>
  <r>
    <x v="2844"/>
    <x v="0"/>
    <x v="2338"/>
    <n v="5219812723"/>
    <n v="6214.48"/>
    <s v="UK pounds"/>
    <s v="UK pounds"/>
    <x v="0"/>
    <s v="UK"/>
    <x v="4"/>
    <x v="0"/>
    <x v="2"/>
    <s v="Consistent"/>
    <x v="0"/>
  </r>
  <r>
    <x v="2845"/>
    <x v="0"/>
    <x v="9"/>
    <n v="1702377336"/>
    <n v="6618.68"/>
    <s v="UK pounds"/>
    <s v="UK pounds"/>
    <x v="0"/>
    <s v="UK"/>
    <x v="2"/>
    <x v="0"/>
    <x v="1"/>
    <s v="Consistent"/>
    <x v="0"/>
  </r>
  <r>
    <x v="2846"/>
    <x v="0"/>
    <x v="163"/>
    <n v="2812285491"/>
    <n v="13216.96"/>
    <s v="UK pounds"/>
    <s v="UK pounds"/>
    <x v="0"/>
    <s v="UK"/>
    <x v="3"/>
    <x v="0"/>
    <x v="1"/>
    <s v="Consistent"/>
    <x v="0"/>
  </r>
  <r>
    <x v="2847"/>
    <x v="0"/>
    <x v="2339"/>
    <n v="4161896327"/>
    <n v="361605.65"/>
    <s v="UK pounds"/>
    <s v="UK pounds"/>
    <x v="0"/>
    <s v="UK"/>
    <x v="2"/>
    <x v="0"/>
    <x v="11"/>
    <s v="Consistent"/>
    <x v="0"/>
  </r>
  <r>
    <x v="2847"/>
    <x v="0"/>
    <x v="1785"/>
    <n v="6646502650"/>
    <n v="8562.84"/>
    <s v="UK pounds"/>
    <s v="Euro"/>
    <x v="0"/>
    <s v="France"/>
    <x v="1"/>
    <x v="0"/>
    <x v="3"/>
    <s v="Potential Layering"/>
    <x v="0"/>
  </r>
  <r>
    <x v="2847"/>
    <x v="0"/>
    <x v="2340"/>
    <n v="9600420220"/>
    <n v="8182.89"/>
    <s v="UK pounds"/>
    <s v="UK pounds"/>
    <x v="0"/>
    <s v="UK"/>
    <x v="3"/>
    <x v="0"/>
    <x v="3"/>
    <s v="Consistent"/>
    <x v="0"/>
  </r>
  <r>
    <x v="2848"/>
    <x v="0"/>
    <x v="440"/>
    <n v="6953672776"/>
    <n v="6073"/>
    <s v="UK pounds"/>
    <s v="Mexican Peso"/>
    <x v="0"/>
    <s v="Mexico"/>
    <x v="1"/>
    <x v="0"/>
    <x v="3"/>
    <s v="Potential Layering"/>
    <x v="0"/>
  </r>
  <r>
    <x v="2849"/>
    <x v="0"/>
    <x v="81"/>
    <n v="4065028145"/>
    <n v="4395.25"/>
    <s v="UK pounds"/>
    <s v="Euro"/>
    <x v="0"/>
    <s v="Austria"/>
    <x v="1"/>
    <x v="0"/>
    <x v="1"/>
    <s v="Potential Layering"/>
    <x v="0"/>
  </r>
  <r>
    <x v="2850"/>
    <x v="0"/>
    <x v="68"/>
    <n v="4048410232"/>
    <n v="17742.93"/>
    <s v="UK pounds"/>
    <s v="UK pounds"/>
    <x v="0"/>
    <s v="UK"/>
    <x v="4"/>
    <x v="0"/>
    <x v="1"/>
    <s v="Consistent"/>
    <x v="0"/>
  </r>
  <r>
    <x v="2850"/>
    <x v="0"/>
    <x v="213"/>
    <n v="3695545812"/>
    <n v="5601.29"/>
    <s v="UK pounds"/>
    <s v="UK pounds"/>
    <x v="0"/>
    <s v="UK"/>
    <x v="3"/>
    <x v="0"/>
    <x v="3"/>
    <s v="Consistent"/>
    <x v="0"/>
  </r>
  <r>
    <x v="2851"/>
    <x v="0"/>
    <x v="98"/>
    <n v="6465504473"/>
    <n v="6905.59"/>
    <s v="UK pounds"/>
    <s v="UK pounds"/>
    <x v="0"/>
    <s v="UK"/>
    <x v="2"/>
    <x v="0"/>
    <x v="2"/>
    <s v="Consistent"/>
    <x v="0"/>
  </r>
  <r>
    <x v="2851"/>
    <x v="0"/>
    <x v="8"/>
    <n v="224176497"/>
    <n v="4622.53"/>
    <s v="UK pounds"/>
    <s v="UK pounds"/>
    <x v="0"/>
    <s v="UK"/>
    <x v="4"/>
    <x v="0"/>
    <x v="1"/>
    <s v="Consistent"/>
    <x v="0"/>
  </r>
  <r>
    <x v="2852"/>
    <x v="0"/>
    <x v="2341"/>
    <n v="9618811392"/>
    <n v="12242.97"/>
    <s v="Euro"/>
    <s v="UK pounds"/>
    <x v="8"/>
    <s v="UK"/>
    <x v="1"/>
    <x v="0"/>
    <x v="2"/>
    <s v="Potential Layering"/>
    <x v="0"/>
  </r>
  <r>
    <x v="2853"/>
    <x v="0"/>
    <x v="163"/>
    <n v="5391949334"/>
    <n v="9258.3700000000008"/>
    <s v="UK pounds"/>
    <s v="UK pounds"/>
    <x v="0"/>
    <s v="UK"/>
    <x v="2"/>
    <x v="0"/>
    <x v="1"/>
    <s v="Consistent"/>
    <x v="0"/>
  </r>
  <r>
    <x v="2854"/>
    <x v="0"/>
    <x v="1260"/>
    <n v="8518184956"/>
    <n v="20734.14"/>
    <s v="UK pounds"/>
    <s v="UK pounds"/>
    <x v="0"/>
    <s v="UK"/>
    <x v="5"/>
    <x v="0"/>
    <x v="3"/>
    <s v="Consistent"/>
    <x v="0"/>
  </r>
  <r>
    <x v="2854"/>
    <x v="0"/>
    <x v="2342"/>
    <n v="3156498270"/>
    <n v="3434.86"/>
    <s v="UK pounds"/>
    <s v="UK pounds"/>
    <x v="0"/>
    <s v="UK"/>
    <x v="3"/>
    <x v="0"/>
    <x v="2"/>
    <s v="Consistent"/>
    <x v="0"/>
  </r>
  <r>
    <x v="2854"/>
    <x v="0"/>
    <x v="145"/>
    <n v="2286910173"/>
    <n v="11915.8"/>
    <s v="UK pounds"/>
    <s v="UK pounds"/>
    <x v="0"/>
    <s v="UK"/>
    <x v="2"/>
    <x v="0"/>
    <x v="4"/>
    <s v="Consistent"/>
    <x v="0"/>
  </r>
  <r>
    <x v="2855"/>
    <x v="0"/>
    <x v="1232"/>
    <n v="1316458123"/>
    <n v="4595.33"/>
    <s v="UK pounds"/>
    <s v="Mexican Peso"/>
    <x v="0"/>
    <s v="Mexico"/>
    <x v="1"/>
    <x v="0"/>
    <x v="3"/>
    <s v="Potential Layering"/>
    <x v="0"/>
  </r>
  <r>
    <x v="2856"/>
    <x v="0"/>
    <x v="2343"/>
    <n v="5267093239"/>
    <n v="3525.8"/>
    <s v="UK pounds"/>
    <s v="UK pounds"/>
    <x v="0"/>
    <s v="UK"/>
    <x v="5"/>
    <x v="0"/>
    <x v="2"/>
    <s v="Consistent"/>
    <x v="0"/>
  </r>
  <r>
    <x v="2856"/>
    <x v="0"/>
    <x v="2344"/>
    <n v="1429694649"/>
    <n v="11548.5"/>
    <s v="UK pounds"/>
    <s v="Indian rupee"/>
    <x v="0"/>
    <s v="UK"/>
    <x v="2"/>
    <x v="0"/>
    <x v="2"/>
    <s v="Potential Layering"/>
    <x v="0"/>
  </r>
  <r>
    <x v="2857"/>
    <x v="0"/>
    <x v="925"/>
    <n v="5103043844"/>
    <n v="10682.22"/>
    <s v="UK pounds"/>
    <s v="Naira"/>
    <x v="0"/>
    <s v="Nigeria"/>
    <x v="1"/>
    <x v="0"/>
    <x v="3"/>
    <s v="Potential Layering"/>
    <x v="0"/>
  </r>
  <r>
    <x v="2858"/>
    <x v="0"/>
    <x v="2345"/>
    <n v="3331273253"/>
    <n v="86939.95"/>
    <s v="UK pounds"/>
    <s v="UK pounds"/>
    <x v="0"/>
    <s v="UK"/>
    <x v="4"/>
    <x v="0"/>
    <x v="8"/>
    <s v="Consistent"/>
    <x v="0"/>
  </r>
  <r>
    <x v="2859"/>
    <x v="0"/>
    <x v="2346"/>
    <n v="1693177629"/>
    <n v="760.63"/>
    <s v="UK pounds"/>
    <s v="UK pounds"/>
    <x v="0"/>
    <s v="UK"/>
    <x v="4"/>
    <x v="0"/>
    <x v="2"/>
    <s v="Consistent"/>
    <x v="0"/>
  </r>
  <r>
    <x v="2860"/>
    <x v="0"/>
    <x v="1331"/>
    <n v="4270865741"/>
    <n v="4855.78"/>
    <s v="UK pounds"/>
    <s v="UK pounds"/>
    <x v="0"/>
    <s v="UK"/>
    <x v="5"/>
    <x v="0"/>
    <x v="3"/>
    <s v="Consistent"/>
    <x v="0"/>
  </r>
  <r>
    <x v="2861"/>
    <x v="0"/>
    <x v="2347"/>
    <n v="1504917428"/>
    <n v="3332.08"/>
    <s v="UK pounds"/>
    <s v="UK pounds"/>
    <x v="0"/>
    <s v="UK"/>
    <x v="2"/>
    <x v="0"/>
    <x v="2"/>
    <s v="Consistent"/>
    <x v="0"/>
  </r>
  <r>
    <x v="2861"/>
    <x v="0"/>
    <x v="2348"/>
    <n v="1517549620"/>
    <n v="86.76"/>
    <s v="UK pounds"/>
    <s v="UK pounds"/>
    <x v="0"/>
    <s v="UK"/>
    <x v="6"/>
    <x v="0"/>
    <x v="5"/>
    <s v="Consistent"/>
    <x v="0"/>
  </r>
  <r>
    <x v="2862"/>
    <x v="0"/>
    <x v="2349"/>
    <n v="1198033871"/>
    <n v="13881.66"/>
    <s v="UK pounds"/>
    <s v="UK pounds"/>
    <x v="0"/>
    <s v="UK"/>
    <x v="4"/>
    <x v="0"/>
    <x v="2"/>
    <s v="Consistent"/>
    <x v="0"/>
  </r>
  <r>
    <x v="2863"/>
    <x v="0"/>
    <x v="2350"/>
    <n v="7050466687"/>
    <n v="6457.02"/>
    <s v="UK pounds"/>
    <s v="UK pounds"/>
    <x v="0"/>
    <s v="UK"/>
    <x v="5"/>
    <x v="0"/>
    <x v="4"/>
    <s v="Consistent"/>
    <x v="0"/>
  </r>
  <r>
    <x v="2864"/>
    <x v="0"/>
    <x v="2351"/>
    <n v="4057292713"/>
    <n v="4124.6000000000004"/>
    <s v="UK pounds"/>
    <s v="UK pounds"/>
    <x v="0"/>
    <s v="UK"/>
    <x v="5"/>
    <x v="0"/>
    <x v="2"/>
    <s v="Consistent"/>
    <x v="0"/>
  </r>
  <r>
    <x v="2865"/>
    <x v="0"/>
    <x v="68"/>
    <n v="7778416970"/>
    <n v="7224.11"/>
    <s v="UK pounds"/>
    <s v="UK pounds"/>
    <x v="0"/>
    <s v="UK"/>
    <x v="5"/>
    <x v="0"/>
    <x v="1"/>
    <s v="Consistent"/>
    <x v="0"/>
  </r>
  <r>
    <x v="2865"/>
    <x v="0"/>
    <x v="2352"/>
    <n v="9803847813"/>
    <n v="2868.64"/>
    <s v="UK pounds"/>
    <s v="UK pounds"/>
    <x v="0"/>
    <s v="UK"/>
    <x v="3"/>
    <x v="0"/>
    <x v="4"/>
    <s v="Consistent"/>
    <x v="0"/>
  </r>
  <r>
    <x v="2866"/>
    <x v="0"/>
    <x v="1714"/>
    <n v="5103043844"/>
    <n v="31389.07"/>
    <s v="UK pounds"/>
    <s v="Naira"/>
    <x v="0"/>
    <s v="Nigeria"/>
    <x v="1"/>
    <x v="0"/>
    <x v="3"/>
    <s v="Potential Layering"/>
    <x v="0"/>
  </r>
  <r>
    <x v="2867"/>
    <x v="0"/>
    <x v="51"/>
    <n v="6424463145"/>
    <n v="12729.22"/>
    <s v="UK pounds"/>
    <s v="UK pounds"/>
    <x v="0"/>
    <s v="UK"/>
    <x v="4"/>
    <x v="0"/>
    <x v="1"/>
    <s v="Consistent"/>
    <x v="0"/>
  </r>
  <r>
    <x v="2868"/>
    <x v="0"/>
    <x v="274"/>
    <n v="5628674969"/>
    <n v="6956.64"/>
    <s v="UK pounds"/>
    <s v="UK pounds"/>
    <x v="0"/>
    <s v="UK"/>
    <x v="5"/>
    <x v="0"/>
    <x v="3"/>
    <s v="Consistent"/>
    <x v="0"/>
  </r>
  <r>
    <x v="2869"/>
    <x v="0"/>
    <x v="2353"/>
    <n v="5572385849"/>
    <n v="16.239999999999998"/>
    <s v="UK pounds"/>
    <s v="UK pounds"/>
    <x v="0"/>
    <s v="UK"/>
    <x v="6"/>
    <x v="0"/>
    <x v="5"/>
    <s v="Consistent"/>
    <x v="0"/>
  </r>
  <r>
    <x v="2869"/>
    <x v="0"/>
    <x v="2354"/>
    <n v="9640003529"/>
    <n v="22930.71"/>
    <s v="UK pounds"/>
    <s v="UK pounds"/>
    <x v="0"/>
    <s v="UK"/>
    <x v="4"/>
    <x v="0"/>
    <x v="2"/>
    <s v="Consistent"/>
    <x v="0"/>
  </r>
  <r>
    <x v="2870"/>
    <x v="0"/>
    <x v="1561"/>
    <n v="5896180453"/>
    <n v="10993.2"/>
    <s v="UK pounds"/>
    <s v="UK pounds"/>
    <x v="0"/>
    <s v="UK"/>
    <x v="4"/>
    <x v="0"/>
    <x v="3"/>
    <s v="Consistent"/>
    <x v="0"/>
  </r>
  <r>
    <x v="2871"/>
    <x v="0"/>
    <x v="2355"/>
    <n v="2534644942"/>
    <n v="8190.16"/>
    <s v="UK pounds"/>
    <s v="Euro"/>
    <x v="0"/>
    <s v="France"/>
    <x v="1"/>
    <x v="0"/>
    <x v="3"/>
    <s v="Potential Layering"/>
    <x v="0"/>
  </r>
  <r>
    <x v="2872"/>
    <x v="0"/>
    <x v="2356"/>
    <n v="4833559967"/>
    <n v="590.28"/>
    <s v="UK pounds"/>
    <s v="UK pounds"/>
    <x v="0"/>
    <s v="UK"/>
    <x v="3"/>
    <x v="0"/>
    <x v="2"/>
    <s v="Consistent"/>
    <x v="0"/>
  </r>
  <r>
    <x v="2873"/>
    <x v="0"/>
    <x v="2357"/>
    <n v="717639401"/>
    <n v="5559.31"/>
    <s v="UK pounds"/>
    <s v="UK pounds"/>
    <x v="0"/>
    <s v="UK"/>
    <x v="0"/>
    <x v="0"/>
    <x v="0"/>
    <s v="Consistent"/>
    <x v="0"/>
  </r>
  <r>
    <x v="2873"/>
    <x v="0"/>
    <x v="2358"/>
    <n v="6945596182"/>
    <n v="10010.75"/>
    <s v="UK pounds"/>
    <s v="UK pounds"/>
    <x v="0"/>
    <s v="UK"/>
    <x v="4"/>
    <x v="0"/>
    <x v="2"/>
    <s v="Consistent"/>
    <x v="0"/>
  </r>
  <r>
    <x v="2874"/>
    <x v="0"/>
    <x v="2359"/>
    <n v="4270865741"/>
    <n v="6241.44"/>
    <s v="UK pounds"/>
    <s v="UK pounds"/>
    <x v="0"/>
    <s v="UK"/>
    <x v="4"/>
    <x v="0"/>
    <x v="3"/>
    <s v="Consistent"/>
    <x v="0"/>
  </r>
  <r>
    <x v="2875"/>
    <x v="0"/>
    <x v="161"/>
    <n v="5224271258"/>
    <n v="16895.38"/>
    <s v="UK pounds"/>
    <s v="UK pounds"/>
    <x v="0"/>
    <s v="UK"/>
    <x v="3"/>
    <x v="0"/>
    <x v="1"/>
    <s v="Consistent"/>
    <x v="0"/>
  </r>
  <r>
    <x v="2876"/>
    <x v="0"/>
    <x v="2360"/>
    <n v="6265371097"/>
    <n v="17847.490000000002"/>
    <s v="UK pounds"/>
    <s v="UK pounds"/>
    <x v="0"/>
    <s v="UK"/>
    <x v="5"/>
    <x v="0"/>
    <x v="2"/>
    <s v="Consistent"/>
    <x v="0"/>
  </r>
  <r>
    <x v="2877"/>
    <x v="0"/>
    <x v="2266"/>
    <n v="5896180453"/>
    <n v="6083.95"/>
    <s v="UK pounds"/>
    <s v="UK pounds"/>
    <x v="0"/>
    <s v="UK"/>
    <x v="3"/>
    <x v="0"/>
    <x v="3"/>
    <s v="Consistent"/>
    <x v="0"/>
  </r>
  <r>
    <x v="2878"/>
    <x v="0"/>
    <x v="157"/>
    <n v="6444220418"/>
    <n v="8545.24"/>
    <s v="UK pounds"/>
    <s v="UK pounds"/>
    <x v="0"/>
    <s v="UK"/>
    <x v="5"/>
    <x v="0"/>
    <x v="3"/>
    <s v="Consistent"/>
    <x v="0"/>
  </r>
  <r>
    <x v="2879"/>
    <x v="0"/>
    <x v="2361"/>
    <n v="6698805571"/>
    <n v="369.69"/>
    <s v="UK pounds"/>
    <s v="UK pounds"/>
    <x v="0"/>
    <s v="UK"/>
    <x v="2"/>
    <x v="0"/>
    <x v="2"/>
    <s v="Consistent"/>
    <x v="0"/>
  </r>
  <r>
    <x v="2879"/>
    <x v="0"/>
    <x v="2362"/>
    <n v="6508588067"/>
    <n v="418.77"/>
    <s v="UK pounds"/>
    <s v="UK pounds"/>
    <x v="0"/>
    <s v="UK"/>
    <x v="4"/>
    <x v="0"/>
    <x v="2"/>
    <s v="Consistent"/>
    <x v="0"/>
  </r>
  <r>
    <x v="2880"/>
    <x v="0"/>
    <x v="1331"/>
    <n v="4270865741"/>
    <n v="4900.12"/>
    <s v="UK pounds"/>
    <s v="UK pounds"/>
    <x v="0"/>
    <s v="UK"/>
    <x v="2"/>
    <x v="0"/>
    <x v="3"/>
    <s v="Consistent"/>
    <x v="0"/>
  </r>
  <r>
    <x v="2881"/>
    <x v="0"/>
    <x v="2363"/>
    <n v="9392700144"/>
    <n v="2201.7800000000002"/>
    <s v="UK pounds"/>
    <s v="UK pounds"/>
    <x v="0"/>
    <s v="UK"/>
    <x v="0"/>
    <x v="0"/>
    <x v="0"/>
    <s v="Consistent"/>
    <x v="0"/>
  </r>
  <r>
    <x v="2882"/>
    <x v="0"/>
    <x v="2364"/>
    <n v="8518184956"/>
    <n v="19927.95"/>
    <s v="UK pounds"/>
    <s v="UK pounds"/>
    <x v="0"/>
    <s v="UK"/>
    <x v="3"/>
    <x v="0"/>
    <x v="3"/>
    <s v="Consistent"/>
    <x v="0"/>
  </r>
  <r>
    <x v="2883"/>
    <x v="0"/>
    <x v="2365"/>
    <n v="157935948"/>
    <n v="6019.1"/>
    <s v="UK pounds"/>
    <s v="Yen"/>
    <x v="0"/>
    <s v="UK"/>
    <x v="4"/>
    <x v="0"/>
    <x v="2"/>
    <s v="Potential Layering"/>
    <x v="0"/>
  </r>
  <r>
    <x v="2884"/>
    <x v="0"/>
    <x v="1387"/>
    <n v="8518184956"/>
    <n v="7005.56"/>
    <s v="UK pounds"/>
    <s v="UK pounds"/>
    <x v="0"/>
    <s v="UK"/>
    <x v="3"/>
    <x v="0"/>
    <x v="3"/>
    <s v="Consistent"/>
    <x v="0"/>
  </r>
  <r>
    <x v="2885"/>
    <x v="0"/>
    <x v="2366"/>
    <n v="219128841"/>
    <n v="9701.77"/>
    <s v="UK pounds"/>
    <s v="UK pounds"/>
    <x v="0"/>
    <s v="UK"/>
    <x v="2"/>
    <x v="0"/>
    <x v="2"/>
    <s v="Consistent"/>
    <x v="0"/>
  </r>
  <r>
    <x v="2886"/>
    <x v="0"/>
    <x v="1381"/>
    <n v="1431561040"/>
    <n v="11337.76"/>
    <s v="UK pounds"/>
    <s v="UK pounds"/>
    <x v="0"/>
    <s v="UK"/>
    <x v="3"/>
    <x v="0"/>
    <x v="3"/>
    <s v="Consistent"/>
    <x v="0"/>
  </r>
  <r>
    <x v="2887"/>
    <x v="0"/>
    <x v="2367"/>
    <n v="9232728841"/>
    <n v="1698.25"/>
    <s v="UK pounds"/>
    <s v="UK pounds"/>
    <x v="0"/>
    <s v="UK"/>
    <x v="5"/>
    <x v="0"/>
    <x v="4"/>
    <s v="Consistent"/>
    <x v="0"/>
  </r>
  <r>
    <x v="2888"/>
    <x v="0"/>
    <x v="672"/>
    <n v="2138505015"/>
    <n v="7196.56"/>
    <s v="UK pounds"/>
    <s v="Dirham"/>
    <x v="0"/>
    <s v="UAE"/>
    <x v="1"/>
    <x v="0"/>
    <x v="3"/>
    <s v="Potential Layering"/>
    <x v="0"/>
  </r>
  <r>
    <x v="2889"/>
    <x v="0"/>
    <x v="63"/>
    <n v="3681770380"/>
    <n v="22181.23"/>
    <s v="UK pounds"/>
    <s v="UK pounds"/>
    <x v="0"/>
    <s v="UK"/>
    <x v="4"/>
    <x v="0"/>
    <x v="1"/>
    <s v="Consistent"/>
    <x v="0"/>
  </r>
  <r>
    <x v="2890"/>
    <x v="0"/>
    <x v="1842"/>
    <n v="4173195094"/>
    <n v="16341.35"/>
    <s v="UK pounds"/>
    <s v="UK pounds"/>
    <x v="0"/>
    <s v="UK"/>
    <x v="2"/>
    <x v="0"/>
    <x v="3"/>
    <s v="Consistent"/>
    <x v="0"/>
  </r>
  <r>
    <x v="2891"/>
    <x v="0"/>
    <x v="1988"/>
    <n v="4270865741"/>
    <n v="7678.96"/>
    <s v="UK pounds"/>
    <s v="UK pounds"/>
    <x v="0"/>
    <s v="UK"/>
    <x v="5"/>
    <x v="0"/>
    <x v="3"/>
    <s v="Consistent"/>
    <x v="0"/>
  </r>
  <r>
    <x v="2892"/>
    <x v="0"/>
    <x v="2368"/>
    <n v="9105769228"/>
    <n v="5873.92"/>
    <s v="UK pounds"/>
    <s v="UK pounds"/>
    <x v="0"/>
    <s v="UK"/>
    <x v="3"/>
    <x v="0"/>
    <x v="3"/>
    <s v="Consistent"/>
    <x v="0"/>
  </r>
  <r>
    <x v="2893"/>
    <x v="0"/>
    <x v="2369"/>
    <n v="8895741494"/>
    <n v="2354.08"/>
    <s v="UK pounds"/>
    <s v="UK pounds"/>
    <x v="0"/>
    <s v="UK"/>
    <x v="2"/>
    <x v="0"/>
    <x v="2"/>
    <s v="Consistent"/>
    <x v="0"/>
  </r>
  <r>
    <x v="2894"/>
    <x v="0"/>
    <x v="52"/>
    <n v="2111706195"/>
    <n v="14860.86"/>
    <s v="UK pounds"/>
    <s v="UK pounds"/>
    <x v="0"/>
    <s v="UK"/>
    <x v="3"/>
    <x v="0"/>
    <x v="1"/>
    <s v="Consistent"/>
    <x v="0"/>
  </r>
  <r>
    <x v="2895"/>
    <x v="0"/>
    <x v="2370"/>
    <n v="6070906973"/>
    <n v="430.62"/>
    <s v="UK pounds"/>
    <s v="UK pounds"/>
    <x v="0"/>
    <s v="UK"/>
    <x v="2"/>
    <x v="0"/>
    <x v="2"/>
    <s v="Consistent"/>
    <x v="0"/>
  </r>
  <r>
    <x v="2896"/>
    <x v="0"/>
    <x v="2371"/>
    <n v="5882500635"/>
    <n v="1838.14"/>
    <s v="UK pounds"/>
    <s v="UK pounds"/>
    <x v="0"/>
    <s v="UK"/>
    <x v="3"/>
    <x v="0"/>
    <x v="4"/>
    <s v="Consistent"/>
    <x v="0"/>
  </r>
  <r>
    <x v="2897"/>
    <x v="0"/>
    <x v="2372"/>
    <n v="5384712251"/>
    <n v="1900.19"/>
    <s v="UK pounds"/>
    <s v="UK pounds"/>
    <x v="0"/>
    <s v="UK"/>
    <x v="3"/>
    <x v="0"/>
    <x v="2"/>
    <s v="Consistent"/>
    <x v="0"/>
  </r>
  <r>
    <x v="2898"/>
    <x v="0"/>
    <x v="2373"/>
    <n v="2650600631"/>
    <n v="5952.12"/>
    <s v="UK pounds"/>
    <s v="UK pounds"/>
    <x v="0"/>
    <s v="UK"/>
    <x v="3"/>
    <x v="0"/>
    <x v="2"/>
    <s v="Consistent"/>
    <x v="0"/>
  </r>
  <r>
    <x v="2898"/>
    <x v="0"/>
    <x v="2374"/>
    <n v="3531296156"/>
    <n v="22017.75"/>
    <s v="UK pounds"/>
    <s v="UK pounds"/>
    <x v="0"/>
    <s v="UK"/>
    <x v="3"/>
    <x v="0"/>
    <x v="2"/>
    <s v="Consistent"/>
    <x v="0"/>
  </r>
  <r>
    <x v="2898"/>
    <x v="0"/>
    <x v="2375"/>
    <n v="3901789467"/>
    <n v="8966.39"/>
    <s v="UK pounds"/>
    <s v="UK pounds"/>
    <x v="0"/>
    <s v="UK"/>
    <x v="2"/>
    <x v="0"/>
    <x v="4"/>
    <s v="Consistent"/>
    <x v="0"/>
  </r>
  <r>
    <x v="2899"/>
    <x v="0"/>
    <x v="1337"/>
    <n v="8172080174"/>
    <n v="10947.67"/>
    <s v="UK pounds"/>
    <s v="UK pounds"/>
    <x v="0"/>
    <s v="UK"/>
    <x v="2"/>
    <x v="0"/>
    <x v="3"/>
    <s v="Consistent"/>
    <x v="0"/>
  </r>
  <r>
    <x v="2900"/>
    <x v="0"/>
    <x v="2376"/>
    <n v="556871543"/>
    <n v="11378.9"/>
    <s v="UK pounds"/>
    <s v="UK pounds"/>
    <x v="0"/>
    <s v="UK"/>
    <x v="3"/>
    <x v="0"/>
    <x v="2"/>
    <s v="Consistent"/>
    <x v="0"/>
  </r>
  <r>
    <x v="2901"/>
    <x v="0"/>
    <x v="2377"/>
    <n v="3240525083"/>
    <n v="56.8"/>
    <s v="UK pounds"/>
    <s v="UK pounds"/>
    <x v="0"/>
    <s v="UK"/>
    <x v="6"/>
    <x v="0"/>
    <x v="5"/>
    <s v="Consistent"/>
    <x v="0"/>
  </r>
  <r>
    <x v="2902"/>
    <x v="0"/>
    <x v="1123"/>
    <n v="4336977506"/>
    <n v="5134.3599999999997"/>
    <s v="UK pounds"/>
    <s v="UK pounds"/>
    <x v="0"/>
    <s v="UK"/>
    <x v="5"/>
    <x v="0"/>
    <x v="3"/>
    <s v="Consistent"/>
    <x v="0"/>
  </r>
  <r>
    <x v="2903"/>
    <x v="0"/>
    <x v="2378"/>
    <n v="8401906350"/>
    <n v="492.34"/>
    <s v="UK pounds"/>
    <s v="UK pounds"/>
    <x v="0"/>
    <s v="UK"/>
    <x v="2"/>
    <x v="0"/>
    <x v="2"/>
    <s v="Consistent"/>
    <x v="0"/>
  </r>
  <r>
    <x v="2904"/>
    <x v="0"/>
    <x v="1822"/>
    <n v="2413756718"/>
    <n v="1222.6400000000001"/>
    <s v="UK pounds"/>
    <s v="UK pounds"/>
    <x v="0"/>
    <s v="UK"/>
    <x v="3"/>
    <x v="0"/>
    <x v="2"/>
    <s v="Consistent"/>
    <x v="0"/>
  </r>
  <r>
    <x v="2905"/>
    <x v="0"/>
    <x v="2379"/>
    <n v="8715127537"/>
    <n v="1181.17"/>
    <s v="UK pounds"/>
    <s v="UK pounds"/>
    <x v="0"/>
    <s v="UK"/>
    <x v="3"/>
    <x v="0"/>
    <x v="2"/>
    <s v="Consistent"/>
    <x v="0"/>
  </r>
  <r>
    <x v="2906"/>
    <x v="0"/>
    <x v="2380"/>
    <n v="147138958"/>
    <n v="11412.38"/>
    <s v="UK pounds"/>
    <s v="UK pounds"/>
    <x v="0"/>
    <s v="UK"/>
    <x v="3"/>
    <x v="0"/>
    <x v="2"/>
    <s v="Consistent"/>
    <x v="0"/>
  </r>
  <r>
    <x v="2907"/>
    <x v="0"/>
    <x v="2381"/>
    <n v="6034997194"/>
    <n v="10122.56"/>
    <s v="UK pounds"/>
    <s v="UK pounds"/>
    <x v="0"/>
    <s v="UK"/>
    <x v="3"/>
    <x v="0"/>
    <x v="3"/>
    <s v="Consistent"/>
    <x v="0"/>
  </r>
  <r>
    <x v="2907"/>
    <x v="0"/>
    <x v="961"/>
    <n v="2534644942"/>
    <n v="5115.01"/>
    <s v="UK pounds"/>
    <s v="Euro"/>
    <x v="0"/>
    <s v="France"/>
    <x v="1"/>
    <x v="0"/>
    <x v="3"/>
    <s v="Potential Layering"/>
    <x v="0"/>
  </r>
  <r>
    <x v="2908"/>
    <x v="0"/>
    <x v="2382"/>
    <n v="5816939465"/>
    <n v="15612.65"/>
    <s v="UK pounds"/>
    <s v="UK pounds"/>
    <x v="0"/>
    <s v="UK"/>
    <x v="4"/>
    <x v="0"/>
    <x v="2"/>
    <s v="Consistent"/>
    <x v="0"/>
  </r>
  <r>
    <x v="2909"/>
    <x v="0"/>
    <x v="2383"/>
    <n v="8126657622"/>
    <n v="6565.01"/>
    <s v="UK pounds"/>
    <s v="UK pounds"/>
    <x v="0"/>
    <s v="UK"/>
    <x v="5"/>
    <x v="0"/>
    <x v="2"/>
    <s v="Consistent"/>
    <x v="0"/>
  </r>
  <r>
    <x v="2910"/>
    <x v="0"/>
    <x v="210"/>
    <n v="8785037379"/>
    <n v="8283.1299999999992"/>
    <s v="UK pounds"/>
    <s v="UK pounds"/>
    <x v="0"/>
    <s v="UK"/>
    <x v="4"/>
    <x v="0"/>
    <x v="1"/>
    <s v="Consistent"/>
    <x v="0"/>
  </r>
  <r>
    <x v="2911"/>
    <x v="0"/>
    <x v="243"/>
    <n v="114960068"/>
    <n v="8548.31"/>
    <s v="Euro"/>
    <s v="Dirham"/>
    <x v="4"/>
    <s v="UAE"/>
    <x v="1"/>
    <x v="0"/>
    <x v="1"/>
    <s v="Potential Layering"/>
    <x v="0"/>
  </r>
  <r>
    <x v="2911"/>
    <x v="0"/>
    <x v="110"/>
    <n v="7428731807"/>
    <n v="5018.01"/>
    <s v="UK pounds"/>
    <s v="UK pounds"/>
    <x v="0"/>
    <s v="UK"/>
    <x v="4"/>
    <x v="0"/>
    <x v="1"/>
    <s v="Consistent"/>
    <x v="0"/>
  </r>
  <r>
    <x v="2911"/>
    <x v="0"/>
    <x v="2384"/>
    <n v="4173195094"/>
    <n v="6532.35"/>
    <s v="UK pounds"/>
    <s v="UK pounds"/>
    <x v="0"/>
    <s v="UK"/>
    <x v="2"/>
    <x v="0"/>
    <x v="3"/>
    <s v="Consistent"/>
    <x v="0"/>
  </r>
  <r>
    <x v="2912"/>
    <x v="0"/>
    <x v="2385"/>
    <n v="3350955567"/>
    <n v="3008.31"/>
    <s v="UK pounds"/>
    <s v="UK pounds"/>
    <x v="0"/>
    <s v="UK"/>
    <x v="2"/>
    <x v="0"/>
    <x v="2"/>
    <s v="Consistent"/>
    <x v="0"/>
  </r>
  <r>
    <x v="2912"/>
    <x v="0"/>
    <x v="2386"/>
    <n v="8122269390"/>
    <n v="207.27"/>
    <s v="UK pounds"/>
    <s v="UK pounds"/>
    <x v="0"/>
    <s v="UK"/>
    <x v="6"/>
    <x v="0"/>
    <x v="5"/>
    <s v="Consistent"/>
    <x v="0"/>
  </r>
  <r>
    <x v="2913"/>
    <x v="0"/>
    <x v="2387"/>
    <n v="6281764313"/>
    <n v="1153.4000000000001"/>
    <s v="UK pounds"/>
    <s v="UK pounds"/>
    <x v="0"/>
    <s v="UK"/>
    <x v="4"/>
    <x v="0"/>
    <x v="2"/>
    <s v="Consistent"/>
    <x v="0"/>
  </r>
  <r>
    <x v="2914"/>
    <x v="0"/>
    <x v="2388"/>
    <n v="6809988965"/>
    <n v="5264.91"/>
    <s v="UK pounds"/>
    <s v="UK pounds"/>
    <x v="0"/>
    <s v="UK"/>
    <x v="3"/>
    <x v="0"/>
    <x v="2"/>
    <s v="Consistent"/>
    <x v="0"/>
  </r>
  <r>
    <x v="2915"/>
    <x v="0"/>
    <x v="2389"/>
    <n v="1309177624"/>
    <n v="227.12"/>
    <s v="UK pounds"/>
    <s v="UK pounds"/>
    <x v="0"/>
    <s v="UK"/>
    <x v="3"/>
    <x v="0"/>
    <x v="2"/>
    <s v="Consistent"/>
    <x v="0"/>
  </r>
  <r>
    <x v="2915"/>
    <x v="0"/>
    <x v="2390"/>
    <n v="8246020125"/>
    <n v="384.92"/>
    <s v="UK pounds"/>
    <s v="UK pounds"/>
    <x v="0"/>
    <s v="UK"/>
    <x v="3"/>
    <x v="0"/>
    <x v="2"/>
    <s v="Consistent"/>
    <x v="0"/>
  </r>
  <r>
    <x v="2916"/>
    <x v="0"/>
    <x v="238"/>
    <n v="1732858296"/>
    <n v="9330.35"/>
    <s v="UK pounds"/>
    <s v="UK pounds"/>
    <x v="0"/>
    <s v="UK"/>
    <x v="2"/>
    <x v="0"/>
    <x v="1"/>
    <s v="Consistent"/>
    <x v="0"/>
  </r>
  <r>
    <x v="2917"/>
    <x v="0"/>
    <x v="2391"/>
    <n v="4929206320"/>
    <n v="4297.25"/>
    <s v="UK pounds"/>
    <s v="UK pounds"/>
    <x v="0"/>
    <s v="UK"/>
    <x v="4"/>
    <x v="0"/>
    <x v="2"/>
    <s v="Consistent"/>
    <x v="0"/>
  </r>
  <r>
    <x v="2918"/>
    <x v="0"/>
    <x v="2392"/>
    <n v="7218000124"/>
    <n v="24300.77"/>
    <s v="UK pounds"/>
    <s v="UK pounds"/>
    <x v="0"/>
    <s v="UK"/>
    <x v="3"/>
    <x v="0"/>
    <x v="8"/>
    <s v="Consistent"/>
    <x v="0"/>
  </r>
  <r>
    <x v="2919"/>
    <x v="0"/>
    <x v="2393"/>
    <n v="6968888001"/>
    <n v="1542.25"/>
    <s v="UK pounds"/>
    <s v="UK pounds"/>
    <x v="0"/>
    <s v="UK"/>
    <x v="4"/>
    <x v="0"/>
    <x v="2"/>
    <s v="Consistent"/>
    <x v="0"/>
  </r>
  <r>
    <x v="2920"/>
    <x v="0"/>
    <x v="2394"/>
    <n v="2023751762"/>
    <n v="1055.52"/>
    <s v="UK pounds"/>
    <s v="UK pounds"/>
    <x v="0"/>
    <s v="UK"/>
    <x v="4"/>
    <x v="0"/>
    <x v="2"/>
    <s v="Consistent"/>
    <x v="0"/>
  </r>
  <r>
    <x v="2920"/>
    <x v="0"/>
    <x v="2395"/>
    <n v="1593542958"/>
    <n v="1472.15"/>
    <s v="UK pounds"/>
    <s v="UK pounds"/>
    <x v="0"/>
    <s v="UK"/>
    <x v="4"/>
    <x v="0"/>
    <x v="2"/>
    <s v="Consistent"/>
    <x v="0"/>
  </r>
  <r>
    <x v="2921"/>
    <x v="0"/>
    <x v="2396"/>
    <n v="646897776"/>
    <n v="343.71"/>
    <s v="UK pounds"/>
    <s v="UK pounds"/>
    <x v="0"/>
    <s v="UK"/>
    <x v="3"/>
    <x v="0"/>
    <x v="2"/>
    <s v="Consistent"/>
    <x v="0"/>
  </r>
  <r>
    <x v="2921"/>
    <x v="0"/>
    <x v="210"/>
    <n v="3819548816"/>
    <n v="4770.18"/>
    <s v="UK pounds"/>
    <s v="UK pounds"/>
    <x v="0"/>
    <s v="UK"/>
    <x v="2"/>
    <x v="0"/>
    <x v="1"/>
    <s v="Consistent"/>
    <x v="0"/>
  </r>
  <r>
    <x v="2922"/>
    <x v="0"/>
    <x v="2397"/>
    <n v="7911838705"/>
    <n v="3786.07"/>
    <s v="UK pounds"/>
    <s v="UK pounds"/>
    <x v="0"/>
    <s v="UK"/>
    <x v="2"/>
    <x v="0"/>
    <x v="6"/>
    <s v="Consistent"/>
    <x v="0"/>
  </r>
  <r>
    <x v="2923"/>
    <x v="0"/>
    <x v="420"/>
    <n v="8673917867"/>
    <n v="8660.5499999999993"/>
    <s v="UK pounds"/>
    <s v="UK pounds"/>
    <x v="0"/>
    <s v="UK"/>
    <x v="4"/>
    <x v="0"/>
    <x v="3"/>
    <s v="Consistent"/>
    <x v="0"/>
  </r>
  <r>
    <x v="2924"/>
    <x v="0"/>
    <x v="364"/>
    <n v="5103043844"/>
    <n v="6035.63"/>
    <s v="UK pounds"/>
    <s v="Naira"/>
    <x v="0"/>
    <s v="Nigeria"/>
    <x v="1"/>
    <x v="0"/>
    <x v="3"/>
    <s v="Potential Layering"/>
    <x v="0"/>
  </r>
  <r>
    <x v="2925"/>
    <x v="0"/>
    <x v="1177"/>
    <n v="6522784509"/>
    <n v="6187.7"/>
    <s v="UK pounds"/>
    <s v="UK pounds"/>
    <x v="0"/>
    <s v="UK"/>
    <x v="4"/>
    <x v="0"/>
    <x v="6"/>
    <s v="Consistent"/>
    <x v="0"/>
  </r>
  <r>
    <x v="2926"/>
    <x v="0"/>
    <x v="1247"/>
    <n v="3079818547"/>
    <n v="14536.13"/>
    <s v="UK pounds"/>
    <s v="UK pounds"/>
    <x v="0"/>
    <s v="UK"/>
    <x v="5"/>
    <x v="0"/>
    <x v="3"/>
    <s v="Consistent"/>
    <x v="0"/>
  </r>
  <r>
    <x v="2927"/>
    <x v="0"/>
    <x v="2398"/>
    <n v="2317222461"/>
    <n v="391.91"/>
    <s v="UK pounds"/>
    <s v="UK pounds"/>
    <x v="0"/>
    <s v="UK"/>
    <x v="2"/>
    <x v="0"/>
    <x v="2"/>
    <s v="Consistent"/>
    <x v="0"/>
  </r>
  <r>
    <x v="2928"/>
    <x v="0"/>
    <x v="2399"/>
    <n v="4660574028"/>
    <n v="1774.85"/>
    <s v="UK pounds"/>
    <s v="UK pounds"/>
    <x v="0"/>
    <s v="UK"/>
    <x v="4"/>
    <x v="0"/>
    <x v="2"/>
    <s v="Consistent"/>
    <x v="0"/>
  </r>
  <r>
    <x v="2928"/>
    <x v="0"/>
    <x v="2400"/>
    <n v="1924386173"/>
    <n v="3732.84"/>
    <s v="UK pounds"/>
    <s v="UK pounds"/>
    <x v="0"/>
    <s v="UK"/>
    <x v="4"/>
    <x v="0"/>
    <x v="2"/>
    <s v="Consistent"/>
    <x v="0"/>
  </r>
  <r>
    <x v="2929"/>
    <x v="0"/>
    <x v="2401"/>
    <n v="4858692308"/>
    <n v="4977.6099999999997"/>
    <s v="UK pounds"/>
    <s v="UK pounds"/>
    <x v="0"/>
    <s v="UK"/>
    <x v="2"/>
    <x v="0"/>
    <x v="4"/>
    <s v="Consistent"/>
    <x v="0"/>
  </r>
  <r>
    <x v="2930"/>
    <x v="0"/>
    <x v="161"/>
    <n v="8617902721"/>
    <n v="6244.78"/>
    <s v="UK pounds"/>
    <s v="UK pounds"/>
    <x v="0"/>
    <s v="UK"/>
    <x v="2"/>
    <x v="0"/>
    <x v="1"/>
    <s v="Consistent"/>
    <x v="0"/>
  </r>
  <r>
    <x v="2930"/>
    <x v="0"/>
    <x v="2402"/>
    <n v="7364302135"/>
    <n v="207.31"/>
    <s v="UK pounds"/>
    <s v="UK pounds"/>
    <x v="0"/>
    <s v="UK"/>
    <x v="6"/>
    <x v="0"/>
    <x v="5"/>
    <s v="Consistent"/>
    <x v="0"/>
  </r>
  <r>
    <x v="2931"/>
    <x v="0"/>
    <x v="2403"/>
    <n v="9731460197"/>
    <n v="9946.02"/>
    <s v="UK pounds"/>
    <s v="UK pounds"/>
    <x v="0"/>
    <s v="UK"/>
    <x v="4"/>
    <x v="0"/>
    <x v="2"/>
    <s v="Consistent"/>
    <x v="0"/>
  </r>
  <r>
    <x v="2931"/>
    <x v="0"/>
    <x v="2404"/>
    <n v="8782574328"/>
    <n v="589.55999999999995"/>
    <s v="UK pounds"/>
    <s v="UK pounds"/>
    <x v="0"/>
    <s v="UK"/>
    <x v="5"/>
    <x v="0"/>
    <x v="2"/>
    <s v="Consistent"/>
    <x v="0"/>
  </r>
  <r>
    <x v="2932"/>
    <x v="0"/>
    <x v="1391"/>
    <n v="8094758519"/>
    <n v="1987.74"/>
    <s v="UK pounds"/>
    <s v="UK pounds"/>
    <x v="0"/>
    <s v="UK"/>
    <x v="5"/>
    <x v="0"/>
    <x v="2"/>
    <s v="Consistent"/>
    <x v="0"/>
  </r>
  <r>
    <x v="2933"/>
    <x v="0"/>
    <x v="52"/>
    <n v="7131477851"/>
    <n v="5219.53"/>
    <s v="UK pounds"/>
    <s v="UK pounds"/>
    <x v="0"/>
    <s v="UK"/>
    <x v="5"/>
    <x v="0"/>
    <x v="1"/>
    <s v="Consistent"/>
    <x v="0"/>
  </r>
  <r>
    <x v="2934"/>
    <x v="0"/>
    <x v="2405"/>
    <n v="8895096015"/>
    <n v="213.08"/>
    <s v="UK pounds"/>
    <s v="UK pounds"/>
    <x v="0"/>
    <s v="UK"/>
    <x v="6"/>
    <x v="0"/>
    <x v="5"/>
    <s v="Consistent"/>
    <x v="0"/>
  </r>
  <r>
    <x v="2935"/>
    <x v="0"/>
    <x v="2406"/>
    <n v="7523088692"/>
    <n v="701.89"/>
    <s v="Euro"/>
    <s v="UK pounds"/>
    <x v="11"/>
    <s v="UK"/>
    <x v="1"/>
    <x v="0"/>
    <x v="4"/>
    <s v="Potential Layering"/>
    <x v="0"/>
  </r>
  <r>
    <x v="2936"/>
    <x v="0"/>
    <x v="2407"/>
    <n v="2127593684"/>
    <n v="196.57"/>
    <s v="UK pounds"/>
    <s v="UK pounds"/>
    <x v="0"/>
    <s v="UK"/>
    <x v="3"/>
    <x v="0"/>
    <x v="2"/>
    <s v="Consistent"/>
    <x v="0"/>
  </r>
  <r>
    <x v="2937"/>
    <x v="0"/>
    <x v="110"/>
    <n v="2792106785"/>
    <n v="7820.55"/>
    <s v="UK pounds"/>
    <s v="UK pounds"/>
    <x v="0"/>
    <s v="UK"/>
    <x v="4"/>
    <x v="0"/>
    <x v="1"/>
    <s v="Consistent"/>
    <x v="0"/>
  </r>
  <r>
    <x v="2938"/>
    <x v="0"/>
    <x v="2408"/>
    <n v="1248761149"/>
    <n v="2892.13"/>
    <s v="UK pounds"/>
    <s v="UK pounds"/>
    <x v="0"/>
    <s v="UK"/>
    <x v="4"/>
    <x v="0"/>
    <x v="2"/>
    <s v="Consistent"/>
    <x v="0"/>
  </r>
  <r>
    <x v="2938"/>
    <x v="0"/>
    <x v="2409"/>
    <n v="9557126380"/>
    <n v="137.07"/>
    <s v="UK pounds"/>
    <s v="UK pounds"/>
    <x v="0"/>
    <s v="UK"/>
    <x v="6"/>
    <x v="0"/>
    <x v="5"/>
    <s v="Consistent"/>
    <x v="0"/>
  </r>
  <r>
    <x v="2939"/>
    <x v="0"/>
    <x v="35"/>
    <n v="8722924810"/>
    <n v="8049.53"/>
    <s v="UK pounds"/>
    <s v="Albanian lek"/>
    <x v="0"/>
    <s v="Albania"/>
    <x v="1"/>
    <x v="0"/>
    <x v="1"/>
    <s v="Potential Layering"/>
    <x v="0"/>
  </r>
  <r>
    <x v="2940"/>
    <x v="0"/>
    <x v="209"/>
    <n v="5628674969"/>
    <n v="6578.11"/>
    <s v="UK pounds"/>
    <s v="UK pounds"/>
    <x v="0"/>
    <s v="UK"/>
    <x v="3"/>
    <x v="0"/>
    <x v="3"/>
    <s v="Consistent"/>
    <x v="0"/>
  </r>
  <r>
    <x v="2941"/>
    <x v="0"/>
    <x v="2408"/>
    <n v="4250513480"/>
    <n v="1833.84"/>
    <s v="UK pounds"/>
    <s v="UK pounds"/>
    <x v="0"/>
    <s v="UK"/>
    <x v="2"/>
    <x v="0"/>
    <x v="2"/>
    <s v="Consistent"/>
    <x v="0"/>
  </r>
  <r>
    <x v="2942"/>
    <x v="0"/>
    <x v="2410"/>
    <n v="6432210990"/>
    <n v="1575.78"/>
    <s v="UK pounds"/>
    <s v="UK pounds"/>
    <x v="0"/>
    <s v="UK"/>
    <x v="2"/>
    <x v="0"/>
    <x v="2"/>
    <s v="Consistent"/>
    <x v="0"/>
  </r>
  <r>
    <x v="2943"/>
    <x v="0"/>
    <x v="2411"/>
    <n v="1044407325"/>
    <n v="10060.98"/>
    <s v="UK pounds"/>
    <s v="UK pounds"/>
    <x v="0"/>
    <s v="UK"/>
    <x v="2"/>
    <x v="0"/>
    <x v="2"/>
    <s v="Consistent"/>
    <x v="0"/>
  </r>
  <r>
    <x v="2944"/>
    <x v="0"/>
    <x v="2062"/>
    <n v="3695545812"/>
    <n v="4737.8100000000004"/>
    <s v="UK pounds"/>
    <s v="UK pounds"/>
    <x v="0"/>
    <s v="UK"/>
    <x v="4"/>
    <x v="0"/>
    <x v="3"/>
    <s v="Consistent"/>
    <x v="0"/>
  </r>
  <r>
    <x v="2945"/>
    <x v="0"/>
    <x v="1481"/>
    <n v="8352571580"/>
    <n v="9764.51"/>
    <s v="UK pounds"/>
    <s v="UK pounds"/>
    <x v="0"/>
    <s v="UK"/>
    <x v="3"/>
    <x v="0"/>
    <x v="3"/>
    <s v="Consistent"/>
    <x v="0"/>
  </r>
  <r>
    <x v="2946"/>
    <x v="0"/>
    <x v="2412"/>
    <n v="1695584314"/>
    <n v="1729.41"/>
    <s v="UK pounds"/>
    <s v="UK pounds"/>
    <x v="0"/>
    <s v="UK"/>
    <x v="2"/>
    <x v="0"/>
    <x v="4"/>
    <s v="Consistent"/>
    <x v="0"/>
  </r>
  <r>
    <x v="2947"/>
    <x v="0"/>
    <x v="40"/>
    <n v="5112224952"/>
    <n v="9694.8700000000008"/>
    <s v="UK pounds"/>
    <s v="UK pounds"/>
    <x v="0"/>
    <s v="UK"/>
    <x v="2"/>
    <x v="0"/>
    <x v="1"/>
    <s v="Consistent"/>
    <x v="0"/>
  </r>
  <r>
    <x v="2948"/>
    <x v="0"/>
    <x v="2413"/>
    <n v="2886346673"/>
    <n v="6046.88"/>
    <s v="UK pounds"/>
    <s v="UK pounds"/>
    <x v="0"/>
    <s v="UK"/>
    <x v="3"/>
    <x v="0"/>
    <x v="2"/>
    <s v="Consistent"/>
    <x v="0"/>
  </r>
  <r>
    <x v="2949"/>
    <x v="0"/>
    <x v="296"/>
    <n v="3695545812"/>
    <n v="12137.6"/>
    <s v="UK pounds"/>
    <s v="UK pounds"/>
    <x v="0"/>
    <s v="UK"/>
    <x v="2"/>
    <x v="0"/>
    <x v="3"/>
    <s v="Consistent"/>
    <x v="0"/>
  </r>
  <r>
    <x v="2950"/>
    <x v="0"/>
    <x v="2414"/>
    <n v="7757911427"/>
    <n v="869.54"/>
    <s v="UK pounds"/>
    <s v="UK pounds"/>
    <x v="0"/>
    <s v="UK"/>
    <x v="4"/>
    <x v="0"/>
    <x v="2"/>
    <s v="Consistent"/>
    <x v="0"/>
  </r>
  <r>
    <x v="2950"/>
    <x v="0"/>
    <x v="159"/>
    <n v="8172080174"/>
    <n v="25508.09"/>
    <s v="UK pounds"/>
    <s v="UK pounds"/>
    <x v="0"/>
    <s v="UK"/>
    <x v="3"/>
    <x v="0"/>
    <x v="3"/>
    <s v="Consistent"/>
    <x v="0"/>
  </r>
  <r>
    <x v="2951"/>
    <x v="0"/>
    <x v="2415"/>
    <n v="5057380538"/>
    <n v="478.49"/>
    <s v="UK pounds"/>
    <s v="UK pounds"/>
    <x v="0"/>
    <s v="UK"/>
    <x v="4"/>
    <x v="0"/>
    <x v="2"/>
    <s v="Consistent"/>
    <x v="0"/>
  </r>
  <r>
    <x v="2952"/>
    <x v="0"/>
    <x v="2416"/>
    <n v="3661346932"/>
    <n v="310.04000000000002"/>
    <s v="UK pounds"/>
    <s v="UK pounds"/>
    <x v="0"/>
    <s v="UK"/>
    <x v="6"/>
    <x v="0"/>
    <x v="5"/>
    <s v="Consistent"/>
    <x v="0"/>
  </r>
  <r>
    <x v="2953"/>
    <x v="0"/>
    <x v="2417"/>
    <n v="7892884492"/>
    <n v="10972.59"/>
    <s v="UK pounds"/>
    <s v="US dollar"/>
    <x v="0"/>
    <s v="USA"/>
    <x v="1"/>
    <x v="0"/>
    <x v="3"/>
    <s v="Potential Layering"/>
    <x v="0"/>
  </r>
  <r>
    <x v="2954"/>
    <x v="0"/>
    <x v="2418"/>
    <n v="3330832813"/>
    <n v="1083.58"/>
    <s v="UK pounds"/>
    <s v="UK pounds"/>
    <x v="0"/>
    <s v="UK"/>
    <x v="0"/>
    <x v="0"/>
    <x v="0"/>
    <s v="Consistent"/>
    <x v="0"/>
  </r>
  <r>
    <x v="2955"/>
    <x v="0"/>
    <x v="2419"/>
    <n v="8706047954"/>
    <n v="1359.63"/>
    <s v="UK pounds"/>
    <s v="UK pounds"/>
    <x v="0"/>
    <s v="UK"/>
    <x v="0"/>
    <x v="0"/>
    <x v="0"/>
    <s v="Consistent"/>
    <x v="0"/>
  </r>
  <r>
    <x v="2955"/>
    <x v="0"/>
    <x v="2420"/>
    <n v="6034997194"/>
    <n v="5837.65"/>
    <s v="UK pounds"/>
    <s v="UK pounds"/>
    <x v="0"/>
    <s v="UK"/>
    <x v="5"/>
    <x v="0"/>
    <x v="3"/>
    <s v="Consistent"/>
    <x v="0"/>
  </r>
  <r>
    <x v="2955"/>
    <x v="0"/>
    <x v="2421"/>
    <n v="3695545812"/>
    <n v="8212.4"/>
    <s v="UK pounds"/>
    <s v="Euro"/>
    <x v="0"/>
    <s v="UK"/>
    <x v="5"/>
    <x v="0"/>
    <x v="3"/>
    <s v="Potential Layering"/>
    <x v="0"/>
  </r>
  <r>
    <x v="2956"/>
    <x v="0"/>
    <x v="2422"/>
    <n v="7818457449"/>
    <n v="619.35"/>
    <s v="Albanian lek"/>
    <s v="UK pounds"/>
    <x v="0"/>
    <s v="UK"/>
    <x v="2"/>
    <x v="0"/>
    <x v="2"/>
    <s v="Potential Layering"/>
    <x v="0"/>
  </r>
  <r>
    <x v="2957"/>
    <x v="0"/>
    <x v="51"/>
    <n v="4269977194"/>
    <n v="7451.12"/>
    <s v="UK pounds"/>
    <s v="UK pounds"/>
    <x v="0"/>
    <s v="UK"/>
    <x v="2"/>
    <x v="0"/>
    <x v="1"/>
    <s v="Consistent"/>
    <x v="0"/>
  </r>
  <r>
    <x v="2957"/>
    <x v="0"/>
    <x v="350"/>
    <n v="3695545812"/>
    <n v="4876.7299999999996"/>
    <s v="UK pounds"/>
    <s v="UK pounds"/>
    <x v="0"/>
    <s v="UK"/>
    <x v="5"/>
    <x v="0"/>
    <x v="3"/>
    <s v="Consistent"/>
    <x v="0"/>
  </r>
  <r>
    <x v="2958"/>
    <x v="0"/>
    <x v="2423"/>
    <n v="9722801226"/>
    <n v="8040.71"/>
    <s v="UK pounds"/>
    <s v="UK pounds"/>
    <x v="0"/>
    <s v="UK"/>
    <x v="3"/>
    <x v="0"/>
    <x v="4"/>
    <s v="Consistent"/>
    <x v="0"/>
  </r>
  <r>
    <x v="2959"/>
    <x v="0"/>
    <x v="2424"/>
    <n v="2750271635"/>
    <n v="10351.83"/>
    <s v="UK pounds"/>
    <s v="UK pounds"/>
    <x v="0"/>
    <s v="UK"/>
    <x v="5"/>
    <x v="0"/>
    <x v="2"/>
    <s v="Consistent"/>
    <x v="0"/>
  </r>
  <r>
    <x v="2960"/>
    <x v="0"/>
    <x v="2425"/>
    <n v="4884600118"/>
    <n v="625.16999999999996"/>
    <s v="UK pounds"/>
    <s v="UK pounds"/>
    <x v="0"/>
    <s v="UK"/>
    <x v="3"/>
    <x v="0"/>
    <x v="2"/>
    <s v="Consistent"/>
    <x v="0"/>
  </r>
  <r>
    <x v="2961"/>
    <x v="0"/>
    <x v="2426"/>
    <n v="7129601367"/>
    <n v="1483.17"/>
    <s v="UK pounds"/>
    <s v="UK pounds"/>
    <x v="0"/>
    <s v="UK"/>
    <x v="5"/>
    <x v="0"/>
    <x v="2"/>
    <s v="Consistent"/>
    <x v="0"/>
  </r>
  <r>
    <x v="2962"/>
    <x v="0"/>
    <x v="945"/>
    <n v="7080357663"/>
    <n v="6687.57"/>
    <s v="UK pounds"/>
    <s v="UK pounds"/>
    <x v="0"/>
    <s v="UK"/>
    <x v="2"/>
    <x v="0"/>
    <x v="3"/>
    <s v="Consistent"/>
    <x v="0"/>
  </r>
  <r>
    <x v="2963"/>
    <x v="0"/>
    <x v="2427"/>
    <n v="1086488027"/>
    <n v="460.88"/>
    <s v="UK pounds"/>
    <s v="UK pounds"/>
    <x v="0"/>
    <s v="UK"/>
    <x v="2"/>
    <x v="0"/>
    <x v="2"/>
    <s v="Consistent"/>
    <x v="0"/>
  </r>
  <r>
    <x v="2964"/>
    <x v="0"/>
    <x v="2428"/>
    <n v="7194488615"/>
    <n v="238.44"/>
    <s v="UK pounds"/>
    <s v="UK pounds"/>
    <x v="0"/>
    <s v="UK"/>
    <x v="6"/>
    <x v="0"/>
    <x v="5"/>
    <s v="Consistent"/>
    <x v="0"/>
  </r>
  <r>
    <x v="2965"/>
    <x v="0"/>
    <x v="2429"/>
    <n v="1310453715"/>
    <n v="7934"/>
    <s v="UK pounds"/>
    <s v="UK pounds"/>
    <x v="0"/>
    <s v="UK"/>
    <x v="2"/>
    <x v="0"/>
    <x v="2"/>
    <s v="Consistent"/>
    <x v="0"/>
  </r>
  <r>
    <x v="2966"/>
    <x v="0"/>
    <x v="888"/>
    <n v="8673917867"/>
    <n v="8447.1299999999992"/>
    <s v="UK pounds"/>
    <s v="UK pounds"/>
    <x v="0"/>
    <s v="UK"/>
    <x v="5"/>
    <x v="0"/>
    <x v="3"/>
    <s v="Consistent"/>
    <x v="0"/>
  </r>
  <r>
    <x v="2967"/>
    <x v="0"/>
    <x v="2430"/>
    <n v="3372935605"/>
    <n v="57.67"/>
    <s v="UK pounds"/>
    <s v="UK pounds"/>
    <x v="0"/>
    <s v="UK"/>
    <x v="2"/>
    <x v="0"/>
    <x v="2"/>
    <s v="Consistent"/>
    <x v="0"/>
  </r>
  <r>
    <x v="2968"/>
    <x v="0"/>
    <x v="2431"/>
    <n v="6444220418"/>
    <n v="8283.2800000000007"/>
    <s v="UK pounds"/>
    <s v="UK pounds"/>
    <x v="0"/>
    <s v="UK"/>
    <x v="5"/>
    <x v="0"/>
    <x v="3"/>
    <s v="Consistent"/>
    <x v="0"/>
  </r>
  <r>
    <x v="2968"/>
    <x v="0"/>
    <x v="2432"/>
    <n v="18772233"/>
    <n v="3359.58"/>
    <s v="UK pounds"/>
    <s v="UK pounds"/>
    <x v="0"/>
    <s v="UK"/>
    <x v="4"/>
    <x v="0"/>
    <x v="4"/>
    <s v="Consistent"/>
    <x v="0"/>
  </r>
  <r>
    <x v="2969"/>
    <x v="0"/>
    <x v="51"/>
    <n v="901136288"/>
    <n v="7167.36"/>
    <s v="UK pounds"/>
    <s v="UK pounds"/>
    <x v="0"/>
    <s v="UK"/>
    <x v="5"/>
    <x v="0"/>
    <x v="1"/>
    <s v="Consistent"/>
    <x v="0"/>
  </r>
  <r>
    <x v="2970"/>
    <x v="0"/>
    <x v="945"/>
    <n v="7080357663"/>
    <n v="6721.08"/>
    <s v="UK pounds"/>
    <s v="UK pounds"/>
    <x v="0"/>
    <s v="UK"/>
    <x v="3"/>
    <x v="0"/>
    <x v="3"/>
    <s v="Consistent"/>
    <x v="0"/>
  </r>
  <r>
    <x v="2971"/>
    <x v="0"/>
    <x v="2433"/>
    <n v="7097759463"/>
    <n v="8517.33"/>
    <s v="UK pounds"/>
    <s v="UK pounds"/>
    <x v="0"/>
    <s v="UK"/>
    <x v="3"/>
    <x v="0"/>
    <x v="2"/>
    <s v="Consistent"/>
    <x v="0"/>
  </r>
  <r>
    <x v="2971"/>
    <x v="0"/>
    <x v="51"/>
    <n v="6404529552"/>
    <n v="7759.91"/>
    <s v="UK pounds"/>
    <s v="UK pounds"/>
    <x v="0"/>
    <s v="UK"/>
    <x v="2"/>
    <x v="0"/>
    <x v="1"/>
    <s v="Consistent"/>
    <x v="0"/>
  </r>
  <r>
    <x v="2972"/>
    <x v="0"/>
    <x v="2434"/>
    <n v="5541000761"/>
    <n v="2390.11"/>
    <s v="UK pounds"/>
    <s v="UK pounds"/>
    <x v="0"/>
    <s v="UK"/>
    <x v="3"/>
    <x v="0"/>
    <x v="2"/>
    <s v="Consistent"/>
    <x v="0"/>
  </r>
  <r>
    <x v="2973"/>
    <x v="0"/>
    <x v="802"/>
    <n v="3695545812"/>
    <n v="6213.37"/>
    <s v="UK pounds"/>
    <s v="UK pounds"/>
    <x v="0"/>
    <s v="UK"/>
    <x v="2"/>
    <x v="0"/>
    <x v="3"/>
    <s v="Consistent"/>
    <x v="0"/>
  </r>
  <r>
    <x v="2974"/>
    <x v="0"/>
    <x v="150"/>
    <n v="5393260130"/>
    <n v="8147.15"/>
    <s v="UK pounds"/>
    <s v="Swiss franc"/>
    <x v="0"/>
    <s v="Switzerland"/>
    <x v="1"/>
    <x v="0"/>
    <x v="1"/>
    <s v="Potential Layering"/>
    <x v="0"/>
  </r>
  <r>
    <x v="2975"/>
    <x v="0"/>
    <x v="2435"/>
    <n v="2397551309"/>
    <n v="3854.49"/>
    <s v="UK pounds"/>
    <s v="UK pounds"/>
    <x v="0"/>
    <s v="UK"/>
    <x v="3"/>
    <x v="0"/>
    <x v="2"/>
    <s v="Consistent"/>
    <x v="0"/>
  </r>
  <r>
    <x v="2975"/>
    <x v="0"/>
    <x v="402"/>
    <n v="1493436023"/>
    <n v="4334.8500000000004"/>
    <s v="UK pounds"/>
    <s v="UK pounds"/>
    <x v="0"/>
    <s v="UK"/>
    <x v="4"/>
    <x v="0"/>
    <x v="3"/>
    <s v="Consistent"/>
    <x v="0"/>
  </r>
  <r>
    <x v="2976"/>
    <x v="0"/>
    <x v="2436"/>
    <n v="1971013437"/>
    <n v="5068.68"/>
    <s v="UK pounds"/>
    <s v="UK pounds"/>
    <x v="0"/>
    <s v="UK"/>
    <x v="2"/>
    <x v="0"/>
    <x v="2"/>
    <s v="Consistent"/>
    <x v="0"/>
  </r>
  <r>
    <x v="2977"/>
    <x v="0"/>
    <x v="2437"/>
    <n v="3086341355"/>
    <n v="3253.56"/>
    <s v="UK pounds"/>
    <s v="Indian rupee"/>
    <x v="0"/>
    <s v="India"/>
    <x v="1"/>
    <x v="0"/>
    <x v="2"/>
    <s v="Potential Layering"/>
    <x v="0"/>
  </r>
  <r>
    <x v="2978"/>
    <x v="0"/>
    <x v="2438"/>
    <n v="1348012821"/>
    <n v="2946.23"/>
    <s v="UK pounds"/>
    <s v="UK pounds"/>
    <x v="0"/>
    <s v="UK"/>
    <x v="3"/>
    <x v="0"/>
    <x v="4"/>
    <s v="Consistent"/>
    <x v="0"/>
  </r>
  <r>
    <x v="2979"/>
    <x v="0"/>
    <x v="2439"/>
    <n v="4672005977"/>
    <n v="1470.81"/>
    <s v="UK pounds"/>
    <s v="UK pounds"/>
    <x v="0"/>
    <s v="UK"/>
    <x v="0"/>
    <x v="0"/>
    <x v="0"/>
    <s v="Consistent"/>
    <x v="0"/>
  </r>
  <r>
    <x v="2980"/>
    <x v="0"/>
    <x v="524"/>
    <n v="2534644942"/>
    <n v="25412.46"/>
    <s v="Albanian lek"/>
    <s v="Euro"/>
    <x v="0"/>
    <s v="France"/>
    <x v="1"/>
    <x v="0"/>
    <x v="3"/>
    <s v="Potential Layering"/>
    <x v="0"/>
  </r>
  <r>
    <x v="2981"/>
    <x v="0"/>
    <x v="920"/>
    <n v="5363117119"/>
    <n v="9667.2099999999991"/>
    <s v="UK pounds"/>
    <s v="UK pounds"/>
    <x v="0"/>
    <s v="UK"/>
    <x v="4"/>
    <x v="0"/>
    <x v="3"/>
    <s v="Consistent"/>
    <x v="0"/>
  </r>
  <r>
    <x v="2982"/>
    <x v="0"/>
    <x v="248"/>
    <n v="4348868412"/>
    <n v="7285.78"/>
    <s v="UK pounds"/>
    <s v="UK pounds"/>
    <x v="0"/>
    <s v="UK"/>
    <x v="2"/>
    <x v="0"/>
    <x v="1"/>
    <s v="Consistent"/>
    <x v="0"/>
  </r>
  <r>
    <x v="2982"/>
    <x v="0"/>
    <x v="2440"/>
    <n v="4582379021"/>
    <n v="101.8"/>
    <s v="UK pounds"/>
    <s v="UK pounds"/>
    <x v="0"/>
    <s v="UK"/>
    <x v="5"/>
    <x v="0"/>
    <x v="2"/>
    <s v="Consistent"/>
    <x v="0"/>
  </r>
  <r>
    <x v="2983"/>
    <x v="0"/>
    <x v="2441"/>
    <n v="4684121457"/>
    <n v="86.76"/>
    <s v="UK pounds"/>
    <s v="Dirham"/>
    <x v="0"/>
    <s v="UK"/>
    <x v="5"/>
    <x v="0"/>
    <x v="2"/>
    <s v="Potential Layering"/>
    <x v="0"/>
  </r>
  <r>
    <x v="2984"/>
    <x v="0"/>
    <x v="2442"/>
    <n v="1424693007"/>
    <n v="12857.64"/>
    <s v="UK pounds"/>
    <s v="UK pounds"/>
    <x v="0"/>
    <s v="UK"/>
    <x v="3"/>
    <x v="0"/>
    <x v="4"/>
    <s v="Consistent"/>
    <x v="0"/>
  </r>
  <r>
    <x v="2985"/>
    <x v="0"/>
    <x v="2443"/>
    <n v="1322542482"/>
    <n v="456.38"/>
    <s v="UK pounds"/>
    <s v="UK pounds"/>
    <x v="0"/>
    <s v="UK"/>
    <x v="2"/>
    <x v="0"/>
    <x v="2"/>
    <s v="Consistent"/>
    <x v="0"/>
  </r>
  <r>
    <x v="2986"/>
    <x v="0"/>
    <x v="565"/>
    <n v="3220735304"/>
    <n v="14416.75"/>
    <s v="UK pounds"/>
    <s v="UK pounds"/>
    <x v="0"/>
    <s v="UK"/>
    <x v="2"/>
    <x v="0"/>
    <x v="3"/>
    <s v="Consistent"/>
    <x v="0"/>
  </r>
  <r>
    <x v="2986"/>
    <x v="0"/>
    <x v="35"/>
    <n v="2683968729"/>
    <n v="23204.75"/>
    <s v="Yen"/>
    <s v="UK pounds"/>
    <x v="0"/>
    <s v="UK"/>
    <x v="4"/>
    <x v="0"/>
    <x v="1"/>
    <s v="Potential Layering"/>
    <x v="0"/>
  </r>
  <r>
    <x v="2987"/>
    <x v="0"/>
    <x v="2444"/>
    <n v="9600420220"/>
    <n v="17583.099999999999"/>
    <s v="UK pounds"/>
    <s v="UK pounds"/>
    <x v="0"/>
    <s v="UK"/>
    <x v="2"/>
    <x v="0"/>
    <x v="3"/>
    <s v="Consistent"/>
    <x v="0"/>
  </r>
  <r>
    <x v="2988"/>
    <x v="0"/>
    <x v="2334"/>
    <n v="5103043844"/>
    <n v="42372.24"/>
    <s v="UK pounds"/>
    <s v="Naira"/>
    <x v="0"/>
    <s v="Nigeria"/>
    <x v="1"/>
    <x v="0"/>
    <x v="3"/>
    <s v="Potential Layering"/>
    <x v="0"/>
  </r>
  <r>
    <x v="2988"/>
    <x v="0"/>
    <x v="2445"/>
    <n v="7787085852"/>
    <n v="2699.02"/>
    <s v="UK pounds"/>
    <s v="UK pounds"/>
    <x v="0"/>
    <s v="UK"/>
    <x v="4"/>
    <x v="0"/>
    <x v="2"/>
    <s v="Consistent"/>
    <x v="0"/>
  </r>
  <r>
    <x v="2989"/>
    <x v="0"/>
    <x v="1177"/>
    <n v="6522784509"/>
    <n v="6024.1"/>
    <s v="UK pounds"/>
    <s v="UK pounds"/>
    <x v="0"/>
    <s v="UK"/>
    <x v="2"/>
    <x v="0"/>
    <x v="6"/>
    <s v="Consistent"/>
    <x v="0"/>
  </r>
  <r>
    <x v="2989"/>
    <x v="0"/>
    <x v="1831"/>
    <n v="8298596636"/>
    <n v="1174.26"/>
    <s v="UK pounds"/>
    <s v="UK pounds"/>
    <x v="0"/>
    <s v="UK"/>
    <x v="3"/>
    <x v="0"/>
    <x v="2"/>
    <s v="Consistent"/>
    <x v="0"/>
  </r>
  <r>
    <x v="2990"/>
    <x v="0"/>
    <x v="2446"/>
    <n v="540966878"/>
    <n v="4812.92"/>
    <s v="UK pounds"/>
    <s v="UK pounds"/>
    <x v="0"/>
    <s v="UK"/>
    <x v="4"/>
    <x v="0"/>
    <x v="2"/>
    <s v="Consistent"/>
    <x v="0"/>
  </r>
  <r>
    <x v="2990"/>
    <x v="0"/>
    <x v="124"/>
    <n v="8617863283"/>
    <n v="5894.68"/>
    <s v="UK pounds"/>
    <s v="UK pounds"/>
    <x v="0"/>
    <s v="UK"/>
    <x v="5"/>
    <x v="0"/>
    <x v="1"/>
    <s v="Consistent"/>
    <x v="0"/>
  </r>
  <r>
    <x v="2991"/>
    <x v="0"/>
    <x v="2447"/>
    <n v="1808407957"/>
    <n v="7413.17"/>
    <s v="UK pounds"/>
    <s v="UK pounds"/>
    <x v="0"/>
    <s v="UK"/>
    <x v="4"/>
    <x v="0"/>
    <x v="4"/>
    <s v="Consistent"/>
    <x v="0"/>
  </r>
  <r>
    <x v="2992"/>
    <x v="0"/>
    <x v="2448"/>
    <n v="8290285433"/>
    <n v="1660.23"/>
    <s v="UK pounds"/>
    <s v="UK pounds"/>
    <x v="0"/>
    <s v="UK"/>
    <x v="0"/>
    <x v="0"/>
    <x v="0"/>
    <s v="Consistent"/>
    <x v="0"/>
  </r>
  <r>
    <x v="2993"/>
    <x v="0"/>
    <x v="2449"/>
    <n v="9105769228"/>
    <n v="25055.84"/>
    <s v="UK pounds"/>
    <s v="UK pounds"/>
    <x v="0"/>
    <s v="UK"/>
    <x v="3"/>
    <x v="0"/>
    <x v="3"/>
    <s v="Consistent"/>
    <x v="0"/>
  </r>
  <r>
    <x v="2994"/>
    <x v="0"/>
    <x v="401"/>
    <n v="3661025271"/>
    <n v="8748.0499999999993"/>
    <s v="Euro"/>
    <s v="UK pounds"/>
    <x v="7"/>
    <s v="UK"/>
    <x v="1"/>
    <x v="0"/>
    <x v="6"/>
    <s v="Potential Layering"/>
    <x v="0"/>
  </r>
  <r>
    <x v="2994"/>
    <x v="0"/>
    <x v="1579"/>
    <n v="8352571580"/>
    <n v="11873.68"/>
    <s v="UK pounds"/>
    <s v="UK pounds"/>
    <x v="0"/>
    <s v="UK"/>
    <x v="2"/>
    <x v="0"/>
    <x v="3"/>
    <s v="Consistent"/>
    <x v="0"/>
  </r>
  <r>
    <x v="2995"/>
    <x v="0"/>
    <x v="2450"/>
    <n v="7143620325"/>
    <n v="1998.01"/>
    <s v="UK pounds"/>
    <s v="UK pounds"/>
    <x v="0"/>
    <s v="UK"/>
    <x v="5"/>
    <x v="0"/>
    <x v="2"/>
    <s v="Consistent"/>
    <x v="0"/>
  </r>
  <r>
    <x v="2996"/>
    <x v="0"/>
    <x v="63"/>
    <n v="330109509"/>
    <n v="11352.18"/>
    <s v="UK pounds"/>
    <s v="UK pounds"/>
    <x v="0"/>
    <s v="UK"/>
    <x v="3"/>
    <x v="0"/>
    <x v="1"/>
    <s v="Consistent"/>
    <x v="0"/>
  </r>
  <r>
    <x v="2997"/>
    <x v="0"/>
    <x v="455"/>
    <n v="4822369018"/>
    <n v="3110.5"/>
    <s v="UK pounds"/>
    <s v="UK pounds"/>
    <x v="0"/>
    <s v="UK"/>
    <x v="3"/>
    <x v="0"/>
    <x v="2"/>
    <s v="Consistent"/>
    <x v="0"/>
  </r>
  <r>
    <x v="2998"/>
    <x v="0"/>
    <x v="2451"/>
    <n v="5431755091"/>
    <n v="3076.1"/>
    <s v="UK pounds"/>
    <s v="UK pounds"/>
    <x v="0"/>
    <s v="UK"/>
    <x v="4"/>
    <x v="0"/>
    <x v="2"/>
    <s v="Consistent"/>
    <x v="0"/>
  </r>
  <r>
    <x v="2999"/>
    <x v="0"/>
    <x v="35"/>
    <n v="360722730"/>
    <n v="10262.32"/>
    <s v="UK pounds"/>
    <s v="UK pounds"/>
    <x v="0"/>
    <s v="UK"/>
    <x v="4"/>
    <x v="0"/>
    <x v="1"/>
    <s v="Consistent"/>
    <x v="0"/>
  </r>
  <r>
    <x v="3000"/>
    <x v="0"/>
    <x v="2417"/>
    <n v="7892884492"/>
    <n v="11025.22"/>
    <s v="UK pounds"/>
    <s v="US dollar"/>
    <x v="0"/>
    <s v="USA"/>
    <x v="1"/>
    <x v="0"/>
    <x v="3"/>
    <s v="Potential Layering"/>
    <x v="0"/>
  </r>
  <r>
    <x v="3001"/>
    <x v="0"/>
    <x v="2452"/>
    <n v="1791681033"/>
    <n v="434.3"/>
    <s v="UK pounds"/>
    <s v="UK pounds"/>
    <x v="0"/>
    <s v="UK"/>
    <x v="2"/>
    <x v="0"/>
    <x v="2"/>
    <s v="Consistent"/>
    <x v="0"/>
  </r>
  <r>
    <x v="3002"/>
    <x v="0"/>
    <x v="248"/>
    <n v="4898116032"/>
    <n v="12132.43"/>
    <s v="UK pounds"/>
    <s v="UK pounds"/>
    <x v="0"/>
    <s v="UK"/>
    <x v="4"/>
    <x v="0"/>
    <x v="1"/>
    <s v="Consistent"/>
    <x v="0"/>
  </r>
  <r>
    <x v="3003"/>
    <x v="0"/>
    <x v="39"/>
    <n v="4173195094"/>
    <n v="11938.18"/>
    <s v="UK pounds"/>
    <s v="UK pounds"/>
    <x v="0"/>
    <s v="UK"/>
    <x v="3"/>
    <x v="0"/>
    <x v="3"/>
    <s v="Consistent"/>
    <x v="0"/>
  </r>
  <r>
    <x v="3004"/>
    <x v="0"/>
    <x v="2453"/>
    <n v="3826795727"/>
    <n v="2591.9499999999998"/>
    <s v="UK pounds"/>
    <s v="UK pounds"/>
    <x v="0"/>
    <s v="UK"/>
    <x v="0"/>
    <x v="0"/>
    <x v="0"/>
    <s v="Consistent"/>
    <x v="0"/>
  </r>
  <r>
    <x v="3005"/>
    <x v="0"/>
    <x v="2454"/>
    <n v="8092477684"/>
    <n v="15332.35"/>
    <s v="UK pounds"/>
    <s v="Euro"/>
    <x v="0"/>
    <s v="France"/>
    <x v="1"/>
    <x v="0"/>
    <x v="2"/>
    <s v="Potential Layering"/>
    <x v="0"/>
  </r>
  <r>
    <x v="3006"/>
    <x v="0"/>
    <x v="2455"/>
    <n v="8540332707"/>
    <n v="4867.3500000000004"/>
    <s v="UK pounds"/>
    <s v="US dollar"/>
    <x v="0"/>
    <s v="USA"/>
    <x v="1"/>
    <x v="0"/>
    <x v="2"/>
    <s v="Potential Layering"/>
    <x v="0"/>
  </r>
  <r>
    <x v="3007"/>
    <x v="0"/>
    <x v="2456"/>
    <n v="1465487567"/>
    <n v="11566.5"/>
    <s v="UK pounds"/>
    <s v="UK pounds"/>
    <x v="0"/>
    <s v="UK"/>
    <x v="2"/>
    <x v="0"/>
    <x v="3"/>
    <s v="Consistent"/>
    <x v="0"/>
  </r>
  <r>
    <x v="3007"/>
    <x v="0"/>
    <x v="2457"/>
    <n v="1400243933"/>
    <n v="7365.27"/>
    <s v="UK pounds"/>
    <s v="UK pounds"/>
    <x v="0"/>
    <s v="UK"/>
    <x v="5"/>
    <x v="0"/>
    <x v="2"/>
    <s v="Consistent"/>
    <x v="0"/>
  </r>
  <r>
    <x v="3008"/>
    <x v="0"/>
    <x v="2458"/>
    <n v="6223365730"/>
    <n v="6180.6"/>
    <s v="UK pounds"/>
    <s v="UK pounds"/>
    <x v="0"/>
    <s v="UK"/>
    <x v="4"/>
    <x v="0"/>
    <x v="3"/>
    <s v="Consistent"/>
    <x v="0"/>
  </r>
  <r>
    <x v="3009"/>
    <x v="0"/>
    <x v="8"/>
    <n v="144438037"/>
    <n v="5746.56"/>
    <s v="UK pounds"/>
    <s v="UK pounds"/>
    <x v="0"/>
    <s v="UK"/>
    <x v="3"/>
    <x v="0"/>
    <x v="1"/>
    <s v="Consistent"/>
    <x v="0"/>
  </r>
  <r>
    <x v="3010"/>
    <x v="0"/>
    <x v="2459"/>
    <n v="4082343832"/>
    <n v="1000.26"/>
    <s v="UK pounds"/>
    <s v="UK pounds"/>
    <x v="0"/>
    <s v="UK"/>
    <x v="4"/>
    <x v="0"/>
    <x v="2"/>
    <s v="Consistent"/>
    <x v="0"/>
  </r>
  <r>
    <x v="3011"/>
    <x v="0"/>
    <x v="195"/>
    <n v="4706175310"/>
    <n v="6505.37"/>
    <s v="UK pounds"/>
    <s v="UK pounds"/>
    <x v="0"/>
    <s v="UK"/>
    <x v="3"/>
    <x v="0"/>
    <x v="1"/>
    <s v="Consistent"/>
    <x v="0"/>
  </r>
  <r>
    <x v="3011"/>
    <x v="0"/>
    <x v="2460"/>
    <n v="1343544646"/>
    <n v="2051.6999999999998"/>
    <s v="UK pounds"/>
    <s v="UK pounds"/>
    <x v="0"/>
    <s v="UK"/>
    <x v="5"/>
    <x v="0"/>
    <x v="2"/>
    <s v="Consistent"/>
    <x v="0"/>
  </r>
  <r>
    <x v="3012"/>
    <x v="0"/>
    <x v="379"/>
    <n v="835931677"/>
    <n v="15565.86"/>
    <s v="UK pounds"/>
    <s v="UK pounds"/>
    <x v="0"/>
    <s v="UK"/>
    <x v="3"/>
    <x v="0"/>
    <x v="1"/>
    <s v="Consistent"/>
    <x v="0"/>
  </r>
  <r>
    <x v="3013"/>
    <x v="0"/>
    <x v="2461"/>
    <n v="3381813969"/>
    <n v="4362.28"/>
    <s v="UK pounds"/>
    <s v="UK pounds"/>
    <x v="0"/>
    <s v="UK"/>
    <x v="4"/>
    <x v="0"/>
    <x v="2"/>
    <s v="Consistent"/>
    <x v="0"/>
  </r>
  <r>
    <x v="3014"/>
    <x v="0"/>
    <x v="2462"/>
    <n v="5281798118"/>
    <n v="142.96"/>
    <s v="UK pounds"/>
    <s v="UK pounds"/>
    <x v="0"/>
    <s v="UK"/>
    <x v="5"/>
    <x v="0"/>
    <x v="2"/>
    <s v="Consistent"/>
    <x v="0"/>
  </r>
  <r>
    <x v="3015"/>
    <x v="0"/>
    <x v="2463"/>
    <n v="4369320829"/>
    <n v="1898.88"/>
    <s v="UK pounds"/>
    <s v="UK pounds"/>
    <x v="0"/>
    <s v="UK"/>
    <x v="3"/>
    <x v="0"/>
    <x v="2"/>
    <s v="Consistent"/>
    <x v="0"/>
  </r>
  <r>
    <x v="3016"/>
    <x v="0"/>
    <x v="2464"/>
    <n v="435895382"/>
    <n v="2731"/>
    <s v="UK pounds"/>
    <s v="UK pounds"/>
    <x v="0"/>
    <s v="UK"/>
    <x v="5"/>
    <x v="0"/>
    <x v="2"/>
    <s v="Consistent"/>
    <x v="0"/>
  </r>
  <r>
    <x v="3017"/>
    <x v="0"/>
    <x v="1177"/>
    <n v="6522784509"/>
    <n v="6007.77"/>
    <s v="UK pounds"/>
    <s v="UK pounds"/>
    <x v="0"/>
    <s v="UK"/>
    <x v="3"/>
    <x v="0"/>
    <x v="6"/>
    <s v="Consistent"/>
    <x v="0"/>
  </r>
  <r>
    <x v="3017"/>
    <x v="0"/>
    <x v="2465"/>
    <n v="3880087226"/>
    <n v="1612.78"/>
    <s v="UK pounds"/>
    <s v="UK pounds"/>
    <x v="0"/>
    <s v="UK"/>
    <x v="0"/>
    <x v="0"/>
    <x v="0"/>
    <s v="Consistent"/>
    <x v="0"/>
  </r>
  <r>
    <x v="3018"/>
    <x v="0"/>
    <x v="52"/>
    <n v="8619713223"/>
    <n v="14217.58"/>
    <s v="UK pounds"/>
    <s v="UK pounds"/>
    <x v="0"/>
    <s v="UK"/>
    <x v="5"/>
    <x v="0"/>
    <x v="1"/>
    <s v="Consistent"/>
    <x v="0"/>
  </r>
  <r>
    <x v="3019"/>
    <x v="0"/>
    <x v="1899"/>
    <n v="1493436023"/>
    <n v="7918.87"/>
    <s v="UK pounds"/>
    <s v="UK pounds"/>
    <x v="0"/>
    <s v="UK"/>
    <x v="3"/>
    <x v="0"/>
    <x v="3"/>
    <s v="Consistent"/>
    <x v="0"/>
  </r>
  <r>
    <x v="3020"/>
    <x v="0"/>
    <x v="2466"/>
    <n v="8548102881"/>
    <n v="182658.83"/>
    <s v="UK pounds"/>
    <s v="UK pounds"/>
    <x v="0"/>
    <s v="UK"/>
    <x v="5"/>
    <x v="0"/>
    <x v="11"/>
    <s v="Consistent"/>
    <x v="0"/>
  </r>
  <r>
    <x v="3021"/>
    <x v="0"/>
    <x v="1442"/>
    <n v="7080357663"/>
    <n v="7553.22"/>
    <s v="UK pounds"/>
    <s v="UK pounds"/>
    <x v="0"/>
    <s v="UK"/>
    <x v="5"/>
    <x v="0"/>
    <x v="3"/>
    <s v="Consistent"/>
    <x v="0"/>
  </r>
  <r>
    <x v="3021"/>
    <x v="0"/>
    <x v="2467"/>
    <n v="920246585"/>
    <n v="366.88"/>
    <s v="UK pounds"/>
    <s v="UK pounds"/>
    <x v="0"/>
    <s v="UK"/>
    <x v="4"/>
    <x v="0"/>
    <x v="2"/>
    <s v="Consistent"/>
    <x v="0"/>
  </r>
  <r>
    <x v="3022"/>
    <x v="0"/>
    <x v="2468"/>
    <n v="2009776785"/>
    <n v="7426.88"/>
    <s v="UK pounds"/>
    <s v="UK pounds"/>
    <x v="0"/>
    <s v="UK"/>
    <x v="3"/>
    <x v="0"/>
    <x v="2"/>
    <s v="Consistent"/>
    <x v="0"/>
  </r>
  <r>
    <x v="3023"/>
    <x v="0"/>
    <x v="2469"/>
    <n v="9513914132"/>
    <n v="2282.9499999999998"/>
    <s v="UK pounds"/>
    <s v="UK pounds"/>
    <x v="0"/>
    <s v="UK"/>
    <x v="4"/>
    <x v="0"/>
    <x v="2"/>
    <s v="Consistent"/>
    <x v="0"/>
  </r>
  <r>
    <x v="3023"/>
    <x v="0"/>
    <x v="68"/>
    <n v="8992041252"/>
    <n v="7520.93"/>
    <s v="UK pounds"/>
    <s v="UK pounds"/>
    <x v="0"/>
    <s v="UK"/>
    <x v="5"/>
    <x v="0"/>
    <x v="1"/>
    <s v="Consistent"/>
    <x v="0"/>
  </r>
  <r>
    <x v="3024"/>
    <x v="0"/>
    <x v="883"/>
    <n v="9628737349"/>
    <n v="625.52"/>
    <s v="UK pounds"/>
    <s v="UK pounds"/>
    <x v="0"/>
    <s v="UK"/>
    <x v="2"/>
    <x v="0"/>
    <x v="2"/>
    <s v="Consistent"/>
    <x v="0"/>
  </r>
  <r>
    <x v="3025"/>
    <x v="0"/>
    <x v="2470"/>
    <n v="4176313875"/>
    <n v="374.19"/>
    <s v="UK pounds"/>
    <s v="UK pounds"/>
    <x v="0"/>
    <s v="UK"/>
    <x v="3"/>
    <x v="0"/>
    <x v="4"/>
    <s v="Consistent"/>
    <x v="0"/>
  </r>
  <r>
    <x v="3026"/>
    <x v="0"/>
    <x v="2471"/>
    <n v="571729886"/>
    <n v="2098.3000000000002"/>
    <s v="UK pounds"/>
    <s v="UK pounds"/>
    <x v="0"/>
    <s v="UK"/>
    <x v="0"/>
    <x v="0"/>
    <x v="0"/>
    <s v="Consistent"/>
    <x v="0"/>
  </r>
  <r>
    <x v="3026"/>
    <x v="0"/>
    <x v="2472"/>
    <n v="4293580479"/>
    <n v="18451.21"/>
    <s v="UK pounds"/>
    <s v="UK pounds"/>
    <x v="0"/>
    <s v="UK"/>
    <x v="3"/>
    <x v="0"/>
    <x v="3"/>
    <s v="Consistent"/>
    <x v="0"/>
  </r>
  <r>
    <x v="3027"/>
    <x v="0"/>
    <x v="2473"/>
    <n v="6925779943"/>
    <n v="391.05"/>
    <s v="UK pounds"/>
    <s v="UK pounds"/>
    <x v="0"/>
    <s v="UK"/>
    <x v="4"/>
    <x v="0"/>
    <x v="2"/>
    <s v="Consistent"/>
    <x v="0"/>
  </r>
  <r>
    <x v="3028"/>
    <x v="0"/>
    <x v="75"/>
    <n v="7221383296"/>
    <n v="10130.85"/>
    <s v="UK pounds"/>
    <s v="UK pounds"/>
    <x v="0"/>
    <s v="UK"/>
    <x v="3"/>
    <x v="0"/>
    <x v="1"/>
    <s v="Consistent"/>
    <x v="0"/>
  </r>
  <r>
    <x v="3029"/>
    <x v="0"/>
    <x v="2474"/>
    <n v="7963654837"/>
    <n v="10083.24"/>
    <s v="UK pounds"/>
    <s v="UK pounds"/>
    <x v="0"/>
    <s v="UK"/>
    <x v="5"/>
    <x v="0"/>
    <x v="2"/>
    <s v="Consistent"/>
    <x v="0"/>
  </r>
  <r>
    <x v="3030"/>
    <x v="0"/>
    <x v="2475"/>
    <n v="1494141718"/>
    <n v="9370.52"/>
    <s v="UK pounds"/>
    <s v="UK pounds"/>
    <x v="0"/>
    <s v="UK"/>
    <x v="3"/>
    <x v="0"/>
    <x v="2"/>
    <s v="Consistent"/>
    <x v="0"/>
  </r>
  <r>
    <x v="3030"/>
    <x v="0"/>
    <x v="2476"/>
    <n v="8322489427"/>
    <n v="4951.43"/>
    <s v="UK pounds"/>
    <s v="UK pounds"/>
    <x v="0"/>
    <s v="UK"/>
    <x v="4"/>
    <x v="0"/>
    <x v="2"/>
    <s v="Consistent"/>
    <x v="0"/>
  </r>
  <r>
    <x v="3031"/>
    <x v="0"/>
    <x v="2477"/>
    <n v="5108832090"/>
    <n v="16744.060000000001"/>
    <s v="UK pounds"/>
    <s v="UK pounds"/>
    <x v="0"/>
    <s v="UK"/>
    <x v="4"/>
    <x v="0"/>
    <x v="2"/>
    <s v="Consistent"/>
    <x v="0"/>
  </r>
  <r>
    <x v="3032"/>
    <x v="0"/>
    <x v="591"/>
    <n v="5708936901"/>
    <n v="10106.07"/>
    <s v="UK pounds"/>
    <s v="UK pounds"/>
    <x v="0"/>
    <s v="UK"/>
    <x v="4"/>
    <x v="0"/>
    <x v="3"/>
    <s v="Consistent"/>
    <x v="0"/>
  </r>
  <r>
    <x v="3033"/>
    <x v="0"/>
    <x v="2478"/>
    <n v="562174035"/>
    <n v="2392.86"/>
    <s v="UK pounds"/>
    <s v="UK pounds"/>
    <x v="0"/>
    <s v="UK"/>
    <x v="2"/>
    <x v="0"/>
    <x v="2"/>
    <s v="Consistent"/>
    <x v="0"/>
  </r>
  <r>
    <x v="3033"/>
    <x v="0"/>
    <x v="2479"/>
    <n v="9353206255"/>
    <n v="267.38"/>
    <s v="Euro"/>
    <s v="UK pounds"/>
    <x v="0"/>
    <s v="UK"/>
    <x v="3"/>
    <x v="0"/>
    <x v="2"/>
    <s v="Potential Layering"/>
    <x v="0"/>
  </r>
  <r>
    <x v="3034"/>
    <x v="0"/>
    <x v="2480"/>
    <n v="2560293621"/>
    <n v="2857.36"/>
    <s v="UK pounds"/>
    <s v="UK pounds"/>
    <x v="0"/>
    <s v="UK"/>
    <x v="3"/>
    <x v="0"/>
    <x v="2"/>
    <s v="Consistent"/>
    <x v="0"/>
  </r>
  <r>
    <x v="3035"/>
    <x v="0"/>
    <x v="2481"/>
    <n v="1336239843"/>
    <n v="14252.36"/>
    <s v="UK pounds"/>
    <s v="UK pounds"/>
    <x v="0"/>
    <s v="UK"/>
    <x v="3"/>
    <x v="0"/>
    <x v="4"/>
    <s v="Consistent"/>
    <x v="0"/>
  </r>
  <r>
    <x v="3036"/>
    <x v="0"/>
    <x v="1385"/>
    <n v="8518184956"/>
    <n v="6911.18"/>
    <s v="UK pounds"/>
    <s v="UK pounds"/>
    <x v="0"/>
    <s v="UK"/>
    <x v="2"/>
    <x v="0"/>
    <x v="3"/>
    <s v="Consistent"/>
    <x v="0"/>
  </r>
  <r>
    <x v="3036"/>
    <x v="0"/>
    <x v="2482"/>
    <n v="1928640729"/>
    <n v="4436.49"/>
    <s v="UK pounds"/>
    <s v="UK pounds"/>
    <x v="0"/>
    <s v="UK"/>
    <x v="3"/>
    <x v="0"/>
    <x v="2"/>
    <s v="Consistent"/>
    <x v="0"/>
  </r>
  <r>
    <x v="3037"/>
    <x v="0"/>
    <x v="2483"/>
    <n v="83601101"/>
    <n v="250.21"/>
    <s v="UK pounds"/>
    <s v="UK pounds"/>
    <x v="0"/>
    <s v="UK"/>
    <x v="5"/>
    <x v="0"/>
    <x v="2"/>
    <s v="Consistent"/>
    <x v="0"/>
  </r>
  <r>
    <x v="3038"/>
    <x v="0"/>
    <x v="46"/>
    <n v="1509557999"/>
    <n v="15890.51"/>
    <s v="UK pounds"/>
    <s v="UK pounds"/>
    <x v="0"/>
    <s v="UK"/>
    <x v="2"/>
    <x v="0"/>
    <x v="1"/>
    <s v="Consistent"/>
    <x v="0"/>
  </r>
  <r>
    <x v="3039"/>
    <x v="0"/>
    <x v="2484"/>
    <n v="4309668314"/>
    <n v="50.2"/>
    <s v="UK pounds"/>
    <s v="UK pounds"/>
    <x v="0"/>
    <s v="UK"/>
    <x v="4"/>
    <x v="0"/>
    <x v="2"/>
    <s v="Consistent"/>
    <x v="0"/>
  </r>
  <r>
    <x v="3040"/>
    <x v="0"/>
    <x v="2485"/>
    <n v="9803847813"/>
    <n v="4365.3500000000004"/>
    <s v="UK pounds"/>
    <s v="UK pounds"/>
    <x v="0"/>
    <s v="UK"/>
    <x v="2"/>
    <x v="0"/>
    <x v="4"/>
    <s v="Consistent"/>
    <x v="0"/>
  </r>
  <r>
    <x v="3041"/>
    <x v="0"/>
    <x v="63"/>
    <n v="7743294128"/>
    <n v="22453.99"/>
    <s v="UK pounds"/>
    <s v="UK pounds"/>
    <x v="0"/>
    <s v="UK"/>
    <x v="2"/>
    <x v="0"/>
    <x v="1"/>
    <s v="Consistent"/>
    <x v="0"/>
  </r>
  <r>
    <x v="3042"/>
    <x v="0"/>
    <x v="2486"/>
    <n v="7109611445"/>
    <n v="10169.39"/>
    <s v="UK pounds"/>
    <s v="UK pounds"/>
    <x v="0"/>
    <s v="UK"/>
    <x v="5"/>
    <x v="0"/>
    <x v="2"/>
    <s v="Consistent"/>
    <x v="0"/>
  </r>
  <r>
    <x v="3042"/>
    <x v="0"/>
    <x v="2006"/>
    <n v="1316458123"/>
    <n v="8154"/>
    <s v="UK pounds"/>
    <s v="Mexican Peso"/>
    <x v="0"/>
    <s v="Mexico"/>
    <x v="1"/>
    <x v="0"/>
    <x v="3"/>
    <s v="Potential Layering"/>
    <x v="0"/>
  </r>
  <r>
    <x v="3043"/>
    <x v="0"/>
    <x v="91"/>
    <n v="3047959102"/>
    <n v="17513.22"/>
    <s v="UK pounds"/>
    <s v="UK pounds"/>
    <x v="0"/>
    <s v="UK"/>
    <x v="5"/>
    <x v="0"/>
    <x v="1"/>
    <s v="Consistent"/>
    <x v="0"/>
  </r>
  <r>
    <x v="3044"/>
    <x v="0"/>
    <x v="75"/>
    <n v="6160971830"/>
    <n v="5818.21"/>
    <s v="UK pounds"/>
    <s v="UK pounds"/>
    <x v="0"/>
    <s v="UK"/>
    <x v="5"/>
    <x v="0"/>
    <x v="1"/>
    <s v="Consistent"/>
    <x v="0"/>
  </r>
  <r>
    <x v="3045"/>
    <x v="0"/>
    <x v="395"/>
    <n v="7386959843"/>
    <n v="2732.39"/>
    <s v="UK pounds"/>
    <s v="UK pounds"/>
    <x v="0"/>
    <s v="UK"/>
    <x v="5"/>
    <x v="0"/>
    <x v="2"/>
    <s v="Consistent"/>
    <x v="0"/>
  </r>
  <r>
    <x v="3046"/>
    <x v="0"/>
    <x v="2487"/>
    <n v="6991398542"/>
    <n v="1360.88"/>
    <s v="UK pounds"/>
    <s v="UK pounds"/>
    <x v="0"/>
    <s v="UK"/>
    <x v="0"/>
    <x v="0"/>
    <x v="0"/>
    <s v="Consistent"/>
    <x v="0"/>
  </r>
  <r>
    <x v="3047"/>
    <x v="0"/>
    <x v="2488"/>
    <n v="5628674969"/>
    <n v="14500.52"/>
    <s v="UK pounds"/>
    <s v="UK pounds"/>
    <x v="0"/>
    <s v="UK"/>
    <x v="2"/>
    <x v="0"/>
    <x v="3"/>
    <s v="Consistent"/>
    <x v="0"/>
  </r>
  <r>
    <x v="3047"/>
    <x v="0"/>
    <x v="149"/>
    <n v="7945788794"/>
    <n v="5200.58"/>
    <s v="UK pounds"/>
    <s v="UK pounds"/>
    <x v="0"/>
    <s v="UK"/>
    <x v="5"/>
    <x v="0"/>
    <x v="1"/>
    <s v="Consistent"/>
    <x v="0"/>
  </r>
  <r>
    <x v="3048"/>
    <x v="0"/>
    <x v="2489"/>
    <n v="4727357532"/>
    <n v="20749.669999999998"/>
    <s v="UK pounds"/>
    <s v="UK pounds"/>
    <x v="0"/>
    <s v="UK"/>
    <x v="5"/>
    <x v="0"/>
    <x v="2"/>
    <s v="Consistent"/>
    <x v="0"/>
  </r>
  <r>
    <x v="3049"/>
    <x v="0"/>
    <x v="1072"/>
    <n v="6615179883"/>
    <n v="16375.06"/>
    <s v="UK pounds"/>
    <s v="UK pounds"/>
    <x v="0"/>
    <s v="UK"/>
    <x v="2"/>
    <x v="0"/>
    <x v="6"/>
    <s v="Consistent"/>
    <x v="0"/>
  </r>
  <r>
    <x v="3050"/>
    <x v="0"/>
    <x v="2490"/>
    <n v="86198390"/>
    <n v="1800.44"/>
    <s v="UK pounds"/>
    <s v="UK pounds"/>
    <x v="0"/>
    <s v="UK"/>
    <x v="3"/>
    <x v="0"/>
    <x v="2"/>
    <s v="Consistent"/>
    <x v="0"/>
  </r>
  <r>
    <x v="3051"/>
    <x v="0"/>
    <x v="68"/>
    <n v="5402206630"/>
    <n v="6219.5"/>
    <s v="UK pounds"/>
    <s v="UK pounds"/>
    <x v="0"/>
    <s v="UK"/>
    <x v="4"/>
    <x v="0"/>
    <x v="1"/>
    <s v="Consistent"/>
    <x v="0"/>
  </r>
  <r>
    <x v="3052"/>
    <x v="0"/>
    <x v="2491"/>
    <n v="6112112769"/>
    <n v="1273.94"/>
    <s v="UK pounds"/>
    <s v="UK pounds"/>
    <x v="0"/>
    <s v="UK"/>
    <x v="0"/>
    <x v="0"/>
    <x v="0"/>
    <s v="Consistent"/>
    <x v="0"/>
  </r>
  <r>
    <x v="3053"/>
    <x v="0"/>
    <x v="598"/>
    <n v="4985199811"/>
    <n v="2100.44"/>
    <s v="UK pounds"/>
    <s v="UK pounds"/>
    <x v="0"/>
    <s v="UK"/>
    <x v="2"/>
    <x v="0"/>
    <x v="2"/>
    <s v="Consistent"/>
    <x v="0"/>
  </r>
  <r>
    <x v="3053"/>
    <x v="0"/>
    <x v="163"/>
    <n v="2812285491"/>
    <n v="13118.46"/>
    <s v="UK pounds"/>
    <s v="UK pounds"/>
    <x v="0"/>
    <s v="UK"/>
    <x v="2"/>
    <x v="0"/>
    <x v="1"/>
    <s v="Consistent"/>
    <x v="0"/>
  </r>
  <r>
    <x v="3054"/>
    <x v="0"/>
    <x v="2492"/>
    <n v="8974559268"/>
    <n v="3864.03"/>
    <s v="UK pounds"/>
    <s v="UK pounds"/>
    <x v="0"/>
    <s v="UK"/>
    <x v="3"/>
    <x v="0"/>
    <x v="4"/>
    <s v="Consistent"/>
    <x v="0"/>
  </r>
  <r>
    <x v="3055"/>
    <x v="0"/>
    <x v="2493"/>
    <n v="8153546944"/>
    <n v="6090.31"/>
    <s v="UK pounds"/>
    <s v="UK pounds"/>
    <x v="0"/>
    <s v="UK"/>
    <x v="4"/>
    <x v="0"/>
    <x v="8"/>
    <s v="Consistent"/>
    <x v="0"/>
  </r>
  <r>
    <x v="3055"/>
    <x v="0"/>
    <x v="2494"/>
    <n v="9998615864"/>
    <n v="186.28"/>
    <s v="UK pounds"/>
    <s v="UK pounds"/>
    <x v="0"/>
    <s v="UK"/>
    <x v="4"/>
    <x v="0"/>
    <x v="2"/>
    <s v="Consistent"/>
    <x v="0"/>
  </r>
  <r>
    <x v="3056"/>
    <x v="0"/>
    <x v="2495"/>
    <n v="8981466749"/>
    <n v="202.83"/>
    <s v="UK pounds"/>
    <s v="UK pounds"/>
    <x v="0"/>
    <s v="UK"/>
    <x v="3"/>
    <x v="0"/>
    <x v="2"/>
    <s v="Consistent"/>
    <x v="0"/>
  </r>
  <r>
    <x v="3057"/>
    <x v="0"/>
    <x v="301"/>
    <n v="2138505015"/>
    <n v="8964.1299999999992"/>
    <s v="UK pounds"/>
    <s v="Dirham"/>
    <x v="0"/>
    <s v="UAE"/>
    <x v="1"/>
    <x v="0"/>
    <x v="3"/>
    <s v="Potential Layering"/>
    <x v="0"/>
  </r>
  <r>
    <x v="3058"/>
    <x v="0"/>
    <x v="2496"/>
    <n v="6011295240"/>
    <n v="3298"/>
    <s v="UK pounds"/>
    <s v="UK pounds"/>
    <x v="0"/>
    <s v="UK"/>
    <x v="0"/>
    <x v="0"/>
    <x v="0"/>
    <s v="Consistent"/>
    <x v="0"/>
  </r>
  <r>
    <x v="3059"/>
    <x v="0"/>
    <x v="2497"/>
    <n v="7943065505"/>
    <n v="15552.59"/>
    <s v="UK pounds"/>
    <s v="UK pounds"/>
    <x v="0"/>
    <s v="UK"/>
    <x v="3"/>
    <x v="0"/>
    <x v="8"/>
    <s v="Consistent"/>
    <x v="0"/>
  </r>
  <r>
    <x v="3060"/>
    <x v="0"/>
    <x v="2498"/>
    <n v="3588381961"/>
    <n v="167.22"/>
    <s v="UK pounds"/>
    <s v="UK pounds"/>
    <x v="0"/>
    <s v="UK"/>
    <x v="4"/>
    <x v="0"/>
    <x v="2"/>
    <s v="Consistent"/>
    <x v="0"/>
  </r>
  <r>
    <x v="3061"/>
    <x v="0"/>
    <x v="35"/>
    <n v="1379534157"/>
    <n v="5022.17"/>
    <s v="UK pounds"/>
    <s v="UK pounds"/>
    <x v="0"/>
    <s v="UK"/>
    <x v="4"/>
    <x v="0"/>
    <x v="1"/>
    <s v="Consistent"/>
    <x v="0"/>
  </r>
  <r>
    <x v="3062"/>
    <x v="0"/>
    <x v="2499"/>
    <n v="3520671145"/>
    <n v="3460.67"/>
    <s v="UK pounds"/>
    <s v="UK pounds"/>
    <x v="0"/>
    <s v="UK"/>
    <x v="0"/>
    <x v="0"/>
    <x v="0"/>
    <s v="Consistent"/>
    <x v="0"/>
  </r>
  <r>
    <x v="3063"/>
    <x v="0"/>
    <x v="509"/>
    <n v="7199625988"/>
    <n v="10570.07"/>
    <s v="Dirham"/>
    <s v="UK pounds"/>
    <x v="6"/>
    <s v="UK"/>
    <x v="1"/>
    <x v="0"/>
    <x v="3"/>
    <s v="Potential Layering"/>
    <x v="2"/>
  </r>
  <r>
    <x v="3064"/>
    <x v="0"/>
    <x v="2500"/>
    <n v="3199579452"/>
    <n v="971.5"/>
    <s v="UK pounds"/>
    <s v="UK pounds"/>
    <x v="0"/>
    <s v="UK"/>
    <x v="3"/>
    <x v="0"/>
    <x v="2"/>
    <s v="Consistent"/>
    <x v="0"/>
  </r>
  <r>
    <x v="3065"/>
    <x v="0"/>
    <x v="2501"/>
    <n v="4664589854"/>
    <n v="23310.07"/>
    <s v="UK pounds"/>
    <s v="UK pounds"/>
    <x v="0"/>
    <s v="UK"/>
    <x v="4"/>
    <x v="0"/>
    <x v="8"/>
    <s v="Consistent"/>
    <x v="0"/>
  </r>
  <r>
    <x v="3066"/>
    <x v="0"/>
    <x v="2502"/>
    <n v="4715509122"/>
    <n v="2020.51"/>
    <s v="UK pounds"/>
    <s v="UK pounds"/>
    <x v="0"/>
    <s v="UK"/>
    <x v="2"/>
    <x v="0"/>
    <x v="2"/>
    <s v="Consistent"/>
    <x v="0"/>
  </r>
  <r>
    <x v="3067"/>
    <x v="0"/>
    <x v="161"/>
    <n v="8436759372"/>
    <n v="6197.42"/>
    <s v="UK pounds"/>
    <s v="UK pounds"/>
    <x v="0"/>
    <s v="UK"/>
    <x v="4"/>
    <x v="0"/>
    <x v="1"/>
    <s v="Consistent"/>
    <x v="0"/>
  </r>
  <r>
    <x v="3068"/>
    <x v="0"/>
    <x v="2503"/>
    <n v="2668607916"/>
    <n v="248.45"/>
    <s v="UK pounds"/>
    <s v="UK pounds"/>
    <x v="0"/>
    <s v="UK"/>
    <x v="3"/>
    <x v="0"/>
    <x v="2"/>
    <s v="Consistent"/>
    <x v="0"/>
  </r>
  <r>
    <x v="3069"/>
    <x v="0"/>
    <x v="2504"/>
    <n v="3037691384"/>
    <n v="630.58000000000004"/>
    <s v="UK pounds"/>
    <s v="UK pounds"/>
    <x v="0"/>
    <s v="UK"/>
    <x v="5"/>
    <x v="0"/>
    <x v="2"/>
    <s v="Consistent"/>
    <x v="0"/>
  </r>
  <r>
    <x v="3069"/>
    <x v="0"/>
    <x v="2505"/>
    <n v="9844781055"/>
    <n v="2094.8200000000002"/>
    <s v="UK pounds"/>
    <s v="UK pounds"/>
    <x v="0"/>
    <s v="UK"/>
    <x v="5"/>
    <x v="0"/>
    <x v="4"/>
    <s v="Consistent"/>
    <x v="0"/>
  </r>
  <r>
    <x v="3070"/>
    <x v="0"/>
    <x v="995"/>
    <n v="6444220418"/>
    <n v="19895.98"/>
    <s v="UK pounds"/>
    <s v="UK pounds"/>
    <x v="0"/>
    <s v="UK"/>
    <x v="5"/>
    <x v="0"/>
    <x v="3"/>
    <s v="Consistent"/>
    <x v="0"/>
  </r>
  <r>
    <x v="3071"/>
    <x v="0"/>
    <x v="2506"/>
    <n v="7561576402"/>
    <n v="1348.15"/>
    <s v="UK pounds"/>
    <s v="UK pounds"/>
    <x v="0"/>
    <s v="UK"/>
    <x v="3"/>
    <x v="0"/>
    <x v="2"/>
    <s v="Consistent"/>
    <x v="0"/>
  </r>
  <r>
    <x v="3071"/>
    <x v="0"/>
    <x v="2507"/>
    <n v="4983670465"/>
    <n v="5165.92"/>
    <s v="UK pounds"/>
    <s v="UK pounds"/>
    <x v="0"/>
    <s v="UK"/>
    <x v="3"/>
    <x v="0"/>
    <x v="2"/>
    <s v="Consistent"/>
    <x v="0"/>
  </r>
  <r>
    <x v="3072"/>
    <x v="0"/>
    <x v="972"/>
    <n v="1431561040"/>
    <n v="12217.72"/>
    <s v="UK pounds"/>
    <s v="UK pounds"/>
    <x v="0"/>
    <s v="UK"/>
    <x v="3"/>
    <x v="0"/>
    <x v="3"/>
    <s v="Consistent"/>
    <x v="0"/>
  </r>
  <r>
    <x v="3072"/>
    <x v="0"/>
    <x v="2508"/>
    <n v="7424439461"/>
    <n v="8588.43"/>
    <s v="UK pounds"/>
    <s v="UK pounds"/>
    <x v="0"/>
    <s v="UK"/>
    <x v="2"/>
    <x v="0"/>
    <x v="2"/>
    <s v="Consistent"/>
    <x v="0"/>
  </r>
  <r>
    <x v="3073"/>
    <x v="0"/>
    <x v="1020"/>
    <n v="6646502650"/>
    <n v="5662.65"/>
    <s v="UK pounds"/>
    <s v="Euro"/>
    <x v="0"/>
    <s v="France"/>
    <x v="1"/>
    <x v="0"/>
    <x v="3"/>
    <s v="Potential Layering"/>
    <x v="0"/>
  </r>
  <r>
    <x v="3074"/>
    <x v="0"/>
    <x v="1412"/>
    <n v="5466123934"/>
    <n v="8120.82"/>
    <s v="UK pounds"/>
    <s v="UK pounds"/>
    <x v="0"/>
    <s v="UK"/>
    <x v="3"/>
    <x v="0"/>
    <x v="3"/>
    <s v="Consistent"/>
    <x v="0"/>
  </r>
  <r>
    <x v="3075"/>
    <x v="0"/>
    <x v="8"/>
    <n v="7749320382"/>
    <n v="10820.86"/>
    <s v="UK pounds"/>
    <s v="UK pounds"/>
    <x v="0"/>
    <s v="UK"/>
    <x v="3"/>
    <x v="0"/>
    <x v="1"/>
    <s v="Consistent"/>
    <x v="0"/>
  </r>
  <r>
    <x v="3076"/>
    <x v="0"/>
    <x v="583"/>
    <n v="621060264"/>
    <n v="10437.69"/>
    <s v="UK pounds"/>
    <s v="UK pounds"/>
    <x v="0"/>
    <s v="UK"/>
    <x v="3"/>
    <x v="0"/>
    <x v="3"/>
    <s v="Consistent"/>
    <x v="0"/>
  </r>
  <r>
    <x v="3077"/>
    <x v="0"/>
    <x v="2509"/>
    <n v="6188149181"/>
    <n v="1913.07"/>
    <s v="UK pounds"/>
    <s v="UK pounds"/>
    <x v="0"/>
    <s v="UK"/>
    <x v="4"/>
    <x v="0"/>
    <x v="2"/>
    <s v="Consistent"/>
    <x v="0"/>
  </r>
  <r>
    <x v="3078"/>
    <x v="0"/>
    <x v="2510"/>
    <n v="9603268691"/>
    <n v="412.29"/>
    <s v="UK pounds"/>
    <s v="UK pounds"/>
    <x v="0"/>
    <s v="UK"/>
    <x v="2"/>
    <x v="0"/>
    <x v="2"/>
    <s v="Consistent"/>
    <x v="0"/>
  </r>
  <r>
    <x v="3079"/>
    <x v="0"/>
    <x v="2511"/>
    <n v="9763203015"/>
    <n v="1529.77"/>
    <s v="UK pounds"/>
    <s v="UK pounds"/>
    <x v="0"/>
    <s v="UK"/>
    <x v="3"/>
    <x v="0"/>
    <x v="2"/>
    <s v="Consistent"/>
    <x v="0"/>
  </r>
  <r>
    <x v="3080"/>
    <x v="0"/>
    <x v="161"/>
    <n v="8410469287"/>
    <n v="8958.43"/>
    <s v="UK pounds"/>
    <s v="UK pounds"/>
    <x v="0"/>
    <s v="UK"/>
    <x v="3"/>
    <x v="0"/>
    <x v="1"/>
    <s v="Consistent"/>
    <x v="0"/>
  </r>
  <r>
    <x v="3081"/>
    <x v="0"/>
    <x v="1992"/>
    <n v="1465487567"/>
    <n v="15026.44"/>
    <s v="UK pounds"/>
    <s v="UK pounds"/>
    <x v="0"/>
    <s v="UK"/>
    <x v="4"/>
    <x v="0"/>
    <x v="3"/>
    <s v="Consistent"/>
    <x v="0"/>
  </r>
  <r>
    <x v="3082"/>
    <x v="0"/>
    <x v="157"/>
    <n v="6444220418"/>
    <n v="8551.86"/>
    <s v="UK pounds"/>
    <s v="UK pounds"/>
    <x v="0"/>
    <s v="UK"/>
    <x v="4"/>
    <x v="0"/>
    <x v="3"/>
    <s v="Consistent"/>
    <x v="0"/>
  </r>
  <r>
    <x v="3083"/>
    <x v="0"/>
    <x v="2512"/>
    <n v="3449771733"/>
    <n v="720.61"/>
    <s v="UK pounds"/>
    <s v="UK pounds"/>
    <x v="0"/>
    <s v="UK"/>
    <x v="3"/>
    <x v="0"/>
    <x v="2"/>
    <s v="Consistent"/>
    <x v="0"/>
  </r>
  <r>
    <x v="3084"/>
    <x v="0"/>
    <x v="2513"/>
    <n v="4480073652"/>
    <n v="258.2"/>
    <s v="UK pounds"/>
    <s v="UK pounds"/>
    <x v="0"/>
    <s v="UK"/>
    <x v="0"/>
    <x v="0"/>
    <x v="0"/>
    <s v="Consistent"/>
    <x v="0"/>
  </r>
  <r>
    <x v="3085"/>
    <x v="0"/>
    <x v="2514"/>
    <n v="9671691553"/>
    <n v="161.09"/>
    <s v="UK pounds"/>
    <s v="UK pounds"/>
    <x v="0"/>
    <s v="UK"/>
    <x v="2"/>
    <x v="0"/>
    <x v="2"/>
    <s v="Consistent"/>
    <x v="0"/>
  </r>
  <r>
    <x v="3086"/>
    <x v="0"/>
    <x v="238"/>
    <n v="833800673"/>
    <n v="19706.62"/>
    <s v="UK pounds"/>
    <s v="UK pounds"/>
    <x v="0"/>
    <s v="UK"/>
    <x v="3"/>
    <x v="0"/>
    <x v="1"/>
    <s v="Consistent"/>
    <x v="0"/>
  </r>
  <r>
    <x v="3087"/>
    <x v="0"/>
    <x v="81"/>
    <n v="1883329014"/>
    <n v="8007.49"/>
    <s v="UK pounds"/>
    <s v="UK pounds"/>
    <x v="0"/>
    <s v="UK"/>
    <x v="3"/>
    <x v="0"/>
    <x v="1"/>
    <s v="Consistent"/>
    <x v="0"/>
  </r>
  <r>
    <x v="3087"/>
    <x v="0"/>
    <x v="2515"/>
    <n v="3798163620"/>
    <n v="6401.14"/>
    <s v="UK pounds"/>
    <s v="UK pounds"/>
    <x v="0"/>
    <s v="UK"/>
    <x v="5"/>
    <x v="0"/>
    <x v="4"/>
    <s v="Consistent"/>
    <x v="0"/>
  </r>
  <r>
    <x v="3088"/>
    <x v="0"/>
    <x v="81"/>
    <n v="5064372260"/>
    <n v="10088.4"/>
    <s v="UK pounds"/>
    <s v="UK pounds"/>
    <x v="0"/>
    <s v="UK"/>
    <x v="3"/>
    <x v="0"/>
    <x v="1"/>
    <s v="Consistent"/>
    <x v="0"/>
  </r>
  <r>
    <x v="3089"/>
    <x v="0"/>
    <x v="81"/>
    <n v="8611137585"/>
    <n v="6201.21"/>
    <s v="UK pounds"/>
    <s v="UK pounds"/>
    <x v="0"/>
    <s v="UK"/>
    <x v="4"/>
    <x v="0"/>
    <x v="1"/>
    <s v="Consistent"/>
    <x v="0"/>
  </r>
  <r>
    <x v="3090"/>
    <x v="0"/>
    <x v="2516"/>
    <n v="5676678400"/>
    <n v="2854.13"/>
    <s v="UK pounds"/>
    <s v="UK pounds"/>
    <x v="0"/>
    <s v="UK"/>
    <x v="5"/>
    <x v="0"/>
    <x v="2"/>
    <s v="Consistent"/>
    <x v="0"/>
  </r>
  <r>
    <x v="3091"/>
    <x v="0"/>
    <x v="124"/>
    <n v="881702872"/>
    <n v="8789.3799999999992"/>
    <s v="UK pounds"/>
    <s v="UK pounds"/>
    <x v="0"/>
    <s v="UK"/>
    <x v="5"/>
    <x v="0"/>
    <x v="1"/>
    <s v="Consistent"/>
    <x v="0"/>
  </r>
  <r>
    <x v="3092"/>
    <x v="0"/>
    <x v="2517"/>
    <n v="9271533389"/>
    <n v="4881.08"/>
    <s v="UK pounds"/>
    <s v="UK pounds"/>
    <x v="0"/>
    <s v="UK"/>
    <x v="0"/>
    <x v="0"/>
    <x v="0"/>
    <s v="Consistent"/>
    <x v="0"/>
  </r>
  <r>
    <x v="3093"/>
    <x v="0"/>
    <x v="163"/>
    <n v="9797294707"/>
    <n v="9072.67"/>
    <s v="UK pounds"/>
    <s v="UK pounds"/>
    <x v="0"/>
    <s v="UK"/>
    <x v="3"/>
    <x v="0"/>
    <x v="1"/>
    <s v="Consistent"/>
    <x v="0"/>
  </r>
  <r>
    <x v="3094"/>
    <x v="0"/>
    <x v="25"/>
    <n v="3220735304"/>
    <n v="10432"/>
    <s v="UK pounds"/>
    <s v="UK pounds"/>
    <x v="0"/>
    <s v="UK"/>
    <x v="4"/>
    <x v="0"/>
    <x v="3"/>
    <s v="Consistent"/>
    <x v="0"/>
  </r>
  <r>
    <x v="3095"/>
    <x v="0"/>
    <x v="2518"/>
    <n v="9707335883"/>
    <n v="384.12"/>
    <s v="UK pounds"/>
    <s v="UK pounds"/>
    <x v="0"/>
    <s v="UK"/>
    <x v="5"/>
    <x v="0"/>
    <x v="2"/>
    <s v="Consistent"/>
    <x v="0"/>
  </r>
  <r>
    <x v="3096"/>
    <x v="0"/>
    <x v="34"/>
    <n v="66319223"/>
    <n v="8018.06"/>
    <s v="UK pounds"/>
    <s v="UK pounds"/>
    <x v="0"/>
    <s v="UK"/>
    <x v="3"/>
    <x v="0"/>
    <x v="1"/>
    <s v="Consistent"/>
    <x v="0"/>
  </r>
  <r>
    <x v="3096"/>
    <x v="0"/>
    <x v="1015"/>
    <n v="9105769228"/>
    <n v="5899.69"/>
    <s v="UK pounds"/>
    <s v="UK pounds"/>
    <x v="0"/>
    <s v="UK"/>
    <x v="2"/>
    <x v="0"/>
    <x v="3"/>
    <s v="Consistent"/>
    <x v="0"/>
  </r>
  <r>
    <x v="3096"/>
    <x v="0"/>
    <x v="2519"/>
    <n v="1770180847"/>
    <n v="4175.79"/>
    <s v="UK pounds"/>
    <s v="UK pounds"/>
    <x v="0"/>
    <s v="UK"/>
    <x v="4"/>
    <x v="0"/>
    <x v="2"/>
    <s v="Consistent"/>
    <x v="0"/>
  </r>
  <r>
    <x v="3096"/>
    <x v="0"/>
    <x v="2520"/>
    <n v="3131416737"/>
    <n v="17585.07"/>
    <s v="UK pounds"/>
    <s v="UK pounds"/>
    <x v="0"/>
    <s v="UK"/>
    <x v="5"/>
    <x v="0"/>
    <x v="2"/>
    <s v="Consistent"/>
    <x v="0"/>
  </r>
  <r>
    <x v="3097"/>
    <x v="0"/>
    <x v="2091"/>
    <n v="9600420220"/>
    <n v="7908.16"/>
    <s v="UK pounds"/>
    <s v="UK pounds"/>
    <x v="0"/>
    <s v="UK"/>
    <x v="4"/>
    <x v="0"/>
    <x v="3"/>
    <s v="Consistent"/>
    <x v="0"/>
  </r>
  <r>
    <x v="3097"/>
    <x v="0"/>
    <x v="694"/>
    <n v="3066321263"/>
    <n v="18715.240000000002"/>
    <s v="UK pounds"/>
    <s v="UK pounds"/>
    <x v="0"/>
    <s v="UK"/>
    <x v="4"/>
    <x v="0"/>
    <x v="3"/>
    <s v="Consistent"/>
    <x v="0"/>
  </r>
  <r>
    <x v="3098"/>
    <x v="0"/>
    <x v="2521"/>
    <n v="5965713780"/>
    <n v="1328.91"/>
    <s v="UK pounds"/>
    <s v="UK pounds"/>
    <x v="0"/>
    <s v="UK"/>
    <x v="0"/>
    <x v="0"/>
    <x v="0"/>
    <s v="Consistent"/>
    <x v="0"/>
  </r>
  <r>
    <x v="3099"/>
    <x v="0"/>
    <x v="210"/>
    <n v="674564051"/>
    <n v="14141.81"/>
    <s v="UK pounds"/>
    <s v="UK pounds"/>
    <x v="0"/>
    <s v="UK"/>
    <x v="2"/>
    <x v="0"/>
    <x v="1"/>
    <s v="Consistent"/>
    <x v="0"/>
  </r>
  <r>
    <x v="3100"/>
    <x v="0"/>
    <x v="2522"/>
    <n v="4290876455"/>
    <n v="818.26"/>
    <s v="UK pounds"/>
    <s v="UK pounds"/>
    <x v="0"/>
    <s v="UK"/>
    <x v="0"/>
    <x v="0"/>
    <x v="0"/>
    <s v="Consistent"/>
    <x v="0"/>
  </r>
  <r>
    <x v="3101"/>
    <x v="0"/>
    <x v="161"/>
    <n v="8436759372"/>
    <n v="6175.76"/>
    <s v="UK pounds"/>
    <s v="UK pounds"/>
    <x v="0"/>
    <s v="UK"/>
    <x v="2"/>
    <x v="0"/>
    <x v="1"/>
    <s v="Consistent"/>
    <x v="0"/>
  </r>
  <r>
    <x v="3102"/>
    <x v="0"/>
    <x v="150"/>
    <n v="3844741692"/>
    <n v="10965.78"/>
    <s v="UK pounds"/>
    <s v="UK pounds"/>
    <x v="0"/>
    <s v="UK"/>
    <x v="3"/>
    <x v="0"/>
    <x v="1"/>
    <s v="Consistent"/>
    <x v="0"/>
  </r>
  <r>
    <x v="3103"/>
    <x v="0"/>
    <x v="2523"/>
    <n v="4625069658"/>
    <n v="527.9"/>
    <s v="UK pounds"/>
    <s v="UK pounds"/>
    <x v="0"/>
    <s v="UK"/>
    <x v="2"/>
    <x v="0"/>
    <x v="2"/>
    <s v="Consistent"/>
    <x v="0"/>
  </r>
  <r>
    <x v="3104"/>
    <x v="0"/>
    <x v="575"/>
    <n v="4336977506"/>
    <n v="13237.19"/>
    <s v="UK pounds"/>
    <s v="UK pounds"/>
    <x v="0"/>
    <s v="UK"/>
    <x v="4"/>
    <x v="0"/>
    <x v="3"/>
    <s v="Consistent"/>
    <x v="0"/>
  </r>
  <r>
    <x v="3105"/>
    <x v="0"/>
    <x v="1982"/>
    <n v="8518184956"/>
    <n v="15740.03"/>
    <s v="UK pounds"/>
    <s v="UK pounds"/>
    <x v="0"/>
    <s v="UK"/>
    <x v="3"/>
    <x v="0"/>
    <x v="3"/>
    <s v="Consistent"/>
    <x v="0"/>
  </r>
  <r>
    <x v="3106"/>
    <x v="0"/>
    <x v="2524"/>
    <n v="7189249650"/>
    <n v="973.53"/>
    <s v="UK pounds"/>
    <s v="UK pounds"/>
    <x v="0"/>
    <s v="UK"/>
    <x v="3"/>
    <x v="0"/>
    <x v="2"/>
    <s v="Consistent"/>
    <x v="0"/>
  </r>
  <r>
    <x v="3107"/>
    <x v="0"/>
    <x v="2525"/>
    <n v="3844054762"/>
    <n v="478.64"/>
    <s v="UK pounds"/>
    <s v="UK pounds"/>
    <x v="0"/>
    <s v="UK"/>
    <x v="5"/>
    <x v="0"/>
    <x v="2"/>
    <s v="Consistent"/>
    <x v="0"/>
  </r>
  <r>
    <x v="3108"/>
    <x v="0"/>
    <x v="2526"/>
    <n v="8518184956"/>
    <n v="6371.52"/>
    <s v="UK pounds"/>
    <s v="UK pounds"/>
    <x v="0"/>
    <s v="UK"/>
    <x v="3"/>
    <x v="0"/>
    <x v="3"/>
    <s v="Consistent"/>
    <x v="0"/>
  </r>
  <r>
    <x v="3109"/>
    <x v="0"/>
    <x v="2527"/>
    <n v="1289072017"/>
    <n v="3175.62"/>
    <s v="UK pounds"/>
    <s v="UK pounds"/>
    <x v="0"/>
    <s v="UK"/>
    <x v="0"/>
    <x v="0"/>
    <x v="0"/>
    <s v="Consistent"/>
    <x v="0"/>
  </r>
  <r>
    <x v="3110"/>
    <x v="0"/>
    <x v="832"/>
    <n v="621060264"/>
    <n v="36245.75"/>
    <s v="UK pounds"/>
    <s v="UK pounds"/>
    <x v="0"/>
    <s v="UK"/>
    <x v="5"/>
    <x v="0"/>
    <x v="3"/>
    <s v="Consistent"/>
    <x v="0"/>
  </r>
  <r>
    <x v="3111"/>
    <x v="0"/>
    <x v="75"/>
    <n v="6160971830"/>
    <n v="5823.28"/>
    <s v="UK pounds"/>
    <s v="UK pounds"/>
    <x v="0"/>
    <s v="UK"/>
    <x v="4"/>
    <x v="0"/>
    <x v="1"/>
    <s v="Consistent"/>
    <x v="0"/>
  </r>
  <r>
    <x v="3112"/>
    <x v="0"/>
    <x v="2528"/>
    <n v="1712962258"/>
    <n v="1883.53"/>
    <s v="UK pounds"/>
    <s v="UK pounds"/>
    <x v="0"/>
    <s v="UK"/>
    <x v="0"/>
    <x v="0"/>
    <x v="0"/>
    <s v="Consistent"/>
    <x v="0"/>
  </r>
  <r>
    <x v="3113"/>
    <x v="0"/>
    <x v="1856"/>
    <n v="9600420220"/>
    <n v="14298.42"/>
    <s v="UK pounds"/>
    <s v="UK pounds"/>
    <x v="0"/>
    <s v="UK"/>
    <x v="5"/>
    <x v="0"/>
    <x v="3"/>
    <s v="Consistent"/>
    <x v="0"/>
  </r>
  <r>
    <x v="3114"/>
    <x v="0"/>
    <x v="2529"/>
    <n v="2781245873"/>
    <n v="1972.51"/>
    <s v="UK pounds"/>
    <s v="UK pounds"/>
    <x v="0"/>
    <s v="UK"/>
    <x v="3"/>
    <x v="0"/>
    <x v="2"/>
    <s v="Consistent"/>
    <x v="0"/>
  </r>
  <r>
    <x v="3115"/>
    <x v="0"/>
    <x v="2530"/>
    <n v="1367513792"/>
    <n v="2066.16"/>
    <s v="UK pounds"/>
    <s v="UK pounds"/>
    <x v="0"/>
    <s v="UK"/>
    <x v="2"/>
    <x v="0"/>
    <x v="2"/>
    <s v="Consistent"/>
    <x v="0"/>
  </r>
  <r>
    <x v="3116"/>
    <x v="0"/>
    <x v="195"/>
    <n v="7315208637"/>
    <n v="6523.95"/>
    <s v="UK pounds"/>
    <s v="UK pounds"/>
    <x v="0"/>
    <s v="UK"/>
    <x v="4"/>
    <x v="0"/>
    <x v="1"/>
    <s v="Consistent"/>
    <x v="0"/>
  </r>
  <r>
    <x v="3117"/>
    <x v="0"/>
    <x v="238"/>
    <n v="5318241045"/>
    <n v="8356.9699999999993"/>
    <s v="UK pounds"/>
    <s v="Naira"/>
    <x v="0"/>
    <s v="Nigeria"/>
    <x v="1"/>
    <x v="0"/>
    <x v="1"/>
    <s v="Potential Layering"/>
    <x v="0"/>
  </r>
  <r>
    <x v="3118"/>
    <x v="0"/>
    <x v="1199"/>
    <n v="5547718525"/>
    <n v="2060.21"/>
    <s v="UK pounds"/>
    <s v="UK pounds"/>
    <x v="0"/>
    <s v="UK"/>
    <x v="2"/>
    <x v="0"/>
    <x v="6"/>
    <s v="Consistent"/>
    <x v="0"/>
  </r>
  <r>
    <x v="3119"/>
    <x v="0"/>
    <x v="2531"/>
    <n v="7308503741"/>
    <n v="5081.3599999999997"/>
    <s v="UK pounds"/>
    <s v="UK pounds"/>
    <x v="0"/>
    <s v="UK"/>
    <x v="0"/>
    <x v="0"/>
    <x v="0"/>
    <s v="Consistent"/>
    <x v="0"/>
  </r>
  <r>
    <x v="3119"/>
    <x v="0"/>
    <x v="210"/>
    <n v="8785037379"/>
    <n v="8218.75"/>
    <s v="UK pounds"/>
    <s v="UK pounds"/>
    <x v="0"/>
    <s v="UK"/>
    <x v="2"/>
    <x v="0"/>
    <x v="1"/>
    <s v="Consistent"/>
    <x v="0"/>
  </r>
  <r>
    <x v="3120"/>
    <x v="0"/>
    <x v="2532"/>
    <n v="6251667539"/>
    <n v="1604.87"/>
    <s v="UK pounds"/>
    <s v="UK pounds"/>
    <x v="0"/>
    <s v="UK"/>
    <x v="5"/>
    <x v="0"/>
    <x v="2"/>
    <s v="Consistent"/>
    <x v="0"/>
  </r>
  <r>
    <x v="3121"/>
    <x v="0"/>
    <x v="210"/>
    <n v="2415686992"/>
    <n v="4560.5200000000004"/>
    <s v="UK pounds"/>
    <s v="UK pounds"/>
    <x v="0"/>
    <s v="UK"/>
    <x v="3"/>
    <x v="0"/>
    <x v="1"/>
    <s v="Consistent"/>
    <x v="0"/>
  </r>
  <r>
    <x v="3122"/>
    <x v="0"/>
    <x v="1096"/>
    <n v="1431561040"/>
    <n v="16498.189999999999"/>
    <s v="UK pounds"/>
    <s v="UK pounds"/>
    <x v="0"/>
    <s v="UK"/>
    <x v="5"/>
    <x v="0"/>
    <x v="3"/>
    <s v="Consistent"/>
    <x v="0"/>
  </r>
  <r>
    <x v="3122"/>
    <x v="0"/>
    <x v="2533"/>
    <n v="4776681852"/>
    <n v="3362.06"/>
    <s v="UK pounds"/>
    <s v="UK pounds"/>
    <x v="0"/>
    <s v="UK"/>
    <x v="3"/>
    <x v="0"/>
    <x v="2"/>
    <s v="Consistent"/>
    <x v="0"/>
  </r>
  <r>
    <x v="3123"/>
    <x v="0"/>
    <x v="2534"/>
    <n v="5363117119"/>
    <n v="5509.45"/>
    <s v="UK pounds"/>
    <s v="UK pounds"/>
    <x v="0"/>
    <s v="UK"/>
    <x v="3"/>
    <x v="0"/>
    <x v="3"/>
    <s v="Consistent"/>
    <x v="0"/>
  </r>
  <r>
    <x v="3124"/>
    <x v="0"/>
    <x v="2535"/>
    <n v="1554860508"/>
    <n v="5232.92"/>
    <s v="UK pounds"/>
    <s v="UK pounds"/>
    <x v="0"/>
    <s v="UK"/>
    <x v="5"/>
    <x v="0"/>
    <x v="2"/>
    <s v="Consistent"/>
    <x v="0"/>
  </r>
  <r>
    <x v="3125"/>
    <x v="0"/>
    <x v="2536"/>
    <n v="1161579894"/>
    <n v="2947.04"/>
    <s v="UK pounds"/>
    <s v="UK pounds"/>
    <x v="0"/>
    <s v="UK"/>
    <x v="4"/>
    <x v="0"/>
    <x v="2"/>
    <s v="Consistent"/>
    <x v="0"/>
  </r>
  <r>
    <x v="3126"/>
    <x v="0"/>
    <x v="91"/>
    <n v="6333926499"/>
    <n v="13219.86"/>
    <s v="UK pounds"/>
    <s v="UK pounds"/>
    <x v="0"/>
    <s v="UK"/>
    <x v="2"/>
    <x v="0"/>
    <x v="1"/>
    <s v="Consistent"/>
    <x v="0"/>
  </r>
  <r>
    <x v="3127"/>
    <x v="0"/>
    <x v="2537"/>
    <n v="2014982075"/>
    <n v="554.35"/>
    <s v="UK pounds"/>
    <s v="UK pounds"/>
    <x v="0"/>
    <s v="UK"/>
    <x v="0"/>
    <x v="0"/>
    <x v="0"/>
    <s v="Consistent"/>
    <x v="0"/>
  </r>
  <r>
    <x v="3128"/>
    <x v="0"/>
    <x v="2538"/>
    <n v="8124696406"/>
    <n v="28029.59"/>
    <s v="UK pounds"/>
    <s v="UK pounds"/>
    <x v="0"/>
    <s v="UK"/>
    <x v="3"/>
    <x v="0"/>
    <x v="8"/>
    <s v="Consistent"/>
    <x v="0"/>
  </r>
  <r>
    <x v="3129"/>
    <x v="0"/>
    <x v="620"/>
    <n v="774740194"/>
    <n v="925.34"/>
    <s v="UK pounds"/>
    <s v="UK pounds"/>
    <x v="0"/>
    <s v="UK"/>
    <x v="3"/>
    <x v="0"/>
    <x v="2"/>
    <s v="Consistent"/>
    <x v="0"/>
  </r>
  <r>
    <x v="3130"/>
    <x v="0"/>
    <x v="950"/>
    <n v="6953672776"/>
    <n v="6760.21"/>
    <s v="UK pounds"/>
    <s v="Mexican Peso"/>
    <x v="0"/>
    <s v="Mexico"/>
    <x v="1"/>
    <x v="0"/>
    <x v="3"/>
    <s v="Potential Layering"/>
    <x v="0"/>
  </r>
  <r>
    <x v="3131"/>
    <x v="0"/>
    <x v="20"/>
    <n v="3402269996"/>
    <n v="8042.58"/>
    <s v="UK pounds"/>
    <s v="UK pounds"/>
    <x v="0"/>
    <s v="UK"/>
    <x v="2"/>
    <x v="0"/>
    <x v="1"/>
    <s v="Consistent"/>
    <x v="0"/>
  </r>
  <r>
    <x v="3132"/>
    <x v="0"/>
    <x v="124"/>
    <n v="8562263055"/>
    <n v="6243.49"/>
    <s v="UK pounds"/>
    <s v="UK pounds"/>
    <x v="0"/>
    <s v="UK"/>
    <x v="5"/>
    <x v="0"/>
    <x v="1"/>
    <s v="Consistent"/>
    <x v="0"/>
  </r>
  <r>
    <x v="3132"/>
    <x v="0"/>
    <x v="2539"/>
    <n v="6183867950"/>
    <n v="2667.46"/>
    <s v="UK pounds"/>
    <s v="UK pounds"/>
    <x v="0"/>
    <s v="UK"/>
    <x v="2"/>
    <x v="0"/>
    <x v="4"/>
    <s v="Consistent"/>
    <x v="0"/>
  </r>
  <r>
    <x v="3133"/>
    <x v="0"/>
    <x v="2540"/>
    <n v="6953672776"/>
    <n v="6115.7"/>
    <s v="UK pounds"/>
    <s v="Mexican Peso"/>
    <x v="0"/>
    <s v="Mexico"/>
    <x v="1"/>
    <x v="0"/>
    <x v="3"/>
    <s v="Potential Layering"/>
    <x v="0"/>
  </r>
  <r>
    <x v="3134"/>
    <x v="0"/>
    <x v="837"/>
    <n v="5466123934"/>
    <n v="4738.25"/>
    <s v="UK pounds"/>
    <s v="UK pounds"/>
    <x v="0"/>
    <s v="UK"/>
    <x v="3"/>
    <x v="0"/>
    <x v="3"/>
    <s v="Consistent"/>
    <x v="0"/>
  </r>
  <r>
    <x v="3135"/>
    <x v="0"/>
    <x v="1992"/>
    <n v="1465487567"/>
    <n v="15015.83"/>
    <s v="UK pounds"/>
    <s v="UK pounds"/>
    <x v="0"/>
    <s v="UK"/>
    <x v="4"/>
    <x v="0"/>
    <x v="3"/>
    <s v="Consistent"/>
    <x v="0"/>
  </r>
  <r>
    <x v="3136"/>
    <x v="0"/>
    <x v="2541"/>
    <n v="5624113151"/>
    <n v="245.1"/>
    <s v="UK pounds"/>
    <s v="UK pounds"/>
    <x v="0"/>
    <s v="UK"/>
    <x v="2"/>
    <x v="0"/>
    <x v="2"/>
    <s v="Consistent"/>
    <x v="0"/>
  </r>
  <r>
    <x v="3137"/>
    <x v="0"/>
    <x v="2150"/>
    <n v="195951043"/>
    <n v="1560.99"/>
    <s v="UK pounds"/>
    <s v="UK pounds"/>
    <x v="0"/>
    <s v="UK"/>
    <x v="3"/>
    <x v="0"/>
    <x v="2"/>
    <s v="Consistent"/>
    <x v="0"/>
  </r>
  <r>
    <x v="3138"/>
    <x v="0"/>
    <x v="63"/>
    <n v="5344331047"/>
    <n v="4675.79"/>
    <s v="UK pounds"/>
    <s v="UK pounds"/>
    <x v="0"/>
    <s v="UK"/>
    <x v="2"/>
    <x v="0"/>
    <x v="1"/>
    <s v="Consistent"/>
    <x v="0"/>
  </r>
  <r>
    <x v="3139"/>
    <x v="0"/>
    <x v="2542"/>
    <n v="1751653259"/>
    <n v="2005.86"/>
    <s v="UK pounds"/>
    <s v="UK pounds"/>
    <x v="0"/>
    <s v="UK"/>
    <x v="2"/>
    <x v="0"/>
    <x v="2"/>
    <s v="Consistent"/>
    <x v="0"/>
  </r>
  <r>
    <x v="3140"/>
    <x v="0"/>
    <x v="2543"/>
    <n v="7362490129"/>
    <n v="1248.6400000000001"/>
    <s v="UK pounds"/>
    <s v="UK pounds"/>
    <x v="0"/>
    <s v="UK"/>
    <x v="3"/>
    <x v="0"/>
    <x v="2"/>
    <s v="Consistent"/>
    <x v="0"/>
  </r>
  <r>
    <x v="3141"/>
    <x v="0"/>
    <x v="2544"/>
    <n v="2118817860"/>
    <n v="5313.8"/>
    <s v="UK pounds"/>
    <s v="UK pounds"/>
    <x v="0"/>
    <s v="UK"/>
    <x v="0"/>
    <x v="0"/>
    <x v="0"/>
    <s v="Consistent"/>
    <x v="0"/>
  </r>
  <r>
    <x v="3142"/>
    <x v="0"/>
    <x v="2431"/>
    <n v="6444220418"/>
    <n v="8285.18"/>
    <s v="UK pounds"/>
    <s v="UK pounds"/>
    <x v="0"/>
    <s v="UK"/>
    <x v="3"/>
    <x v="0"/>
    <x v="3"/>
    <s v="Consistent"/>
    <x v="0"/>
  </r>
  <r>
    <x v="3143"/>
    <x v="0"/>
    <x v="822"/>
    <n v="5393257563"/>
    <n v="337.03"/>
    <s v="UK pounds"/>
    <s v="UK pounds"/>
    <x v="0"/>
    <s v="UK"/>
    <x v="2"/>
    <x v="0"/>
    <x v="2"/>
    <s v="Consistent"/>
    <x v="0"/>
  </r>
  <r>
    <x v="3144"/>
    <x v="0"/>
    <x v="124"/>
    <n v="5481350266"/>
    <n v="18476.22"/>
    <s v="UK pounds"/>
    <s v="UK pounds"/>
    <x v="0"/>
    <s v="UK"/>
    <x v="4"/>
    <x v="0"/>
    <x v="1"/>
    <s v="Consistent"/>
    <x v="0"/>
  </r>
  <r>
    <x v="3145"/>
    <x v="0"/>
    <x v="161"/>
    <n v="5224271258"/>
    <n v="17088.259999999998"/>
    <s v="UK pounds"/>
    <s v="UK pounds"/>
    <x v="0"/>
    <s v="UK"/>
    <x v="4"/>
    <x v="0"/>
    <x v="1"/>
    <s v="Consistent"/>
    <x v="0"/>
  </r>
  <r>
    <x v="3146"/>
    <x v="0"/>
    <x v="1962"/>
    <n v="3079818547"/>
    <n v="7744.57"/>
    <s v="UK pounds"/>
    <s v="UK pounds"/>
    <x v="0"/>
    <s v="UK"/>
    <x v="5"/>
    <x v="0"/>
    <x v="3"/>
    <s v="Consistent"/>
    <x v="0"/>
  </r>
  <r>
    <x v="3146"/>
    <x v="0"/>
    <x v="2545"/>
    <n v="9614603409"/>
    <n v="267.39999999999998"/>
    <s v="UK pounds"/>
    <s v="UK pounds"/>
    <x v="0"/>
    <s v="UK"/>
    <x v="3"/>
    <x v="0"/>
    <x v="2"/>
    <s v="Consistent"/>
    <x v="0"/>
  </r>
  <r>
    <x v="3147"/>
    <x v="0"/>
    <x v="2546"/>
    <n v="1398057556"/>
    <n v="5252.25"/>
    <s v="UK pounds"/>
    <s v="UK pounds"/>
    <x v="0"/>
    <s v="UK"/>
    <x v="0"/>
    <x v="0"/>
    <x v="0"/>
    <s v="Consistent"/>
    <x v="0"/>
  </r>
  <r>
    <x v="3148"/>
    <x v="0"/>
    <x v="2547"/>
    <n v="6989832152"/>
    <n v="1904.87"/>
    <s v="UK pounds"/>
    <s v="UK pounds"/>
    <x v="0"/>
    <s v="UK"/>
    <x v="0"/>
    <x v="0"/>
    <x v="0"/>
    <s v="Consistent"/>
    <x v="0"/>
  </r>
  <r>
    <x v="3149"/>
    <x v="0"/>
    <x v="2548"/>
    <n v="2908587855"/>
    <n v="11.78"/>
    <s v="UK pounds"/>
    <s v="UK pounds"/>
    <x v="0"/>
    <s v="UK"/>
    <x v="6"/>
    <x v="0"/>
    <x v="5"/>
    <s v="Consistent"/>
    <x v="0"/>
  </r>
  <r>
    <x v="3150"/>
    <x v="0"/>
    <x v="50"/>
    <n v="6855935396"/>
    <n v="5521.21"/>
    <s v="UK pounds"/>
    <s v="UK pounds"/>
    <x v="0"/>
    <s v="UK"/>
    <x v="5"/>
    <x v="0"/>
    <x v="3"/>
    <s v="Consistent"/>
    <x v="0"/>
  </r>
  <r>
    <x v="3151"/>
    <x v="0"/>
    <x v="1467"/>
    <n v="5133717985"/>
    <n v="328.46"/>
    <s v="UK pounds"/>
    <s v="UK pounds"/>
    <x v="0"/>
    <s v="UK"/>
    <x v="4"/>
    <x v="0"/>
    <x v="2"/>
    <s v="Consistent"/>
    <x v="0"/>
  </r>
  <r>
    <x v="3152"/>
    <x v="0"/>
    <x v="2549"/>
    <n v="9312099578"/>
    <n v="16470.759999999998"/>
    <s v="UK pounds"/>
    <s v="UK pounds"/>
    <x v="0"/>
    <s v="UK"/>
    <x v="2"/>
    <x v="0"/>
    <x v="4"/>
    <s v="Consistent"/>
    <x v="0"/>
  </r>
  <r>
    <x v="3153"/>
    <x v="0"/>
    <x v="2550"/>
    <n v="5258139692"/>
    <n v="4259.6099999999997"/>
    <s v="UK pounds"/>
    <s v="UK pounds"/>
    <x v="0"/>
    <s v="UK"/>
    <x v="0"/>
    <x v="0"/>
    <x v="0"/>
    <s v="Consistent"/>
    <x v="0"/>
  </r>
  <r>
    <x v="3153"/>
    <x v="0"/>
    <x v="1897"/>
    <n v="3132018804"/>
    <n v="801.74"/>
    <s v="UK pounds"/>
    <s v="UK pounds"/>
    <x v="0"/>
    <s v="UK"/>
    <x v="4"/>
    <x v="0"/>
    <x v="4"/>
    <s v="Consistent"/>
    <x v="0"/>
  </r>
  <r>
    <x v="3154"/>
    <x v="0"/>
    <x v="150"/>
    <n v="7551466050"/>
    <n v="6422.04"/>
    <s v="UK pounds"/>
    <s v="UK pounds"/>
    <x v="0"/>
    <s v="UK"/>
    <x v="5"/>
    <x v="0"/>
    <x v="1"/>
    <s v="Consistent"/>
    <x v="0"/>
  </r>
  <r>
    <x v="3155"/>
    <x v="0"/>
    <x v="124"/>
    <n v="8061984977"/>
    <n v="9490.6299999999992"/>
    <s v="UK pounds"/>
    <s v="UK pounds"/>
    <x v="0"/>
    <s v="UK"/>
    <x v="2"/>
    <x v="0"/>
    <x v="1"/>
    <s v="Consistent"/>
    <x v="0"/>
  </r>
  <r>
    <x v="3156"/>
    <x v="0"/>
    <x v="81"/>
    <n v="2626537854"/>
    <n v="6566.42"/>
    <s v="UK pounds"/>
    <s v="UK pounds"/>
    <x v="0"/>
    <s v="UK"/>
    <x v="4"/>
    <x v="0"/>
    <x v="1"/>
    <s v="Consistent"/>
    <x v="0"/>
  </r>
  <r>
    <x v="3157"/>
    <x v="0"/>
    <x v="2551"/>
    <n v="3361664357"/>
    <n v="75.400000000000006"/>
    <s v="UK pounds"/>
    <s v="UK pounds"/>
    <x v="0"/>
    <s v="UK"/>
    <x v="2"/>
    <x v="0"/>
    <x v="2"/>
    <s v="Consistent"/>
    <x v="0"/>
  </r>
  <r>
    <x v="3158"/>
    <x v="0"/>
    <x v="255"/>
    <n v="1825986618"/>
    <n v="8324.0400000000009"/>
    <s v="UK pounds"/>
    <s v="UK pounds"/>
    <x v="0"/>
    <s v="UK"/>
    <x v="3"/>
    <x v="0"/>
    <x v="1"/>
    <s v="Consistent"/>
    <x v="0"/>
  </r>
  <r>
    <x v="3159"/>
    <x v="0"/>
    <x v="1842"/>
    <n v="4173195094"/>
    <n v="16520.68"/>
    <s v="UK pounds"/>
    <s v="UK pounds"/>
    <x v="0"/>
    <s v="UK"/>
    <x v="2"/>
    <x v="0"/>
    <x v="3"/>
    <s v="Consistent"/>
    <x v="0"/>
  </r>
  <r>
    <x v="3160"/>
    <x v="0"/>
    <x v="210"/>
    <n v="5033682319"/>
    <n v="14770.06"/>
    <s v="UK pounds"/>
    <s v="UK pounds"/>
    <x v="0"/>
    <s v="UK"/>
    <x v="4"/>
    <x v="0"/>
    <x v="1"/>
    <s v="Consistent"/>
    <x v="0"/>
  </r>
  <r>
    <x v="3160"/>
    <x v="0"/>
    <x v="2552"/>
    <n v="8818408613"/>
    <n v="326.24"/>
    <s v="UK pounds"/>
    <s v="UK pounds"/>
    <x v="0"/>
    <s v="UK"/>
    <x v="5"/>
    <x v="0"/>
    <x v="2"/>
    <s v="Consistent"/>
    <x v="0"/>
  </r>
  <r>
    <x v="3161"/>
    <x v="0"/>
    <x v="2553"/>
    <n v="7464562559"/>
    <n v="414.13"/>
    <s v="UK pounds"/>
    <s v="UK pounds"/>
    <x v="0"/>
    <s v="UK"/>
    <x v="5"/>
    <x v="0"/>
    <x v="2"/>
    <s v="Consistent"/>
    <x v="0"/>
  </r>
  <r>
    <x v="3162"/>
    <x v="0"/>
    <x v="592"/>
    <n v="2138505015"/>
    <n v="6756.87"/>
    <s v="UK pounds"/>
    <s v="Dirham"/>
    <x v="0"/>
    <s v="UAE"/>
    <x v="1"/>
    <x v="0"/>
    <x v="3"/>
    <s v="Potential Layering"/>
    <x v="0"/>
  </r>
  <r>
    <x v="3163"/>
    <x v="0"/>
    <x v="61"/>
    <n v="7981094247"/>
    <n v="7655.89"/>
    <s v="UK pounds"/>
    <s v="UK pounds"/>
    <x v="0"/>
    <s v="UK"/>
    <x v="4"/>
    <x v="0"/>
    <x v="1"/>
    <s v="Consistent"/>
    <x v="0"/>
  </r>
  <r>
    <x v="3164"/>
    <x v="0"/>
    <x v="2554"/>
    <n v="4831316139"/>
    <n v="4609.87"/>
    <s v="UK pounds"/>
    <s v="UK pounds"/>
    <x v="0"/>
    <s v="UK"/>
    <x v="4"/>
    <x v="0"/>
    <x v="2"/>
    <s v="Consistent"/>
    <x v="0"/>
  </r>
  <r>
    <x v="3165"/>
    <x v="0"/>
    <x v="941"/>
    <n v="1320927231"/>
    <n v="9450.67"/>
    <s v="UK pounds"/>
    <s v="UK pounds"/>
    <x v="0"/>
    <s v="UK"/>
    <x v="5"/>
    <x v="0"/>
    <x v="3"/>
    <s v="Consistent"/>
    <x v="0"/>
  </r>
  <r>
    <x v="3165"/>
    <x v="0"/>
    <x v="2555"/>
    <n v="4988002972"/>
    <n v="102.09"/>
    <s v="UK pounds"/>
    <s v="UK pounds"/>
    <x v="0"/>
    <s v="UK"/>
    <x v="6"/>
    <x v="0"/>
    <x v="5"/>
    <s v="Consistent"/>
    <x v="0"/>
  </r>
  <r>
    <x v="3166"/>
    <x v="0"/>
    <x v="972"/>
    <n v="1431561040"/>
    <n v="12242.89"/>
    <s v="UK pounds"/>
    <s v="UK pounds"/>
    <x v="0"/>
    <s v="UK"/>
    <x v="2"/>
    <x v="0"/>
    <x v="3"/>
    <s v="Consistent"/>
    <x v="0"/>
  </r>
  <r>
    <x v="3166"/>
    <x v="0"/>
    <x v="156"/>
    <n v="1465487567"/>
    <n v="5877.13"/>
    <s v="UK pounds"/>
    <s v="UK pounds"/>
    <x v="0"/>
    <s v="UK"/>
    <x v="3"/>
    <x v="0"/>
    <x v="3"/>
    <s v="Consistent"/>
    <x v="0"/>
  </r>
  <r>
    <x v="3167"/>
    <x v="0"/>
    <x v="1783"/>
    <n v="5628674969"/>
    <n v="6935.01"/>
    <s v="UK pounds"/>
    <s v="UK pounds"/>
    <x v="0"/>
    <s v="UK"/>
    <x v="3"/>
    <x v="0"/>
    <x v="3"/>
    <s v="Consistent"/>
    <x v="0"/>
  </r>
  <r>
    <x v="3168"/>
    <x v="0"/>
    <x v="2556"/>
    <n v="2656259015"/>
    <n v="752"/>
    <s v="UK pounds"/>
    <s v="UK pounds"/>
    <x v="0"/>
    <s v="UK"/>
    <x v="5"/>
    <x v="0"/>
    <x v="2"/>
    <s v="Consistent"/>
    <x v="0"/>
  </r>
  <r>
    <x v="3168"/>
    <x v="0"/>
    <x v="1274"/>
    <n v="3220735304"/>
    <n v="18841.439999999999"/>
    <s v="UK pounds"/>
    <s v="UK pounds"/>
    <x v="0"/>
    <s v="UK"/>
    <x v="3"/>
    <x v="0"/>
    <x v="3"/>
    <s v="Consistent"/>
    <x v="0"/>
  </r>
  <r>
    <x v="3169"/>
    <x v="0"/>
    <x v="2557"/>
    <n v="5290496112"/>
    <n v="321.10000000000002"/>
    <s v="UK pounds"/>
    <s v="UK pounds"/>
    <x v="0"/>
    <s v="UK"/>
    <x v="4"/>
    <x v="0"/>
    <x v="2"/>
    <s v="Consistent"/>
    <x v="0"/>
  </r>
  <r>
    <x v="3169"/>
    <x v="0"/>
    <x v="9"/>
    <n v="4009702480"/>
    <n v="12455.75"/>
    <s v="UK pounds"/>
    <s v="UK pounds"/>
    <x v="0"/>
    <s v="UK"/>
    <x v="5"/>
    <x v="0"/>
    <x v="1"/>
    <s v="Consistent"/>
    <x v="0"/>
  </r>
  <r>
    <x v="3170"/>
    <x v="0"/>
    <x v="2558"/>
    <n v="7199625988"/>
    <n v="20496.46"/>
    <s v="UK pounds"/>
    <s v="Euro"/>
    <x v="0"/>
    <s v="UK"/>
    <x v="4"/>
    <x v="0"/>
    <x v="3"/>
    <s v="Potential Layering"/>
    <x v="0"/>
  </r>
  <r>
    <x v="3171"/>
    <x v="0"/>
    <x v="2559"/>
    <n v="6406540474"/>
    <n v="120"/>
    <s v="UK pounds"/>
    <s v="UK pounds"/>
    <x v="0"/>
    <s v="UK"/>
    <x v="6"/>
    <x v="0"/>
    <x v="5"/>
    <s v="Consistent"/>
    <x v="0"/>
  </r>
  <r>
    <x v="3172"/>
    <x v="0"/>
    <x v="76"/>
    <n v="1493436023"/>
    <n v="13472.8"/>
    <s v="UK pounds"/>
    <s v="UK pounds"/>
    <x v="0"/>
    <s v="UK"/>
    <x v="3"/>
    <x v="0"/>
    <x v="3"/>
    <s v="Consistent"/>
    <x v="0"/>
  </r>
  <r>
    <x v="3173"/>
    <x v="0"/>
    <x v="68"/>
    <n v="3795566341"/>
    <n v="6263.85"/>
    <s v="UK pounds"/>
    <s v="UK pounds"/>
    <x v="0"/>
    <s v="UK"/>
    <x v="3"/>
    <x v="0"/>
    <x v="1"/>
    <s v="Consistent"/>
    <x v="0"/>
  </r>
  <r>
    <x v="3174"/>
    <x v="0"/>
    <x v="2560"/>
    <n v="4529918474"/>
    <n v="638.91999999999996"/>
    <s v="UK pounds"/>
    <s v="UK pounds"/>
    <x v="0"/>
    <s v="UK"/>
    <x v="3"/>
    <x v="0"/>
    <x v="2"/>
    <s v="Consistent"/>
    <x v="0"/>
  </r>
  <r>
    <x v="3175"/>
    <x v="0"/>
    <x v="40"/>
    <n v="9544469020"/>
    <n v="7324.64"/>
    <s v="UK pounds"/>
    <s v="UK pounds"/>
    <x v="0"/>
    <s v="UK"/>
    <x v="5"/>
    <x v="0"/>
    <x v="1"/>
    <s v="Consistent"/>
    <x v="0"/>
  </r>
  <r>
    <x v="3176"/>
    <x v="0"/>
    <x v="505"/>
    <n v="2534644942"/>
    <n v="5854.12"/>
    <s v="UK pounds"/>
    <s v="Euro"/>
    <x v="0"/>
    <s v="France"/>
    <x v="1"/>
    <x v="0"/>
    <x v="3"/>
    <s v="Potential Layering"/>
    <x v="0"/>
  </r>
  <r>
    <x v="3177"/>
    <x v="0"/>
    <x v="368"/>
    <n v="1896020736"/>
    <n v="5825.69"/>
    <s v="UK pounds"/>
    <s v="UK pounds"/>
    <x v="0"/>
    <s v="UK"/>
    <x v="4"/>
    <x v="0"/>
    <x v="1"/>
    <s v="Consistent"/>
    <x v="0"/>
  </r>
  <r>
    <x v="3178"/>
    <x v="0"/>
    <x v="2561"/>
    <n v="693522868"/>
    <n v="8919.94"/>
    <s v="UK pounds"/>
    <s v="UK pounds"/>
    <x v="0"/>
    <s v="UK"/>
    <x v="3"/>
    <x v="0"/>
    <x v="6"/>
    <s v="Consistent"/>
    <x v="0"/>
  </r>
  <r>
    <x v="3179"/>
    <x v="0"/>
    <x v="2562"/>
    <n v="1465487567"/>
    <n v="16321.89"/>
    <s v="UK pounds"/>
    <s v="UK pounds"/>
    <x v="0"/>
    <s v="UK"/>
    <x v="4"/>
    <x v="0"/>
    <x v="3"/>
    <s v="Consistent"/>
    <x v="0"/>
  </r>
  <r>
    <x v="3180"/>
    <x v="0"/>
    <x v="1"/>
    <n v="478973149"/>
    <n v="6478.51"/>
    <s v="UK pounds"/>
    <s v="UK pounds"/>
    <x v="0"/>
    <s v="UK"/>
    <x v="5"/>
    <x v="0"/>
    <x v="1"/>
    <s v="Consistent"/>
    <x v="0"/>
  </r>
  <r>
    <x v="3181"/>
    <x v="0"/>
    <x v="2563"/>
    <n v="6034997194"/>
    <n v="18639.650000000001"/>
    <s v="UK pounds"/>
    <s v="UK pounds"/>
    <x v="0"/>
    <s v="UK"/>
    <x v="5"/>
    <x v="0"/>
    <x v="3"/>
    <s v="Consistent"/>
    <x v="0"/>
  </r>
  <r>
    <x v="3181"/>
    <x v="0"/>
    <x v="2564"/>
    <n v="1802934841"/>
    <n v="2088.23"/>
    <s v="UK pounds"/>
    <s v="UK pounds"/>
    <x v="0"/>
    <s v="UK"/>
    <x v="2"/>
    <x v="0"/>
    <x v="2"/>
    <s v="Consistent"/>
    <x v="0"/>
  </r>
  <r>
    <x v="3182"/>
    <x v="0"/>
    <x v="1297"/>
    <n v="8172080174"/>
    <n v="6112.62"/>
    <s v="UK pounds"/>
    <s v="UK pounds"/>
    <x v="0"/>
    <s v="UK"/>
    <x v="4"/>
    <x v="0"/>
    <x v="3"/>
    <s v="Consistent"/>
    <x v="0"/>
  </r>
  <r>
    <x v="3183"/>
    <x v="0"/>
    <x v="2565"/>
    <n v="1565658946"/>
    <n v="2041.25"/>
    <s v="UK pounds"/>
    <s v="UK pounds"/>
    <x v="0"/>
    <s v="UK"/>
    <x v="2"/>
    <x v="0"/>
    <x v="2"/>
    <s v="Consistent"/>
    <x v="0"/>
  </r>
  <r>
    <x v="3184"/>
    <x v="0"/>
    <x v="2566"/>
    <n v="2826369480"/>
    <n v="249.76"/>
    <s v="UK pounds"/>
    <s v="UK pounds"/>
    <x v="0"/>
    <s v="UK"/>
    <x v="0"/>
    <x v="0"/>
    <x v="0"/>
    <s v="Consistent"/>
    <x v="0"/>
  </r>
  <r>
    <x v="3184"/>
    <x v="0"/>
    <x v="979"/>
    <n v="7080357663"/>
    <n v="10603.64"/>
    <s v="UK pounds"/>
    <s v="UK pounds"/>
    <x v="0"/>
    <s v="UK"/>
    <x v="5"/>
    <x v="0"/>
    <x v="3"/>
    <s v="Consistent"/>
    <x v="0"/>
  </r>
  <r>
    <x v="3185"/>
    <x v="0"/>
    <x v="2567"/>
    <n v="1557007697"/>
    <n v="3293.33"/>
    <s v="UK pounds"/>
    <s v="UK pounds"/>
    <x v="0"/>
    <s v="UK"/>
    <x v="2"/>
    <x v="0"/>
    <x v="2"/>
    <s v="Consistent"/>
    <x v="0"/>
  </r>
  <r>
    <x v="3185"/>
    <x v="0"/>
    <x v="2568"/>
    <n v="5147353792"/>
    <n v="2284.56"/>
    <s v="UK pounds"/>
    <s v="UK pounds"/>
    <x v="0"/>
    <s v="UK"/>
    <x v="2"/>
    <x v="0"/>
    <x v="2"/>
    <s v="Consistent"/>
    <x v="0"/>
  </r>
  <r>
    <x v="3186"/>
    <x v="0"/>
    <x v="399"/>
    <n v="1431561040"/>
    <n v="19928.21"/>
    <s v="UK pounds"/>
    <s v="UK pounds"/>
    <x v="0"/>
    <s v="UK"/>
    <x v="3"/>
    <x v="0"/>
    <x v="3"/>
    <s v="Consistent"/>
    <x v="0"/>
  </r>
  <r>
    <x v="3187"/>
    <x v="0"/>
    <x v="2422"/>
    <n v="6402401441"/>
    <n v="269.99"/>
    <s v="UK pounds"/>
    <s v="UK pounds"/>
    <x v="0"/>
    <s v="UK"/>
    <x v="3"/>
    <x v="0"/>
    <x v="2"/>
    <s v="Consistent"/>
    <x v="0"/>
  </r>
  <r>
    <x v="3188"/>
    <x v="0"/>
    <x v="1516"/>
    <n v="4432690383"/>
    <n v="7912"/>
    <s v="UK pounds"/>
    <s v="UK pounds"/>
    <x v="0"/>
    <s v="UK"/>
    <x v="5"/>
    <x v="0"/>
    <x v="6"/>
    <s v="Consistent"/>
    <x v="0"/>
  </r>
  <r>
    <x v="3188"/>
    <x v="0"/>
    <x v="46"/>
    <n v="6615626527"/>
    <n v="22245.53"/>
    <s v="UK pounds"/>
    <s v="UK pounds"/>
    <x v="0"/>
    <s v="UK"/>
    <x v="5"/>
    <x v="0"/>
    <x v="1"/>
    <s v="Consistent"/>
    <x v="0"/>
  </r>
  <r>
    <x v="3189"/>
    <x v="0"/>
    <x v="280"/>
    <n v="5109623450"/>
    <n v="12178.04"/>
    <s v="UK pounds"/>
    <s v="UK pounds"/>
    <x v="0"/>
    <s v="UK"/>
    <x v="3"/>
    <x v="0"/>
    <x v="3"/>
    <s v="Consistent"/>
    <x v="0"/>
  </r>
  <r>
    <x v="3190"/>
    <x v="0"/>
    <x v="238"/>
    <n v="9145896387"/>
    <n v="8278.0499999999993"/>
    <s v="UK pounds"/>
    <s v="UK pounds"/>
    <x v="0"/>
    <s v="UK"/>
    <x v="4"/>
    <x v="0"/>
    <x v="1"/>
    <s v="Consistent"/>
    <x v="0"/>
  </r>
  <r>
    <x v="3190"/>
    <x v="0"/>
    <x v="2569"/>
    <n v="6254659797"/>
    <n v="522.95000000000005"/>
    <s v="UK pounds"/>
    <s v="UK pounds"/>
    <x v="0"/>
    <s v="UK"/>
    <x v="0"/>
    <x v="0"/>
    <x v="0"/>
    <s v="Consistent"/>
    <x v="0"/>
  </r>
  <r>
    <x v="3191"/>
    <x v="0"/>
    <x v="2570"/>
    <n v="351184098"/>
    <n v="7173.29"/>
    <s v="UK pounds"/>
    <s v="UK pounds"/>
    <x v="0"/>
    <s v="UK"/>
    <x v="3"/>
    <x v="0"/>
    <x v="4"/>
    <s v="Consistent"/>
    <x v="0"/>
  </r>
  <r>
    <x v="3192"/>
    <x v="0"/>
    <x v="2571"/>
    <n v="3881391727"/>
    <n v="15679.96"/>
    <s v="UK pounds"/>
    <s v="UK pounds"/>
    <x v="0"/>
    <s v="UK"/>
    <x v="5"/>
    <x v="0"/>
    <x v="2"/>
    <s v="Consistent"/>
    <x v="0"/>
  </r>
  <r>
    <x v="3193"/>
    <x v="0"/>
    <x v="2572"/>
    <n v="5708936901"/>
    <n v="7418.22"/>
    <s v="UK pounds"/>
    <s v="UK pounds"/>
    <x v="0"/>
    <s v="UK"/>
    <x v="2"/>
    <x v="0"/>
    <x v="3"/>
    <s v="Consistent"/>
    <x v="0"/>
  </r>
  <r>
    <x v="3194"/>
    <x v="0"/>
    <x v="238"/>
    <n v="833800673"/>
    <n v="20224.419999999998"/>
    <s v="UK pounds"/>
    <s v="UK pounds"/>
    <x v="0"/>
    <s v="UK"/>
    <x v="5"/>
    <x v="0"/>
    <x v="1"/>
    <s v="Consistent"/>
    <x v="0"/>
  </r>
  <r>
    <x v="3195"/>
    <x v="0"/>
    <x v="960"/>
    <n v="4336977506"/>
    <n v="8616.7800000000007"/>
    <s v="UK pounds"/>
    <s v="UK pounds"/>
    <x v="0"/>
    <s v="UK"/>
    <x v="5"/>
    <x v="0"/>
    <x v="3"/>
    <s v="Consistent"/>
    <x v="0"/>
  </r>
  <r>
    <x v="3196"/>
    <x v="0"/>
    <x v="2573"/>
    <n v="1940409825"/>
    <n v="3019.15"/>
    <s v="UK pounds"/>
    <s v="UK pounds"/>
    <x v="0"/>
    <s v="UK"/>
    <x v="5"/>
    <x v="0"/>
    <x v="2"/>
    <s v="Consistent"/>
    <x v="0"/>
  </r>
  <r>
    <x v="3196"/>
    <x v="0"/>
    <x v="2574"/>
    <n v="6953672776"/>
    <n v="13308.63"/>
    <s v="UK pounds"/>
    <s v="Mexican Peso"/>
    <x v="0"/>
    <s v="Mexico"/>
    <x v="1"/>
    <x v="0"/>
    <x v="3"/>
    <s v="Potential Layering"/>
    <x v="0"/>
  </r>
  <r>
    <x v="3196"/>
    <x v="0"/>
    <x v="2575"/>
    <n v="3020817875"/>
    <n v="5548.18"/>
    <s v="UK pounds"/>
    <s v="UK pounds"/>
    <x v="0"/>
    <s v="UK"/>
    <x v="3"/>
    <x v="0"/>
    <x v="2"/>
    <s v="Consistent"/>
    <x v="0"/>
  </r>
  <r>
    <x v="3197"/>
    <x v="0"/>
    <x v="2576"/>
    <n v="6624071688"/>
    <n v="715.29"/>
    <s v="UK pounds"/>
    <s v="UK pounds"/>
    <x v="0"/>
    <s v="UK"/>
    <x v="3"/>
    <x v="0"/>
    <x v="2"/>
    <s v="Consistent"/>
    <x v="0"/>
  </r>
  <r>
    <x v="3198"/>
    <x v="0"/>
    <x v="2577"/>
    <n v="843169680"/>
    <n v="649.46"/>
    <s v="UK pounds"/>
    <s v="UK pounds"/>
    <x v="0"/>
    <s v="UK"/>
    <x v="2"/>
    <x v="0"/>
    <x v="2"/>
    <s v="Consistent"/>
    <x v="0"/>
  </r>
  <r>
    <x v="3199"/>
    <x v="0"/>
    <x v="2578"/>
    <n v="5090625597"/>
    <n v="58.44"/>
    <s v="UK pounds"/>
    <s v="UK pounds"/>
    <x v="0"/>
    <s v="UK"/>
    <x v="2"/>
    <x v="0"/>
    <x v="2"/>
    <s v="Consistent"/>
    <x v="0"/>
  </r>
  <r>
    <x v="3200"/>
    <x v="0"/>
    <x v="368"/>
    <n v="7140265767"/>
    <n v="5305.34"/>
    <s v="UK pounds"/>
    <s v="UK pounds"/>
    <x v="0"/>
    <s v="UK"/>
    <x v="2"/>
    <x v="0"/>
    <x v="1"/>
    <s v="Consistent"/>
    <x v="0"/>
  </r>
  <r>
    <x v="3200"/>
    <x v="0"/>
    <x v="1176"/>
    <n v="6855935396"/>
    <n v="5771.01"/>
    <s v="UK pounds"/>
    <s v="UK pounds"/>
    <x v="0"/>
    <s v="UK"/>
    <x v="3"/>
    <x v="0"/>
    <x v="3"/>
    <s v="Consistent"/>
    <x v="0"/>
  </r>
  <r>
    <x v="3200"/>
    <x v="0"/>
    <x v="2579"/>
    <n v="5625518678"/>
    <n v="4449.6099999999997"/>
    <s v="UK pounds"/>
    <s v="UK pounds"/>
    <x v="0"/>
    <s v="UK"/>
    <x v="4"/>
    <x v="0"/>
    <x v="2"/>
    <s v="Consistent"/>
    <x v="0"/>
  </r>
  <r>
    <x v="3201"/>
    <x v="0"/>
    <x v="2240"/>
    <n v="6646502650"/>
    <n v="7977.04"/>
    <s v="UK pounds"/>
    <s v="Euro"/>
    <x v="0"/>
    <s v="France"/>
    <x v="1"/>
    <x v="0"/>
    <x v="3"/>
    <s v="Potential Layering"/>
    <x v="0"/>
  </r>
  <r>
    <x v="3202"/>
    <x v="0"/>
    <x v="67"/>
    <n v="1612314007"/>
    <n v="14515.56"/>
    <s v="UK pounds"/>
    <s v="UK pounds"/>
    <x v="0"/>
    <s v="UK"/>
    <x v="5"/>
    <x v="0"/>
    <x v="6"/>
    <s v="Consistent"/>
    <x v="0"/>
  </r>
  <r>
    <x v="3203"/>
    <x v="0"/>
    <x v="2417"/>
    <n v="7892884492"/>
    <n v="11014.02"/>
    <s v="UK pounds"/>
    <s v="US dollar"/>
    <x v="0"/>
    <s v="USA"/>
    <x v="1"/>
    <x v="0"/>
    <x v="3"/>
    <s v="Potential Layering"/>
    <x v="0"/>
  </r>
  <r>
    <x v="3204"/>
    <x v="0"/>
    <x v="195"/>
    <n v="5162401694"/>
    <n v="10491.33"/>
    <s v="UK pounds"/>
    <s v="UK pounds"/>
    <x v="0"/>
    <s v="UK"/>
    <x v="2"/>
    <x v="0"/>
    <x v="1"/>
    <s v="Consistent"/>
    <x v="0"/>
  </r>
  <r>
    <x v="3204"/>
    <x v="0"/>
    <x v="1680"/>
    <n v="7261835634"/>
    <n v="265152.74"/>
    <s v="UK pounds"/>
    <s v="UK pounds"/>
    <x v="0"/>
    <s v="UK"/>
    <x v="2"/>
    <x v="0"/>
    <x v="11"/>
    <s v="Consistent"/>
    <x v="0"/>
  </r>
  <r>
    <x v="3205"/>
    <x v="0"/>
    <x v="2580"/>
    <n v="2570595920"/>
    <n v="3333.62"/>
    <s v="UK pounds"/>
    <s v="UK pounds"/>
    <x v="0"/>
    <s v="UK"/>
    <x v="4"/>
    <x v="0"/>
    <x v="2"/>
    <s v="Consistent"/>
    <x v="0"/>
  </r>
  <r>
    <x v="3205"/>
    <x v="0"/>
    <x v="2581"/>
    <n v="3200398368"/>
    <n v="4909.9399999999996"/>
    <s v="UK pounds"/>
    <s v="UK pounds"/>
    <x v="0"/>
    <s v="UK"/>
    <x v="2"/>
    <x v="0"/>
    <x v="2"/>
    <s v="Consistent"/>
    <x v="0"/>
  </r>
  <r>
    <x v="3206"/>
    <x v="0"/>
    <x v="216"/>
    <n v="1431561040"/>
    <n v="7003.8"/>
    <s v="UK pounds"/>
    <s v="UK pounds"/>
    <x v="0"/>
    <s v="UK"/>
    <x v="5"/>
    <x v="0"/>
    <x v="3"/>
    <s v="Consistent"/>
    <x v="0"/>
  </r>
  <r>
    <x v="3206"/>
    <x v="0"/>
    <x v="1785"/>
    <n v="6646502650"/>
    <n v="8452.5400000000009"/>
    <s v="UK pounds"/>
    <s v="Euro"/>
    <x v="0"/>
    <s v="France"/>
    <x v="1"/>
    <x v="0"/>
    <x v="3"/>
    <s v="Potential Layering"/>
    <x v="0"/>
  </r>
  <r>
    <x v="3207"/>
    <x v="0"/>
    <x v="2582"/>
    <n v="1176518598"/>
    <n v="1077.44"/>
    <s v="UK pounds"/>
    <s v="UK pounds"/>
    <x v="0"/>
    <s v="UK"/>
    <x v="4"/>
    <x v="0"/>
    <x v="2"/>
    <s v="Consistent"/>
    <x v="0"/>
  </r>
  <r>
    <x v="3208"/>
    <x v="0"/>
    <x v="2583"/>
    <n v="7160736915"/>
    <n v="5235.54"/>
    <s v="UK pounds"/>
    <s v="UK pounds"/>
    <x v="0"/>
    <s v="UK"/>
    <x v="3"/>
    <x v="0"/>
    <x v="3"/>
    <s v="Consistent"/>
    <x v="0"/>
  </r>
  <r>
    <x v="3209"/>
    <x v="0"/>
    <x v="2584"/>
    <n v="8300197589"/>
    <n v="3188.09"/>
    <s v="UK pounds"/>
    <s v="UK pounds"/>
    <x v="0"/>
    <s v="UK"/>
    <x v="4"/>
    <x v="0"/>
    <x v="2"/>
    <s v="Consistent"/>
    <x v="0"/>
  </r>
  <r>
    <x v="3210"/>
    <x v="0"/>
    <x v="2585"/>
    <n v="1317923989"/>
    <n v="13987.71"/>
    <s v="UK pounds"/>
    <s v="UK pounds"/>
    <x v="0"/>
    <s v="UK"/>
    <x v="3"/>
    <x v="0"/>
    <x v="2"/>
    <s v="Consistent"/>
    <x v="0"/>
  </r>
  <r>
    <x v="3211"/>
    <x v="0"/>
    <x v="195"/>
    <n v="6338941383"/>
    <n v="6247.75"/>
    <s v="UK pounds"/>
    <s v="UK pounds"/>
    <x v="0"/>
    <s v="UK"/>
    <x v="2"/>
    <x v="0"/>
    <x v="1"/>
    <s v="Consistent"/>
    <x v="0"/>
  </r>
  <r>
    <x v="3212"/>
    <x v="0"/>
    <x v="2586"/>
    <n v="4158555857"/>
    <n v="285.25"/>
    <s v="UK pounds"/>
    <s v="UK pounds"/>
    <x v="0"/>
    <s v="UK"/>
    <x v="5"/>
    <x v="0"/>
    <x v="2"/>
    <s v="Consistent"/>
    <x v="0"/>
  </r>
  <r>
    <x v="3213"/>
    <x v="0"/>
    <x v="255"/>
    <n v="4787209426"/>
    <n v="12111.49"/>
    <s v="UK pounds"/>
    <s v="UK pounds"/>
    <x v="0"/>
    <s v="UK"/>
    <x v="4"/>
    <x v="0"/>
    <x v="1"/>
    <s v="Consistent"/>
    <x v="0"/>
  </r>
  <r>
    <x v="3214"/>
    <x v="0"/>
    <x v="2587"/>
    <n v="6513250919"/>
    <n v="10888.77"/>
    <s v="UK pounds"/>
    <s v="UK pounds"/>
    <x v="0"/>
    <s v="UK"/>
    <x v="3"/>
    <x v="0"/>
    <x v="2"/>
    <s v="Consistent"/>
    <x v="0"/>
  </r>
  <r>
    <x v="3215"/>
    <x v="0"/>
    <x v="2588"/>
    <n v="3374945735"/>
    <n v="208.43"/>
    <s v="UK pounds"/>
    <s v="UK pounds"/>
    <x v="0"/>
    <s v="UK"/>
    <x v="6"/>
    <x v="0"/>
    <x v="5"/>
    <s v="Consistent"/>
    <x v="0"/>
  </r>
  <r>
    <x v="3215"/>
    <x v="0"/>
    <x v="2589"/>
    <n v="2941130754"/>
    <n v="3534.2"/>
    <s v="UK pounds"/>
    <s v="UK pounds"/>
    <x v="0"/>
    <s v="UK"/>
    <x v="4"/>
    <x v="0"/>
    <x v="2"/>
    <s v="Consistent"/>
    <x v="0"/>
  </r>
  <r>
    <x v="3216"/>
    <x v="0"/>
    <x v="2590"/>
    <n v="9839566913"/>
    <n v="2816.96"/>
    <s v="UK pounds"/>
    <s v="UK pounds"/>
    <x v="0"/>
    <s v="UK"/>
    <x v="3"/>
    <x v="0"/>
    <x v="4"/>
    <s v="Consistent"/>
    <x v="0"/>
  </r>
  <r>
    <x v="3217"/>
    <x v="0"/>
    <x v="280"/>
    <n v="5109623450"/>
    <n v="12083.23"/>
    <s v="UK pounds"/>
    <s v="UK pounds"/>
    <x v="0"/>
    <s v="UK"/>
    <x v="2"/>
    <x v="0"/>
    <x v="3"/>
    <s v="Consistent"/>
    <x v="0"/>
  </r>
  <r>
    <x v="3218"/>
    <x v="0"/>
    <x v="2591"/>
    <n v="5293429200"/>
    <n v="2063.7800000000002"/>
    <s v="UK pounds"/>
    <s v="UK pounds"/>
    <x v="0"/>
    <s v="UK"/>
    <x v="0"/>
    <x v="0"/>
    <x v="0"/>
    <s v="Consistent"/>
    <x v="0"/>
  </r>
  <r>
    <x v="3219"/>
    <x v="0"/>
    <x v="2592"/>
    <n v="1563430485"/>
    <n v="11178.91"/>
    <s v="UK pounds"/>
    <s v="UK pounds"/>
    <x v="0"/>
    <s v="UK"/>
    <x v="5"/>
    <x v="0"/>
    <x v="2"/>
    <s v="Consistent"/>
    <x v="0"/>
  </r>
  <r>
    <x v="3220"/>
    <x v="0"/>
    <x v="2593"/>
    <n v="9858405154"/>
    <n v="3892.5"/>
    <s v="UK pounds"/>
    <s v="UK pounds"/>
    <x v="0"/>
    <s v="UK"/>
    <x v="3"/>
    <x v="0"/>
    <x v="2"/>
    <s v="Consistent"/>
    <x v="0"/>
  </r>
  <r>
    <x v="3221"/>
    <x v="0"/>
    <x v="2594"/>
    <n v="3958180238"/>
    <n v="60076.95"/>
    <s v="UK pounds"/>
    <s v="UK pounds"/>
    <x v="0"/>
    <s v="UK"/>
    <x v="3"/>
    <x v="0"/>
    <x v="2"/>
    <s v="Consistent"/>
    <x v="0"/>
  </r>
  <r>
    <x v="3222"/>
    <x v="0"/>
    <x v="2595"/>
    <n v="7882534453"/>
    <n v="874.91"/>
    <s v="UK pounds"/>
    <s v="UK pounds"/>
    <x v="0"/>
    <s v="UK"/>
    <x v="4"/>
    <x v="0"/>
    <x v="2"/>
    <s v="Consistent"/>
    <x v="0"/>
  </r>
  <r>
    <x v="3223"/>
    <x v="0"/>
    <x v="216"/>
    <n v="1431561040"/>
    <n v="6946.5"/>
    <s v="UK pounds"/>
    <s v="UK pounds"/>
    <x v="0"/>
    <s v="UK"/>
    <x v="2"/>
    <x v="0"/>
    <x v="3"/>
    <s v="Consistent"/>
    <x v="0"/>
  </r>
  <r>
    <x v="3224"/>
    <x v="0"/>
    <x v="81"/>
    <n v="5064372260"/>
    <n v="10033.469999999999"/>
    <s v="UK pounds"/>
    <s v="UK pounds"/>
    <x v="0"/>
    <s v="UK"/>
    <x v="5"/>
    <x v="0"/>
    <x v="1"/>
    <s v="Consistent"/>
    <x v="0"/>
  </r>
  <r>
    <x v="3225"/>
    <x v="0"/>
    <x v="2596"/>
    <n v="1082642344"/>
    <n v="10753.2672698154"/>
    <s v="Yen"/>
    <s v="UK pounds"/>
    <x v="3"/>
    <s v="UK"/>
    <x v="1"/>
    <x v="1"/>
    <x v="16"/>
    <s v="Potential Layering"/>
    <x v="2"/>
  </r>
  <r>
    <x v="3226"/>
    <x v="0"/>
    <x v="2597"/>
    <n v="790889166"/>
    <n v="16282.58"/>
    <s v="UK pounds"/>
    <s v="UK pounds"/>
    <x v="0"/>
    <s v="UK"/>
    <x v="2"/>
    <x v="0"/>
    <x v="2"/>
    <s v="Consistent"/>
    <x v="0"/>
  </r>
  <r>
    <x v="3227"/>
    <x v="0"/>
    <x v="2598"/>
    <n v="4544577994"/>
    <n v="224.55"/>
    <s v="UK pounds"/>
    <s v="UK pounds"/>
    <x v="0"/>
    <s v="UK"/>
    <x v="6"/>
    <x v="0"/>
    <x v="5"/>
    <s v="Consistent"/>
    <x v="0"/>
  </r>
  <r>
    <x v="3228"/>
    <x v="0"/>
    <x v="505"/>
    <n v="2534644942"/>
    <n v="5904.93"/>
    <s v="UK pounds"/>
    <s v="Euro"/>
    <x v="0"/>
    <s v="France"/>
    <x v="1"/>
    <x v="0"/>
    <x v="3"/>
    <s v="Potential Layering"/>
    <x v="0"/>
  </r>
  <r>
    <x v="3229"/>
    <x v="0"/>
    <x v="195"/>
    <n v="4706175310"/>
    <n v="6532.4"/>
    <s v="UK pounds"/>
    <s v="UK pounds"/>
    <x v="0"/>
    <s v="UK"/>
    <x v="5"/>
    <x v="0"/>
    <x v="1"/>
    <s v="Consistent"/>
    <x v="0"/>
  </r>
  <r>
    <x v="3230"/>
    <x v="0"/>
    <x v="925"/>
    <n v="5103043844"/>
    <n v="10720.19"/>
    <s v="UK pounds"/>
    <s v="Naira"/>
    <x v="0"/>
    <s v="Nigeria"/>
    <x v="1"/>
    <x v="0"/>
    <x v="3"/>
    <s v="Potential Layering"/>
    <x v="0"/>
  </r>
  <r>
    <x v="3231"/>
    <x v="0"/>
    <x v="1898"/>
    <n v="2138505015"/>
    <n v="7844.3"/>
    <s v="Euro"/>
    <s v="Dirham"/>
    <x v="8"/>
    <s v="UAE"/>
    <x v="1"/>
    <x v="0"/>
    <x v="3"/>
    <s v="Potential Layering"/>
    <x v="0"/>
  </r>
  <r>
    <x v="3232"/>
    <x v="0"/>
    <x v="9"/>
    <n v="1103906765"/>
    <n v="20657.919999999998"/>
    <s v="UK pounds"/>
    <s v="UK pounds"/>
    <x v="0"/>
    <s v="UK"/>
    <x v="2"/>
    <x v="0"/>
    <x v="1"/>
    <s v="Consistent"/>
    <x v="0"/>
  </r>
  <r>
    <x v="3232"/>
    <x v="0"/>
    <x v="2599"/>
    <n v="9270301533"/>
    <n v="178.02"/>
    <s v="UK pounds"/>
    <s v="UK pounds"/>
    <x v="0"/>
    <s v="UK"/>
    <x v="6"/>
    <x v="0"/>
    <x v="5"/>
    <s v="Consistent"/>
    <x v="0"/>
  </r>
  <r>
    <x v="3233"/>
    <x v="0"/>
    <x v="52"/>
    <n v="5517479211"/>
    <n v="13491.18"/>
    <s v="UK pounds"/>
    <s v="UK pounds"/>
    <x v="0"/>
    <s v="UK"/>
    <x v="5"/>
    <x v="0"/>
    <x v="1"/>
    <s v="Consistent"/>
    <x v="0"/>
  </r>
  <r>
    <x v="3233"/>
    <x v="0"/>
    <x v="124"/>
    <n v="8061984977"/>
    <n v="9487.9"/>
    <s v="UK pounds"/>
    <s v="UK pounds"/>
    <x v="0"/>
    <s v="UK"/>
    <x v="3"/>
    <x v="0"/>
    <x v="1"/>
    <s v="Consistent"/>
    <x v="0"/>
  </r>
  <r>
    <x v="3234"/>
    <x v="0"/>
    <x v="103"/>
    <n v="4336977506"/>
    <n v="7384.96"/>
    <s v="UK pounds"/>
    <s v="UK pounds"/>
    <x v="0"/>
    <s v="UK"/>
    <x v="5"/>
    <x v="0"/>
    <x v="3"/>
    <s v="Consistent"/>
    <x v="0"/>
  </r>
  <r>
    <x v="3235"/>
    <x v="0"/>
    <x v="1567"/>
    <n v="1377603863"/>
    <n v="5532"/>
    <s v="UK pounds"/>
    <s v="UK pounds"/>
    <x v="0"/>
    <s v="UK"/>
    <x v="4"/>
    <x v="0"/>
    <x v="3"/>
    <s v="Consistent"/>
    <x v="0"/>
  </r>
  <r>
    <x v="3236"/>
    <x v="0"/>
    <x v="2600"/>
    <n v="6953672776"/>
    <n v="10623.89"/>
    <s v="UK pounds"/>
    <s v="Mexican Peso"/>
    <x v="0"/>
    <s v="Mexico"/>
    <x v="1"/>
    <x v="0"/>
    <x v="3"/>
    <s v="Potential Layering"/>
    <x v="0"/>
  </r>
  <r>
    <x v="3237"/>
    <x v="0"/>
    <x v="35"/>
    <n v="6544532856"/>
    <n v="15847.04"/>
    <s v="UK pounds"/>
    <s v="UK pounds"/>
    <x v="0"/>
    <s v="UK"/>
    <x v="3"/>
    <x v="0"/>
    <x v="1"/>
    <s v="Consistent"/>
    <x v="0"/>
  </r>
  <r>
    <x v="3238"/>
    <x v="0"/>
    <x v="2601"/>
    <n v="3773299204"/>
    <n v="6319.09"/>
    <s v="UK pounds"/>
    <s v="UK pounds"/>
    <x v="0"/>
    <s v="UK"/>
    <x v="2"/>
    <x v="0"/>
    <x v="2"/>
    <s v="Consistent"/>
    <x v="0"/>
  </r>
  <r>
    <x v="3238"/>
    <x v="0"/>
    <x v="2602"/>
    <n v="5221082217"/>
    <n v="1570.77"/>
    <s v="UK pounds"/>
    <s v="UK pounds"/>
    <x v="0"/>
    <s v="UK"/>
    <x v="3"/>
    <x v="0"/>
    <x v="8"/>
    <s v="Consistent"/>
    <x v="0"/>
  </r>
  <r>
    <x v="3239"/>
    <x v="0"/>
    <x v="2603"/>
    <n v="1842633217"/>
    <n v="6077.12"/>
    <s v="UK pounds"/>
    <s v="UK pounds"/>
    <x v="0"/>
    <s v="UK"/>
    <x v="4"/>
    <x v="0"/>
    <x v="4"/>
    <s v="Consistent"/>
    <x v="0"/>
  </r>
  <r>
    <x v="3240"/>
    <x v="0"/>
    <x v="2604"/>
    <n v="9237183134"/>
    <n v="3225.76"/>
    <s v="UK pounds"/>
    <s v="UK pounds"/>
    <x v="0"/>
    <s v="UK"/>
    <x v="3"/>
    <x v="0"/>
    <x v="2"/>
    <s v="Consistent"/>
    <x v="0"/>
  </r>
  <r>
    <x v="3241"/>
    <x v="0"/>
    <x v="2605"/>
    <n v="6147074737"/>
    <n v="1621.22"/>
    <s v="Euro"/>
    <s v="UK pounds"/>
    <x v="7"/>
    <s v="UK"/>
    <x v="1"/>
    <x v="0"/>
    <x v="2"/>
    <s v="Potential Layering"/>
    <x v="0"/>
  </r>
  <r>
    <x v="3242"/>
    <x v="0"/>
    <x v="255"/>
    <n v="3520600371"/>
    <n v="10439.49"/>
    <s v="UK pounds"/>
    <s v="UK pounds"/>
    <x v="0"/>
    <s v="UK"/>
    <x v="5"/>
    <x v="0"/>
    <x v="1"/>
    <s v="Consistent"/>
    <x v="0"/>
  </r>
  <r>
    <x v="3243"/>
    <x v="0"/>
    <x v="1773"/>
    <n v="9005492388"/>
    <n v="627.79999999999995"/>
    <s v="UK pounds"/>
    <s v="UK pounds"/>
    <x v="0"/>
    <s v="UK"/>
    <x v="5"/>
    <x v="0"/>
    <x v="2"/>
    <s v="Consistent"/>
    <x v="0"/>
  </r>
  <r>
    <x v="3243"/>
    <x v="0"/>
    <x v="2606"/>
    <n v="802455875"/>
    <n v="1925.52"/>
    <s v="UK pounds"/>
    <s v="UK pounds"/>
    <x v="0"/>
    <s v="UK"/>
    <x v="5"/>
    <x v="0"/>
    <x v="2"/>
    <s v="Consistent"/>
    <x v="0"/>
  </r>
  <r>
    <x v="3244"/>
    <x v="0"/>
    <x v="2607"/>
    <n v="4336977506"/>
    <n v="8030.74"/>
    <s v="UK pounds"/>
    <s v="UK pounds"/>
    <x v="0"/>
    <s v="UK"/>
    <x v="3"/>
    <x v="0"/>
    <x v="3"/>
    <s v="Consistent"/>
    <x v="0"/>
  </r>
  <r>
    <x v="3244"/>
    <x v="0"/>
    <x v="2608"/>
    <n v="5030513067"/>
    <n v="1120.45"/>
    <s v="UK pounds"/>
    <s v="UK pounds"/>
    <x v="0"/>
    <s v="UK"/>
    <x v="4"/>
    <x v="0"/>
    <x v="2"/>
    <s v="Consistent"/>
    <x v="0"/>
  </r>
  <r>
    <x v="3245"/>
    <x v="0"/>
    <x v="8"/>
    <n v="578267324"/>
    <n v="11147.74"/>
    <s v="UK pounds"/>
    <s v="UK pounds"/>
    <x v="0"/>
    <s v="UK"/>
    <x v="3"/>
    <x v="0"/>
    <x v="1"/>
    <s v="Consistent"/>
    <x v="0"/>
  </r>
  <r>
    <x v="3246"/>
    <x v="0"/>
    <x v="2609"/>
    <n v="2042968439"/>
    <n v="9556.33"/>
    <s v="UK pounds"/>
    <s v="UK pounds"/>
    <x v="0"/>
    <s v="UK"/>
    <x v="3"/>
    <x v="0"/>
    <x v="2"/>
    <s v="Consistent"/>
    <x v="0"/>
  </r>
  <r>
    <x v="3247"/>
    <x v="0"/>
    <x v="68"/>
    <n v="4048410232"/>
    <n v="17748.29"/>
    <s v="UK pounds"/>
    <s v="UK pounds"/>
    <x v="0"/>
    <s v="UK"/>
    <x v="2"/>
    <x v="0"/>
    <x v="1"/>
    <s v="Consistent"/>
    <x v="0"/>
  </r>
  <r>
    <x v="3248"/>
    <x v="0"/>
    <x v="2610"/>
    <n v="5539384863"/>
    <n v="49124.53"/>
    <s v="UK pounds"/>
    <s v="Swiss franc"/>
    <x v="0"/>
    <s v="Switzerland"/>
    <x v="1"/>
    <x v="0"/>
    <x v="2"/>
    <s v="Potential Layering"/>
    <x v="0"/>
  </r>
  <r>
    <x v="3248"/>
    <x v="0"/>
    <x v="590"/>
    <n v="1380562223"/>
    <n v="1434.18"/>
    <s v="UK pounds"/>
    <s v="UK pounds"/>
    <x v="0"/>
    <s v="UK"/>
    <x v="5"/>
    <x v="0"/>
    <x v="2"/>
    <s v="Consistent"/>
    <x v="0"/>
  </r>
  <r>
    <x v="3249"/>
    <x v="0"/>
    <x v="1668"/>
    <n v="4552293879"/>
    <n v="456.9"/>
    <s v="UK pounds"/>
    <s v="UK pounds"/>
    <x v="0"/>
    <s v="UK"/>
    <x v="2"/>
    <x v="0"/>
    <x v="2"/>
    <s v="Consistent"/>
    <x v="0"/>
  </r>
  <r>
    <x v="3250"/>
    <x v="0"/>
    <x v="1241"/>
    <n v="378335393"/>
    <n v="2198.61"/>
    <s v="UK pounds"/>
    <s v="UK pounds"/>
    <x v="0"/>
    <s v="UK"/>
    <x v="5"/>
    <x v="0"/>
    <x v="6"/>
    <s v="Consistent"/>
    <x v="0"/>
  </r>
  <r>
    <x v="3251"/>
    <x v="0"/>
    <x v="936"/>
    <n v="5103043844"/>
    <n v="6389.69"/>
    <s v="UK pounds"/>
    <s v="Naira"/>
    <x v="0"/>
    <s v="Nigeria"/>
    <x v="1"/>
    <x v="0"/>
    <x v="3"/>
    <s v="Potential Layering"/>
    <x v="0"/>
  </r>
  <r>
    <x v="3252"/>
    <x v="0"/>
    <x v="2611"/>
    <n v="7108024722"/>
    <n v="15705.57"/>
    <s v="UK pounds"/>
    <s v="UK pounds"/>
    <x v="0"/>
    <s v="UK"/>
    <x v="5"/>
    <x v="0"/>
    <x v="2"/>
    <s v="Consistent"/>
    <x v="0"/>
  </r>
  <r>
    <x v="3253"/>
    <x v="0"/>
    <x v="2612"/>
    <n v="6668834736"/>
    <n v="2780.79"/>
    <s v="UK pounds"/>
    <s v="Naira"/>
    <x v="0"/>
    <s v="UK"/>
    <x v="2"/>
    <x v="0"/>
    <x v="2"/>
    <s v="Potential Layering"/>
    <x v="0"/>
  </r>
  <r>
    <x v="3253"/>
    <x v="0"/>
    <x v="339"/>
    <n v="2074126451"/>
    <n v="5371.05"/>
    <s v="UK pounds"/>
    <s v="UK pounds"/>
    <x v="0"/>
    <s v="UK"/>
    <x v="4"/>
    <x v="0"/>
    <x v="1"/>
    <s v="Consistent"/>
    <x v="0"/>
  </r>
  <r>
    <x v="3253"/>
    <x v="0"/>
    <x v="339"/>
    <n v="7963107269"/>
    <n v="8625.91"/>
    <s v="UK pounds"/>
    <s v="UK pounds"/>
    <x v="0"/>
    <s v="UK"/>
    <x v="2"/>
    <x v="0"/>
    <x v="1"/>
    <s v="Consistent"/>
    <x v="0"/>
  </r>
  <r>
    <x v="3254"/>
    <x v="0"/>
    <x v="2613"/>
    <n v="1592487506"/>
    <n v="1065.32"/>
    <s v="Euro"/>
    <s v="UK pounds"/>
    <x v="4"/>
    <s v="UK"/>
    <x v="1"/>
    <x v="0"/>
    <x v="2"/>
    <s v="Potential Layering"/>
    <x v="0"/>
  </r>
  <r>
    <x v="3254"/>
    <x v="0"/>
    <x v="2614"/>
    <n v="1359741978"/>
    <n v="4125.3500000000004"/>
    <s v="UK pounds"/>
    <s v="UK pounds"/>
    <x v="0"/>
    <s v="UK"/>
    <x v="2"/>
    <x v="0"/>
    <x v="2"/>
    <s v="Consistent"/>
    <x v="0"/>
  </r>
  <r>
    <x v="3255"/>
    <x v="0"/>
    <x v="68"/>
    <n v="7889074144"/>
    <n v="26556.69"/>
    <s v="UK pounds"/>
    <s v="UK pounds"/>
    <x v="0"/>
    <s v="UK"/>
    <x v="3"/>
    <x v="0"/>
    <x v="1"/>
    <s v="Consistent"/>
    <x v="0"/>
  </r>
  <r>
    <x v="3256"/>
    <x v="0"/>
    <x v="9"/>
    <n v="1300373577"/>
    <n v="5820.76"/>
    <s v="UK pounds"/>
    <s v="UK pounds"/>
    <x v="0"/>
    <s v="UK"/>
    <x v="3"/>
    <x v="0"/>
    <x v="1"/>
    <s v="Consistent"/>
    <x v="0"/>
  </r>
  <r>
    <x v="3257"/>
    <x v="0"/>
    <x v="2615"/>
    <n v="575628785"/>
    <n v="8251.41"/>
    <s v="UK pounds"/>
    <s v="UK pounds"/>
    <x v="0"/>
    <s v="UK"/>
    <x v="4"/>
    <x v="0"/>
    <x v="2"/>
    <s v="Consistent"/>
    <x v="0"/>
  </r>
  <r>
    <x v="3258"/>
    <x v="0"/>
    <x v="2616"/>
    <n v="8310107528"/>
    <n v="6663.96"/>
    <s v="UK pounds"/>
    <s v="UK pounds"/>
    <x v="0"/>
    <s v="UK"/>
    <x v="5"/>
    <x v="0"/>
    <x v="2"/>
    <s v="Consistent"/>
    <x v="0"/>
  </r>
  <r>
    <x v="3259"/>
    <x v="0"/>
    <x v="2617"/>
    <n v="5858369125"/>
    <n v="13185"/>
    <s v="UK pounds"/>
    <s v="UK pounds"/>
    <x v="0"/>
    <s v="UK"/>
    <x v="3"/>
    <x v="0"/>
    <x v="3"/>
    <s v="Consistent"/>
    <x v="0"/>
  </r>
  <r>
    <x v="3259"/>
    <x v="0"/>
    <x v="317"/>
    <n v="5466123934"/>
    <n v="7987.7"/>
    <s v="UK pounds"/>
    <s v="UK pounds"/>
    <x v="0"/>
    <s v="UK"/>
    <x v="2"/>
    <x v="0"/>
    <x v="3"/>
    <s v="Consistent"/>
    <x v="0"/>
  </r>
  <r>
    <x v="3260"/>
    <x v="0"/>
    <x v="51"/>
    <n v="6404529552"/>
    <n v="7769.7"/>
    <s v="UK pounds"/>
    <s v="UK pounds"/>
    <x v="0"/>
    <s v="UK"/>
    <x v="3"/>
    <x v="0"/>
    <x v="1"/>
    <s v="Consistent"/>
    <x v="0"/>
  </r>
  <r>
    <x v="3261"/>
    <x v="0"/>
    <x v="2618"/>
    <n v="4877050806"/>
    <n v="5157.8500000000004"/>
    <s v="UK pounds"/>
    <s v="UK pounds"/>
    <x v="0"/>
    <s v="UK"/>
    <x v="3"/>
    <x v="0"/>
    <x v="2"/>
    <s v="Consistent"/>
    <x v="0"/>
  </r>
  <r>
    <x v="3262"/>
    <x v="0"/>
    <x v="1645"/>
    <n v="5858369125"/>
    <n v="4510.3500000000004"/>
    <s v="UK pounds"/>
    <s v="UK pounds"/>
    <x v="0"/>
    <s v="UK"/>
    <x v="2"/>
    <x v="0"/>
    <x v="3"/>
    <s v="Consistent"/>
    <x v="0"/>
  </r>
  <r>
    <x v="3263"/>
    <x v="0"/>
    <x v="368"/>
    <n v="1198366019"/>
    <n v="24873.23"/>
    <s v="UK pounds"/>
    <s v="UK pounds"/>
    <x v="0"/>
    <s v="UK"/>
    <x v="4"/>
    <x v="0"/>
    <x v="1"/>
    <s v="Consistent"/>
    <x v="0"/>
  </r>
  <r>
    <x v="3263"/>
    <x v="0"/>
    <x v="2619"/>
    <n v="7665280978"/>
    <n v="7092.54"/>
    <s v="UK pounds"/>
    <s v="UK pounds"/>
    <x v="0"/>
    <s v="UK"/>
    <x v="3"/>
    <x v="0"/>
    <x v="2"/>
    <s v="Consistent"/>
    <x v="0"/>
  </r>
  <r>
    <x v="3264"/>
    <x v="0"/>
    <x v="35"/>
    <n v="1625701030"/>
    <n v="6252.15"/>
    <s v="UK pounds"/>
    <s v="UK pounds"/>
    <x v="0"/>
    <s v="UK"/>
    <x v="5"/>
    <x v="0"/>
    <x v="1"/>
    <s v="Consistent"/>
    <x v="0"/>
  </r>
  <r>
    <x v="3265"/>
    <x v="0"/>
    <x v="2620"/>
    <n v="4173195094"/>
    <n v="11826.44"/>
    <s v="UK pounds"/>
    <s v="UK pounds"/>
    <x v="0"/>
    <s v="UK"/>
    <x v="2"/>
    <x v="0"/>
    <x v="3"/>
    <s v="Consistent"/>
    <x v="0"/>
  </r>
  <r>
    <x v="3266"/>
    <x v="0"/>
    <x v="2621"/>
    <n v="3960870790"/>
    <n v="111.18"/>
    <s v="UK pounds"/>
    <s v="Pakistani rupee"/>
    <x v="0"/>
    <s v="Pakistan"/>
    <x v="1"/>
    <x v="0"/>
    <x v="2"/>
    <s v="Potential Layering"/>
    <x v="0"/>
  </r>
  <r>
    <x v="3267"/>
    <x v="0"/>
    <x v="217"/>
    <n v="6223365730"/>
    <n v="14878.8"/>
    <s v="UK pounds"/>
    <s v="UK pounds"/>
    <x v="0"/>
    <s v="UK"/>
    <x v="3"/>
    <x v="0"/>
    <x v="3"/>
    <s v="Consistent"/>
    <x v="0"/>
  </r>
  <r>
    <x v="3268"/>
    <x v="0"/>
    <x v="1639"/>
    <n v="6444220418"/>
    <n v="20428.439999999999"/>
    <s v="UK pounds"/>
    <s v="UK pounds"/>
    <x v="0"/>
    <s v="UK"/>
    <x v="5"/>
    <x v="0"/>
    <x v="3"/>
    <s v="Consistent"/>
    <x v="0"/>
  </r>
  <r>
    <x v="3269"/>
    <x v="0"/>
    <x v="2622"/>
    <n v="1811715094"/>
    <n v="516.94000000000005"/>
    <s v="UK pounds"/>
    <s v="UK pounds"/>
    <x v="0"/>
    <s v="UK"/>
    <x v="2"/>
    <x v="0"/>
    <x v="2"/>
    <s v="Consistent"/>
    <x v="0"/>
  </r>
  <r>
    <x v="3270"/>
    <x v="0"/>
    <x v="2623"/>
    <n v="9138327944"/>
    <n v="3548.85"/>
    <s v="UK pounds"/>
    <s v="UK pounds"/>
    <x v="0"/>
    <s v="UK"/>
    <x v="5"/>
    <x v="0"/>
    <x v="2"/>
    <s v="Consistent"/>
    <x v="0"/>
  </r>
  <r>
    <x v="3271"/>
    <x v="0"/>
    <x v="40"/>
    <n v="7207182461"/>
    <n v="10540.28"/>
    <s v="UK pounds"/>
    <s v="UK pounds"/>
    <x v="0"/>
    <s v="UK"/>
    <x v="5"/>
    <x v="0"/>
    <x v="1"/>
    <s v="Consistent"/>
    <x v="0"/>
  </r>
  <r>
    <x v="3272"/>
    <x v="0"/>
    <x v="2624"/>
    <n v="6761658812"/>
    <n v="715.99"/>
    <s v="UK pounds"/>
    <s v="UK pounds"/>
    <x v="0"/>
    <s v="UK"/>
    <x v="5"/>
    <x v="0"/>
    <x v="2"/>
    <s v="Consistent"/>
    <x v="0"/>
  </r>
  <r>
    <x v="3273"/>
    <x v="0"/>
    <x v="2625"/>
    <n v="3186820676"/>
    <n v="1626.11"/>
    <s v="UK pounds"/>
    <s v="UK pounds"/>
    <x v="0"/>
    <s v="UK"/>
    <x v="0"/>
    <x v="0"/>
    <x v="0"/>
    <s v="Consistent"/>
    <x v="0"/>
  </r>
  <r>
    <x v="3273"/>
    <x v="0"/>
    <x v="2359"/>
    <n v="4270865741"/>
    <n v="6267.26"/>
    <s v="UK pounds"/>
    <s v="UK pounds"/>
    <x v="0"/>
    <s v="UK"/>
    <x v="2"/>
    <x v="0"/>
    <x v="3"/>
    <s v="Consistent"/>
    <x v="0"/>
  </r>
  <r>
    <x v="3273"/>
    <x v="0"/>
    <x v="1460"/>
    <n v="2596686122"/>
    <n v="75.58"/>
    <s v="UK pounds"/>
    <s v="UK pounds"/>
    <x v="0"/>
    <s v="UK"/>
    <x v="6"/>
    <x v="0"/>
    <x v="5"/>
    <s v="Consistent"/>
    <x v="0"/>
  </r>
  <r>
    <x v="3274"/>
    <x v="0"/>
    <x v="1816"/>
    <n v="9105769228"/>
    <n v="13155.2"/>
    <s v="UK pounds"/>
    <s v="UK pounds"/>
    <x v="0"/>
    <s v="UK"/>
    <x v="2"/>
    <x v="0"/>
    <x v="3"/>
    <s v="Consistent"/>
    <x v="0"/>
  </r>
  <r>
    <x v="3275"/>
    <x v="0"/>
    <x v="1508"/>
    <n v="4452427312"/>
    <n v="123.5"/>
    <s v="UK pounds"/>
    <s v="UK pounds"/>
    <x v="0"/>
    <s v="UK"/>
    <x v="3"/>
    <x v="0"/>
    <x v="2"/>
    <s v="Consistent"/>
    <x v="0"/>
  </r>
  <r>
    <x v="3276"/>
    <x v="0"/>
    <x v="197"/>
    <n v="1493436023"/>
    <n v="7553.14"/>
    <s v="UK pounds"/>
    <s v="UK pounds"/>
    <x v="0"/>
    <s v="UK"/>
    <x v="5"/>
    <x v="0"/>
    <x v="3"/>
    <s v="Consistent"/>
    <x v="0"/>
  </r>
  <r>
    <x v="3277"/>
    <x v="0"/>
    <x v="2626"/>
    <n v="3350909595"/>
    <n v="5523.28"/>
    <s v="UK pounds"/>
    <s v="UK pounds"/>
    <x v="0"/>
    <s v="UK"/>
    <x v="4"/>
    <x v="0"/>
    <x v="4"/>
    <s v="Consistent"/>
    <x v="0"/>
  </r>
  <r>
    <x v="3278"/>
    <x v="0"/>
    <x v="212"/>
    <n v="1465487567"/>
    <n v="9647.2000000000007"/>
    <s v="UK pounds"/>
    <s v="UK pounds"/>
    <x v="0"/>
    <s v="UK"/>
    <x v="5"/>
    <x v="0"/>
    <x v="3"/>
    <s v="Consistent"/>
    <x v="0"/>
  </r>
  <r>
    <x v="3279"/>
    <x v="0"/>
    <x v="2627"/>
    <n v="2061962556"/>
    <n v="20914.41"/>
    <s v="UK pounds"/>
    <s v="UK pounds"/>
    <x v="0"/>
    <s v="UK"/>
    <x v="4"/>
    <x v="0"/>
    <x v="8"/>
    <s v="Consistent"/>
    <x v="0"/>
  </r>
  <r>
    <x v="3280"/>
    <x v="0"/>
    <x v="2628"/>
    <n v="5706648130"/>
    <n v="2213.36"/>
    <s v="UK pounds"/>
    <s v="Albanian lek"/>
    <x v="0"/>
    <s v="Albania"/>
    <x v="1"/>
    <x v="0"/>
    <x v="2"/>
    <s v="Potential Layering"/>
    <x v="0"/>
  </r>
  <r>
    <x v="3281"/>
    <x v="0"/>
    <x v="2629"/>
    <n v="6002039178"/>
    <n v="10938.74"/>
    <s v="UK pounds"/>
    <s v="Turkish lira"/>
    <x v="0"/>
    <s v="Turkey"/>
    <x v="1"/>
    <x v="0"/>
    <x v="2"/>
    <s v="Potential Layering"/>
    <x v="0"/>
  </r>
  <r>
    <x v="3282"/>
    <x v="0"/>
    <x v="2630"/>
    <n v="6141012579"/>
    <n v="435.56"/>
    <s v="UK pounds"/>
    <s v="UK pounds"/>
    <x v="0"/>
    <s v="UK"/>
    <x v="5"/>
    <x v="0"/>
    <x v="2"/>
    <s v="Consistent"/>
    <x v="0"/>
  </r>
  <r>
    <x v="3283"/>
    <x v="0"/>
    <x v="2631"/>
    <n v="1546785666"/>
    <n v="16813.990000000002"/>
    <s v="UK pounds"/>
    <s v="UK pounds"/>
    <x v="0"/>
    <s v="UK"/>
    <x v="5"/>
    <x v="0"/>
    <x v="2"/>
    <s v="Consistent"/>
    <x v="0"/>
  </r>
  <r>
    <x v="3284"/>
    <x v="0"/>
    <x v="2632"/>
    <n v="7010094377"/>
    <n v="342.55"/>
    <s v="UK pounds"/>
    <s v="UK pounds"/>
    <x v="0"/>
    <s v="UK"/>
    <x v="5"/>
    <x v="0"/>
    <x v="2"/>
    <s v="Consistent"/>
    <x v="0"/>
  </r>
  <r>
    <x v="3285"/>
    <x v="0"/>
    <x v="46"/>
    <n v="7927090992"/>
    <n v="9116.18"/>
    <s v="UK pounds"/>
    <s v="UK pounds"/>
    <x v="0"/>
    <s v="UK"/>
    <x v="5"/>
    <x v="0"/>
    <x v="1"/>
    <s v="Consistent"/>
    <x v="0"/>
  </r>
  <r>
    <x v="3286"/>
    <x v="0"/>
    <x v="2633"/>
    <n v="1854828415"/>
    <n v="6242.29"/>
    <s v="UK pounds"/>
    <s v="UK pounds"/>
    <x v="0"/>
    <s v="UK"/>
    <x v="5"/>
    <x v="0"/>
    <x v="2"/>
    <s v="Consistent"/>
    <x v="0"/>
  </r>
  <r>
    <x v="3287"/>
    <x v="0"/>
    <x v="1845"/>
    <n v="7080357663"/>
    <n v="18400.93"/>
    <s v="UK pounds"/>
    <s v="UK pounds"/>
    <x v="0"/>
    <s v="UK"/>
    <x v="3"/>
    <x v="0"/>
    <x v="3"/>
    <s v="Consistent"/>
    <x v="0"/>
  </r>
  <r>
    <x v="3287"/>
    <x v="0"/>
    <x v="2634"/>
    <n v="7954352634"/>
    <n v="11233.55"/>
    <s v="UK pounds"/>
    <s v="UK pounds"/>
    <x v="0"/>
    <s v="UK"/>
    <x v="3"/>
    <x v="0"/>
    <x v="4"/>
    <s v="Consistent"/>
    <x v="0"/>
  </r>
  <r>
    <x v="3288"/>
    <x v="0"/>
    <x v="2540"/>
    <n v="6953672776"/>
    <n v="6155.03"/>
    <s v="UK pounds"/>
    <s v="Mexican Peso"/>
    <x v="0"/>
    <s v="Mexico"/>
    <x v="1"/>
    <x v="0"/>
    <x v="3"/>
    <s v="Potential Layering"/>
    <x v="0"/>
  </r>
  <r>
    <x v="3289"/>
    <x v="0"/>
    <x v="644"/>
    <n v="1465487567"/>
    <n v="17397.62"/>
    <s v="UK pounds"/>
    <s v="UK pounds"/>
    <x v="0"/>
    <s v="UK"/>
    <x v="3"/>
    <x v="0"/>
    <x v="3"/>
    <s v="Consistent"/>
    <x v="0"/>
  </r>
  <r>
    <x v="3289"/>
    <x v="0"/>
    <x v="163"/>
    <n v="2812285491"/>
    <n v="13262.59"/>
    <s v="UK pounds"/>
    <s v="UK pounds"/>
    <x v="0"/>
    <s v="UK"/>
    <x v="3"/>
    <x v="0"/>
    <x v="1"/>
    <s v="Consistent"/>
    <x v="0"/>
  </r>
  <r>
    <x v="3290"/>
    <x v="0"/>
    <x v="2635"/>
    <n v="1662589468"/>
    <n v="2046.55"/>
    <s v="UK pounds"/>
    <s v="UK pounds"/>
    <x v="0"/>
    <s v="UK"/>
    <x v="3"/>
    <x v="0"/>
    <x v="4"/>
    <s v="Consistent"/>
    <x v="0"/>
  </r>
  <r>
    <x v="3291"/>
    <x v="0"/>
    <x v="2636"/>
    <n v="6034997194"/>
    <n v="5803.89"/>
    <s v="Albanian lek"/>
    <s v="UK pounds"/>
    <x v="1"/>
    <s v="UK"/>
    <x v="1"/>
    <x v="0"/>
    <x v="3"/>
    <s v="Potential Layering"/>
    <x v="1"/>
  </r>
  <r>
    <x v="3292"/>
    <x v="0"/>
    <x v="1"/>
    <n v="2482957386"/>
    <n v="26487.35"/>
    <s v="UK pounds"/>
    <s v="UK pounds"/>
    <x v="0"/>
    <s v="UK"/>
    <x v="4"/>
    <x v="0"/>
    <x v="1"/>
    <s v="Consistent"/>
    <x v="0"/>
  </r>
  <r>
    <x v="3293"/>
    <x v="0"/>
    <x v="2637"/>
    <n v="6953672776"/>
    <n v="12724.41"/>
    <s v="UK pounds"/>
    <s v="Mexican Peso"/>
    <x v="0"/>
    <s v="Mexico"/>
    <x v="1"/>
    <x v="0"/>
    <x v="3"/>
    <s v="Potential Layering"/>
    <x v="0"/>
  </r>
  <r>
    <x v="3293"/>
    <x v="0"/>
    <x v="81"/>
    <n v="9085148554"/>
    <n v="10441.89"/>
    <s v="UK pounds"/>
    <s v="UK pounds"/>
    <x v="0"/>
    <s v="UK"/>
    <x v="3"/>
    <x v="0"/>
    <x v="1"/>
    <s v="Consistent"/>
    <x v="0"/>
  </r>
  <r>
    <x v="3294"/>
    <x v="0"/>
    <x v="39"/>
    <n v="4173195094"/>
    <n v="11896.92"/>
    <s v="UK pounds"/>
    <s v="UK pounds"/>
    <x v="0"/>
    <s v="UK"/>
    <x v="5"/>
    <x v="0"/>
    <x v="3"/>
    <s v="Consistent"/>
    <x v="0"/>
  </r>
  <r>
    <x v="3295"/>
    <x v="0"/>
    <x v="399"/>
    <n v="1431561040"/>
    <n v="19964.669999999998"/>
    <s v="UK pounds"/>
    <s v="UK pounds"/>
    <x v="0"/>
    <s v="UK"/>
    <x v="3"/>
    <x v="0"/>
    <x v="3"/>
    <s v="Consistent"/>
    <x v="0"/>
  </r>
  <r>
    <x v="3295"/>
    <x v="0"/>
    <x v="2638"/>
    <n v="5039565944"/>
    <n v="11685.87"/>
    <s v="UK pounds"/>
    <s v="UK pounds"/>
    <x v="0"/>
    <s v="UK"/>
    <x v="2"/>
    <x v="0"/>
    <x v="2"/>
    <s v="Consistent"/>
    <x v="0"/>
  </r>
  <r>
    <x v="3296"/>
    <x v="0"/>
    <x v="2639"/>
    <n v="3152316451"/>
    <n v="5885.14"/>
    <s v="Euro"/>
    <s v="UK pounds"/>
    <x v="11"/>
    <s v="UK"/>
    <x v="1"/>
    <x v="0"/>
    <x v="2"/>
    <s v="Potential Layering"/>
    <x v="0"/>
  </r>
  <r>
    <x v="3296"/>
    <x v="0"/>
    <x v="2640"/>
    <n v="7228171825"/>
    <n v="5002.28"/>
    <s v="UK pounds"/>
    <s v="UK pounds"/>
    <x v="0"/>
    <s v="UK"/>
    <x v="5"/>
    <x v="0"/>
    <x v="4"/>
    <s v="Consistent"/>
    <x v="0"/>
  </r>
  <r>
    <x v="3297"/>
    <x v="0"/>
    <x v="852"/>
    <n v="2534644942"/>
    <n v="16634.310000000001"/>
    <s v="UK pounds"/>
    <s v="Euro"/>
    <x v="0"/>
    <s v="France"/>
    <x v="1"/>
    <x v="0"/>
    <x v="3"/>
    <s v="Potential Layering"/>
    <x v="0"/>
  </r>
  <r>
    <x v="3298"/>
    <x v="0"/>
    <x v="2641"/>
    <n v="2663470390"/>
    <n v="3470.8"/>
    <s v="UK pounds"/>
    <s v="UK pounds"/>
    <x v="0"/>
    <s v="UK"/>
    <x v="0"/>
    <x v="0"/>
    <x v="0"/>
    <s v="Consistent"/>
    <x v="0"/>
  </r>
  <r>
    <x v="3299"/>
    <x v="0"/>
    <x v="960"/>
    <n v="4336977506"/>
    <n v="8559.2000000000007"/>
    <s v="UK pounds"/>
    <s v="UK pounds"/>
    <x v="0"/>
    <s v="UK"/>
    <x v="3"/>
    <x v="0"/>
    <x v="3"/>
    <s v="Consistent"/>
    <x v="0"/>
  </r>
  <r>
    <x v="3300"/>
    <x v="0"/>
    <x v="2642"/>
    <n v="9609077090"/>
    <n v="6046.6"/>
    <s v="UK pounds"/>
    <s v="UK pounds"/>
    <x v="0"/>
    <s v="UK"/>
    <x v="5"/>
    <x v="0"/>
    <x v="2"/>
    <s v="Consistent"/>
    <x v="0"/>
  </r>
  <r>
    <x v="3300"/>
    <x v="0"/>
    <x v="2643"/>
    <n v="8264100893"/>
    <n v="4562.29"/>
    <s v="UK pounds"/>
    <s v="UK pounds"/>
    <x v="0"/>
    <s v="UK"/>
    <x v="4"/>
    <x v="0"/>
    <x v="4"/>
    <s v="Consistent"/>
    <x v="0"/>
  </r>
  <r>
    <x v="3301"/>
    <x v="0"/>
    <x v="2644"/>
    <n v="1880469213"/>
    <n v="1791.69"/>
    <s v="UK pounds"/>
    <s v="UK pounds"/>
    <x v="0"/>
    <s v="UK"/>
    <x v="0"/>
    <x v="0"/>
    <x v="0"/>
    <s v="Consistent"/>
    <x v="0"/>
  </r>
  <r>
    <x v="3302"/>
    <x v="0"/>
    <x v="2266"/>
    <n v="5896180453"/>
    <n v="6105.63"/>
    <s v="UK pounds"/>
    <s v="UK pounds"/>
    <x v="0"/>
    <s v="UK"/>
    <x v="4"/>
    <x v="0"/>
    <x v="3"/>
    <s v="Consistent"/>
    <x v="0"/>
  </r>
  <r>
    <x v="3303"/>
    <x v="0"/>
    <x v="42"/>
    <n v="5323459625"/>
    <n v="1458.91"/>
    <s v="UK pounds"/>
    <s v="Yen"/>
    <x v="0"/>
    <s v="Japan"/>
    <x v="1"/>
    <x v="0"/>
    <x v="2"/>
    <s v="Potential Layering"/>
    <x v="0"/>
  </r>
  <r>
    <x v="3304"/>
    <x v="0"/>
    <x v="2645"/>
    <n v="8571491184"/>
    <n v="507.64"/>
    <s v="UK pounds"/>
    <s v="UK pounds"/>
    <x v="0"/>
    <s v="UK"/>
    <x v="3"/>
    <x v="0"/>
    <x v="2"/>
    <s v="Consistent"/>
    <x v="0"/>
  </r>
  <r>
    <x v="3305"/>
    <x v="0"/>
    <x v="2646"/>
    <n v="3665392218"/>
    <n v="18039.310000000001"/>
    <s v="UK pounds"/>
    <s v="UK pounds"/>
    <x v="0"/>
    <s v="UK"/>
    <x v="4"/>
    <x v="0"/>
    <x v="7"/>
    <s v="Consistent"/>
    <x v="0"/>
  </r>
  <r>
    <x v="3305"/>
    <x v="0"/>
    <x v="2647"/>
    <n v="8704654367"/>
    <n v="73.819999999999993"/>
    <s v="UK pounds"/>
    <s v="UK pounds"/>
    <x v="0"/>
    <s v="UK"/>
    <x v="4"/>
    <x v="0"/>
    <x v="2"/>
    <s v="Consistent"/>
    <x v="0"/>
  </r>
  <r>
    <x v="3306"/>
    <x v="0"/>
    <x v="2648"/>
    <n v="5785796431"/>
    <n v="3066.03"/>
    <s v="UK pounds"/>
    <s v="UK pounds"/>
    <x v="0"/>
    <s v="UK"/>
    <x v="2"/>
    <x v="0"/>
    <x v="2"/>
    <s v="Consistent"/>
    <x v="0"/>
  </r>
  <r>
    <x v="3306"/>
    <x v="0"/>
    <x v="210"/>
    <n v="6624920676"/>
    <n v="6142.01"/>
    <s v="UK pounds"/>
    <s v="UK pounds"/>
    <x v="0"/>
    <s v="UK"/>
    <x v="5"/>
    <x v="0"/>
    <x v="1"/>
    <s v="Consistent"/>
    <x v="0"/>
  </r>
  <r>
    <x v="3307"/>
    <x v="0"/>
    <x v="283"/>
    <n v="409707192"/>
    <n v="21073.34"/>
    <s v="UK pounds"/>
    <s v="UK pounds"/>
    <x v="0"/>
    <s v="UK"/>
    <x v="3"/>
    <x v="0"/>
    <x v="3"/>
    <s v="Consistent"/>
    <x v="0"/>
  </r>
  <r>
    <x v="3308"/>
    <x v="0"/>
    <x v="2649"/>
    <n v="7080357663"/>
    <n v="4510.75"/>
    <s v="UK pounds"/>
    <s v="UK pounds"/>
    <x v="0"/>
    <s v="UK"/>
    <x v="4"/>
    <x v="0"/>
    <x v="3"/>
    <s v="Consistent"/>
    <x v="0"/>
  </r>
  <r>
    <x v="3309"/>
    <x v="0"/>
    <x v="2650"/>
    <n v="3960177918"/>
    <n v="2036.28"/>
    <s v="UK pounds"/>
    <s v="UK pounds"/>
    <x v="0"/>
    <s v="UK"/>
    <x v="5"/>
    <x v="0"/>
    <x v="2"/>
    <s v="Consistent"/>
    <x v="0"/>
  </r>
  <r>
    <x v="3310"/>
    <x v="0"/>
    <x v="2651"/>
    <n v="6527756886"/>
    <n v="26579.91"/>
    <s v="UK pounds"/>
    <s v="UK pounds"/>
    <x v="0"/>
    <s v="UK"/>
    <x v="2"/>
    <x v="0"/>
    <x v="8"/>
    <s v="Consistent"/>
    <x v="0"/>
  </r>
  <r>
    <x v="3310"/>
    <x v="0"/>
    <x v="745"/>
    <n v="5466123934"/>
    <n v="8549.9500000000007"/>
    <s v="UK pounds"/>
    <s v="UK pounds"/>
    <x v="0"/>
    <s v="UK"/>
    <x v="5"/>
    <x v="0"/>
    <x v="3"/>
    <s v="Consistent"/>
    <x v="0"/>
  </r>
  <r>
    <x v="3311"/>
    <x v="0"/>
    <x v="2652"/>
    <n v="6917552485"/>
    <n v="4156.54"/>
    <s v="UK pounds"/>
    <s v="Yen"/>
    <x v="0"/>
    <s v="Japan"/>
    <x v="1"/>
    <x v="0"/>
    <x v="2"/>
    <s v="Potential Layering"/>
    <x v="0"/>
  </r>
  <r>
    <x v="3312"/>
    <x v="0"/>
    <x v="2653"/>
    <n v="7984016799"/>
    <n v="3849.64"/>
    <s v="UK pounds"/>
    <s v="UK pounds"/>
    <x v="0"/>
    <s v="UK"/>
    <x v="5"/>
    <x v="0"/>
    <x v="2"/>
    <s v="Consistent"/>
    <x v="0"/>
  </r>
  <r>
    <x v="3313"/>
    <x v="0"/>
    <x v="753"/>
    <n v="5109623450"/>
    <n v="8380.93"/>
    <s v="UK pounds"/>
    <s v="UK pounds"/>
    <x v="0"/>
    <s v="UK"/>
    <x v="5"/>
    <x v="0"/>
    <x v="3"/>
    <s v="Consistent"/>
    <x v="0"/>
  </r>
  <r>
    <x v="3314"/>
    <x v="0"/>
    <x v="738"/>
    <n v="5628674969"/>
    <n v="9082.7199999999993"/>
    <s v="UK pounds"/>
    <s v="UK pounds"/>
    <x v="0"/>
    <s v="UK"/>
    <x v="3"/>
    <x v="0"/>
    <x v="3"/>
    <s v="Consistent"/>
    <x v="0"/>
  </r>
  <r>
    <x v="3315"/>
    <x v="0"/>
    <x v="163"/>
    <n v="2954469099"/>
    <n v="13107.13"/>
    <s v="UK pounds"/>
    <s v="UK pounds"/>
    <x v="0"/>
    <s v="UK"/>
    <x v="5"/>
    <x v="0"/>
    <x v="1"/>
    <s v="Consistent"/>
    <x v="0"/>
  </r>
  <r>
    <x v="3316"/>
    <x v="0"/>
    <x v="2654"/>
    <n v="5109756158"/>
    <n v="2433.35"/>
    <s v="UK pounds"/>
    <s v="UK pounds"/>
    <x v="0"/>
    <s v="UK"/>
    <x v="3"/>
    <x v="0"/>
    <x v="4"/>
    <s v="Consistent"/>
    <x v="0"/>
  </r>
  <r>
    <x v="3317"/>
    <x v="0"/>
    <x v="2655"/>
    <n v="6304644161"/>
    <n v="640.98"/>
    <s v="UK pounds"/>
    <s v="UK pounds"/>
    <x v="0"/>
    <s v="UK"/>
    <x v="3"/>
    <x v="0"/>
    <x v="2"/>
    <s v="Consistent"/>
    <x v="0"/>
  </r>
  <r>
    <x v="3318"/>
    <x v="0"/>
    <x v="195"/>
    <n v="7315208637"/>
    <n v="6570.51"/>
    <s v="UK pounds"/>
    <s v="UK pounds"/>
    <x v="0"/>
    <s v="UK"/>
    <x v="4"/>
    <x v="0"/>
    <x v="1"/>
    <s v="Consistent"/>
    <x v="0"/>
  </r>
  <r>
    <x v="3319"/>
    <x v="0"/>
    <x v="68"/>
    <n v="301740914"/>
    <n v="8859.2900000000009"/>
    <s v="UK pounds"/>
    <s v="UK pounds"/>
    <x v="0"/>
    <s v="UK"/>
    <x v="3"/>
    <x v="0"/>
    <x v="1"/>
    <s v="Consistent"/>
    <x v="0"/>
  </r>
  <r>
    <x v="3320"/>
    <x v="0"/>
    <x v="2656"/>
    <n v="9960453112"/>
    <n v="17143.98"/>
    <s v="UK pounds"/>
    <s v="UK pounds"/>
    <x v="0"/>
    <s v="UK"/>
    <x v="4"/>
    <x v="0"/>
    <x v="2"/>
    <s v="Consistent"/>
    <x v="0"/>
  </r>
  <r>
    <x v="3321"/>
    <x v="0"/>
    <x v="2657"/>
    <n v="4258935429"/>
    <n v="22280.9"/>
    <s v="UK pounds"/>
    <s v="UK pounds"/>
    <x v="0"/>
    <s v="UK"/>
    <x v="4"/>
    <x v="0"/>
    <x v="2"/>
    <s v="Consistent"/>
    <x v="0"/>
  </r>
  <r>
    <x v="3322"/>
    <x v="0"/>
    <x v="75"/>
    <n v="9757535272"/>
    <n v="11177.56"/>
    <s v="UK pounds"/>
    <s v="UK pounds"/>
    <x v="0"/>
    <s v="UK"/>
    <x v="4"/>
    <x v="0"/>
    <x v="1"/>
    <s v="Consistent"/>
    <x v="0"/>
  </r>
  <r>
    <x v="3323"/>
    <x v="0"/>
    <x v="1019"/>
    <n v="5659763215"/>
    <n v="2949.64"/>
    <s v="UK pounds"/>
    <s v="UK pounds"/>
    <x v="0"/>
    <s v="UK"/>
    <x v="3"/>
    <x v="0"/>
    <x v="2"/>
    <s v="Consistent"/>
    <x v="0"/>
  </r>
  <r>
    <x v="3324"/>
    <x v="0"/>
    <x v="61"/>
    <n v="9599693960"/>
    <n v="9874.4699999999993"/>
    <s v="UK pounds"/>
    <s v="UK pounds"/>
    <x v="0"/>
    <s v="UK"/>
    <x v="2"/>
    <x v="0"/>
    <x v="1"/>
    <s v="Consistent"/>
    <x v="0"/>
  </r>
  <r>
    <x v="3325"/>
    <x v="0"/>
    <x v="2658"/>
    <n v="6064488085"/>
    <n v="8512.6200000000008"/>
    <s v="UK pounds"/>
    <s v="UK pounds"/>
    <x v="0"/>
    <s v="UK"/>
    <x v="2"/>
    <x v="0"/>
    <x v="4"/>
    <s v="Consistent"/>
    <x v="0"/>
  </r>
  <r>
    <x v="3326"/>
    <x v="0"/>
    <x v="1412"/>
    <n v="5466123934"/>
    <n v="8069.26"/>
    <s v="UK pounds"/>
    <s v="UK pounds"/>
    <x v="0"/>
    <s v="UK"/>
    <x v="2"/>
    <x v="0"/>
    <x v="3"/>
    <s v="Consistent"/>
    <x v="0"/>
  </r>
  <r>
    <x v="3327"/>
    <x v="0"/>
    <x v="2659"/>
    <n v="6675357458"/>
    <n v="179.07"/>
    <s v="Euro"/>
    <s v="UK pounds"/>
    <x v="4"/>
    <s v="UK"/>
    <x v="1"/>
    <x v="0"/>
    <x v="2"/>
    <s v="Potential Layering"/>
    <x v="0"/>
  </r>
  <r>
    <x v="3328"/>
    <x v="0"/>
    <x v="2660"/>
    <n v="1693454173"/>
    <n v="16275.87"/>
    <s v="UK pounds"/>
    <s v="UK pounds"/>
    <x v="0"/>
    <s v="UK"/>
    <x v="2"/>
    <x v="0"/>
    <x v="2"/>
    <s v="Consistent"/>
    <x v="0"/>
  </r>
  <r>
    <x v="3329"/>
    <x v="0"/>
    <x v="2661"/>
    <n v="9567308380"/>
    <n v="1545.45"/>
    <s v="UK pounds"/>
    <s v="UK pounds"/>
    <x v="0"/>
    <s v="UK"/>
    <x v="5"/>
    <x v="0"/>
    <x v="2"/>
    <s v="Consistent"/>
    <x v="0"/>
  </r>
  <r>
    <x v="3330"/>
    <x v="0"/>
    <x v="2662"/>
    <n v="3372425008"/>
    <n v="3644.7"/>
    <s v="UK pounds"/>
    <s v="UK pounds"/>
    <x v="0"/>
    <s v="UK"/>
    <x v="4"/>
    <x v="0"/>
    <x v="2"/>
    <s v="Consistent"/>
    <x v="0"/>
  </r>
  <r>
    <x v="3331"/>
    <x v="0"/>
    <x v="747"/>
    <n v="5708936901"/>
    <n v="5696.48"/>
    <s v="UK pounds"/>
    <s v="UK pounds"/>
    <x v="0"/>
    <s v="UK"/>
    <x v="4"/>
    <x v="0"/>
    <x v="3"/>
    <s v="Consistent"/>
    <x v="0"/>
  </r>
  <r>
    <x v="3332"/>
    <x v="0"/>
    <x v="1706"/>
    <n v="6953672776"/>
    <n v="5410.58"/>
    <s v="UK pounds"/>
    <s v="Mexican Peso"/>
    <x v="0"/>
    <s v="Mexico"/>
    <x v="1"/>
    <x v="0"/>
    <x v="3"/>
    <s v="Potential Layering"/>
    <x v="0"/>
  </r>
  <r>
    <x v="3333"/>
    <x v="0"/>
    <x v="2663"/>
    <n v="2961128128"/>
    <n v="2593.4"/>
    <s v="UK pounds"/>
    <s v="UK pounds"/>
    <x v="0"/>
    <s v="UK"/>
    <x v="0"/>
    <x v="0"/>
    <x v="0"/>
    <s v="Consistent"/>
    <x v="0"/>
  </r>
  <r>
    <x v="3333"/>
    <x v="0"/>
    <x v="2664"/>
    <n v="9397412993"/>
    <n v="60299.93"/>
    <s v="UK pounds"/>
    <s v="Turkish lira"/>
    <x v="0"/>
    <s v="Turkey"/>
    <x v="1"/>
    <x v="0"/>
    <x v="10"/>
    <s v="Potential Layering"/>
    <x v="0"/>
  </r>
  <r>
    <x v="3333"/>
    <x v="0"/>
    <x v="2665"/>
    <n v="2563034968"/>
    <n v="3712.14"/>
    <s v="UK pounds"/>
    <s v="UK pounds"/>
    <x v="0"/>
    <s v="UK"/>
    <x v="0"/>
    <x v="0"/>
    <x v="0"/>
    <s v="Consistent"/>
    <x v="0"/>
  </r>
  <r>
    <x v="3334"/>
    <x v="0"/>
    <x v="2666"/>
    <n v="6270208308"/>
    <n v="87.75"/>
    <s v="UK pounds"/>
    <s v="UK pounds"/>
    <x v="0"/>
    <s v="UK"/>
    <x v="6"/>
    <x v="0"/>
    <x v="5"/>
    <s v="Consistent"/>
    <x v="0"/>
  </r>
  <r>
    <x v="3335"/>
    <x v="0"/>
    <x v="2667"/>
    <n v="1406805014"/>
    <n v="417.14"/>
    <s v="UK pounds"/>
    <s v="UK pounds"/>
    <x v="0"/>
    <s v="UK"/>
    <x v="5"/>
    <x v="0"/>
    <x v="2"/>
    <s v="Consistent"/>
    <x v="0"/>
  </r>
  <r>
    <x v="3336"/>
    <x v="0"/>
    <x v="8"/>
    <n v="144438037"/>
    <n v="5787.26"/>
    <s v="UK pounds"/>
    <s v="UK pounds"/>
    <x v="0"/>
    <s v="UK"/>
    <x v="2"/>
    <x v="0"/>
    <x v="1"/>
    <s v="Consistent"/>
    <x v="0"/>
  </r>
  <r>
    <x v="3337"/>
    <x v="0"/>
    <x v="2668"/>
    <n v="2509211966"/>
    <n v="84.52"/>
    <s v="UK pounds"/>
    <s v="UK pounds"/>
    <x v="0"/>
    <s v="UK"/>
    <x v="6"/>
    <x v="0"/>
    <x v="5"/>
    <s v="Consistent"/>
    <x v="0"/>
  </r>
  <r>
    <x v="3338"/>
    <x v="0"/>
    <x v="2669"/>
    <n v="3608703185"/>
    <n v="7465.98"/>
    <s v="UK pounds"/>
    <s v="UK pounds"/>
    <x v="0"/>
    <s v="UK"/>
    <x v="5"/>
    <x v="0"/>
    <x v="6"/>
    <s v="Consistent"/>
    <x v="0"/>
  </r>
  <r>
    <x v="3339"/>
    <x v="0"/>
    <x v="494"/>
    <n v="6646502650"/>
    <n v="10236.83"/>
    <s v="UK pounds"/>
    <s v="Euro"/>
    <x v="0"/>
    <s v="France"/>
    <x v="1"/>
    <x v="0"/>
    <x v="3"/>
    <s v="Potential Layering"/>
    <x v="0"/>
  </r>
  <r>
    <x v="3340"/>
    <x v="0"/>
    <x v="2670"/>
    <n v="823316187"/>
    <n v="141.79"/>
    <s v="UK pounds"/>
    <s v="UK pounds"/>
    <x v="0"/>
    <s v="UK"/>
    <x v="2"/>
    <x v="0"/>
    <x v="2"/>
    <s v="Consistent"/>
    <x v="0"/>
  </r>
  <r>
    <x v="3341"/>
    <x v="0"/>
    <x v="2166"/>
    <n v="6435469504"/>
    <n v="8879.4699999999993"/>
    <s v="UK pounds"/>
    <s v="UK pounds"/>
    <x v="0"/>
    <s v="UK"/>
    <x v="5"/>
    <x v="0"/>
    <x v="2"/>
    <s v="Consistent"/>
    <x v="0"/>
  </r>
  <r>
    <x v="3342"/>
    <x v="0"/>
    <x v="138"/>
    <n v="9600420220"/>
    <n v="5128.95"/>
    <s v="UK pounds"/>
    <s v="UK pounds"/>
    <x v="0"/>
    <s v="UK"/>
    <x v="2"/>
    <x v="0"/>
    <x v="3"/>
    <s v="Consistent"/>
    <x v="0"/>
  </r>
  <r>
    <x v="3343"/>
    <x v="0"/>
    <x v="2671"/>
    <n v="8482785849"/>
    <n v="1260.1099999999999"/>
    <s v="UK pounds"/>
    <s v="UK pounds"/>
    <x v="0"/>
    <s v="UK"/>
    <x v="2"/>
    <x v="0"/>
    <x v="2"/>
    <s v="Consistent"/>
    <x v="0"/>
  </r>
  <r>
    <x v="3344"/>
    <x v="0"/>
    <x v="8"/>
    <n v="2283849585"/>
    <n v="4367.0600000000004"/>
    <s v="UK pounds"/>
    <s v="UK pounds"/>
    <x v="0"/>
    <s v="UK"/>
    <x v="3"/>
    <x v="0"/>
    <x v="1"/>
    <s v="Consistent"/>
    <x v="0"/>
  </r>
  <r>
    <x v="3344"/>
    <x v="0"/>
    <x v="2672"/>
    <n v="6328447605"/>
    <n v="1690.62"/>
    <s v="UK pounds"/>
    <s v="UK pounds"/>
    <x v="0"/>
    <s v="UK"/>
    <x v="5"/>
    <x v="0"/>
    <x v="4"/>
    <s v="Consistent"/>
    <x v="0"/>
  </r>
  <r>
    <x v="3345"/>
    <x v="0"/>
    <x v="2673"/>
    <n v="6358102783"/>
    <n v="1374.35"/>
    <s v="UK pounds"/>
    <s v="UK pounds"/>
    <x v="0"/>
    <s v="UK"/>
    <x v="2"/>
    <x v="0"/>
    <x v="2"/>
    <s v="Consistent"/>
    <x v="0"/>
  </r>
  <r>
    <x v="3346"/>
    <x v="0"/>
    <x v="586"/>
    <n v="6910079988"/>
    <n v="966.08"/>
    <s v="UK pounds"/>
    <s v="UK pounds"/>
    <x v="0"/>
    <s v="UK"/>
    <x v="2"/>
    <x v="0"/>
    <x v="2"/>
    <s v="Consistent"/>
    <x v="0"/>
  </r>
  <r>
    <x v="3347"/>
    <x v="0"/>
    <x v="2674"/>
    <n v="819478298"/>
    <n v="1639.74"/>
    <s v="UK pounds"/>
    <s v="UK pounds"/>
    <x v="0"/>
    <s v="UK"/>
    <x v="3"/>
    <x v="0"/>
    <x v="2"/>
    <s v="Consistent"/>
    <x v="0"/>
  </r>
  <r>
    <x v="3347"/>
    <x v="0"/>
    <x v="9"/>
    <n v="1300373577"/>
    <n v="5793.22"/>
    <s v="UK pounds"/>
    <s v="UK pounds"/>
    <x v="0"/>
    <s v="UK"/>
    <x v="5"/>
    <x v="0"/>
    <x v="1"/>
    <s v="Consistent"/>
    <x v="0"/>
  </r>
  <r>
    <x v="3348"/>
    <x v="0"/>
    <x v="2675"/>
    <n v="835689379"/>
    <n v="3814.87"/>
    <s v="UK pounds"/>
    <s v="UK pounds"/>
    <x v="0"/>
    <s v="UK"/>
    <x v="0"/>
    <x v="0"/>
    <x v="0"/>
    <s v="Consistent"/>
    <x v="0"/>
  </r>
  <r>
    <x v="3348"/>
    <x v="0"/>
    <x v="2676"/>
    <n v="754868782"/>
    <n v="2917.04"/>
    <s v="UK pounds"/>
    <s v="Turkish lira"/>
    <x v="0"/>
    <s v="Turkey"/>
    <x v="1"/>
    <x v="0"/>
    <x v="2"/>
    <s v="Potential Layering"/>
    <x v="0"/>
  </r>
  <r>
    <x v="3349"/>
    <x v="0"/>
    <x v="2677"/>
    <n v="737392273"/>
    <n v="498.24"/>
    <s v="UK pounds"/>
    <s v="UK pounds"/>
    <x v="0"/>
    <s v="UK"/>
    <x v="5"/>
    <x v="0"/>
    <x v="2"/>
    <s v="Consistent"/>
    <x v="0"/>
  </r>
  <r>
    <x v="3350"/>
    <x v="0"/>
    <x v="2643"/>
    <n v="1164020053"/>
    <n v="12164.33"/>
    <s v="UK pounds"/>
    <s v="UK pounds"/>
    <x v="0"/>
    <s v="UK"/>
    <x v="4"/>
    <x v="0"/>
    <x v="4"/>
    <s v="Consistent"/>
    <x v="0"/>
  </r>
  <r>
    <x v="3351"/>
    <x v="0"/>
    <x v="2678"/>
    <n v="5985734440"/>
    <n v="15694.78"/>
    <s v="UK pounds"/>
    <s v="UK pounds"/>
    <x v="0"/>
    <s v="UK"/>
    <x v="3"/>
    <x v="0"/>
    <x v="2"/>
    <s v="Consistent"/>
    <x v="0"/>
  </r>
  <r>
    <x v="3352"/>
    <x v="0"/>
    <x v="63"/>
    <n v="4358275767"/>
    <n v="13358.44"/>
    <s v="UK pounds"/>
    <s v="UK pounds"/>
    <x v="0"/>
    <s v="UK"/>
    <x v="3"/>
    <x v="0"/>
    <x v="1"/>
    <s v="Consistent"/>
    <x v="0"/>
  </r>
  <r>
    <x v="3353"/>
    <x v="0"/>
    <x v="1999"/>
    <n v="2534644942"/>
    <n v="9683.4500000000007"/>
    <s v="UK pounds"/>
    <s v="Euro"/>
    <x v="0"/>
    <s v="France"/>
    <x v="1"/>
    <x v="0"/>
    <x v="3"/>
    <s v="Potential Layering"/>
    <x v="0"/>
  </r>
  <r>
    <x v="3354"/>
    <x v="0"/>
    <x v="339"/>
    <n v="1470548333"/>
    <n v="5310.13"/>
    <s v="UK pounds"/>
    <s v="UK pounds"/>
    <x v="0"/>
    <s v="UK"/>
    <x v="4"/>
    <x v="0"/>
    <x v="1"/>
    <s v="Consistent"/>
    <x v="0"/>
  </r>
  <r>
    <x v="3354"/>
    <x v="0"/>
    <x v="2679"/>
    <n v="1750168908"/>
    <n v="1348.76"/>
    <s v="UK pounds"/>
    <s v="UK pounds"/>
    <x v="0"/>
    <s v="UK"/>
    <x v="3"/>
    <x v="0"/>
    <x v="4"/>
    <s v="Consistent"/>
    <x v="0"/>
  </r>
  <r>
    <x v="3355"/>
    <x v="0"/>
    <x v="2680"/>
    <n v="1800807719"/>
    <n v="3769.93"/>
    <s v="UK pounds"/>
    <s v="UK pounds"/>
    <x v="0"/>
    <s v="UK"/>
    <x v="3"/>
    <x v="0"/>
    <x v="2"/>
    <s v="Consistent"/>
    <x v="0"/>
  </r>
  <r>
    <x v="3356"/>
    <x v="0"/>
    <x v="2681"/>
    <n v="7500989871"/>
    <n v="1382.28"/>
    <s v="UK pounds"/>
    <s v="UK pounds"/>
    <x v="0"/>
    <s v="UK"/>
    <x v="3"/>
    <x v="0"/>
    <x v="6"/>
    <s v="Consistent"/>
    <x v="0"/>
  </r>
  <r>
    <x v="3357"/>
    <x v="0"/>
    <x v="20"/>
    <n v="8716511495"/>
    <n v="9584.07"/>
    <s v="UK pounds"/>
    <s v="UK pounds"/>
    <x v="0"/>
    <s v="UK"/>
    <x v="3"/>
    <x v="0"/>
    <x v="1"/>
    <s v="Consistent"/>
    <x v="0"/>
  </r>
  <r>
    <x v="3358"/>
    <x v="0"/>
    <x v="2682"/>
    <n v="6458903778"/>
    <n v="1913.43"/>
    <s v="UK pounds"/>
    <s v="UK pounds"/>
    <x v="0"/>
    <s v="UK"/>
    <x v="2"/>
    <x v="0"/>
    <x v="2"/>
    <s v="Consistent"/>
    <x v="0"/>
  </r>
  <r>
    <x v="3359"/>
    <x v="0"/>
    <x v="283"/>
    <n v="409707192"/>
    <n v="21095.95"/>
    <s v="UK pounds"/>
    <s v="UK pounds"/>
    <x v="0"/>
    <s v="UK"/>
    <x v="3"/>
    <x v="0"/>
    <x v="3"/>
    <s v="Consistent"/>
    <x v="0"/>
  </r>
  <r>
    <x v="3360"/>
    <x v="0"/>
    <x v="46"/>
    <n v="9491670243"/>
    <n v="9715.7000000000007"/>
    <s v="UK pounds"/>
    <s v="UK pounds"/>
    <x v="0"/>
    <s v="UK"/>
    <x v="3"/>
    <x v="0"/>
    <x v="1"/>
    <s v="Consistent"/>
    <x v="0"/>
  </r>
  <r>
    <x v="3361"/>
    <x v="0"/>
    <x v="2683"/>
    <n v="6421031924"/>
    <n v="1946.77"/>
    <s v="UK pounds"/>
    <s v="UK pounds"/>
    <x v="0"/>
    <s v="UK"/>
    <x v="4"/>
    <x v="0"/>
    <x v="2"/>
    <s v="Consistent"/>
    <x v="0"/>
  </r>
  <r>
    <x v="3361"/>
    <x v="0"/>
    <x v="2192"/>
    <n v="8493083192"/>
    <n v="3169.73"/>
    <s v="UK pounds"/>
    <s v="UK pounds"/>
    <x v="0"/>
    <s v="UK"/>
    <x v="5"/>
    <x v="0"/>
    <x v="4"/>
    <s v="Consistent"/>
    <x v="0"/>
  </r>
  <r>
    <x v="3362"/>
    <x v="0"/>
    <x v="1947"/>
    <n v="8352571580"/>
    <n v="7305.24"/>
    <s v="UK pounds"/>
    <s v="UK pounds"/>
    <x v="0"/>
    <s v="UK"/>
    <x v="3"/>
    <x v="0"/>
    <x v="3"/>
    <s v="Consistent"/>
    <x v="0"/>
  </r>
  <r>
    <x v="3362"/>
    <x v="0"/>
    <x v="2684"/>
    <n v="5606274799"/>
    <n v="3374.11"/>
    <s v="UK pounds"/>
    <s v="UK pounds"/>
    <x v="0"/>
    <s v="UK"/>
    <x v="2"/>
    <x v="0"/>
    <x v="2"/>
    <s v="Consistent"/>
    <x v="0"/>
  </r>
  <r>
    <x v="3363"/>
    <x v="0"/>
    <x v="2685"/>
    <n v="1420822472"/>
    <n v="4611.9399999999996"/>
    <s v="UK pounds"/>
    <s v="UK pounds"/>
    <x v="0"/>
    <s v="UK"/>
    <x v="3"/>
    <x v="0"/>
    <x v="2"/>
    <s v="Consistent"/>
    <x v="0"/>
  </r>
  <r>
    <x v="3364"/>
    <x v="0"/>
    <x v="2686"/>
    <n v="937896594"/>
    <n v="3662.84"/>
    <s v="UK pounds"/>
    <s v="UK pounds"/>
    <x v="0"/>
    <s v="UK"/>
    <x v="2"/>
    <x v="0"/>
    <x v="4"/>
    <s v="Consistent"/>
    <x v="0"/>
  </r>
  <r>
    <x v="3365"/>
    <x v="0"/>
    <x v="124"/>
    <n v="3546968911"/>
    <n v="5059.12"/>
    <s v="UK pounds"/>
    <s v="Euro"/>
    <x v="0"/>
    <s v="Germany"/>
    <x v="1"/>
    <x v="0"/>
    <x v="1"/>
    <s v="Potential Layering"/>
    <x v="0"/>
  </r>
  <r>
    <x v="3366"/>
    <x v="0"/>
    <x v="37"/>
    <n v="4336977506"/>
    <n v="7453.82"/>
    <s v="UK pounds"/>
    <s v="UK pounds"/>
    <x v="0"/>
    <s v="UK"/>
    <x v="4"/>
    <x v="0"/>
    <x v="3"/>
    <s v="Consistent"/>
    <x v="0"/>
  </r>
  <r>
    <x v="3367"/>
    <x v="0"/>
    <x v="34"/>
    <n v="8705942251"/>
    <n v="7397.84"/>
    <s v="UK pounds"/>
    <s v="UK pounds"/>
    <x v="0"/>
    <s v="UK"/>
    <x v="4"/>
    <x v="0"/>
    <x v="1"/>
    <s v="Consistent"/>
    <x v="0"/>
  </r>
  <r>
    <x v="3368"/>
    <x v="0"/>
    <x v="2687"/>
    <n v="3329252232"/>
    <n v="11798.74"/>
    <s v="UK pounds"/>
    <s v="UK pounds"/>
    <x v="0"/>
    <s v="UK"/>
    <x v="5"/>
    <x v="0"/>
    <x v="2"/>
    <s v="Consistent"/>
    <x v="0"/>
  </r>
  <r>
    <x v="3368"/>
    <x v="0"/>
    <x v="2688"/>
    <n v="1696366856"/>
    <n v="2876.34"/>
    <s v="UK pounds"/>
    <s v="UK pounds"/>
    <x v="0"/>
    <s v="UK"/>
    <x v="3"/>
    <x v="0"/>
    <x v="4"/>
    <s v="Consistent"/>
    <x v="0"/>
  </r>
  <r>
    <x v="3369"/>
    <x v="0"/>
    <x v="368"/>
    <n v="7140265767"/>
    <n v="5323.75"/>
    <s v="UK pounds"/>
    <s v="UK pounds"/>
    <x v="0"/>
    <s v="UK"/>
    <x v="3"/>
    <x v="0"/>
    <x v="1"/>
    <s v="Consistent"/>
    <x v="0"/>
  </r>
  <r>
    <x v="3370"/>
    <x v="0"/>
    <x v="1176"/>
    <n v="6855935396"/>
    <n v="5812.65"/>
    <s v="UK pounds"/>
    <s v="UK pounds"/>
    <x v="0"/>
    <s v="UK"/>
    <x v="2"/>
    <x v="0"/>
    <x v="3"/>
    <s v="Consistent"/>
    <x v="0"/>
  </r>
  <r>
    <x v="3371"/>
    <x v="0"/>
    <x v="210"/>
    <n v="7011505686"/>
    <n v="11389.03"/>
    <s v="UK pounds"/>
    <s v="Euro"/>
    <x v="0"/>
    <s v="Italy"/>
    <x v="1"/>
    <x v="0"/>
    <x v="1"/>
    <s v="Potential Layering"/>
    <x v="0"/>
  </r>
  <r>
    <x v="3372"/>
    <x v="0"/>
    <x v="2689"/>
    <n v="9351862145"/>
    <n v="2820.46"/>
    <s v="UK pounds"/>
    <s v="UK pounds"/>
    <x v="0"/>
    <s v="UK"/>
    <x v="4"/>
    <x v="0"/>
    <x v="2"/>
    <s v="Consistent"/>
    <x v="0"/>
  </r>
  <r>
    <x v="3373"/>
    <x v="0"/>
    <x v="2690"/>
    <n v="6855935396"/>
    <n v="4583.38"/>
    <s v="UK pounds"/>
    <s v="UK pounds"/>
    <x v="0"/>
    <s v="UK"/>
    <x v="3"/>
    <x v="0"/>
    <x v="3"/>
    <s v="Consistent"/>
    <x v="0"/>
  </r>
  <r>
    <x v="3374"/>
    <x v="0"/>
    <x v="2691"/>
    <n v="4622043725"/>
    <n v="22965.62"/>
    <s v="UK pounds"/>
    <s v="UK pounds"/>
    <x v="0"/>
    <s v="UK"/>
    <x v="3"/>
    <x v="0"/>
    <x v="2"/>
    <s v="Consistent"/>
    <x v="0"/>
  </r>
  <r>
    <x v="3374"/>
    <x v="0"/>
    <x v="2692"/>
    <n v="5466123934"/>
    <n v="6475.43"/>
    <s v="UK pounds"/>
    <s v="UK pounds"/>
    <x v="0"/>
    <s v="UK"/>
    <x v="5"/>
    <x v="0"/>
    <x v="3"/>
    <s v="Consistent"/>
    <x v="0"/>
  </r>
  <r>
    <x v="3375"/>
    <x v="0"/>
    <x v="2693"/>
    <n v="5177860885"/>
    <n v="1384.79"/>
    <s v="UK pounds"/>
    <s v="UK pounds"/>
    <x v="0"/>
    <s v="UK"/>
    <x v="2"/>
    <x v="0"/>
    <x v="2"/>
    <s v="Consistent"/>
    <x v="0"/>
  </r>
  <r>
    <x v="3376"/>
    <x v="0"/>
    <x v="2694"/>
    <n v="2335777366"/>
    <n v="455.37"/>
    <s v="UK pounds"/>
    <s v="UK pounds"/>
    <x v="0"/>
    <s v="UK"/>
    <x v="0"/>
    <x v="0"/>
    <x v="0"/>
    <s v="Consistent"/>
    <x v="0"/>
  </r>
  <r>
    <x v="3376"/>
    <x v="0"/>
    <x v="2695"/>
    <n v="2496345098"/>
    <n v="6876.02"/>
    <s v="UK pounds"/>
    <s v="UK pounds"/>
    <x v="0"/>
    <s v="UK"/>
    <x v="2"/>
    <x v="0"/>
    <x v="2"/>
    <s v="Consistent"/>
    <x v="0"/>
  </r>
  <r>
    <x v="3377"/>
    <x v="0"/>
    <x v="2696"/>
    <n v="4726958637"/>
    <n v="3981.33"/>
    <s v="UK pounds"/>
    <s v="Euro"/>
    <x v="0"/>
    <s v="France"/>
    <x v="1"/>
    <x v="0"/>
    <x v="2"/>
    <s v="Potential Layering"/>
    <x v="0"/>
  </r>
  <r>
    <x v="3377"/>
    <x v="0"/>
    <x v="2697"/>
    <n v="293375797"/>
    <n v="5256.05"/>
    <s v="UK pounds"/>
    <s v="UK pounds"/>
    <x v="0"/>
    <s v="UK"/>
    <x v="4"/>
    <x v="0"/>
    <x v="4"/>
    <s v="Consistent"/>
    <x v="0"/>
  </r>
  <r>
    <x v="3378"/>
    <x v="0"/>
    <x v="1292"/>
    <n v="6035911595"/>
    <n v="1960.13"/>
    <s v="UK pounds"/>
    <s v="UK pounds"/>
    <x v="0"/>
    <s v="UK"/>
    <x v="2"/>
    <x v="0"/>
    <x v="2"/>
    <s v="Consistent"/>
    <x v="0"/>
  </r>
  <r>
    <x v="3379"/>
    <x v="0"/>
    <x v="2698"/>
    <n v="6306150528"/>
    <n v="598.04999999999995"/>
    <s v="UK pounds"/>
    <s v="UK pounds"/>
    <x v="0"/>
    <s v="UK"/>
    <x v="0"/>
    <x v="0"/>
    <x v="0"/>
    <s v="Consistent"/>
    <x v="0"/>
  </r>
  <r>
    <x v="3380"/>
    <x v="0"/>
    <x v="2699"/>
    <n v="7230082377"/>
    <n v="3389.83"/>
    <s v="UK pounds"/>
    <s v="UK pounds"/>
    <x v="0"/>
    <s v="UK"/>
    <x v="4"/>
    <x v="0"/>
    <x v="2"/>
    <s v="Consistent"/>
    <x v="0"/>
  </r>
  <r>
    <x v="3381"/>
    <x v="0"/>
    <x v="63"/>
    <n v="8572828015"/>
    <n v="5639.15"/>
    <s v="UK pounds"/>
    <s v="Euro"/>
    <x v="0"/>
    <s v="UK"/>
    <x v="4"/>
    <x v="0"/>
    <x v="1"/>
    <s v="Potential Layering"/>
    <x v="0"/>
  </r>
  <r>
    <x v="3382"/>
    <x v="0"/>
    <x v="124"/>
    <n v="3230579354"/>
    <n v="10964.63"/>
    <s v="UK pounds"/>
    <s v="UK pounds"/>
    <x v="0"/>
    <s v="UK"/>
    <x v="5"/>
    <x v="0"/>
    <x v="1"/>
    <s v="Consistent"/>
    <x v="0"/>
  </r>
  <r>
    <x v="3383"/>
    <x v="0"/>
    <x v="1096"/>
    <n v="1431561040"/>
    <n v="16386.05"/>
    <s v="UK pounds"/>
    <s v="UK pounds"/>
    <x v="0"/>
    <s v="UK"/>
    <x v="2"/>
    <x v="0"/>
    <x v="3"/>
    <s v="Consistent"/>
    <x v="0"/>
  </r>
  <r>
    <x v="3383"/>
    <x v="0"/>
    <x v="2700"/>
    <n v="4289603223"/>
    <n v="1584.4"/>
    <s v="UK pounds"/>
    <s v="UK pounds"/>
    <x v="0"/>
    <s v="UK"/>
    <x v="4"/>
    <x v="0"/>
    <x v="2"/>
    <s v="Consistent"/>
    <x v="0"/>
  </r>
  <r>
    <x v="3384"/>
    <x v="0"/>
    <x v="1300"/>
    <n v="7938837088"/>
    <n v="6321.43"/>
    <s v="UK pounds"/>
    <s v="UK pounds"/>
    <x v="0"/>
    <s v="UK"/>
    <x v="2"/>
    <x v="0"/>
    <x v="2"/>
    <s v="Consistent"/>
    <x v="0"/>
  </r>
  <r>
    <x v="3385"/>
    <x v="0"/>
    <x v="2701"/>
    <n v="6651765338"/>
    <n v="59.21"/>
    <s v="UK pounds"/>
    <s v="UK pounds"/>
    <x v="0"/>
    <s v="UK"/>
    <x v="6"/>
    <x v="0"/>
    <x v="5"/>
    <s v="Consistent"/>
    <x v="0"/>
  </r>
  <r>
    <x v="3386"/>
    <x v="0"/>
    <x v="81"/>
    <n v="9745680135"/>
    <n v="12773.85"/>
    <s v="UK pounds"/>
    <s v="Yen"/>
    <x v="0"/>
    <s v="Japan"/>
    <x v="1"/>
    <x v="0"/>
    <x v="1"/>
    <s v="Potential Layering"/>
    <x v="0"/>
  </r>
  <r>
    <x v="3386"/>
    <x v="0"/>
    <x v="669"/>
    <n v="7160736915"/>
    <n v="6617.22"/>
    <s v="UK pounds"/>
    <s v="UK pounds"/>
    <x v="0"/>
    <s v="UK"/>
    <x v="2"/>
    <x v="0"/>
    <x v="3"/>
    <s v="Consistent"/>
    <x v="0"/>
  </r>
  <r>
    <x v="3387"/>
    <x v="0"/>
    <x v="161"/>
    <n v="954066234"/>
    <n v="5946"/>
    <s v="UK pounds"/>
    <s v="UK pounds"/>
    <x v="0"/>
    <s v="UK"/>
    <x v="5"/>
    <x v="0"/>
    <x v="1"/>
    <s v="Consistent"/>
    <x v="0"/>
  </r>
  <r>
    <x v="3388"/>
    <x v="0"/>
    <x v="2702"/>
    <n v="7228879969"/>
    <n v="4720.8900000000003"/>
    <s v="UK pounds"/>
    <s v="UK pounds"/>
    <x v="0"/>
    <s v="UK"/>
    <x v="5"/>
    <x v="0"/>
    <x v="2"/>
    <s v="Consistent"/>
    <x v="0"/>
  </r>
  <r>
    <x v="3388"/>
    <x v="0"/>
    <x v="2703"/>
    <n v="3781223505"/>
    <n v="157.08000000000001"/>
    <s v="UK pounds"/>
    <s v="UK pounds"/>
    <x v="0"/>
    <s v="UK"/>
    <x v="6"/>
    <x v="0"/>
    <x v="5"/>
    <s v="Consistent"/>
    <x v="0"/>
  </r>
  <r>
    <x v="3388"/>
    <x v="0"/>
    <x v="81"/>
    <n v="7659797939"/>
    <n v="5792.02"/>
    <s v="UK pounds"/>
    <s v="UK pounds"/>
    <x v="0"/>
    <s v="UK"/>
    <x v="4"/>
    <x v="0"/>
    <x v="1"/>
    <s v="Consistent"/>
    <x v="0"/>
  </r>
  <r>
    <x v="3389"/>
    <x v="0"/>
    <x v="2704"/>
    <n v="3098762122"/>
    <n v="23929.73"/>
    <s v="UK pounds"/>
    <s v="UK pounds"/>
    <x v="0"/>
    <s v="UK"/>
    <x v="4"/>
    <x v="0"/>
    <x v="8"/>
    <s v="Consistent"/>
    <x v="0"/>
  </r>
  <r>
    <x v="3390"/>
    <x v="0"/>
    <x v="2705"/>
    <n v="9606537579"/>
    <n v="589.78"/>
    <s v="UK pounds"/>
    <s v="UK pounds"/>
    <x v="0"/>
    <s v="UK"/>
    <x v="5"/>
    <x v="0"/>
    <x v="4"/>
    <s v="Consistent"/>
    <x v="0"/>
  </r>
  <r>
    <x v="3391"/>
    <x v="0"/>
    <x v="2706"/>
    <n v="4106959965"/>
    <n v="2125.33"/>
    <s v="UK pounds"/>
    <s v="Moroccan dirham"/>
    <x v="0"/>
    <s v="Morocco"/>
    <x v="1"/>
    <x v="0"/>
    <x v="2"/>
    <s v="Potential Layering"/>
    <x v="0"/>
  </r>
  <r>
    <x v="3391"/>
    <x v="0"/>
    <x v="980"/>
    <n v="6034997194"/>
    <n v="5203.3100000000004"/>
    <s v="UK pounds"/>
    <s v="UK pounds"/>
    <x v="0"/>
    <s v="UK"/>
    <x v="2"/>
    <x v="0"/>
    <x v="3"/>
    <s v="Consistent"/>
    <x v="0"/>
  </r>
  <r>
    <x v="3392"/>
    <x v="0"/>
    <x v="2707"/>
    <n v="6538540101"/>
    <n v="5414.27"/>
    <s v="UK pounds"/>
    <s v="UK pounds"/>
    <x v="0"/>
    <s v="UK"/>
    <x v="0"/>
    <x v="0"/>
    <x v="0"/>
    <s v="Consistent"/>
    <x v="0"/>
  </r>
  <r>
    <x v="3393"/>
    <x v="0"/>
    <x v="2708"/>
    <n v="8289935297"/>
    <n v="2193.81"/>
    <s v="US dollar"/>
    <s v="UK pounds"/>
    <x v="0"/>
    <s v="UK"/>
    <x v="4"/>
    <x v="0"/>
    <x v="2"/>
    <s v="Potential Layering"/>
    <x v="0"/>
  </r>
  <r>
    <x v="3394"/>
    <x v="0"/>
    <x v="2709"/>
    <n v="4952034138"/>
    <n v="13612.93"/>
    <s v="UK pounds"/>
    <s v="UK pounds"/>
    <x v="0"/>
    <s v="UK"/>
    <x v="2"/>
    <x v="0"/>
    <x v="2"/>
    <s v="Consistent"/>
    <x v="0"/>
  </r>
  <r>
    <x v="3394"/>
    <x v="0"/>
    <x v="40"/>
    <n v="8384550734"/>
    <n v="4813.5"/>
    <s v="UK pounds"/>
    <s v="UK pounds"/>
    <x v="0"/>
    <s v="UK"/>
    <x v="2"/>
    <x v="0"/>
    <x v="1"/>
    <s v="Consistent"/>
    <x v="0"/>
  </r>
  <r>
    <x v="3394"/>
    <x v="0"/>
    <x v="282"/>
    <n v="1316458123"/>
    <n v="5749.23"/>
    <s v="UK pounds"/>
    <s v="Mexican Peso"/>
    <x v="0"/>
    <s v="Mexico"/>
    <x v="1"/>
    <x v="0"/>
    <x v="3"/>
    <s v="Potential Layering"/>
    <x v="0"/>
  </r>
  <r>
    <x v="3395"/>
    <x v="0"/>
    <x v="2456"/>
    <n v="1465487567"/>
    <n v="11639.33"/>
    <s v="UK pounds"/>
    <s v="UK pounds"/>
    <x v="0"/>
    <s v="UK"/>
    <x v="5"/>
    <x v="0"/>
    <x v="3"/>
    <s v="Consistent"/>
    <x v="0"/>
  </r>
  <r>
    <x v="3396"/>
    <x v="0"/>
    <x v="243"/>
    <n v="8135174919"/>
    <n v="10776.71"/>
    <s v="Euro"/>
    <s v="UK pounds"/>
    <x v="4"/>
    <s v="UK"/>
    <x v="1"/>
    <x v="0"/>
    <x v="1"/>
    <s v="Potential Layering"/>
    <x v="0"/>
  </r>
  <r>
    <x v="3397"/>
    <x v="0"/>
    <x v="2710"/>
    <n v="4726015430"/>
    <n v="3744.56"/>
    <s v="UK pounds"/>
    <s v="UK pounds"/>
    <x v="0"/>
    <s v="UK"/>
    <x v="0"/>
    <x v="0"/>
    <x v="0"/>
    <s v="Consistent"/>
    <x v="0"/>
  </r>
  <r>
    <x v="3398"/>
    <x v="0"/>
    <x v="2711"/>
    <n v="7733465560"/>
    <n v="3401.78"/>
    <s v="UK pounds"/>
    <s v="UK pounds"/>
    <x v="0"/>
    <s v="UK"/>
    <x v="2"/>
    <x v="0"/>
    <x v="2"/>
    <s v="Consistent"/>
    <x v="0"/>
  </r>
  <r>
    <x v="3399"/>
    <x v="0"/>
    <x v="2712"/>
    <n v="247238854"/>
    <n v="1657.11"/>
    <s v="UK pounds"/>
    <s v="UK pounds"/>
    <x v="0"/>
    <s v="UK"/>
    <x v="4"/>
    <x v="0"/>
    <x v="4"/>
    <s v="Consistent"/>
    <x v="0"/>
  </r>
  <r>
    <x v="3400"/>
    <x v="0"/>
    <x v="2713"/>
    <n v="7294407426"/>
    <n v="2317.84"/>
    <s v="UK pounds"/>
    <s v="UK pounds"/>
    <x v="0"/>
    <s v="UK"/>
    <x v="4"/>
    <x v="0"/>
    <x v="2"/>
    <s v="Consistent"/>
    <x v="0"/>
  </r>
  <r>
    <x v="3401"/>
    <x v="0"/>
    <x v="1239"/>
    <n v="5109623450"/>
    <n v="9208.7000000000007"/>
    <s v="UK pounds"/>
    <s v="UK pounds"/>
    <x v="0"/>
    <s v="UK"/>
    <x v="2"/>
    <x v="0"/>
    <x v="3"/>
    <s v="Consistent"/>
    <x v="0"/>
  </r>
  <r>
    <x v="3402"/>
    <x v="0"/>
    <x v="156"/>
    <n v="1465487567"/>
    <n v="5848.61"/>
    <s v="UK pounds"/>
    <s v="UK pounds"/>
    <x v="0"/>
    <s v="UK"/>
    <x v="5"/>
    <x v="0"/>
    <x v="3"/>
    <s v="Consistent"/>
    <x v="0"/>
  </r>
  <r>
    <x v="3402"/>
    <x v="0"/>
    <x v="2714"/>
    <n v="7444709161"/>
    <n v="16629.59"/>
    <s v="UK pounds"/>
    <s v="Euro"/>
    <x v="0"/>
    <s v="Italy"/>
    <x v="1"/>
    <x v="0"/>
    <x v="2"/>
    <s v="Potential Layering"/>
    <x v="0"/>
  </r>
  <r>
    <x v="3403"/>
    <x v="0"/>
    <x v="2715"/>
    <n v="385669822"/>
    <n v="6413.33"/>
    <s v="UK pounds"/>
    <s v="UK pounds"/>
    <x v="0"/>
    <s v="UK"/>
    <x v="3"/>
    <x v="0"/>
    <x v="2"/>
    <s v="Consistent"/>
    <x v="0"/>
  </r>
  <r>
    <x v="3404"/>
    <x v="0"/>
    <x v="2716"/>
    <n v="3116345888"/>
    <n v="4675"/>
    <s v="UK pounds"/>
    <s v="UK pounds"/>
    <x v="0"/>
    <s v="UK"/>
    <x v="2"/>
    <x v="0"/>
    <x v="2"/>
    <s v="Consistent"/>
    <x v="0"/>
  </r>
  <r>
    <x v="3405"/>
    <x v="0"/>
    <x v="86"/>
    <n v="1140410616"/>
    <n v="4981.32"/>
    <s v="UK pounds"/>
    <s v="UK pounds"/>
    <x v="0"/>
    <s v="UK"/>
    <x v="3"/>
    <x v="0"/>
    <x v="1"/>
    <s v="Consistent"/>
    <x v="0"/>
  </r>
  <r>
    <x v="3406"/>
    <x v="0"/>
    <x v="435"/>
    <n v="1493436023"/>
    <n v="16361.21"/>
    <s v="UK pounds"/>
    <s v="UK pounds"/>
    <x v="0"/>
    <s v="UK"/>
    <x v="4"/>
    <x v="0"/>
    <x v="3"/>
    <s v="Consistent"/>
    <x v="0"/>
  </r>
  <r>
    <x v="3407"/>
    <x v="0"/>
    <x v="2717"/>
    <n v="9736890208"/>
    <n v="1254.9000000000001"/>
    <s v="UK pounds"/>
    <s v="UK pounds"/>
    <x v="0"/>
    <s v="UK"/>
    <x v="3"/>
    <x v="0"/>
    <x v="4"/>
    <s v="Consistent"/>
    <x v="0"/>
  </r>
  <r>
    <x v="3408"/>
    <x v="0"/>
    <x v="150"/>
    <n v="5240847125"/>
    <n v="6181.7"/>
    <s v="UK pounds"/>
    <s v="UK pounds"/>
    <x v="0"/>
    <s v="UK"/>
    <x v="3"/>
    <x v="0"/>
    <x v="1"/>
    <s v="Consistent"/>
    <x v="0"/>
  </r>
  <r>
    <x v="3409"/>
    <x v="0"/>
    <x v="2718"/>
    <n v="9234906087"/>
    <n v="1371.72"/>
    <s v="UK pounds"/>
    <s v="UK pounds"/>
    <x v="0"/>
    <s v="UK"/>
    <x v="2"/>
    <x v="0"/>
    <x v="2"/>
    <s v="Consistent"/>
    <x v="0"/>
  </r>
  <r>
    <x v="3410"/>
    <x v="0"/>
    <x v="2719"/>
    <n v="9543116061"/>
    <n v="7660.74"/>
    <s v="UK pounds"/>
    <s v="UK pounds"/>
    <x v="0"/>
    <s v="UK"/>
    <x v="4"/>
    <x v="0"/>
    <x v="2"/>
    <s v="Consistent"/>
    <x v="0"/>
  </r>
  <r>
    <x v="3410"/>
    <x v="0"/>
    <x v="2603"/>
    <n v="1271393848"/>
    <n v="2398.91"/>
    <s v="UK pounds"/>
    <s v="UK pounds"/>
    <x v="0"/>
    <s v="UK"/>
    <x v="4"/>
    <x v="0"/>
    <x v="4"/>
    <s v="Consistent"/>
    <x v="0"/>
  </r>
  <r>
    <x v="3411"/>
    <x v="0"/>
    <x v="2720"/>
    <n v="2696738269"/>
    <n v="1536.53"/>
    <s v="UK pounds"/>
    <s v="UK pounds"/>
    <x v="0"/>
    <s v="UK"/>
    <x v="3"/>
    <x v="0"/>
    <x v="2"/>
    <s v="Consistent"/>
    <x v="0"/>
  </r>
  <r>
    <x v="3412"/>
    <x v="0"/>
    <x v="40"/>
    <n v="3794172311"/>
    <n v="6886.56"/>
    <s v="UK pounds"/>
    <s v="UK pounds"/>
    <x v="0"/>
    <s v="UK"/>
    <x v="4"/>
    <x v="0"/>
    <x v="1"/>
    <s v="Consistent"/>
    <x v="0"/>
  </r>
  <r>
    <x v="3413"/>
    <x v="0"/>
    <x v="2131"/>
    <n v="8352571580"/>
    <n v="4488.74"/>
    <s v="UK pounds"/>
    <s v="UK pounds"/>
    <x v="0"/>
    <s v="UK"/>
    <x v="2"/>
    <x v="0"/>
    <x v="3"/>
    <s v="Consistent"/>
    <x v="0"/>
  </r>
  <r>
    <x v="3414"/>
    <x v="0"/>
    <x v="2721"/>
    <n v="8172080174"/>
    <n v="5469.53"/>
    <s v="UK pounds"/>
    <s v="UK pounds"/>
    <x v="0"/>
    <s v="UK"/>
    <x v="5"/>
    <x v="0"/>
    <x v="3"/>
    <s v="Consistent"/>
    <x v="0"/>
  </r>
  <r>
    <x v="3415"/>
    <x v="0"/>
    <x v="2722"/>
    <n v="191102945"/>
    <n v="2698.29"/>
    <s v="UK pounds"/>
    <s v="UK pounds"/>
    <x v="0"/>
    <s v="UK"/>
    <x v="3"/>
    <x v="0"/>
    <x v="2"/>
    <s v="Consistent"/>
    <x v="0"/>
  </r>
  <r>
    <x v="3416"/>
    <x v="0"/>
    <x v="2723"/>
    <n v="2647394696"/>
    <n v="3459.51"/>
    <s v="UK pounds"/>
    <s v="UK pounds"/>
    <x v="0"/>
    <s v="UK"/>
    <x v="5"/>
    <x v="0"/>
    <x v="2"/>
    <s v="Consistent"/>
    <x v="0"/>
  </r>
  <r>
    <x v="3417"/>
    <x v="0"/>
    <x v="2724"/>
    <n v="7133861198"/>
    <n v="6424.88"/>
    <s v="UK pounds"/>
    <s v="UK pounds"/>
    <x v="0"/>
    <s v="UK"/>
    <x v="5"/>
    <x v="0"/>
    <x v="2"/>
    <s v="Consistent"/>
    <x v="0"/>
  </r>
  <r>
    <x v="3417"/>
    <x v="0"/>
    <x v="2725"/>
    <n v="7080357663"/>
    <n v="12694.46"/>
    <s v="UK pounds"/>
    <s v="UK pounds"/>
    <x v="0"/>
    <s v="UK"/>
    <x v="5"/>
    <x v="0"/>
    <x v="3"/>
    <s v="Consistent"/>
    <x v="0"/>
  </r>
  <r>
    <x v="3418"/>
    <x v="0"/>
    <x v="960"/>
    <n v="4336977506"/>
    <n v="8605.11"/>
    <s v="UK pounds"/>
    <s v="UK pounds"/>
    <x v="0"/>
    <s v="UK"/>
    <x v="2"/>
    <x v="0"/>
    <x v="3"/>
    <s v="Consistent"/>
    <x v="0"/>
  </r>
  <r>
    <x v="3419"/>
    <x v="0"/>
    <x v="2726"/>
    <n v="8784613261"/>
    <n v="2442.14"/>
    <s v="UK pounds"/>
    <s v="UK pounds"/>
    <x v="0"/>
    <s v="UK"/>
    <x v="2"/>
    <x v="0"/>
    <x v="2"/>
    <s v="Consistent"/>
    <x v="0"/>
  </r>
  <r>
    <x v="3420"/>
    <x v="0"/>
    <x v="2727"/>
    <n v="5628674969"/>
    <n v="6327.17"/>
    <s v="UK pounds"/>
    <s v="UK pounds"/>
    <x v="0"/>
    <s v="UK"/>
    <x v="5"/>
    <x v="0"/>
    <x v="3"/>
    <s v="Consistent"/>
    <x v="0"/>
  </r>
  <r>
    <x v="3421"/>
    <x v="0"/>
    <x v="1964"/>
    <n v="5858369125"/>
    <n v="12584.21"/>
    <s v="UK pounds"/>
    <s v="UK pounds"/>
    <x v="0"/>
    <s v="UK"/>
    <x v="5"/>
    <x v="0"/>
    <x v="3"/>
    <s v="Consistent"/>
    <x v="0"/>
  </r>
  <r>
    <x v="3422"/>
    <x v="0"/>
    <x v="243"/>
    <n v="9281561360"/>
    <n v="22024.28"/>
    <s v="Euro"/>
    <s v="UK pounds"/>
    <x v="4"/>
    <s v="UK"/>
    <x v="1"/>
    <x v="0"/>
    <x v="1"/>
    <s v="Potential Layering"/>
    <x v="0"/>
  </r>
  <r>
    <x v="3422"/>
    <x v="0"/>
    <x v="2728"/>
    <n v="8756736399"/>
    <n v="82.65"/>
    <s v="UK pounds"/>
    <s v="UK pounds"/>
    <x v="0"/>
    <s v="UK"/>
    <x v="4"/>
    <x v="0"/>
    <x v="2"/>
    <s v="Consistent"/>
    <x v="0"/>
  </r>
  <r>
    <x v="3423"/>
    <x v="0"/>
    <x v="961"/>
    <n v="2534644942"/>
    <n v="5162.45"/>
    <s v="UK pounds"/>
    <s v="Euro"/>
    <x v="0"/>
    <s v="France"/>
    <x v="1"/>
    <x v="0"/>
    <x v="3"/>
    <s v="Potential Layering"/>
    <x v="0"/>
  </r>
  <r>
    <x v="3423"/>
    <x v="0"/>
    <x v="2729"/>
    <n v="8162326457"/>
    <n v="3665.03"/>
    <s v="UK pounds"/>
    <s v="UK pounds"/>
    <x v="0"/>
    <s v="UK"/>
    <x v="2"/>
    <x v="0"/>
    <x v="2"/>
    <s v="Consistent"/>
    <x v="0"/>
  </r>
  <r>
    <x v="3424"/>
    <x v="0"/>
    <x v="2730"/>
    <n v="8228282373"/>
    <n v="3593.08"/>
    <s v="UK pounds"/>
    <s v="UK pounds"/>
    <x v="0"/>
    <s v="UK"/>
    <x v="2"/>
    <x v="0"/>
    <x v="2"/>
    <s v="Consistent"/>
    <x v="0"/>
  </r>
  <r>
    <x v="3424"/>
    <x v="0"/>
    <x v="1639"/>
    <n v="6444220418"/>
    <n v="20350.939999999999"/>
    <s v="UK pounds"/>
    <s v="UK pounds"/>
    <x v="0"/>
    <s v="UK"/>
    <x v="5"/>
    <x v="0"/>
    <x v="3"/>
    <s v="Consistent"/>
    <x v="0"/>
  </r>
  <r>
    <x v="3425"/>
    <x v="0"/>
    <x v="2731"/>
    <n v="6064532869"/>
    <n v="1828.56"/>
    <s v="UK pounds"/>
    <s v="UK pounds"/>
    <x v="0"/>
    <s v="UK"/>
    <x v="2"/>
    <x v="0"/>
    <x v="2"/>
    <s v="Consistent"/>
    <x v="0"/>
  </r>
  <r>
    <x v="3426"/>
    <x v="0"/>
    <x v="2732"/>
    <n v="4173195094"/>
    <n v="6649.85"/>
    <s v="UK pounds"/>
    <s v="UK pounds"/>
    <x v="0"/>
    <s v="UK"/>
    <x v="4"/>
    <x v="0"/>
    <x v="3"/>
    <s v="Consistent"/>
    <x v="0"/>
  </r>
  <r>
    <x v="3427"/>
    <x v="0"/>
    <x v="198"/>
    <n v="5885798493"/>
    <n v="9545.0499999999993"/>
    <s v="UK pounds"/>
    <s v="UK pounds"/>
    <x v="0"/>
    <s v="UK"/>
    <x v="2"/>
    <x v="0"/>
    <x v="2"/>
    <s v="Consistent"/>
    <x v="0"/>
  </r>
  <r>
    <x v="3428"/>
    <x v="0"/>
    <x v="1516"/>
    <n v="4432690383"/>
    <n v="8300.65"/>
    <s v="UK pounds"/>
    <s v="UK pounds"/>
    <x v="0"/>
    <s v="UK"/>
    <x v="3"/>
    <x v="0"/>
    <x v="6"/>
    <s v="Consistent"/>
    <x v="0"/>
  </r>
  <r>
    <x v="3429"/>
    <x v="0"/>
    <x v="2733"/>
    <n v="4385630974"/>
    <n v="2252.35"/>
    <s v="UK pounds"/>
    <s v="UK pounds"/>
    <x v="0"/>
    <s v="UK"/>
    <x v="4"/>
    <x v="0"/>
    <x v="2"/>
    <s v="Consistent"/>
    <x v="0"/>
  </r>
  <r>
    <x v="3429"/>
    <x v="0"/>
    <x v="2734"/>
    <n v="8899448463"/>
    <n v="1687.29"/>
    <s v="UK pounds"/>
    <s v="UK pounds"/>
    <x v="0"/>
    <s v="UK"/>
    <x v="0"/>
    <x v="0"/>
    <x v="0"/>
    <s v="Consistent"/>
    <x v="0"/>
  </r>
  <r>
    <x v="3430"/>
    <x v="0"/>
    <x v="161"/>
    <n v="8410469287"/>
    <n v="8923.4500000000007"/>
    <s v="Yen"/>
    <s v="UK pounds"/>
    <x v="0"/>
    <s v="UK"/>
    <x v="3"/>
    <x v="0"/>
    <x v="1"/>
    <s v="Potential Layering"/>
    <x v="0"/>
  </r>
  <r>
    <x v="3431"/>
    <x v="0"/>
    <x v="561"/>
    <n v="1057388918"/>
    <n v="3507.77"/>
    <s v="UK pounds"/>
    <s v="UK pounds"/>
    <x v="0"/>
    <s v="UK"/>
    <x v="3"/>
    <x v="0"/>
    <x v="2"/>
    <s v="Consistent"/>
    <x v="0"/>
  </r>
  <r>
    <x v="3432"/>
    <x v="0"/>
    <x v="2735"/>
    <n v="8273831180"/>
    <n v="530.25"/>
    <s v="UK pounds"/>
    <s v="UK pounds"/>
    <x v="0"/>
    <s v="UK"/>
    <x v="3"/>
    <x v="0"/>
    <x v="2"/>
    <s v="Consistent"/>
    <x v="0"/>
  </r>
  <r>
    <x v="3432"/>
    <x v="0"/>
    <x v="2736"/>
    <n v="9142843211"/>
    <n v="2578.25"/>
    <s v="UK pounds"/>
    <s v="UK pounds"/>
    <x v="0"/>
    <s v="UK"/>
    <x v="3"/>
    <x v="0"/>
    <x v="4"/>
    <s v="Consistent"/>
    <x v="0"/>
  </r>
  <r>
    <x v="3433"/>
    <x v="0"/>
    <x v="2737"/>
    <n v="5031896657"/>
    <n v="3428.17"/>
    <s v="UK pounds"/>
    <s v="UK pounds"/>
    <x v="0"/>
    <s v="UK"/>
    <x v="4"/>
    <x v="0"/>
    <x v="2"/>
    <s v="Consistent"/>
    <x v="0"/>
  </r>
  <r>
    <x v="3434"/>
    <x v="0"/>
    <x v="68"/>
    <n v="3325153054"/>
    <n v="9996.4599999999991"/>
    <s v="Euro"/>
    <s v="UK pounds"/>
    <x v="0"/>
    <s v="UK"/>
    <x v="2"/>
    <x v="0"/>
    <x v="1"/>
    <s v="Potential Layering"/>
    <x v="0"/>
  </r>
  <r>
    <x v="3435"/>
    <x v="0"/>
    <x v="8"/>
    <n v="7249249682"/>
    <n v="5730.95"/>
    <s v="UK pounds"/>
    <s v="UK pounds"/>
    <x v="0"/>
    <s v="UK"/>
    <x v="4"/>
    <x v="0"/>
    <x v="1"/>
    <s v="Consistent"/>
    <x v="0"/>
  </r>
  <r>
    <x v="3436"/>
    <x v="0"/>
    <x v="238"/>
    <n v="6066458462"/>
    <n v="5837.09"/>
    <s v="UK pounds"/>
    <s v="UK pounds"/>
    <x v="0"/>
    <s v="UK"/>
    <x v="5"/>
    <x v="0"/>
    <x v="1"/>
    <s v="Consistent"/>
    <x v="0"/>
  </r>
  <r>
    <x v="3437"/>
    <x v="0"/>
    <x v="40"/>
    <n v="375015805"/>
    <n v="4413.88"/>
    <s v="UK pounds"/>
    <s v="UK pounds"/>
    <x v="0"/>
    <s v="UK"/>
    <x v="4"/>
    <x v="0"/>
    <x v="1"/>
    <s v="Consistent"/>
    <x v="0"/>
  </r>
  <r>
    <x v="3437"/>
    <x v="0"/>
    <x v="2310"/>
    <n v="8172080174"/>
    <n v="6972.44"/>
    <s v="UK pounds"/>
    <s v="UK pounds"/>
    <x v="0"/>
    <s v="UK"/>
    <x v="5"/>
    <x v="0"/>
    <x v="3"/>
    <s v="Consistent"/>
    <x v="0"/>
  </r>
  <r>
    <x v="3438"/>
    <x v="0"/>
    <x v="2738"/>
    <n v="2404595376"/>
    <n v="8337.77"/>
    <s v="UK pounds"/>
    <s v="UK pounds"/>
    <x v="0"/>
    <s v="UK"/>
    <x v="4"/>
    <x v="0"/>
    <x v="2"/>
    <s v="Consistent"/>
    <x v="0"/>
  </r>
  <r>
    <x v="3439"/>
    <x v="0"/>
    <x v="2739"/>
    <n v="7136708043"/>
    <n v="3503.1"/>
    <s v="UK pounds"/>
    <s v="UK pounds"/>
    <x v="0"/>
    <s v="UK"/>
    <x v="4"/>
    <x v="0"/>
    <x v="2"/>
    <s v="Consistent"/>
    <x v="0"/>
  </r>
  <r>
    <x v="3439"/>
    <x v="0"/>
    <x v="8"/>
    <n v="224176497"/>
    <n v="4610.66"/>
    <s v="UK pounds"/>
    <s v="UK pounds"/>
    <x v="0"/>
    <s v="UK"/>
    <x v="5"/>
    <x v="0"/>
    <x v="1"/>
    <s v="Consistent"/>
    <x v="0"/>
  </r>
  <r>
    <x v="3439"/>
    <x v="0"/>
    <x v="51"/>
    <n v="5367802555"/>
    <n v="8054.29"/>
    <s v="UK pounds"/>
    <s v="UK pounds"/>
    <x v="0"/>
    <s v="UK"/>
    <x v="5"/>
    <x v="0"/>
    <x v="1"/>
    <s v="Consistent"/>
    <x v="0"/>
  </r>
  <r>
    <x v="3440"/>
    <x v="0"/>
    <x v="2740"/>
    <n v="965178304"/>
    <n v="6866.78"/>
    <s v="UK pounds"/>
    <s v="UK pounds"/>
    <x v="0"/>
    <s v="UK"/>
    <x v="3"/>
    <x v="0"/>
    <x v="2"/>
    <s v="Consistent"/>
    <x v="0"/>
  </r>
  <r>
    <x v="3441"/>
    <x v="0"/>
    <x v="1941"/>
    <n v="8882946998"/>
    <n v="2313.9"/>
    <s v="UK pounds"/>
    <s v="UK pounds"/>
    <x v="0"/>
    <s v="UK"/>
    <x v="4"/>
    <x v="0"/>
    <x v="2"/>
    <s v="Consistent"/>
    <x v="0"/>
  </r>
  <r>
    <x v="3441"/>
    <x v="0"/>
    <x v="2741"/>
    <n v="2534644942"/>
    <n v="5866.16"/>
    <s v="UK pounds"/>
    <s v="Euro"/>
    <x v="0"/>
    <s v="France"/>
    <x v="1"/>
    <x v="0"/>
    <x v="3"/>
    <s v="Potential Layering"/>
    <x v="0"/>
  </r>
  <r>
    <x v="3441"/>
    <x v="0"/>
    <x v="2742"/>
    <n v="1316458123"/>
    <n v="8899.2800000000007"/>
    <s v="UK pounds"/>
    <s v="Mexican Peso"/>
    <x v="0"/>
    <s v="Mexico"/>
    <x v="1"/>
    <x v="0"/>
    <x v="3"/>
    <s v="Potential Layering"/>
    <x v="0"/>
  </r>
  <r>
    <x v="3442"/>
    <x v="0"/>
    <x v="2743"/>
    <n v="5024280433"/>
    <n v="19807.439999999999"/>
    <s v="UK pounds"/>
    <s v="UK pounds"/>
    <x v="0"/>
    <s v="UK"/>
    <x v="2"/>
    <x v="0"/>
    <x v="2"/>
    <s v="Consistent"/>
    <x v="0"/>
  </r>
  <r>
    <x v="3443"/>
    <x v="0"/>
    <x v="2744"/>
    <n v="3251101930"/>
    <n v="16795.330000000002"/>
    <s v="UK pounds"/>
    <s v="UK pounds"/>
    <x v="0"/>
    <s v="UK"/>
    <x v="5"/>
    <x v="0"/>
    <x v="2"/>
    <s v="Consistent"/>
    <x v="0"/>
  </r>
  <r>
    <x v="3444"/>
    <x v="0"/>
    <x v="2745"/>
    <n v="1980146147"/>
    <n v="23033.03"/>
    <s v="UK pounds"/>
    <s v="UK pounds"/>
    <x v="0"/>
    <s v="UK"/>
    <x v="4"/>
    <x v="0"/>
    <x v="2"/>
    <s v="Consistent"/>
    <x v="0"/>
  </r>
  <r>
    <x v="3445"/>
    <x v="0"/>
    <x v="2746"/>
    <n v="4007288126"/>
    <n v="2651.78"/>
    <s v="UK pounds"/>
    <s v="UK pounds"/>
    <x v="0"/>
    <s v="UK"/>
    <x v="0"/>
    <x v="0"/>
    <x v="0"/>
    <s v="Consistent"/>
    <x v="0"/>
  </r>
  <r>
    <x v="3446"/>
    <x v="0"/>
    <x v="1747"/>
    <n v="4336977506"/>
    <n v="21599.77"/>
    <s v="UK pounds"/>
    <s v="UK pounds"/>
    <x v="0"/>
    <s v="UK"/>
    <x v="5"/>
    <x v="0"/>
    <x v="3"/>
    <s v="Consistent"/>
    <x v="0"/>
  </r>
  <r>
    <x v="3447"/>
    <x v="0"/>
    <x v="238"/>
    <n v="2547799506"/>
    <n v="12313.71"/>
    <s v="UK pounds"/>
    <s v="UK pounds"/>
    <x v="0"/>
    <s v="UK"/>
    <x v="2"/>
    <x v="0"/>
    <x v="1"/>
    <s v="Consistent"/>
    <x v="0"/>
  </r>
  <r>
    <x v="3447"/>
    <x v="0"/>
    <x v="2747"/>
    <n v="7051816912"/>
    <n v="4865.57"/>
    <s v="UK pounds"/>
    <s v="UK pounds"/>
    <x v="0"/>
    <s v="UK"/>
    <x v="4"/>
    <x v="0"/>
    <x v="2"/>
    <s v="Consistent"/>
    <x v="0"/>
  </r>
  <r>
    <x v="3448"/>
    <x v="0"/>
    <x v="2027"/>
    <n v="6163750657"/>
    <n v="585.5"/>
    <s v="UK pounds"/>
    <s v="UK pounds"/>
    <x v="0"/>
    <s v="UK"/>
    <x v="4"/>
    <x v="0"/>
    <x v="2"/>
    <s v="Consistent"/>
    <x v="0"/>
  </r>
  <r>
    <x v="3449"/>
    <x v="0"/>
    <x v="873"/>
    <n v="1316458123"/>
    <n v="12861.02"/>
    <s v="UK pounds"/>
    <s v="Mexican Peso"/>
    <x v="0"/>
    <s v="Mexico"/>
    <x v="1"/>
    <x v="0"/>
    <x v="3"/>
    <s v="Potential Layering"/>
    <x v="0"/>
  </r>
  <r>
    <x v="3449"/>
    <x v="0"/>
    <x v="2748"/>
    <n v="9259863330"/>
    <n v="13634.37"/>
    <s v="UK pounds"/>
    <s v="UK pounds"/>
    <x v="0"/>
    <s v="UK"/>
    <x v="4"/>
    <x v="0"/>
    <x v="4"/>
    <s v="Consistent"/>
    <x v="0"/>
  </r>
  <r>
    <x v="3450"/>
    <x v="0"/>
    <x v="259"/>
    <n v="1148608769"/>
    <n v="97.39"/>
    <s v="UK pounds"/>
    <s v="UK pounds"/>
    <x v="0"/>
    <s v="UK"/>
    <x v="6"/>
    <x v="0"/>
    <x v="5"/>
    <s v="Consistent"/>
    <x v="0"/>
  </r>
  <r>
    <x v="3450"/>
    <x v="0"/>
    <x v="2749"/>
    <n v="5950480485"/>
    <n v="850.76"/>
    <s v="UK pounds"/>
    <s v="UK pounds"/>
    <x v="0"/>
    <s v="UK"/>
    <x v="4"/>
    <x v="0"/>
    <x v="2"/>
    <s v="Consistent"/>
    <x v="0"/>
  </r>
  <r>
    <x v="3451"/>
    <x v="0"/>
    <x v="2750"/>
    <n v="6855935396"/>
    <n v="5837.02"/>
    <s v="UK pounds"/>
    <s v="UK pounds"/>
    <x v="0"/>
    <s v="UK"/>
    <x v="3"/>
    <x v="0"/>
    <x v="3"/>
    <s v="Consistent"/>
    <x v="0"/>
  </r>
  <r>
    <x v="3451"/>
    <x v="0"/>
    <x v="8"/>
    <n v="2883324502"/>
    <n v="9645.82"/>
    <s v="UK pounds"/>
    <s v="UK pounds"/>
    <x v="0"/>
    <s v="UK"/>
    <x v="4"/>
    <x v="0"/>
    <x v="1"/>
    <s v="Consistent"/>
    <x v="0"/>
  </r>
  <r>
    <x v="3452"/>
    <x v="0"/>
    <x v="2751"/>
    <n v="3539466560"/>
    <n v="153.82"/>
    <s v="UK pounds"/>
    <s v="UK pounds"/>
    <x v="0"/>
    <s v="UK"/>
    <x v="0"/>
    <x v="0"/>
    <x v="0"/>
    <s v="Consistent"/>
    <x v="0"/>
  </r>
  <r>
    <x v="3453"/>
    <x v="0"/>
    <x v="2752"/>
    <n v="7160736915"/>
    <n v="12312.83"/>
    <s v="UK pounds"/>
    <s v="UK pounds"/>
    <x v="0"/>
    <s v="UK"/>
    <x v="2"/>
    <x v="0"/>
    <x v="3"/>
    <s v="Consistent"/>
    <x v="0"/>
  </r>
  <r>
    <x v="3454"/>
    <x v="0"/>
    <x v="2753"/>
    <n v="4140815011"/>
    <n v="2907.87"/>
    <s v="UK pounds"/>
    <s v="UK pounds"/>
    <x v="0"/>
    <s v="UK"/>
    <x v="4"/>
    <x v="0"/>
    <x v="2"/>
    <s v="Consistent"/>
    <x v="0"/>
  </r>
  <r>
    <x v="3454"/>
    <x v="0"/>
    <x v="124"/>
    <n v="6357364082"/>
    <n v="5649.73"/>
    <s v="UK pounds"/>
    <s v="UK pounds"/>
    <x v="0"/>
    <s v="UK"/>
    <x v="2"/>
    <x v="0"/>
    <x v="1"/>
    <s v="Consistent"/>
    <x v="0"/>
  </r>
  <r>
    <x v="3455"/>
    <x v="0"/>
    <x v="1114"/>
    <n v="6223365730"/>
    <n v="24652.84"/>
    <s v="UK pounds"/>
    <s v="UK pounds"/>
    <x v="0"/>
    <s v="UK"/>
    <x v="2"/>
    <x v="0"/>
    <x v="3"/>
    <s v="Consistent"/>
    <x v="0"/>
  </r>
  <r>
    <x v="3456"/>
    <x v="0"/>
    <x v="2754"/>
    <n v="6557705967"/>
    <n v="374.32"/>
    <s v="UK pounds"/>
    <s v="UK pounds"/>
    <x v="0"/>
    <s v="UK"/>
    <x v="3"/>
    <x v="0"/>
    <x v="2"/>
    <s v="Consistent"/>
    <x v="0"/>
  </r>
  <r>
    <x v="3457"/>
    <x v="0"/>
    <x v="2755"/>
    <n v="6772269955"/>
    <n v="3118.84"/>
    <s v="Albanian lek"/>
    <s v="UK pounds"/>
    <x v="0"/>
    <s v="UK"/>
    <x v="3"/>
    <x v="0"/>
    <x v="2"/>
    <s v="Potential Layering"/>
    <x v="0"/>
  </r>
  <r>
    <x v="3458"/>
    <x v="0"/>
    <x v="2674"/>
    <n v="3882248783"/>
    <n v="22242.240000000002"/>
    <s v="UK pounds"/>
    <s v="UK pounds"/>
    <x v="0"/>
    <s v="UK"/>
    <x v="4"/>
    <x v="0"/>
    <x v="2"/>
    <s v="Consistent"/>
    <x v="0"/>
  </r>
  <r>
    <x v="3458"/>
    <x v="0"/>
    <x v="2756"/>
    <n v="4181336294"/>
    <n v="29088.9"/>
    <s v="UK pounds"/>
    <s v="UK pounds"/>
    <x v="0"/>
    <s v="UK"/>
    <x v="5"/>
    <x v="0"/>
    <x v="2"/>
    <s v="Consistent"/>
    <x v="0"/>
  </r>
  <r>
    <x v="3459"/>
    <x v="0"/>
    <x v="2066"/>
    <n v="6223365730"/>
    <n v="10535.04"/>
    <s v="UK pounds"/>
    <s v="UK pounds"/>
    <x v="0"/>
    <s v="UK"/>
    <x v="3"/>
    <x v="0"/>
    <x v="3"/>
    <s v="Consistent"/>
    <x v="0"/>
  </r>
  <r>
    <x v="3460"/>
    <x v="0"/>
    <x v="2757"/>
    <n v="477487590"/>
    <n v="220.91"/>
    <s v="UK pounds"/>
    <s v="UK pounds"/>
    <x v="0"/>
    <s v="UK"/>
    <x v="4"/>
    <x v="0"/>
    <x v="2"/>
    <s v="Consistent"/>
    <x v="0"/>
  </r>
  <r>
    <x v="3461"/>
    <x v="0"/>
    <x v="2758"/>
    <n v="3695545812"/>
    <n v="14004.46"/>
    <s v="UK pounds"/>
    <s v="UK pounds"/>
    <x v="0"/>
    <s v="UK"/>
    <x v="4"/>
    <x v="0"/>
    <x v="3"/>
    <s v="Consistent"/>
    <x v="0"/>
  </r>
  <r>
    <x v="3462"/>
    <x v="0"/>
    <x v="1379"/>
    <n v="5363117119"/>
    <n v="8080.87"/>
    <s v="UK pounds"/>
    <s v="UK pounds"/>
    <x v="0"/>
    <s v="UK"/>
    <x v="5"/>
    <x v="0"/>
    <x v="3"/>
    <s v="Consistent"/>
    <x v="0"/>
  </r>
  <r>
    <x v="3462"/>
    <x v="0"/>
    <x v="2759"/>
    <n v="8387245800"/>
    <n v="3361.16"/>
    <s v="UK pounds"/>
    <s v="UK pounds"/>
    <x v="0"/>
    <s v="UK"/>
    <x v="3"/>
    <x v="0"/>
    <x v="2"/>
    <s v="Consistent"/>
    <x v="0"/>
  </r>
  <r>
    <x v="3463"/>
    <x v="0"/>
    <x v="2760"/>
    <n v="8457761196"/>
    <n v="13968.76"/>
    <s v="UK pounds"/>
    <s v="UK pounds"/>
    <x v="0"/>
    <s v="UK"/>
    <x v="3"/>
    <x v="0"/>
    <x v="4"/>
    <s v="Consistent"/>
    <x v="0"/>
  </r>
  <r>
    <x v="3464"/>
    <x v="0"/>
    <x v="2761"/>
    <n v="7773597041"/>
    <n v="295.74"/>
    <s v="UK pounds"/>
    <s v="UK pounds"/>
    <x v="0"/>
    <s v="UK"/>
    <x v="6"/>
    <x v="0"/>
    <x v="5"/>
    <s v="Consistent"/>
    <x v="0"/>
  </r>
  <r>
    <x v="3465"/>
    <x v="0"/>
    <x v="91"/>
    <n v="389486199"/>
    <n v="7044.5"/>
    <s v="UK pounds"/>
    <s v="UK pounds"/>
    <x v="0"/>
    <s v="UK"/>
    <x v="3"/>
    <x v="0"/>
    <x v="1"/>
    <s v="Consistent"/>
    <x v="0"/>
  </r>
  <r>
    <x v="3466"/>
    <x v="0"/>
    <x v="2762"/>
    <n v="6298298842"/>
    <n v="4807.62"/>
    <s v="UK pounds"/>
    <s v="UK pounds"/>
    <x v="0"/>
    <s v="UK"/>
    <x v="3"/>
    <x v="0"/>
    <x v="2"/>
    <s v="Consistent"/>
    <x v="0"/>
  </r>
  <r>
    <x v="3467"/>
    <x v="0"/>
    <x v="2763"/>
    <n v="965672903"/>
    <n v="11964.14"/>
    <s v="UK pounds"/>
    <s v="UK pounds"/>
    <x v="0"/>
    <s v="UK"/>
    <x v="3"/>
    <x v="0"/>
    <x v="2"/>
    <s v="Consistent"/>
    <x v="0"/>
  </r>
  <r>
    <x v="3467"/>
    <x v="0"/>
    <x v="2764"/>
    <n v="7923045036"/>
    <n v="414.02"/>
    <s v="UK pounds"/>
    <s v="UK pounds"/>
    <x v="0"/>
    <s v="UK"/>
    <x v="3"/>
    <x v="0"/>
    <x v="2"/>
    <s v="Consistent"/>
    <x v="0"/>
  </r>
  <r>
    <x v="3468"/>
    <x v="0"/>
    <x v="2765"/>
    <n v="9582071208"/>
    <n v="1241.2"/>
    <s v="UK pounds"/>
    <s v="UK pounds"/>
    <x v="0"/>
    <s v="UK"/>
    <x v="5"/>
    <x v="0"/>
    <x v="2"/>
    <s v="Consistent"/>
    <x v="0"/>
  </r>
  <r>
    <x v="3469"/>
    <x v="0"/>
    <x v="2766"/>
    <n v="5393633480"/>
    <n v="4090.32"/>
    <s v="UK pounds"/>
    <s v="UK pounds"/>
    <x v="0"/>
    <s v="UK"/>
    <x v="5"/>
    <x v="0"/>
    <x v="2"/>
    <s v="Consistent"/>
    <x v="0"/>
  </r>
  <r>
    <x v="3470"/>
    <x v="0"/>
    <x v="217"/>
    <n v="6223365730"/>
    <n v="15210.46"/>
    <s v="UK pounds"/>
    <s v="UK pounds"/>
    <x v="0"/>
    <s v="UK"/>
    <x v="2"/>
    <x v="0"/>
    <x v="3"/>
    <s v="Consistent"/>
    <x v="0"/>
  </r>
  <r>
    <x v="3471"/>
    <x v="0"/>
    <x v="2767"/>
    <n v="381689903"/>
    <n v="38673.9"/>
    <s v="UK pounds"/>
    <s v="UK pounds"/>
    <x v="0"/>
    <s v="UK"/>
    <x v="2"/>
    <x v="0"/>
    <x v="8"/>
    <s v="Consistent"/>
    <x v="0"/>
  </r>
  <r>
    <x v="3472"/>
    <x v="0"/>
    <x v="2768"/>
    <n v="1711169014"/>
    <n v="4123.8500000000004"/>
    <s v="UK pounds"/>
    <s v="UK pounds"/>
    <x v="0"/>
    <s v="UK"/>
    <x v="2"/>
    <x v="0"/>
    <x v="2"/>
    <s v="Consistent"/>
    <x v="0"/>
  </r>
  <r>
    <x v="3472"/>
    <x v="0"/>
    <x v="2769"/>
    <n v="6006732709"/>
    <n v="2182.9299999999998"/>
    <s v="UK pounds"/>
    <s v="UK pounds"/>
    <x v="0"/>
    <s v="UK"/>
    <x v="4"/>
    <x v="0"/>
    <x v="4"/>
    <s v="Consistent"/>
    <x v="0"/>
  </r>
  <r>
    <x v="3473"/>
    <x v="0"/>
    <x v="91"/>
    <n v="6973117783"/>
    <n v="4718.2"/>
    <s v="UK pounds"/>
    <s v="Mexican Peso"/>
    <x v="0"/>
    <s v="Mexico"/>
    <x v="1"/>
    <x v="0"/>
    <x v="1"/>
    <s v="Potential Layering"/>
    <x v="0"/>
  </r>
  <r>
    <x v="3474"/>
    <x v="0"/>
    <x v="885"/>
    <n v="7080357663"/>
    <n v="13814.83"/>
    <s v="UK pounds"/>
    <s v="UK pounds"/>
    <x v="0"/>
    <s v="UK"/>
    <x v="4"/>
    <x v="0"/>
    <x v="3"/>
    <s v="Consistent"/>
    <x v="0"/>
  </r>
  <r>
    <x v="3475"/>
    <x v="0"/>
    <x v="150"/>
    <n v="2284368563"/>
    <n v="8978.1200000000008"/>
    <s v="UK pounds"/>
    <s v="UK pounds"/>
    <x v="0"/>
    <s v="UK"/>
    <x v="3"/>
    <x v="0"/>
    <x v="1"/>
    <s v="Consistent"/>
    <x v="0"/>
  </r>
  <r>
    <x v="3476"/>
    <x v="0"/>
    <x v="2770"/>
    <n v="925531405"/>
    <n v="3413.51"/>
    <s v="UK pounds"/>
    <s v="UK pounds"/>
    <x v="0"/>
    <s v="UK"/>
    <x v="2"/>
    <x v="0"/>
    <x v="2"/>
    <s v="Consistent"/>
    <x v="0"/>
  </r>
  <r>
    <x v="3476"/>
    <x v="0"/>
    <x v="2771"/>
    <n v="6544491518"/>
    <n v="1082.29"/>
    <s v="UK pounds"/>
    <s v="UK pounds"/>
    <x v="0"/>
    <s v="UK"/>
    <x v="4"/>
    <x v="0"/>
    <x v="2"/>
    <s v="Consistent"/>
    <x v="0"/>
  </r>
  <r>
    <x v="3477"/>
    <x v="0"/>
    <x v="235"/>
    <n v="4784078006"/>
    <n v="281.63"/>
    <s v="UK pounds"/>
    <s v="UK pounds"/>
    <x v="0"/>
    <s v="UK"/>
    <x v="6"/>
    <x v="0"/>
    <x v="5"/>
    <s v="Consistent"/>
    <x v="0"/>
  </r>
  <r>
    <x v="3478"/>
    <x v="0"/>
    <x v="193"/>
    <n v="4270865741"/>
    <n v="6093.19"/>
    <s v="UK pounds"/>
    <s v="UK pounds"/>
    <x v="0"/>
    <s v="UK"/>
    <x v="4"/>
    <x v="0"/>
    <x v="3"/>
    <s v="Consistent"/>
    <x v="0"/>
  </r>
  <r>
    <x v="3479"/>
    <x v="0"/>
    <x v="1459"/>
    <n v="848527234"/>
    <n v="1247.8699999999999"/>
    <s v="UK pounds"/>
    <s v="UK pounds"/>
    <x v="0"/>
    <s v="UK"/>
    <x v="2"/>
    <x v="0"/>
    <x v="4"/>
    <s v="Consistent"/>
    <x v="0"/>
  </r>
  <r>
    <x v="3480"/>
    <x v="0"/>
    <x v="332"/>
    <n v="1316458123"/>
    <n v="13492.52"/>
    <s v="UK pounds"/>
    <s v="Mexican Peso"/>
    <x v="0"/>
    <s v="Mexico"/>
    <x v="1"/>
    <x v="0"/>
    <x v="3"/>
    <s v="Potential Layering"/>
    <x v="0"/>
  </r>
  <r>
    <x v="3481"/>
    <x v="0"/>
    <x v="2772"/>
    <n v="5272928301"/>
    <n v="31.67"/>
    <s v="UK pounds"/>
    <s v="UK pounds"/>
    <x v="0"/>
    <s v="UK"/>
    <x v="6"/>
    <x v="0"/>
    <x v="5"/>
    <s v="Consistent"/>
    <x v="0"/>
  </r>
  <r>
    <x v="3482"/>
    <x v="0"/>
    <x v="2773"/>
    <n v="5858369125"/>
    <n v="12122.96"/>
    <s v="Dirham"/>
    <s v="UK pounds"/>
    <x v="6"/>
    <s v="UK"/>
    <x v="1"/>
    <x v="0"/>
    <x v="3"/>
    <s v="Potential Layering"/>
    <x v="2"/>
  </r>
  <r>
    <x v="3483"/>
    <x v="0"/>
    <x v="210"/>
    <n v="1253036863"/>
    <n v="23925.99"/>
    <s v="UK pounds"/>
    <s v="Mexican Peso"/>
    <x v="0"/>
    <s v="Mexico"/>
    <x v="1"/>
    <x v="0"/>
    <x v="1"/>
    <s v="Potential Layering"/>
    <x v="0"/>
  </r>
  <r>
    <x v="3484"/>
    <x v="0"/>
    <x v="2774"/>
    <n v="2981237628"/>
    <n v="2523.54"/>
    <s v="UK pounds"/>
    <s v="UK pounds"/>
    <x v="0"/>
    <s v="UK"/>
    <x v="4"/>
    <x v="0"/>
    <x v="2"/>
    <s v="Consistent"/>
    <x v="0"/>
  </r>
  <r>
    <x v="3484"/>
    <x v="0"/>
    <x v="63"/>
    <n v="5344331047"/>
    <n v="4660.74"/>
    <s v="UK pounds"/>
    <s v="UK pounds"/>
    <x v="0"/>
    <s v="UK"/>
    <x v="4"/>
    <x v="0"/>
    <x v="1"/>
    <s v="Consistent"/>
    <x v="0"/>
  </r>
  <r>
    <x v="3485"/>
    <x v="0"/>
    <x v="2775"/>
    <n v="58951323"/>
    <n v="246.22"/>
    <s v="UK pounds"/>
    <s v="Pakistani rupee"/>
    <x v="0"/>
    <s v="Pakistan"/>
    <x v="1"/>
    <x v="0"/>
    <x v="2"/>
    <s v="Potential Layering"/>
    <x v="0"/>
  </r>
  <r>
    <x v="3485"/>
    <x v="0"/>
    <x v="1855"/>
    <n v="409707192"/>
    <n v="24172.68"/>
    <s v="UK pounds"/>
    <s v="UK pounds"/>
    <x v="0"/>
    <s v="UK"/>
    <x v="4"/>
    <x v="0"/>
    <x v="3"/>
    <s v="Consistent"/>
    <x v="0"/>
  </r>
  <r>
    <x v="3486"/>
    <x v="0"/>
    <x v="2776"/>
    <n v="3343239465"/>
    <n v="659.98"/>
    <s v="UK pounds"/>
    <s v="UK pounds"/>
    <x v="0"/>
    <s v="UK"/>
    <x v="0"/>
    <x v="0"/>
    <x v="0"/>
    <s v="Consistent"/>
    <x v="0"/>
  </r>
  <r>
    <x v="3487"/>
    <x v="0"/>
    <x v="1217"/>
    <n v="409707192"/>
    <n v="10464.01"/>
    <s v="UK pounds"/>
    <s v="UK pounds"/>
    <x v="0"/>
    <s v="UK"/>
    <x v="2"/>
    <x v="0"/>
    <x v="3"/>
    <s v="Consistent"/>
    <x v="0"/>
  </r>
  <r>
    <x v="3488"/>
    <x v="0"/>
    <x v="9"/>
    <n v="887047763"/>
    <n v="11421.91"/>
    <s v="UK pounds"/>
    <s v="UK pounds"/>
    <x v="0"/>
    <s v="UK"/>
    <x v="5"/>
    <x v="0"/>
    <x v="1"/>
    <s v="Consistent"/>
    <x v="0"/>
  </r>
  <r>
    <x v="3488"/>
    <x v="0"/>
    <x v="2431"/>
    <n v="6444220418"/>
    <n v="8249.2900000000009"/>
    <s v="UK pounds"/>
    <s v="UK pounds"/>
    <x v="0"/>
    <s v="UK"/>
    <x v="2"/>
    <x v="0"/>
    <x v="3"/>
    <s v="Consistent"/>
    <x v="0"/>
  </r>
  <r>
    <x v="3489"/>
    <x v="0"/>
    <x v="737"/>
    <n v="7892884492"/>
    <n v="24462.41"/>
    <s v="UK pounds"/>
    <s v="US dollar"/>
    <x v="0"/>
    <s v="USA"/>
    <x v="1"/>
    <x v="0"/>
    <x v="3"/>
    <s v="Potential Layering"/>
    <x v="0"/>
  </r>
  <r>
    <x v="3490"/>
    <x v="0"/>
    <x v="1897"/>
    <n v="3132018804"/>
    <n v="886.39"/>
    <s v="UK pounds"/>
    <s v="UK pounds"/>
    <x v="0"/>
    <s v="UK"/>
    <x v="3"/>
    <x v="0"/>
    <x v="4"/>
    <s v="Consistent"/>
    <x v="0"/>
  </r>
  <r>
    <x v="3491"/>
    <x v="0"/>
    <x v="1207"/>
    <n v="5858369125"/>
    <n v="13508.16"/>
    <s v="UK pounds"/>
    <s v="UK pounds"/>
    <x v="0"/>
    <s v="UK"/>
    <x v="3"/>
    <x v="0"/>
    <x v="3"/>
    <s v="Consistent"/>
    <x v="0"/>
  </r>
  <r>
    <x v="3492"/>
    <x v="0"/>
    <x v="2777"/>
    <n v="5582784249"/>
    <n v="3306.49"/>
    <s v="UK pounds"/>
    <s v="UK pounds"/>
    <x v="0"/>
    <s v="UK"/>
    <x v="0"/>
    <x v="0"/>
    <x v="0"/>
    <s v="Consistent"/>
    <x v="0"/>
  </r>
  <r>
    <x v="3493"/>
    <x v="0"/>
    <x v="1340"/>
    <n v="3079818547"/>
    <n v="12632.45"/>
    <s v="UK pounds"/>
    <s v="UK pounds"/>
    <x v="0"/>
    <s v="UK"/>
    <x v="5"/>
    <x v="0"/>
    <x v="3"/>
    <s v="Consistent"/>
    <x v="0"/>
  </r>
  <r>
    <x v="3494"/>
    <x v="0"/>
    <x v="2778"/>
    <n v="2588667070"/>
    <n v="907.55"/>
    <s v="UK pounds"/>
    <s v="UK pounds"/>
    <x v="0"/>
    <s v="UK"/>
    <x v="0"/>
    <x v="0"/>
    <x v="0"/>
    <s v="Consistent"/>
    <x v="0"/>
  </r>
  <r>
    <x v="3495"/>
    <x v="0"/>
    <x v="20"/>
    <n v="192121676"/>
    <n v="5635.3"/>
    <s v="UK pounds"/>
    <s v="UK pounds"/>
    <x v="0"/>
    <s v="UK"/>
    <x v="4"/>
    <x v="0"/>
    <x v="1"/>
    <s v="Consistent"/>
    <x v="0"/>
  </r>
  <r>
    <x v="3495"/>
    <x v="0"/>
    <x v="163"/>
    <n v="7142479189"/>
    <n v="24494.82"/>
    <s v="UK pounds"/>
    <s v="UK pounds"/>
    <x v="0"/>
    <s v="UK"/>
    <x v="3"/>
    <x v="0"/>
    <x v="1"/>
    <s v="Consistent"/>
    <x v="0"/>
  </r>
  <r>
    <x v="3496"/>
    <x v="0"/>
    <x v="819"/>
    <n v="3695545812"/>
    <n v="4540.95"/>
    <s v="UK pounds"/>
    <s v="UK pounds"/>
    <x v="0"/>
    <s v="UK"/>
    <x v="2"/>
    <x v="0"/>
    <x v="3"/>
    <s v="Consistent"/>
    <x v="0"/>
  </r>
  <r>
    <x v="3497"/>
    <x v="0"/>
    <x v="2779"/>
    <n v="5430814136"/>
    <n v="4516.9799999999996"/>
    <s v="UK pounds"/>
    <s v="UK pounds"/>
    <x v="0"/>
    <s v="UK"/>
    <x v="2"/>
    <x v="0"/>
    <x v="2"/>
    <s v="Consistent"/>
    <x v="0"/>
  </r>
  <r>
    <x v="3498"/>
    <x v="0"/>
    <x v="2780"/>
    <n v="3099657142"/>
    <n v="758.31"/>
    <s v="UK pounds"/>
    <s v="UK pounds"/>
    <x v="0"/>
    <s v="UK"/>
    <x v="4"/>
    <x v="0"/>
    <x v="2"/>
    <s v="Consistent"/>
    <x v="0"/>
  </r>
  <r>
    <x v="3499"/>
    <x v="0"/>
    <x v="40"/>
    <n v="3794172311"/>
    <n v="6931.91"/>
    <s v="UK pounds"/>
    <s v="UK pounds"/>
    <x v="0"/>
    <s v="UK"/>
    <x v="5"/>
    <x v="0"/>
    <x v="1"/>
    <s v="Consistent"/>
    <x v="0"/>
  </r>
  <r>
    <x v="3500"/>
    <x v="0"/>
    <x v="210"/>
    <n v="8785037379"/>
    <n v="8172.92"/>
    <s v="UK pounds"/>
    <s v="Swiss franc"/>
    <x v="0"/>
    <s v="UK"/>
    <x v="2"/>
    <x v="0"/>
    <x v="1"/>
    <s v="Potential Layering"/>
    <x v="0"/>
  </r>
  <r>
    <x v="3501"/>
    <x v="0"/>
    <x v="2781"/>
    <n v="4476128758"/>
    <n v="6942.55"/>
    <s v="UK pounds"/>
    <s v="UK pounds"/>
    <x v="0"/>
    <s v="UK"/>
    <x v="3"/>
    <x v="0"/>
    <x v="4"/>
    <s v="Consistent"/>
    <x v="0"/>
  </r>
  <r>
    <x v="3502"/>
    <x v="0"/>
    <x v="2782"/>
    <n v="1493436023"/>
    <n v="5119.37"/>
    <s v="UK pounds"/>
    <s v="UK pounds"/>
    <x v="0"/>
    <s v="UK"/>
    <x v="5"/>
    <x v="0"/>
    <x v="3"/>
    <s v="Consistent"/>
    <x v="0"/>
  </r>
  <r>
    <x v="3503"/>
    <x v="0"/>
    <x v="1120"/>
    <n v="5103043844"/>
    <n v="6677.55"/>
    <s v="UK pounds"/>
    <s v="Naira"/>
    <x v="0"/>
    <s v="Nigeria"/>
    <x v="1"/>
    <x v="0"/>
    <x v="3"/>
    <s v="Potential Layering"/>
    <x v="0"/>
  </r>
  <r>
    <x v="3504"/>
    <x v="0"/>
    <x v="2783"/>
    <n v="9956011877"/>
    <n v="6446.32"/>
    <s v="UK pounds"/>
    <s v="UK pounds"/>
    <x v="0"/>
    <s v="UK"/>
    <x v="4"/>
    <x v="0"/>
    <x v="2"/>
    <s v="Consistent"/>
    <x v="0"/>
  </r>
  <r>
    <x v="3505"/>
    <x v="0"/>
    <x v="2784"/>
    <n v="6765057154"/>
    <n v="3201.14"/>
    <s v="UK pounds"/>
    <s v="UK pounds"/>
    <x v="0"/>
    <s v="UK"/>
    <x v="5"/>
    <x v="0"/>
    <x v="2"/>
    <s v="Consistent"/>
    <x v="0"/>
  </r>
  <r>
    <x v="3506"/>
    <x v="0"/>
    <x v="2785"/>
    <n v="5458350835"/>
    <n v="16484.41"/>
    <s v="UK pounds"/>
    <s v="UK pounds"/>
    <x v="0"/>
    <s v="UK"/>
    <x v="4"/>
    <x v="0"/>
    <x v="8"/>
    <s v="Consistent"/>
    <x v="0"/>
  </r>
  <r>
    <x v="3507"/>
    <x v="0"/>
    <x v="2144"/>
    <n v="8673917867"/>
    <n v="7726"/>
    <s v="UK pounds"/>
    <s v="UK pounds"/>
    <x v="0"/>
    <s v="UK"/>
    <x v="4"/>
    <x v="0"/>
    <x v="3"/>
    <s v="Consistent"/>
    <x v="0"/>
  </r>
  <r>
    <x v="3508"/>
    <x v="0"/>
    <x v="195"/>
    <n v="5510366236"/>
    <n v="6163.01"/>
    <s v="UK pounds"/>
    <s v="UK pounds"/>
    <x v="0"/>
    <s v="UK"/>
    <x v="2"/>
    <x v="0"/>
    <x v="1"/>
    <s v="Consistent"/>
    <x v="0"/>
  </r>
  <r>
    <x v="3509"/>
    <x v="0"/>
    <x v="2786"/>
    <n v="4619386412"/>
    <n v="955.29"/>
    <s v="UK pounds"/>
    <s v="UK pounds"/>
    <x v="0"/>
    <s v="UK"/>
    <x v="0"/>
    <x v="0"/>
    <x v="0"/>
    <s v="Consistent"/>
    <x v="0"/>
  </r>
  <r>
    <x v="3510"/>
    <x v="0"/>
    <x v="63"/>
    <n v="330109509"/>
    <n v="11336.2"/>
    <s v="UK pounds"/>
    <s v="UK pounds"/>
    <x v="0"/>
    <s v="UK"/>
    <x v="3"/>
    <x v="0"/>
    <x v="1"/>
    <s v="Consistent"/>
    <x v="0"/>
  </r>
  <r>
    <x v="3511"/>
    <x v="0"/>
    <x v="210"/>
    <n v="3504466346"/>
    <n v="18974.990000000002"/>
    <s v="UK pounds"/>
    <s v="UK pounds"/>
    <x v="0"/>
    <s v="UK"/>
    <x v="2"/>
    <x v="0"/>
    <x v="1"/>
    <s v="Consistent"/>
    <x v="0"/>
  </r>
  <r>
    <x v="3512"/>
    <x v="0"/>
    <x v="1229"/>
    <n v="5363422485"/>
    <n v="5396.38"/>
    <s v="UK pounds"/>
    <s v="UK pounds"/>
    <x v="0"/>
    <s v="UK"/>
    <x v="4"/>
    <x v="0"/>
    <x v="6"/>
    <s v="Consistent"/>
    <x v="0"/>
  </r>
  <r>
    <x v="3513"/>
    <x v="0"/>
    <x v="2787"/>
    <n v="1999439811"/>
    <n v="3532.71"/>
    <s v="UK pounds"/>
    <s v="UK pounds"/>
    <x v="0"/>
    <s v="UK"/>
    <x v="5"/>
    <x v="0"/>
    <x v="2"/>
    <s v="Consistent"/>
    <x v="0"/>
  </r>
  <r>
    <x v="3513"/>
    <x v="0"/>
    <x v="2788"/>
    <n v="4387080639"/>
    <n v="301.24"/>
    <s v="UK pounds"/>
    <s v="Swiss franc"/>
    <x v="0"/>
    <s v="Switzerland"/>
    <x v="1"/>
    <x v="0"/>
    <x v="2"/>
    <s v="Potential Layering"/>
    <x v="0"/>
  </r>
  <r>
    <x v="3514"/>
    <x v="0"/>
    <x v="2789"/>
    <n v="7448956318"/>
    <n v="2608.5100000000002"/>
    <s v="UK pounds"/>
    <s v="UK pounds"/>
    <x v="0"/>
    <s v="UK"/>
    <x v="2"/>
    <x v="0"/>
    <x v="2"/>
    <s v="Consistent"/>
    <x v="0"/>
  </r>
  <r>
    <x v="3515"/>
    <x v="0"/>
    <x v="2321"/>
    <n v="5708936901"/>
    <n v="9554.92"/>
    <s v="UK pounds"/>
    <s v="UK pounds"/>
    <x v="0"/>
    <s v="UK"/>
    <x v="3"/>
    <x v="0"/>
    <x v="3"/>
    <s v="Consistent"/>
    <x v="0"/>
  </r>
  <r>
    <x v="3516"/>
    <x v="0"/>
    <x v="2790"/>
    <n v="3856054042"/>
    <n v="2609.7600000000002"/>
    <s v="UK pounds"/>
    <s v="UK pounds"/>
    <x v="0"/>
    <s v="UK"/>
    <x v="2"/>
    <x v="0"/>
    <x v="2"/>
    <s v="Consistent"/>
    <x v="0"/>
  </r>
  <r>
    <x v="3517"/>
    <x v="0"/>
    <x v="2791"/>
    <n v="2471329283"/>
    <n v="2001.74"/>
    <s v="UK pounds"/>
    <s v="UK pounds"/>
    <x v="0"/>
    <s v="UK"/>
    <x v="4"/>
    <x v="0"/>
    <x v="2"/>
    <s v="Consistent"/>
    <x v="0"/>
  </r>
  <r>
    <x v="3518"/>
    <x v="0"/>
    <x v="2792"/>
    <n v="6640484435"/>
    <n v="19887.990000000002"/>
    <s v="UK pounds"/>
    <s v="UK pounds"/>
    <x v="0"/>
    <s v="UK"/>
    <x v="4"/>
    <x v="0"/>
    <x v="2"/>
    <s v="Consistent"/>
    <x v="0"/>
  </r>
  <r>
    <x v="3519"/>
    <x v="0"/>
    <x v="602"/>
    <n v="6646502650"/>
    <n v="11913.22"/>
    <s v="UK pounds"/>
    <s v="Euro"/>
    <x v="0"/>
    <s v="France"/>
    <x v="1"/>
    <x v="0"/>
    <x v="3"/>
    <s v="Potential Layering"/>
    <x v="0"/>
  </r>
  <r>
    <x v="3519"/>
    <x v="0"/>
    <x v="1531"/>
    <n v="936919634"/>
    <n v="4816.33"/>
    <s v="UK pounds"/>
    <s v="UK pounds"/>
    <x v="0"/>
    <s v="UK"/>
    <x v="3"/>
    <x v="0"/>
    <x v="4"/>
    <s v="Consistent"/>
    <x v="0"/>
  </r>
  <r>
    <x v="3520"/>
    <x v="0"/>
    <x v="1668"/>
    <n v="8359209144"/>
    <n v="3433.41"/>
    <s v="UK pounds"/>
    <s v="UK pounds"/>
    <x v="0"/>
    <s v="UK"/>
    <x v="2"/>
    <x v="0"/>
    <x v="2"/>
    <s v="Consistent"/>
    <x v="0"/>
  </r>
  <r>
    <x v="3521"/>
    <x v="0"/>
    <x v="2793"/>
    <n v="1439240302"/>
    <n v="4184.79"/>
    <s v="UK pounds"/>
    <s v="UK pounds"/>
    <x v="0"/>
    <s v="UK"/>
    <x v="5"/>
    <x v="0"/>
    <x v="4"/>
    <s v="Consistent"/>
    <x v="0"/>
  </r>
  <r>
    <x v="3522"/>
    <x v="0"/>
    <x v="195"/>
    <n v="7468510228"/>
    <n v="5283.97"/>
    <s v="UK pounds"/>
    <s v="UK pounds"/>
    <x v="0"/>
    <s v="UK"/>
    <x v="3"/>
    <x v="0"/>
    <x v="1"/>
    <s v="Consistent"/>
    <x v="0"/>
  </r>
  <r>
    <x v="3523"/>
    <x v="0"/>
    <x v="2794"/>
    <n v="7840186482"/>
    <n v="7966.64"/>
    <s v="UK pounds"/>
    <s v="UK pounds"/>
    <x v="0"/>
    <s v="UK"/>
    <x v="5"/>
    <x v="0"/>
    <x v="2"/>
    <s v="Consistent"/>
    <x v="0"/>
  </r>
  <r>
    <x v="3524"/>
    <x v="0"/>
    <x v="916"/>
    <n v="7080357663"/>
    <n v="20010.759999999998"/>
    <s v="UK pounds"/>
    <s v="UK pounds"/>
    <x v="0"/>
    <s v="UK"/>
    <x v="5"/>
    <x v="0"/>
    <x v="3"/>
    <s v="Consistent"/>
    <x v="0"/>
  </r>
  <r>
    <x v="3525"/>
    <x v="0"/>
    <x v="2795"/>
    <n v="395839630"/>
    <n v="3934.28"/>
    <s v="UK pounds"/>
    <s v="Euro"/>
    <x v="0"/>
    <s v="Austria"/>
    <x v="1"/>
    <x v="0"/>
    <x v="2"/>
    <s v="Potential Layering"/>
    <x v="0"/>
  </r>
  <r>
    <x v="3526"/>
    <x v="0"/>
    <x v="1623"/>
    <n v="1377603863"/>
    <n v="5229.6099999999997"/>
    <s v="UK pounds"/>
    <s v="UK pounds"/>
    <x v="0"/>
    <s v="UK"/>
    <x v="2"/>
    <x v="0"/>
    <x v="3"/>
    <s v="Consistent"/>
    <x v="0"/>
  </r>
  <r>
    <x v="3527"/>
    <x v="0"/>
    <x v="339"/>
    <n v="5254058209"/>
    <n v="4400.5"/>
    <s v="UK pounds"/>
    <s v="Dirham"/>
    <x v="0"/>
    <s v="UAE"/>
    <x v="1"/>
    <x v="0"/>
    <x v="1"/>
    <s v="Potential Layering"/>
    <x v="0"/>
  </r>
  <r>
    <x v="3528"/>
    <x v="0"/>
    <x v="86"/>
    <n v="6960206116"/>
    <n v="22676.98"/>
    <s v="UK pounds"/>
    <s v="UK pounds"/>
    <x v="0"/>
    <s v="UK"/>
    <x v="3"/>
    <x v="0"/>
    <x v="1"/>
    <s v="Consistent"/>
    <x v="0"/>
  </r>
  <r>
    <x v="3529"/>
    <x v="0"/>
    <x v="386"/>
    <n v="8678802420"/>
    <n v="8556.68"/>
    <s v="UK pounds"/>
    <s v="UK pounds"/>
    <x v="0"/>
    <s v="UK"/>
    <x v="2"/>
    <x v="0"/>
    <x v="3"/>
    <s v="Consistent"/>
    <x v="0"/>
  </r>
  <r>
    <x v="3530"/>
    <x v="0"/>
    <x v="950"/>
    <n v="6953672776"/>
    <n v="6717.73"/>
    <s v="UK pounds"/>
    <s v="Mexican Peso"/>
    <x v="0"/>
    <s v="Mexico"/>
    <x v="1"/>
    <x v="0"/>
    <x v="3"/>
    <s v="Potential Layering"/>
    <x v="0"/>
  </r>
  <r>
    <x v="3530"/>
    <x v="0"/>
    <x v="1988"/>
    <n v="4270865741"/>
    <n v="7592.07"/>
    <s v="UK pounds"/>
    <s v="UK pounds"/>
    <x v="0"/>
    <s v="UK"/>
    <x v="4"/>
    <x v="0"/>
    <x v="3"/>
    <s v="Consistent"/>
    <x v="0"/>
  </r>
  <r>
    <x v="3531"/>
    <x v="0"/>
    <x v="1728"/>
    <n v="7160736915"/>
    <n v="6653.34"/>
    <s v="UK pounds"/>
    <s v="UK pounds"/>
    <x v="0"/>
    <s v="UK"/>
    <x v="5"/>
    <x v="0"/>
    <x v="3"/>
    <s v="Consistent"/>
    <x v="0"/>
  </r>
  <r>
    <x v="3531"/>
    <x v="0"/>
    <x v="2796"/>
    <n v="6735598947"/>
    <n v="11556.03"/>
    <s v="UK pounds"/>
    <s v="UK pounds"/>
    <x v="0"/>
    <s v="UK"/>
    <x v="5"/>
    <x v="0"/>
    <x v="4"/>
    <s v="Consistent"/>
    <x v="0"/>
  </r>
  <r>
    <x v="3532"/>
    <x v="0"/>
    <x v="163"/>
    <n v="4301159904"/>
    <n v="5605.61"/>
    <s v="UK pounds"/>
    <s v="UK pounds"/>
    <x v="0"/>
    <s v="UK"/>
    <x v="3"/>
    <x v="0"/>
    <x v="1"/>
    <s v="Consistent"/>
    <x v="0"/>
  </r>
  <r>
    <x v="3533"/>
    <x v="0"/>
    <x v="2797"/>
    <n v="3605744818"/>
    <n v="4353.7"/>
    <s v="UK pounds"/>
    <s v="UK pounds"/>
    <x v="0"/>
    <s v="UK"/>
    <x v="3"/>
    <x v="0"/>
    <x v="2"/>
    <s v="Consistent"/>
    <x v="0"/>
  </r>
  <r>
    <x v="3534"/>
    <x v="0"/>
    <x v="2798"/>
    <n v="241741047"/>
    <n v="1199.9000000000001"/>
    <s v="UK pounds"/>
    <s v="UK pounds"/>
    <x v="0"/>
    <s v="UK"/>
    <x v="4"/>
    <x v="0"/>
    <x v="2"/>
    <s v="Consistent"/>
    <x v="0"/>
  </r>
  <r>
    <x v="3534"/>
    <x v="0"/>
    <x v="2799"/>
    <n v="6693082933"/>
    <n v="845.47"/>
    <s v="UK pounds"/>
    <s v="UK pounds"/>
    <x v="0"/>
    <s v="UK"/>
    <x v="3"/>
    <x v="0"/>
    <x v="2"/>
    <s v="Consistent"/>
    <x v="0"/>
  </r>
  <r>
    <x v="3534"/>
    <x v="0"/>
    <x v="85"/>
    <n v="5363117119"/>
    <n v="17445.84"/>
    <s v="UK pounds"/>
    <s v="UK pounds"/>
    <x v="0"/>
    <s v="UK"/>
    <x v="2"/>
    <x v="0"/>
    <x v="3"/>
    <s v="Consistent"/>
    <x v="0"/>
  </r>
  <r>
    <x v="3534"/>
    <x v="0"/>
    <x v="20"/>
    <n v="7543250720"/>
    <n v="6905.02"/>
    <s v="UK pounds"/>
    <s v="UK pounds"/>
    <x v="0"/>
    <s v="UK"/>
    <x v="3"/>
    <x v="0"/>
    <x v="1"/>
    <s v="Consistent"/>
    <x v="0"/>
  </r>
  <r>
    <x v="3535"/>
    <x v="0"/>
    <x v="2800"/>
    <n v="7602737497"/>
    <n v="2177.39"/>
    <s v="UK pounds"/>
    <s v="UK pounds"/>
    <x v="0"/>
    <s v="UK"/>
    <x v="5"/>
    <x v="0"/>
    <x v="2"/>
    <s v="Consistent"/>
    <x v="0"/>
  </r>
  <r>
    <x v="3535"/>
    <x v="0"/>
    <x v="2801"/>
    <n v="4370991235"/>
    <n v="709.91"/>
    <s v="UK pounds"/>
    <s v="UK pounds"/>
    <x v="0"/>
    <s v="UK"/>
    <x v="4"/>
    <x v="0"/>
    <x v="2"/>
    <s v="Consistent"/>
    <x v="0"/>
  </r>
  <r>
    <x v="3535"/>
    <x v="0"/>
    <x v="2802"/>
    <n v="1316458123"/>
    <n v="29732.59"/>
    <s v="Yen"/>
    <s v="Mexican Peso"/>
    <x v="0"/>
    <s v="Mexico"/>
    <x v="1"/>
    <x v="0"/>
    <x v="3"/>
    <s v="Potential Layering"/>
    <x v="0"/>
  </r>
  <r>
    <x v="3536"/>
    <x v="0"/>
    <x v="52"/>
    <n v="4536194683"/>
    <n v="11318.01"/>
    <s v="UK pounds"/>
    <s v="UK pounds"/>
    <x v="0"/>
    <s v="UK"/>
    <x v="3"/>
    <x v="0"/>
    <x v="1"/>
    <s v="Consistent"/>
    <x v="0"/>
  </r>
  <r>
    <x v="3537"/>
    <x v="0"/>
    <x v="195"/>
    <n v="9391166135"/>
    <n v="17762.37"/>
    <s v="UK pounds"/>
    <s v="UK pounds"/>
    <x v="0"/>
    <s v="UK"/>
    <x v="2"/>
    <x v="0"/>
    <x v="1"/>
    <s v="Consistent"/>
    <x v="0"/>
  </r>
  <r>
    <x v="3537"/>
    <x v="0"/>
    <x v="1997"/>
    <n v="6444220418"/>
    <n v="9161.65"/>
    <s v="UK pounds"/>
    <s v="UK pounds"/>
    <x v="0"/>
    <s v="UK"/>
    <x v="2"/>
    <x v="0"/>
    <x v="3"/>
    <s v="Consistent"/>
    <x v="0"/>
  </r>
  <r>
    <x v="3538"/>
    <x v="0"/>
    <x v="2803"/>
    <n v="4270902712"/>
    <n v="6033.98"/>
    <s v="UK pounds"/>
    <s v="UK pounds"/>
    <x v="0"/>
    <s v="UK"/>
    <x v="5"/>
    <x v="0"/>
    <x v="7"/>
    <s v="Consistent"/>
    <x v="0"/>
  </r>
  <r>
    <x v="3538"/>
    <x v="0"/>
    <x v="150"/>
    <n v="475649742"/>
    <n v="6515.57"/>
    <s v="UK pounds"/>
    <s v="UK pounds"/>
    <x v="0"/>
    <s v="UK"/>
    <x v="5"/>
    <x v="0"/>
    <x v="1"/>
    <s v="Consistent"/>
    <x v="0"/>
  </r>
  <r>
    <x v="3539"/>
    <x v="0"/>
    <x v="161"/>
    <n v="3466246214"/>
    <n v="7338.89"/>
    <s v="UK pounds"/>
    <s v="Pakistani rupee"/>
    <x v="0"/>
    <s v="Pakistan"/>
    <x v="1"/>
    <x v="0"/>
    <x v="1"/>
    <s v="Potential Layering"/>
    <x v="0"/>
  </r>
  <r>
    <x v="3539"/>
    <x v="0"/>
    <x v="1189"/>
    <n v="6855935396"/>
    <n v="15074.46"/>
    <s v="UK pounds"/>
    <s v="UK pounds"/>
    <x v="0"/>
    <s v="UK"/>
    <x v="3"/>
    <x v="0"/>
    <x v="3"/>
    <s v="Consistent"/>
    <x v="0"/>
  </r>
  <r>
    <x v="3540"/>
    <x v="0"/>
    <x v="471"/>
    <n v="1431561040"/>
    <n v="22677.33"/>
    <s v="UK pounds"/>
    <s v="UK pounds"/>
    <x v="0"/>
    <s v="UK"/>
    <x v="3"/>
    <x v="0"/>
    <x v="3"/>
    <s v="Consistent"/>
    <x v="0"/>
  </r>
  <r>
    <x v="3541"/>
    <x v="0"/>
    <x v="63"/>
    <n v="5441570240"/>
    <n v="7633.06"/>
    <s v="UK pounds"/>
    <s v="UK pounds"/>
    <x v="0"/>
    <s v="UK"/>
    <x v="3"/>
    <x v="0"/>
    <x v="2"/>
    <s v="Consistent"/>
    <x v="0"/>
  </r>
  <r>
    <x v="3541"/>
    <x v="0"/>
    <x v="1936"/>
    <n v="8518184956"/>
    <n v="22619.759999999998"/>
    <s v="UK pounds"/>
    <s v="UK pounds"/>
    <x v="0"/>
    <s v="UK"/>
    <x v="4"/>
    <x v="0"/>
    <x v="3"/>
    <s v="Consistent"/>
    <x v="0"/>
  </r>
  <r>
    <x v="3542"/>
    <x v="0"/>
    <x v="2804"/>
    <n v="6706856471"/>
    <n v="1407.47"/>
    <s v="UK pounds"/>
    <s v="UK pounds"/>
    <x v="0"/>
    <s v="UK"/>
    <x v="2"/>
    <x v="0"/>
    <x v="2"/>
    <s v="Consistent"/>
    <x v="0"/>
  </r>
  <r>
    <x v="3543"/>
    <x v="0"/>
    <x v="2805"/>
    <n v="6767915368"/>
    <n v="1759.28"/>
    <s v="UK pounds"/>
    <s v="UK pounds"/>
    <x v="0"/>
    <s v="UK"/>
    <x v="5"/>
    <x v="0"/>
    <x v="2"/>
    <s v="Consistent"/>
    <x v="0"/>
  </r>
  <r>
    <x v="3544"/>
    <x v="0"/>
    <x v="2806"/>
    <n v="273465992"/>
    <n v="689.39"/>
    <s v="UK pounds"/>
    <s v="UK pounds"/>
    <x v="0"/>
    <s v="UK"/>
    <x v="2"/>
    <x v="0"/>
    <x v="2"/>
    <s v="Consistent"/>
    <x v="0"/>
  </r>
  <r>
    <x v="3544"/>
    <x v="0"/>
    <x v="1924"/>
    <n v="7532110654"/>
    <n v="2246.98"/>
    <s v="UK pounds"/>
    <s v="UK pounds"/>
    <x v="0"/>
    <s v="UK"/>
    <x v="4"/>
    <x v="0"/>
    <x v="4"/>
    <s v="Consistent"/>
    <x v="0"/>
  </r>
  <r>
    <x v="3545"/>
    <x v="0"/>
    <x v="751"/>
    <n v="553781253"/>
    <n v="1715.52"/>
    <s v="UK pounds"/>
    <s v="UK pounds"/>
    <x v="0"/>
    <s v="UK"/>
    <x v="2"/>
    <x v="0"/>
    <x v="4"/>
    <s v="Consistent"/>
    <x v="0"/>
  </r>
  <r>
    <x v="3545"/>
    <x v="0"/>
    <x v="2807"/>
    <n v="3699045829"/>
    <n v="2367.29"/>
    <s v="UK pounds"/>
    <s v="UK pounds"/>
    <x v="0"/>
    <s v="UK"/>
    <x v="4"/>
    <x v="0"/>
    <x v="4"/>
    <s v="Consistent"/>
    <x v="0"/>
  </r>
  <r>
    <x v="3546"/>
    <x v="0"/>
    <x v="35"/>
    <n v="1861324833"/>
    <n v="4451.33"/>
    <s v="UK pounds"/>
    <s v="UK pounds"/>
    <x v="0"/>
    <s v="UK"/>
    <x v="4"/>
    <x v="0"/>
    <x v="1"/>
    <s v="Consistent"/>
    <x v="0"/>
  </r>
  <r>
    <x v="3547"/>
    <x v="0"/>
    <x v="1639"/>
    <n v="6444220418"/>
    <n v="20451.21"/>
    <s v="UK pounds"/>
    <s v="UK pounds"/>
    <x v="0"/>
    <s v="UK"/>
    <x v="5"/>
    <x v="0"/>
    <x v="3"/>
    <s v="Consistent"/>
    <x v="0"/>
  </r>
  <r>
    <x v="3548"/>
    <x v="0"/>
    <x v="1188"/>
    <n v="7435623435"/>
    <n v="4849.38"/>
    <s v="UK pounds"/>
    <s v="UK pounds"/>
    <x v="0"/>
    <s v="UK"/>
    <x v="3"/>
    <x v="0"/>
    <x v="2"/>
    <s v="Consistent"/>
    <x v="0"/>
  </r>
  <r>
    <x v="3549"/>
    <x v="0"/>
    <x v="1816"/>
    <n v="9105769228"/>
    <n v="13158.79"/>
    <s v="UK pounds"/>
    <s v="UK pounds"/>
    <x v="0"/>
    <s v="UK"/>
    <x v="2"/>
    <x v="0"/>
    <x v="3"/>
    <s v="Consistent"/>
    <x v="0"/>
  </r>
  <r>
    <x v="3550"/>
    <x v="0"/>
    <x v="81"/>
    <n v="9085148554"/>
    <n v="10467.66"/>
    <s v="UK pounds"/>
    <s v="UK pounds"/>
    <x v="0"/>
    <s v="UK"/>
    <x v="4"/>
    <x v="0"/>
    <x v="1"/>
    <s v="Consistent"/>
    <x v="0"/>
  </r>
  <r>
    <x v="3551"/>
    <x v="0"/>
    <x v="860"/>
    <n v="1494725668"/>
    <n v="832.31"/>
    <s v="UK pounds"/>
    <s v="UK pounds"/>
    <x v="0"/>
    <s v="UK"/>
    <x v="5"/>
    <x v="0"/>
    <x v="2"/>
    <s v="Consistent"/>
    <x v="0"/>
  </r>
  <r>
    <x v="3551"/>
    <x v="0"/>
    <x v="2808"/>
    <n v="8146049834"/>
    <n v="2965.69"/>
    <s v="UK pounds"/>
    <s v="UK pounds"/>
    <x v="0"/>
    <s v="UK"/>
    <x v="4"/>
    <x v="0"/>
    <x v="2"/>
    <s v="Consistent"/>
    <x v="0"/>
  </r>
  <r>
    <x v="3551"/>
    <x v="0"/>
    <x v="2809"/>
    <n v="3536751515"/>
    <n v="482.55"/>
    <s v="UK pounds"/>
    <s v="UK pounds"/>
    <x v="0"/>
    <s v="UK"/>
    <x v="0"/>
    <x v="0"/>
    <x v="0"/>
    <s v="Consistent"/>
    <x v="0"/>
  </r>
  <r>
    <x v="3552"/>
    <x v="0"/>
    <x v="2810"/>
    <n v="4478486594"/>
    <n v="767.13"/>
    <s v="Euro"/>
    <s v="UK pounds"/>
    <x v="0"/>
    <s v="UK"/>
    <x v="2"/>
    <x v="0"/>
    <x v="2"/>
    <s v="Potential Layering"/>
    <x v="0"/>
  </r>
  <r>
    <x v="3553"/>
    <x v="0"/>
    <x v="1223"/>
    <n v="7080357663"/>
    <n v="11855.75"/>
    <s v="UK pounds"/>
    <s v="UK pounds"/>
    <x v="0"/>
    <s v="UK"/>
    <x v="3"/>
    <x v="0"/>
    <x v="3"/>
    <s v="Consistent"/>
    <x v="0"/>
  </r>
  <r>
    <x v="3554"/>
    <x v="0"/>
    <x v="2811"/>
    <n v="5247041092"/>
    <n v="458.82"/>
    <s v="UK pounds"/>
    <s v="UK pounds"/>
    <x v="0"/>
    <s v="UK"/>
    <x v="5"/>
    <x v="0"/>
    <x v="4"/>
    <s v="Consistent"/>
    <x v="0"/>
  </r>
  <r>
    <x v="3555"/>
    <x v="0"/>
    <x v="2812"/>
    <n v="5628674969"/>
    <n v="13134.51"/>
    <s v="UK pounds"/>
    <s v="UK pounds"/>
    <x v="0"/>
    <s v="UK"/>
    <x v="3"/>
    <x v="0"/>
    <x v="3"/>
    <s v="Consistent"/>
    <x v="0"/>
  </r>
  <r>
    <x v="3556"/>
    <x v="0"/>
    <x v="2813"/>
    <n v="1998343458"/>
    <n v="1306.3699999999999"/>
    <s v="UK pounds"/>
    <s v="UK pounds"/>
    <x v="0"/>
    <s v="UK"/>
    <x v="2"/>
    <x v="0"/>
    <x v="2"/>
    <s v="Consistent"/>
    <x v="0"/>
  </r>
  <r>
    <x v="3557"/>
    <x v="0"/>
    <x v="2814"/>
    <n v="5069800366"/>
    <n v="2481.9499999999998"/>
    <s v="UK pounds"/>
    <s v="UK pounds"/>
    <x v="0"/>
    <s v="UK"/>
    <x v="3"/>
    <x v="0"/>
    <x v="2"/>
    <s v="Consistent"/>
    <x v="0"/>
  </r>
  <r>
    <x v="3557"/>
    <x v="0"/>
    <x v="2815"/>
    <n v="439043689"/>
    <n v="1091.98"/>
    <s v="UK pounds"/>
    <s v="UK pounds"/>
    <x v="0"/>
    <s v="UK"/>
    <x v="5"/>
    <x v="0"/>
    <x v="2"/>
    <s v="Consistent"/>
    <x v="0"/>
  </r>
  <r>
    <x v="3558"/>
    <x v="0"/>
    <x v="2816"/>
    <n v="2867312322"/>
    <n v="14197.76"/>
    <s v="UK pounds"/>
    <s v="UK pounds"/>
    <x v="0"/>
    <s v="UK"/>
    <x v="3"/>
    <x v="0"/>
    <x v="2"/>
    <s v="Consistent"/>
    <x v="0"/>
  </r>
  <r>
    <x v="3559"/>
    <x v="0"/>
    <x v="2817"/>
    <n v="1185251380"/>
    <n v="3320.82"/>
    <s v="UK pounds"/>
    <s v="UK pounds"/>
    <x v="0"/>
    <s v="UK"/>
    <x v="2"/>
    <x v="0"/>
    <x v="2"/>
    <s v="Consistent"/>
    <x v="0"/>
  </r>
  <r>
    <x v="3559"/>
    <x v="0"/>
    <x v="2818"/>
    <n v="2806779674"/>
    <n v="5693.37"/>
    <s v="UK pounds"/>
    <s v="UK pounds"/>
    <x v="0"/>
    <s v="UK"/>
    <x v="5"/>
    <x v="0"/>
    <x v="4"/>
    <s v="Consistent"/>
    <x v="0"/>
  </r>
  <r>
    <x v="3560"/>
    <x v="0"/>
    <x v="998"/>
    <n v="1493436023"/>
    <n v="7593.78"/>
    <s v="UK pounds"/>
    <s v="UK pounds"/>
    <x v="0"/>
    <s v="UK"/>
    <x v="4"/>
    <x v="0"/>
    <x v="3"/>
    <s v="Consistent"/>
    <x v="0"/>
  </r>
  <r>
    <x v="3561"/>
    <x v="0"/>
    <x v="2819"/>
    <n v="8548435265"/>
    <n v="5645.49"/>
    <s v="UK pounds"/>
    <s v="UK pounds"/>
    <x v="0"/>
    <s v="UK"/>
    <x v="2"/>
    <x v="0"/>
    <x v="2"/>
    <s v="Consistent"/>
    <x v="0"/>
  </r>
  <r>
    <x v="3562"/>
    <x v="0"/>
    <x v="2820"/>
    <n v="8824829352"/>
    <n v="1179.02"/>
    <s v="UK pounds"/>
    <s v="UK pounds"/>
    <x v="0"/>
    <s v="UK"/>
    <x v="2"/>
    <x v="0"/>
    <x v="4"/>
    <s v="Consistent"/>
    <x v="0"/>
  </r>
  <r>
    <x v="3563"/>
    <x v="0"/>
    <x v="2821"/>
    <n v="813395681"/>
    <n v="7500.77"/>
    <s v="UK pounds"/>
    <s v="UK pounds"/>
    <x v="0"/>
    <s v="UK"/>
    <x v="5"/>
    <x v="0"/>
    <x v="4"/>
    <s v="Consistent"/>
    <x v="0"/>
  </r>
  <r>
    <x v="3564"/>
    <x v="0"/>
    <x v="2822"/>
    <n v="3155814024"/>
    <n v="264.32"/>
    <s v="UK pounds"/>
    <s v="Indian rupee"/>
    <x v="0"/>
    <s v="India"/>
    <x v="1"/>
    <x v="0"/>
    <x v="2"/>
    <s v="Potential Layering"/>
    <x v="0"/>
  </r>
  <r>
    <x v="3564"/>
    <x v="0"/>
    <x v="274"/>
    <n v="5628674969"/>
    <n v="6995.93"/>
    <s v="UK pounds"/>
    <s v="UK pounds"/>
    <x v="0"/>
    <s v="UK"/>
    <x v="2"/>
    <x v="0"/>
    <x v="3"/>
    <s v="Consistent"/>
    <x v="0"/>
  </r>
  <r>
    <x v="3565"/>
    <x v="0"/>
    <x v="2823"/>
    <n v="62755646"/>
    <n v="156.84"/>
    <s v="UK pounds"/>
    <s v="UK pounds"/>
    <x v="0"/>
    <s v="UK"/>
    <x v="5"/>
    <x v="0"/>
    <x v="2"/>
    <s v="Consistent"/>
    <x v="0"/>
  </r>
  <r>
    <x v="3565"/>
    <x v="0"/>
    <x v="2824"/>
    <n v="2237493386"/>
    <n v="13067.22"/>
    <s v="UK pounds"/>
    <s v="UK pounds"/>
    <x v="0"/>
    <s v="UK"/>
    <x v="3"/>
    <x v="0"/>
    <x v="2"/>
    <s v="Consistent"/>
    <x v="0"/>
  </r>
  <r>
    <x v="3566"/>
    <x v="0"/>
    <x v="2825"/>
    <n v="2972765449"/>
    <n v="13699.82"/>
    <s v="UK pounds"/>
    <s v="UK pounds"/>
    <x v="0"/>
    <s v="UK"/>
    <x v="5"/>
    <x v="0"/>
    <x v="2"/>
    <s v="Consistent"/>
    <x v="0"/>
  </r>
  <r>
    <x v="3567"/>
    <x v="0"/>
    <x v="2715"/>
    <n v="1307660141"/>
    <n v="662.59"/>
    <s v="UK pounds"/>
    <s v="UK pounds"/>
    <x v="0"/>
    <s v="UK"/>
    <x v="3"/>
    <x v="0"/>
    <x v="2"/>
    <s v="Consistent"/>
    <x v="0"/>
  </r>
  <r>
    <x v="3568"/>
    <x v="0"/>
    <x v="163"/>
    <n v="5021091640"/>
    <n v="14719.49"/>
    <s v="UK pounds"/>
    <s v="UK pounds"/>
    <x v="0"/>
    <s v="UK"/>
    <x v="4"/>
    <x v="0"/>
    <x v="1"/>
    <s v="Consistent"/>
    <x v="0"/>
  </r>
  <r>
    <x v="3569"/>
    <x v="0"/>
    <x v="2826"/>
    <n v="6646502650"/>
    <n v="32359.599999999999"/>
    <s v="UK pounds"/>
    <s v="Euro"/>
    <x v="0"/>
    <s v="France"/>
    <x v="1"/>
    <x v="0"/>
    <x v="3"/>
    <s v="Potential Layering"/>
    <x v="0"/>
  </r>
  <r>
    <x v="3570"/>
    <x v="0"/>
    <x v="379"/>
    <n v="2048840179"/>
    <n v="5202.3999999999996"/>
    <s v="UK pounds"/>
    <s v="UK pounds"/>
    <x v="0"/>
    <s v="UK"/>
    <x v="2"/>
    <x v="0"/>
    <x v="1"/>
    <s v="Consistent"/>
    <x v="0"/>
  </r>
  <r>
    <x v="3571"/>
    <x v="0"/>
    <x v="2827"/>
    <n v="2937802843"/>
    <n v="830.33"/>
    <s v="UK pounds"/>
    <s v="UK pounds"/>
    <x v="0"/>
    <s v="UK"/>
    <x v="3"/>
    <x v="0"/>
    <x v="2"/>
    <s v="Consistent"/>
    <x v="0"/>
  </r>
  <r>
    <x v="3572"/>
    <x v="0"/>
    <x v="928"/>
    <n v="6646502650"/>
    <n v="5415.47"/>
    <s v="UK pounds"/>
    <s v="Euro"/>
    <x v="0"/>
    <s v="France"/>
    <x v="1"/>
    <x v="0"/>
    <x v="3"/>
    <s v="Potential Layering"/>
    <x v="0"/>
  </r>
  <r>
    <x v="3573"/>
    <x v="0"/>
    <x v="163"/>
    <n v="5021091640"/>
    <n v="14765.91"/>
    <s v="UK pounds"/>
    <s v="UK pounds"/>
    <x v="0"/>
    <s v="UK"/>
    <x v="5"/>
    <x v="0"/>
    <x v="1"/>
    <s v="Consistent"/>
    <x v="0"/>
  </r>
  <r>
    <x v="3574"/>
    <x v="0"/>
    <x v="563"/>
    <n v="5607759223"/>
    <n v="1058.45"/>
    <s v="UK pounds"/>
    <s v="UK pounds"/>
    <x v="0"/>
    <s v="UK"/>
    <x v="2"/>
    <x v="0"/>
    <x v="2"/>
    <s v="Consistent"/>
    <x v="0"/>
  </r>
  <r>
    <x v="3575"/>
    <x v="0"/>
    <x v="384"/>
    <n v="6385499580"/>
    <n v="6964.28"/>
    <s v="UK pounds"/>
    <s v="UK pounds"/>
    <x v="0"/>
    <s v="UK"/>
    <x v="3"/>
    <x v="0"/>
    <x v="2"/>
    <s v="Consistent"/>
    <x v="0"/>
  </r>
  <r>
    <x v="3576"/>
    <x v="0"/>
    <x v="1639"/>
    <n v="6444220418"/>
    <n v="20329.22"/>
    <s v="UK pounds"/>
    <s v="UK pounds"/>
    <x v="0"/>
    <s v="UK"/>
    <x v="3"/>
    <x v="0"/>
    <x v="3"/>
    <s v="Consistent"/>
    <x v="0"/>
  </r>
  <r>
    <x v="3576"/>
    <x v="0"/>
    <x v="1220"/>
    <n v="4889197724"/>
    <n v="8340.56"/>
    <s v="UK pounds"/>
    <s v="UK pounds"/>
    <x v="0"/>
    <s v="UK"/>
    <x v="5"/>
    <x v="0"/>
    <x v="6"/>
    <s v="Consistent"/>
    <x v="0"/>
  </r>
  <r>
    <x v="3577"/>
    <x v="0"/>
    <x v="51"/>
    <n v="4269977194"/>
    <n v="7392.75"/>
    <s v="UK pounds"/>
    <s v="UK pounds"/>
    <x v="0"/>
    <s v="UK"/>
    <x v="3"/>
    <x v="0"/>
    <x v="1"/>
    <s v="Consistent"/>
    <x v="0"/>
  </r>
  <r>
    <x v="3578"/>
    <x v="0"/>
    <x v="2828"/>
    <n v="403526894"/>
    <n v="8694.3799999999992"/>
    <s v="UK pounds"/>
    <s v="UK pounds"/>
    <x v="0"/>
    <s v="UK"/>
    <x v="5"/>
    <x v="0"/>
    <x v="4"/>
    <s v="Consistent"/>
    <x v="0"/>
  </r>
  <r>
    <x v="3579"/>
    <x v="0"/>
    <x v="2829"/>
    <n v="5877285590"/>
    <n v="304.63"/>
    <s v="UK pounds"/>
    <s v="UK pounds"/>
    <x v="0"/>
    <s v="UK"/>
    <x v="5"/>
    <x v="0"/>
    <x v="2"/>
    <s v="Consistent"/>
    <x v="0"/>
  </r>
  <r>
    <x v="3579"/>
    <x v="0"/>
    <x v="2830"/>
    <n v="3682105766"/>
    <n v="2883.19"/>
    <s v="UK pounds"/>
    <s v="UK pounds"/>
    <x v="0"/>
    <s v="UK"/>
    <x v="4"/>
    <x v="0"/>
    <x v="4"/>
    <s v="Consistent"/>
    <x v="0"/>
  </r>
  <r>
    <x v="3580"/>
    <x v="0"/>
    <x v="2831"/>
    <n v="7514194006"/>
    <n v="42.39"/>
    <s v="UK pounds"/>
    <s v="UK pounds"/>
    <x v="0"/>
    <s v="UK"/>
    <x v="6"/>
    <x v="0"/>
    <x v="5"/>
    <s v="Consistent"/>
    <x v="0"/>
  </r>
  <r>
    <x v="3581"/>
    <x v="0"/>
    <x v="210"/>
    <n v="4967072739"/>
    <n v="4787.38"/>
    <s v="UK pounds"/>
    <s v="UK pounds"/>
    <x v="0"/>
    <s v="UK"/>
    <x v="2"/>
    <x v="0"/>
    <x v="1"/>
    <s v="Consistent"/>
    <x v="0"/>
  </r>
  <r>
    <x v="3581"/>
    <x v="0"/>
    <x v="836"/>
    <n v="7080357663"/>
    <n v="7491.37"/>
    <s v="UK pounds"/>
    <s v="UK pounds"/>
    <x v="0"/>
    <s v="UK"/>
    <x v="2"/>
    <x v="0"/>
    <x v="3"/>
    <s v="Consistent"/>
    <x v="0"/>
  </r>
  <r>
    <x v="3582"/>
    <x v="0"/>
    <x v="2832"/>
    <n v="1674677625"/>
    <n v="20285.8"/>
    <s v="Albanian lek"/>
    <s v="UK pounds"/>
    <x v="1"/>
    <s v="UK"/>
    <x v="1"/>
    <x v="0"/>
    <x v="2"/>
    <s v="Potential Layering"/>
    <x v="1"/>
  </r>
  <r>
    <x v="3583"/>
    <x v="0"/>
    <x v="2833"/>
    <n v="8154718696"/>
    <n v="1840.58"/>
    <s v="UK pounds"/>
    <s v="UK pounds"/>
    <x v="0"/>
    <s v="UK"/>
    <x v="5"/>
    <x v="0"/>
    <x v="4"/>
    <s v="Consistent"/>
    <x v="0"/>
  </r>
  <r>
    <x v="3584"/>
    <x v="0"/>
    <x v="2834"/>
    <n v="3244505853"/>
    <n v="12825.15"/>
    <s v="UK pounds"/>
    <s v="UK pounds"/>
    <x v="0"/>
    <s v="UK"/>
    <x v="3"/>
    <x v="0"/>
    <x v="2"/>
    <s v="Consistent"/>
    <x v="0"/>
  </r>
  <r>
    <x v="3585"/>
    <x v="0"/>
    <x v="68"/>
    <n v="8969112643"/>
    <n v="13668.15"/>
    <s v="UK pounds"/>
    <s v="UK pounds"/>
    <x v="0"/>
    <s v="UK"/>
    <x v="2"/>
    <x v="0"/>
    <x v="1"/>
    <s v="Consistent"/>
    <x v="0"/>
  </r>
  <r>
    <x v="3586"/>
    <x v="0"/>
    <x v="2835"/>
    <n v="3655768972"/>
    <n v="3240.5"/>
    <s v="Turkish lira"/>
    <s v="Moroccan dirham"/>
    <x v="13"/>
    <s v="Morocco"/>
    <x v="1"/>
    <x v="0"/>
    <x v="2"/>
    <s v="Potential Layering"/>
    <x v="1"/>
  </r>
  <r>
    <x v="3586"/>
    <x v="0"/>
    <x v="1993"/>
    <n v="8172080174"/>
    <n v="9327.08"/>
    <s v="UK pounds"/>
    <s v="UK pounds"/>
    <x v="0"/>
    <s v="UK"/>
    <x v="2"/>
    <x v="0"/>
    <x v="3"/>
    <s v="Consistent"/>
    <x v="0"/>
  </r>
  <r>
    <x v="3587"/>
    <x v="0"/>
    <x v="2836"/>
    <n v="7854984166"/>
    <n v="9730.51"/>
    <s v="UK pounds"/>
    <s v="UK pounds"/>
    <x v="0"/>
    <s v="UK"/>
    <x v="5"/>
    <x v="0"/>
    <x v="2"/>
    <s v="Consistent"/>
    <x v="0"/>
  </r>
  <r>
    <x v="3588"/>
    <x v="0"/>
    <x v="2837"/>
    <n v="8394168777"/>
    <n v="580.32000000000005"/>
    <s v="UK pounds"/>
    <s v="UK pounds"/>
    <x v="0"/>
    <s v="UK"/>
    <x v="3"/>
    <x v="0"/>
    <x v="2"/>
    <s v="Consistent"/>
    <x v="0"/>
  </r>
  <r>
    <x v="3589"/>
    <x v="0"/>
    <x v="86"/>
    <n v="3540529623"/>
    <n v="9250.1200000000008"/>
    <s v="UK pounds"/>
    <s v="UK pounds"/>
    <x v="0"/>
    <s v="UK"/>
    <x v="4"/>
    <x v="0"/>
    <x v="1"/>
    <s v="Consistent"/>
    <x v="0"/>
  </r>
  <r>
    <x v="3590"/>
    <x v="0"/>
    <x v="2838"/>
    <n v="4527731236"/>
    <n v="779.79"/>
    <s v="UK pounds"/>
    <s v="UK pounds"/>
    <x v="0"/>
    <s v="UK"/>
    <x v="4"/>
    <x v="0"/>
    <x v="2"/>
    <s v="Consistent"/>
    <x v="0"/>
  </r>
  <r>
    <x v="3591"/>
    <x v="0"/>
    <x v="2839"/>
    <n v="6746036361"/>
    <n v="826.9"/>
    <s v="UK pounds"/>
    <s v="UK pounds"/>
    <x v="0"/>
    <s v="UK"/>
    <x v="4"/>
    <x v="0"/>
    <x v="2"/>
    <s v="Consistent"/>
    <x v="0"/>
  </r>
  <r>
    <x v="3592"/>
    <x v="0"/>
    <x v="2840"/>
    <n v="9107206798"/>
    <n v="1581.47"/>
    <s v="UK pounds"/>
    <s v="UK pounds"/>
    <x v="0"/>
    <s v="UK"/>
    <x v="0"/>
    <x v="0"/>
    <x v="0"/>
    <s v="Consistent"/>
    <x v="0"/>
  </r>
  <r>
    <x v="3593"/>
    <x v="0"/>
    <x v="2841"/>
    <n v="8515479473"/>
    <n v="5438.95"/>
    <s v="UK pounds"/>
    <s v="UK pounds"/>
    <x v="0"/>
    <s v="UK"/>
    <x v="5"/>
    <x v="0"/>
    <x v="4"/>
    <s v="Consistent"/>
    <x v="0"/>
  </r>
  <r>
    <x v="3594"/>
    <x v="0"/>
    <x v="2842"/>
    <n v="9258743082"/>
    <n v="5940.16"/>
    <s v="UK pounds"/>
    <s v="UK pounds"/>
    <x v="0"/>
    <s v="UK"/>
    <x v="0"/>
    <x v="0"/>
    <x v="0"/>
    <s v="Consistent"/>
    <x v="0"/>
  </r>
  <r>
    <x v="3595"/>
    <x v="0"/>
    <x v="2843"/>
    <n v="3092775499"/>
    <n v="36395.89"/>
    <s v="UK pounds"/>
    <s v="UK pounds"/>
    <x v="0"/>
    <s v="UK"/>
    <x v="5"/>
    <x v="0"/>
    <x v="8"/>
    <s v="Consistent"/>
    <x v="0"/>
  </r>
  <r>
    <x v="3596"/>
    <x v="0"/>
    <x v="2844"/>
    <n v="7697622754"/>
    <n v="4037.57"/>
    <s v="UK pounds"/>
    <s v="UK pounds"/>
    <x v="0"/>
    <s v="UK"/>
    <x v="0"/>
    <x v="0"/>
    <x v="0"/>
    <s v="Consistent"/>
    <x v="0"/>
  </r>
  <r>
    <x v="3597"/>
    <x v="0"/>
    <x v="2845"/>
    <n v="5270653383"/>
    <n v="3365.82"/>
    <s v="UK pounds"/>
    <s v="UK pounds"/>
    <x v="0"/>
    <s v="UK"/>
    <x v="0"/>
    <x v="0"/>
    <x v="0"/>
    <s v="Consistent"/>
    <x v="0"/>
  </r>
  <r>
    <x v="3598"/>
    <x v="0"/>
    <x v="2846"/>
    <n v="247475957"/>
    <n v="633.32000000000005"/>
    <s v="Moroccan dirham"/>
    <s v="UK pounds"/>
    <x v="0"/>
    <s v="UK"/>
    <x v="2"/>
    <x v="0"/>
    <x v="2"/>
    <s v="Potential Layering"/>
    <x v="0"/>
  </r>
  <r>
    <x v="3599"/>
    <x v="0"/>
    <x v="9"/>
    <n v="1160338470"/>
    <n v="4509.1099999999997"/>
    <s v="UK pounds"/>
    <s v="UK pounds"/>
    <x v="0"/>
    <s v="UK"/>
    <x v="4"/>
    <x v="0"/>
    <x v="1"/>
    <s v="Consistent"/>
    <x v="0"/>
  </r>
  <r>
    <x v="3600"/>
    <x v="0"/>
    <x v="418"/>
    <n v="4173195094"/>
    <n v="16959.8"/>
    <s v="UK pounds"/>
    <s v="UK pounds"/>
    <x v="0"/>
    <s v="UK"/>
    <x v="4"/>
    <x v="0"/>
    <x v="3"/>
    <s v="Consistent"/>
    <x v="0"/>
  </r>
  <r>
    <x v="3600"/>
    <x v="0"/>
    <x v="2847"/>
    <n v="8053995400"/>
    <n v="314.22000000000003"/>
    <s v="UK pounds"/>
    <s v="UK pounds"/>
    <x v="0"/>
    <s v="UK"/>
    <x v="6"/>
    <x v="0"/>
    <x v="5"/>
    <s v="Consistent"/>
    <x v="0"/>
  </r>
  <r>
    <x v="3601"/>
    <x v="0"/>
    <x v="871"/>
    <n v="1465487567"/>
    <n v="7211.98"/>
    <s v="UK pounds"/>
    <s v="UK pounds"/>
    <x v="0"/>
    <s v="UK"/>
    <x v="3"/>
    <x v="0"/>
    <x v="3"/>
    <s v="Consistent"/>
    <x v="0"/>
  </r>
  <r>
    <x v="3602"/>
    <x v="0"/>
    <x v="339"/>
    <n v="8818164834"/>
    <n v="4673.3500000000004"/>
    <s v="UK pounds"/>
    <s v="UK pounds"/>
    <x v="0"/>
    <s v="UK"/>
    <x v="2"/>
    <x v="0"/>
    <x v="1"/>
    <s v="Consistent"/>
    <x v="0"/>
  </r>
  <r>
    <x v="3603"/>
    <x v="0"/>
    <x v="248"/>
    <n v="3559090340"/>
    <n v="10979.73"/>
    <s v="UK pounds"/>
    <s v="UK pounds"/>
    <x v="0"/>
    <s v="UK"/>
    <x v="2"/>
    <x v="0"/>
    <x v="1"/>
    <s v="Consistent"/>
    <x v="0"/>
  </r>
  <r>
    <x v="3604"/>
    <x v="0"/>
    <x v="649"/>
    <n v="3220735304"/>
    <n v="8027.54"/>
    <s v="UK pounds"/>
    <s v="UK pounds"/>
    <x v="0"/>
    <s v="UK"/>
    <x v="4"/>
    <x v="0"/>
    <x v="3"/>
    <s v="Consistent"/>
    <x v="0"/>
  </r>
  <r>
    <x v="3605"/>
    <x v="0"/>
    <x v="583"/>
    <n v="621060264"/>
    <n v="10716.04"/>
    <s v="UK pounds"/>
    <s v="UK pounds"/>
    <x v="0"/>
    <s v="UK"/>
    <x v="4"/>
    <x v="0"/>
    <x v="3"/>
    <s v="Consistent"/>
    <x v="0"/>
  </r>
  <r>
    <x v="3606"/>
    <x v="0"/>
    <x v="1568"/>
    <n v="1064863534"/>
    <n v="92464.3"/>
    <s v="UK pounds"/>
    <s v="UK pounds"/>
    <x v="0"/>
    <s v="UK"/>
    <x v="2"/>
    <x v="0"/>
    <x v="10"/>
    <s v="Consistent"/>
    <x v="0"/>
  </r>
  <r>
    <x v="3607"/>
    <x v="0"/>
    <x v="2848"/>
    <n v="4263827576"/>
    <n v="1562.56"/>
    <s v="UK pounds"/>
    <s v="UK pounds"/>
    <x v="0"/>
    <s v="UK"/>
    <x v="4"/>
    <x v="0"/>
    <x v="2"/>
    <s v="Consistent"/>
    <x v="0"/>
  </r>
  <r>
    <x v="3608"/>
    <x v="0"/>
    <x v="2849"/>
    <n v="7834799023"/>
    <n v="6739.01"/>
    <s v="UK pounds"/>
    <s v="UK pounds"/>
    <x v="0"/>
    <s v="UK"/>
    <x v="2"/>
    <x v="0"/>
    <x v="2"/>
    <s v="Consistent"/>
    <x v="0"/>
  </r>
  <r>
    <x v="3609"/>
    <x v="0"/>
    <x v="86"/>
    <n v="4959470648"/>
    <n v="8109.57"/>
    <s v="UK pounds"/>
    <s v="UK pounds"/>
    <x v="0"/>
    <s v="UK"/>
    <x v="4"/>
    <x v="0"/>
    <x v="1"/>
    <s v="Consistent"/>
    <x v="0"/>
  </r>
  <r>
    <x v="3610"/>
    <x v="0"/>
    <x v="2850"/>
    <n v="8200104457"/>
    <n v="217.11"/>
    <s v="UK pounds"/>
    <s v="UK pounds"/>
    <x v="0"/>
    <s v="UK"/>
    <x v="0"/>
    <x v="0"/>
    <x v="0"/>
    <s v="Consistent"/>
    <x v="0"/>
  </r>
  <r>
    <x v="3611"/>
    <x v="0"/>
    <x v="2063"/>
    <n v="1740103909"/>
    <n v="11451.51"/>
    <s v="UK pounds"/>
    <s v="UK pounds"/>
    <x v="0"/>
    <s v="UK"/>
    <x v="3"/>
    <x v="0"/>
    <x v="6"/>
    <s v="Consistent"/>
    <x v="0"/>
  </r>
  <r>
    <x v="3612"/>
    <x v="0"/>
    <x v="63"/>
    <n v="8572828015"/>
    <n v="5623.12"/>
    <s v="UK pounds"/>
    <s v="UK pounds"/>
    <x v="0"/>
    <s v="UK"/>
    <x v="4"/>
    <x v="0"/>
    <x v="1"/>
    <s v="Consistent"/>
    <x v="0"/>
  </r>
  <r>
    <x v="3612"/>
    <x v="0"/>
    <x v="2851"/>
    <n v="8518184956"/>
    <n v="14915.17"/>
    <s v="UK pounds"/>
    <s v="UK pounds"/>
    <x v="0"/>
    <s v="UK"/>
    <x v="2"/>
    <x v="0"/>
    <x v="3"/>
    <s v="Consistent"/>
    <x v="0"/>
  </r>
  <r>
    <x v="3613"/>
    <x v="0"/>
    <x v="871"/>
    <n v="1465487567"/>
    <n v="7229.12"/>
    <s v="UK pounds"/>
    <s v="UK pounds"/>
    <x v="0"/>
    <s v="UK"/>
    <x v="3"/>
    <x v="0"/>
    <x v="3"/>
    <s v="Consistent"/>
    <x v="0"/>
  </r>
  <r>
    <x v="3613"/>
    <x v="0"/>
    <x v="2852"/>
    <n v="6871541615"/>
    <n v="485.55"/>
    <s v="UK pounds"/>
    <s v="UK pounds"/>
    <x v="0"/>
    <s v="UK"/>
    <x v="4"/>
    <x v="0"/>
    <x v="2"/>
    <s v="Consistent"/>
    <x v="0"/>
  </r>
  <r>
    <x v="3613"/>
    <x v="0"/>
    <x v="2281"/>
    <n v="1694189962"/>
    <n v="463.7"/>
    <s v="UK pounds"/>
    <s v="UK pounds"/>
    <x v="0"/>
    <s v="UK"/>
    <x v="5"/>
    <x v="0"/>
    <x v="2"/>
    <s v="Consistent"/>
    <x v="0"/>
  </r>
  <r>
    <x v="3614"/>
    <x v="0"/>
    <x v="1728"/>
    <n v="7160736915"/>
    <n v="6651.01"/>
    <s v="UK pounds"/>
    <s v="UK pounds"/>
    <x v="0"/>
    <s v="UK"/>
    <x v="5"/>
    <x v="0"/>
    <x v="3"/>
    <s v="Consistent"/>
    <x v="0"/>
  </r>
  <r>
    <x v="3614"/>
    <x v="0"/>
    <x v="46"/>
    <n v="9491670243"/>
    <n v="9680.2900000000009"/>
    <s v="UK pounds"/>
    <s v="UK pounds"/>
    <x v="0"/>
    <s v="UK"/>
    <x v="4"/>
    <x v="0"/>
    <x v="1"/>
    <s v="Consistent"/>
    <x v="0"/>
  </r>
  <r>
    <x v="3615"/>
    <x v="0"/>
    <x v="827"/>
    <n v="6855935396"/>
    <n v="5031.6499999999996"/>
    <s v="UK pounds"/>
    <s v="UK pounds"/>
    <x v="0"/>
    <s v="UK"/>
    <x v="3"/>
    <x v="0"/>
    <x v="3"/>
    <s v="Consistent"/>
    <x v="0"/>
  </r>
  <r>
    <x v="3616"/>
    <x v="0"/>
    <x v="164"/>
    <n v="4336977506"/>
    <n v="7176.77"/>
    <s v="UK pounds"/>
    <s v="UK pounds"/>
    <x v="0"/>
    <s v="UK"/>
    <x v="5"/>
    <x v="0"/>
    <x v="3"/>
    <s v="Consistent"/>
    <x v="0"/>
  </r>
  <r>
    <x v="3617"/>
    <x v="0"/>
    <x v="2853"/>
    <n v="1983187467"/>
    <n v="1809.12"/>
    <s v="UK pounds"/>
    <s v="UK pounds"/>
    <x v="0"/>
    <s v="UK"/>
    <x v="3"/>
    <x v="0"/>
    <x v="2"/>
    <s v="Consistent"/>
    <x v="0"/>
  </r>
  <r>
    <x v="3618"/>
    <x v="0"/>
    <x v="1525"/>
    <n v="3695545812"/>
    <n v="24189.29"/>
    <s v="UK pounds"/>
    <s v="UK pounds"/>
    <x v="0"/>
    <s v="UK"/>
    <x v="4"/>
    <x v="0"/>
    <x v="3"/>
    <s v="Consistent"/>
    <x v="0"/>
  </r>
  <r>
    <x v="3619"/>
    <x v="0"/>
    <x v="51"/>
    <n v="3031188286"/>
    <n v="11938.47"/>
    <s v="UK pounds"/>
    <s v="UK pounds"/>
    <x v="0"/>
    <s v="UK"/>
    <x v="5"/>
    <x v="0"/>
    <x v="1"/>
    <s v="Consistent"/>
    <x v="0"/>
  </r>
  <r>
    <x v="3620"/>
    <x v="0"/>
    <x v="2854"/>
    <n v="8964346334"/>
    <n v="411.99"/>
    <s v="UK pounds"/>
    <s v="UK pounds"/>
    <x v="0"/>
    <s v="UK"/>
    <x v="4"/>
    <x v="0"/>
    <x v="2"/>
    <s v="Consistent"/>
    <x v="0"/>
  </r>
  <r>
    <x v="3621"/>
    <x v="0"/>
    <x v="2855"/>
    <n v="9503561690"/>
    <n v="199.41"/>
    <s v="UK pounds"/>
    <s v="UK pounds"/>
    <x v="0"/>
    <s v="UK"/>
    <x v="3"/>
    <x v="0"/>
    <x v="2"/>
    <s v="Consistent"/>
    <x v="0"/>
  </r>
  <r>
    <x v="3622"/>
    <x v="0"/>
    <x v="2856"/>
    <n v="7512529248"/>
    <n v="2036.41"/>
    <s v="UK pounds"/>
    <s v="UK pounds"/>
    <x v="0"/>
    <s v="UK"/>
    <x v="4"/>
    <x v="0"/>
    <x v="2"/>
    <s v="Consistent"/>
    <x v="0"/>
  </r>
  <r>
    <x v="3623"/>
    <x v="0"/>
    <x v="1385"/>
    <n v="8518184956"/>
    <n v="6958.44"/>
    <s v="UK pounds"/>
    <s v="UK pounds"/>
    <x v="0"/>
    <s v="UK"/>
    <x v="3"/>
    <x v="0"/>
    <x v="3"/>
    <s v="Consistent"/>
    <x v="0"/>
  </r>
  <r>
    <x v="3624"/>
    <x v="0"/>
    <x v="2857"/>
    <n v="3117154751"/>
    <n v="6550.83"/>
    <s v="Yen"/>
    <s v="Pakistani rupee"/>
    <x v="3"/>
    <s v="UK"/>
    <x v="1"/>
    <x v="0"/>
    <x v="2"/>
    <s v="Potential Layering"/>
    <x v="2"/>
  </r>
  <r>
    <x v="3625"/>
    <x v="0"/>
    <x v="46"/>
    <n v="7629589738"/>
    <n v="5653.63"/>
    <s v="UK pounds"/>
    <s v="UK pounds"/>
    <x v="0"/>
    <s v="UK"/>
    <x v="2"/>
    <x v="0"/>
    <x v="1"/>
    <s v="Consistent"/>
    <x v="0"/>
  </r>
  <r>
    <x v="3626"/>
    <x v="0"/>
    <x v="2858"/>
    <n v="3299494566"/>
    <n v="1463.86"/>
    <s v="UK pounds"/>
    <s v="UK pounds"/>
    <x v="0"/>
    <s v="UK"/>
    <x v="5"/>
    <x v="0"/>
    <x v="2"/>
    <s v="Consistent"/>
    <x v="0"/>
  </r>
  <r>
    <x v="3627"/>
    <x v="0"/>
    <x v="2859"/>
    <n v="7449883589"/>
    <n v="2753.99"/>
    <s v="UK pounds"/>
    <s v="UK pounds"/>
    <x v="0"/>
    <s v="UK"/>
    <x v="4"/>
    <x v="0"/>
    <x v="2"/>
    <s v="Consistent"/>
    <x v="0"/>
  </r>
  <r>
    <x v="3627"/>
    <x v="0"/>
    <x v="524"/>
    <n v="2534644942"/>
    <n v="25243.48"/>
    <s v="UK pounds"/>
    <s v="Euro"/>
    <x v="0"/>
    <s v="France"/>
    <x v="1"/>
    <x v="0"/>
    <x v="3"/>
    <s v="Potential Layering"/>
    <x v="0"/>
  </r>
  <r>
    <x v="3628"/>
    <x v="0"/>
    <x v="2860"/>
    <n v="3063639034"/>
    <n v="3372.23"/>
    <s v="UK pounds"/>
    <s v="UK pounds"/>
    <x v="0"/>
    <s v="UK"/>
    <x v="2"/>
    <x v="0"/>
    <x v="2"/>
    <s v="Consistent"/>
    <x v="0"/>
  </r>
  <r>
    <x v="3629"/>
    <x v="0"/>
    <x v="1131"/>
    <n v="1431561040"/>
    <n v="8467.65"/>
    <s v="UK pounds"/>
    <s v="UK pounds"/>
    <x v="0"/>
    <s v="UK"/>
    <x v="2"/>
    <x v="0"/>
    <x v="3"/>
    <s v="Consistent"/>
    <x v="0"/>
  </r>
  <r>
    <x v="3629"/>
    <x v="0"/>
    <x v="2861"/>
    <n v="6415119939"/>
    <n v="604.03"/>
    <s v="UK pounds"/>
    <s v="UK pounds"/>
    <x v="0"/>
    <s v="UK"/>
    <x v="5"/>
    <x v="0"/>
    <x v="2"/>
    <s v="Consistent"/>
    <x v="0"/>
  </r>
  <r>
    <x v="3630"/>
    <x v="0"/>
    <x v="2862"/>
    <n v="9584519127"/>
    <n v="52.1"/>
    <s v="UK pounds"/>
    <s v="UK pounds"/>
    <x v="0"/>
    <s v="UK"/>
    <x v="6"/>
    <x v="0"/>
    <x v="5"/>
    <s v="Consistent"/>
    <x v="0"/>
  </r>
  <r>
    <x v="3631"/>
    <x v="0"/>
    <x v="2863"/>
    <n v="621060264"/>
    <n v="12241.56"/>
    <s v="UK pounds"/>
    <s v="UK pounds"/>
    <x v="0"/>
    <s v="UK"/>
    <x v="5"/>
    <x v="0"/>
    <x v="3"/>
    <s v="Consistent"/>
    <x v="0"/>
  </r>
  <r>
    <x v="3631"/>
    <x v="0"/>
    <x v="2295"/>
    <n v="791276398"/>
    <n v="19116.490000000002"/>
    <s v="UK pounds"/>
    <s v="UK pounds"/>
    <x v="0"/>
    <s v="UK"/>
    <x v="4"/>
    <x v="0"/>
    <x v="6"/>
    <s v="Consistent"/>
    <x v="0"/>
  </r>
  <r>
    <x v="3632"/>
    <x v="0"/>
    <x v="960"/>
    <n v="4336977506"/>
    <n v="8617.59"/>
    <s v="UK pounds"/>
    <s v="UK pounds"/>
    <x v="0"/>
    <s v="UK"/>
    <x v="5"/>
    <x v="0"/>
    <x v="3"/>
    <s v="Consistent"/>
    <x v="0"/>
  </r>
  <r>
    <x v="3633"/>
    <x v="0"/>
    <x v="2864"/>
    <n v="1332670678"/>
    <n v="11365.54"/>
    <s v="UK pounds"/>
    <s v="UK pounds"/>
    <x v="0"/>
    <s v="UK"/>
    <x v="2"/>
    <x v="0"/>
    <x v="10"/>
    <s v="Consistent"/>
    <x v="0"/>
  </r>
  <r>
    <x v="3634"/>
    <x v="0"/>
    <x v="2865"/>
    <n v="5885236282"/>
    <n v="3111.8"/>
    <s v="UK pounds"/>
    <s v="UK pounds"/>
    <x v="0"/>
    <s v="UK"/>
    <x v="4"/>
    <x v="0"/>
    <x v="2"/>
    <s v="Consistent"/>
    <x v="0"/>
  </r>
  <r>
    <x v="3635"/>
    <x v="0"/>
    <x v="52"/>
    <n v="3828135271"/>
    <n v="5634.93"/>
    <s v="UK pounds"/>
    <s v="UK pounds"/>
    <x v="0"/>
    <s v="UK"/>
    <x v="4"/>
    <x v="0"/>
    <x v="1"/>
    <s v="Consistent"/>
    <x v="0"/>
  </r>
  <r>
    <x v="3635"/>
    <x v="0"/>
    <x v="2866"/>
    <n v="191564974"/>
    <n v="2223.42"/>
    <s v="UK pounds"/>
    <s v="UK pounds"/>
    <x v="0"/>
    <s v="UK"/>
    <x v="0"/>
    <x v="0"/>
    <x v="0"/>
    <s v="Consistent"/>
    <x v="0"/>
  </r>
  <r>
    <x v="3636"/>
    <x v="0"/>
    <x v="2867"/>
    <n v="9481666533"/>
    <n v="3691.58"/>
    <s v="UK pounds"/>
    <s v="UK pounds"/>
    <x v="0"/>
    <s v="UK"/>
    <x v="0"/>
    <x v="0"/>
    <x v="0"/>
    <s v="Consistent"/>
    <x v="0"/>
  </r>
  <r>
    <x v="3637"/>
    <x v="0"/>
    <x v="2868"/>
    <n v="832123785"/>
    <n v="252.98"/>
    <s v="UK pounds"/>
    <s v="UK pounds"/>
    <x v="0"/>
    <s v="UK"/>
    <x v="5"/>
    <x v="0"/>
    <x v="2"/>
    <s v="Consistent"/>
    <x v="0"/>
  </r>
  <r>
    <x v="3638"/>
    <x v="0"/>
    <x v="1771"/>
    <n v="3171122245"/>
    <n v="4228.62"/>
    <s v="UK pounds"/>
    <s v="UK pounds"/>
    <x v="0"/>
    <s v="UK"/>
    <x v="5"/>
    <x v="0"/>
    <x v="2"/>
    <s v="Consistent"/>
    <x v="0"/>
  </r>
  <r>
    <x v="3639"/>
    <x v="0"/>
    <x v="2869"/>
    <n v="4586589659"/>
    <n v="1552.75"/>
    <s v="UK pounds"/>
    <s v="UK pounds"/>
    <x v="0"/>
    <s v="UK"/>
    <x v="2"/>
    <x v="0"/>
    <x v="2"/>
    <s v="Consistent"/>
    <x v="0"/>
  </r>
  <r>
    <x v="3640"/>
    <x v="0"/>
    <x v="68"/>
    <n v="8969112643"/>
    <n v="13693.15"/>
    <s v="UK pounds"/>
    <s v="UK pounds"/>
    <x v="0"/>
    <s v="UK"/>
    <x v="2"/>
    <x v="0"/>
    <x v="1"/>
    <s v="Consistent"/>
    <x v="0"/>
  </r>
  <r>
    <x v="3641"/>
    <x v="0"/>
    <x v="998"/>
    <n v="1493436023"/>
    <n v="7642.06"/>
    <s v="UK pounds"/>
    <s v="UK pounds"/>
    <x v="0"/>
    <s v="UK"/>
    <x v="2"/>
    <x v="0"/>
    <x v="3"/>
    <s v="Consistent"/>
    <x v="0"/>
  </r>
  <r>
    <x v="3642"/>
    <x v="0"/>
    <x v="210"/>
    <n v="5888689265"/>
    <n v="9048.32"/>
    <s v="UK pounds"/>
    <s v="UK pounds"/>
    <x v="0"/>
    <s v="UK"/>
    <x v="3"/>
    <x v="0"/>
    <x v="1"/>
    <s v="Consistent"/>
    <x v="0"/>
  </r>
  <r>
    <x v="3643"/>
    <x v="0"/>
    <x v="2870"/>
    <n v="2314280513"/>
    <n v="1349.01"/>
    <s v="UK pounds"/>
    <s v="UK pounds"/>
    <x v="0"/>
    <s v="UK"/>
    <x v="5"/>
    <x v="0"/>
    <x v="2"/>
    <s v="Consistent"/>
    <x v="0"/>
  </r>
  <r>
    <x v="3644"/>
    <x v="0"/>
    <x v="2871"/>
    <n v="7237596021"/>
    <n v="3636.65"/>
    <s v="UK pounds"/>
    <s v="UK pounds"/>
    <x v="0"/>
    <s v="UK"/>
    <x v="0"/>
    <x v="0"/>
    <x v="0"/>
    <s v="Consistent"/>
    <x v="0"/>
  </r>
  <r>
    <x v="3644"/>
    <x v="0"/>
    <x v="52"/>
    <n v="4536194683"/>
    <n v="11237.7"/>
    <s v="UK pounds"/>
    <s v="UK pounds"/>
    <x v="0"/>
    <s v="UK"/>
    <x v="4"/>
    <x v="0"/>
    <x v="1"/>
    <s v="Consistent"/>
    <x v="0"/>
  </r>
  <r>
    <x v="3645"/>
    <x v="0"/>
    <x v="2872"/>
    <n v="98860072"/>
    <n v="7370.57"/>
    <s v="UK pounds"/>
    <s v="UK pounds"/>
    <x v="0"/>
    <s v="UK"/>
    <x v="5"/>
    <x v="0"/>
    <x v="2"/>
    <s v="Consistent"/>
    <x v="0"/>
  </r>
  <r>
    <x v="3646"/>
    <x v="0"/>
    <x v="2873"/>
    <n v="409707192"/>
    <n v="19610.740000000002"/>
    <s v="UK pounds"/>
    <s v="UK pounds"/>
    <x v="0"/>
    <s v="UK"/>
    <x v="5"/>
    <x v="0"/>
    <x v="3"/>
    <s v="Consistent"/>
    <x v="0"/>
  </r>
  <r>
    <x v="3647"/>
    <x v="0"/>
    <x v="1789"/>
    <n v="5103043844"/>
    <n v="7609.69"/>
    <s v="UK pounds"/>
    <s v="Naira"/>
    <x v="0"/>
    <s v="Nigeria"/>
    <x v="1"/>
    <x v="0"/>
    <x v="3"/>
    <s v="Potential Layering"/>
    <x v="0"/>
  </r>
  <r>
    <x v="3647"/>
    <x v="0"/>
    <x v="2446"/>
    <n v="6181249562"/>
    <n v="2980.29"/>
    <s v="UK pounds"/>
    <s v="UK pounds"/>
    <x v="0"/>
    <s v="UK"/>
    <x v="2"/>
    <x v="0"/>
    <x v="2"/>
    <s v="Consistent"/>
    <x v="0"/>
  </r>
  <r>
    <x v="3648"/>
    <x v="0"/>
    <x v="2874"/>
    <n v="1813519723"/>
    <n v="165.37"/>
    <s v="UK pounds"/>
    <s v="UK pounds"/>
    <x v="0"/>
    <s v="UK"/>
    <x v="5"/>
    <x v="0"/>
    <x v="2"/>
    <s v="Consistent"/>
    <x v="0"/>
  </r>
  <r>
    <x v="3649"/>
    <x v="0"/>
    <x v="2875"/>
    <n v="5896180453"/>
    <n v="7326.84"/>
    <s v="UK pounds"/>
    <s v="UK pounds"/>
    <x v="0"/>
    <s v="UK"/>
    <x v="3"/>
    <x v="0"/>
    <x v="3"/>
    <s v="Consistent"/>
    <x v="0"/>
  </r>
  <r>
    <x v="3650"/>
    <x v="0"/>
    <x v="2876"/>
    <n v="9257854941"/>
    <n v="664.78"/>
    <s v="UK pounds"/>
    <s v="UK pounds"/>
    <x v="0"/>
    <s v="UK"/>
    <x v="0"/>
    <x v="0"/>
    <x v="0"/>
    <s v="Consistent"/>
    <x v="0"/>
  </r>
  <r>
    <x v="3650"/>
    <x v="0"/>
    <x v="2877"/>
    <n v="9334092695"/>
    <n v="2644.14"/>
    <s v="UK pounds"/>
    <s v="UK pounds"/>
    <x v="0"/>
    <s v="UK"/>
    <x v="0"/>
    <x v="0"/>
    <x v="0"/>
    <s v="Consistent"/>
    <x v="0"/>
  </r>
  <r>
    <x v="3651"/>
    <x v="0"/>
    <x v="911"/>
    <n v="8678802420"/>
    <n v="7871.02"/>
    <s v="UK pounds"/>
    <s v="UK pounds"/>
    <x v="0"/>
    <s v="UK"/>
    <x v="5"/>
    <x v="0"/>
    <x v="3"/>
    <s v="Consistent"/>
    <x v="0"/>
  </r>
  <r>
    <x v="3652"/>
    <x v="0"/>
    <x v="2878"/>
    <n v="4612854029"/>
    <n v="21288.33"/>
    <s v="UK pounds"/>
    <s v="Mexican Peso"/>
    <x v="0"/>
    <s v="Mexico"/>
    <x v="1"/>
    <x v="0"/>
    <x v="2"/>
    <s v="Potential Layering"/>
    <x v="0"/>
  </r>
  <r>
    <x v="3653"/>
    <x v="0"/>
    <x v="2879"/>
    <n v="7411118474"/>
    <n v="1365.5"/>
    <s v="UK pounds"/>
    <s v="UK pounds"/>
    <x v="0"/>
    <s v="UK"/>
    <x v="0"/>
    <x v="0"/>
    <x v="0"/>
    <s v="Consistent"/>
    <x v="0"/>
  </r>
  <r>
    <x v="3653"/>
    <x v="0"/>
    <x v="1318"/>
    <n v="5363117119"/>
    <n v="12878.58"/>
    <s v="UK pounds"/>
    <s v="UK pounds"/>
    <x v="0"/>
    <s v="UK"/>
    <x v="4"/>
    <x v="0"/>
    <x v="3"/>
    <s v="Consistent"/>
    <x v="0"/>
  </r>
  <r>
    <x v="3654"/>
    <x v="0"/>
    <x v="950"/>
    <n v="6953672776"/>
    <n v="6600.95"/>
    <s v="UK pounds"/>
    <s v="Mexican Peso"/>
    <x v="0"/>
    <s v="Mexico"/>
    <x v="1"/>
    <x v="0"/>
    <x v="3"/>
    <s v="Potential Layering"/>
    <x v="0"/>
  </r>
  <r>
    <x v="3655"/>
    <x v="0"/>
    <x v="51"/>
    <n v="4269977194"/>
    <n v="7468.83"/>
    <s v="UK pounds"/>
    <s v="UK pounds"/>
    <x v="0"/>
    <s v="UK"/>
    <x v="4"/>
    <x v="0"/>
    <x v="1"/>
    <s v="Consistent"/>
    <x v="0"/>
  </r>
  <r>
    <x v="3656"/>
    <x v="0"/>
    <x v="2880"/>
    <n v="419860950"/>
    <n v="86.48"/>
    <s v="UK pounds"/>
    <s v="UK pounds"/>
    <x v="0"/>
    <s v="UK"/>
    <x v="6"/>
    <x v="0"/>
    <x v="5"/>
    <s v="Consistent"/>
    <x v="0"/>
  </r>
  <r>
    <x v="3657"/>
    <x v="0"/>
    <x v="339"/>
    <n v="9897263201"/>
    <n v="12606.42"/>
    <s v="UK pounds"/>
    <s v="UK pounds"/>
    <x v="0"/>
    <s v="UK"/>
    <x v="5"/>
    <x v="0"/>
    <x v="1"/>
    <s v="Consistent"/>
    <x v="0"/>
  </r>
  <r>
    <x v="3658"/>
    <x v="0"/>
    <x v="852"/>
    <n v="2534644942"/>
    <n v="16704.419999999998"/>
    <s v="UK pounds"/>
    <s v="Euro"/>
    <x v="0"/>
    <s v="France"/>
    <x v="1"/>
    <x v="0"/>
    <x v="3"/>
    <s v="Potential Layering"/>
    <x v="0"/>
  </r>
  <r>
    <x v="3658"/>
    <x v="0"/>
    <x v="2881"/>
    <n v="828974974"/>
    <n v="339.07"/>
    <s v="UK pounds"/>
    <s v="UK pounds"/>
    <x v="0"/>
    <s v="UK"/>
    <x v="5"/>
    <x v="0"/>
    <x v="2"/>
    <s v="Consistent"/>
    <x v="0"/>
  </r>
  <r>
    <x v="3658"/>
    <x v="0"/>
    <x v="176"/>
    <n v="1377603863"/>
    <n v="10219.84"/>
    <s v="UK pounds"/>
    <s v="UK pounds"/>
    <x v="0"/>
    <s v="UK"/>
    <x v="5"/>
    <x v="0"/>
    <x v="3"/>
    <s v="Consistent"/>
    <x v="0"/>
  </r>
  <r>
    <x v="3659"/>
    <x v="0"/>
    <x v="524"/>
    <n v="2534644942"/>
    <n v="25361.66"/>
    <s v="UK pounds"/>
    <s v="Euro"/>
    <x v="0"/>
    <s v="France"/>
    <x v="1"/>
    <x v="0"/>
    <x v="3"/>
    <s v="Potential Layering"/>
    <x v="0"/>
  </r>
  <r>
    <x v="3660"/>
    <x v="0"/>
    <x v="52"/>
    <n v="4889103394"/>
    <n v="14825.62"/>
    <s v="UK pounds"/>
    <s v="UK pounds"/>
    <x v="0"/>
    <s v="UK"/>
    <x v="2"/>
    <x v="0"/>
    <x v="1"/>
    <s v="Consistent"/>
    <x v="0"/>
  </r>
  <r>
    <x v="3661"/>
    <x v="0"/>
    <x v="2882"/>
    <n v="5954788102"/>
    <n v="1428.7"/>
    <s v="UK pounds"/>
    <s v="UK pounds"/>
    <x v="0"/>
    <s v="UK"/>
    <x v="0"/>
    <x v="0"/>
    <x v="0"/>
    <s v="Consistent"/>
    <x v="0"/>
  </r>
  <r>
    <x v="3661"/>
    <x v="0"/>
    <x v="2883"/>
    <n v="1215740475"/>
    <n v="6844.81"/>
    <s v="UK pounds"/>
    <s v="UK pounds"/>
    <x v="0"/>
    <s v="UK"/>
    <x v="2"/>
    <x v="0"/>
    <x v="4"/>
    <s v="Consistent"/>
    <x v="0"/>
  </r>
  <r>
    <x v="3662"/>
    <x v="0"/>
    <x v="2884"/>
    <n v="3126004356"/>
    <n v="10639.24"/>
    <s v="UK pounds"/>
    <s v="UK pounds"/>
    <x v="0"/>
    <s v="UK"/>
    <x v="4"/>
    <x v="0"/>
    <x v="2"/>
    <s v="Consistent"/>
    <x v="0"/>
  </r>
  <r>
    <x v="3663"/>
    <x v="0"/>
    <x v="734"/>
    <n v="6034997194"/>
    <n v="13482.48"/>
    <s v="Euro"/>
    <s v="UK pounds"/>
    <x v="12"/>
    <s v="UK"/>
    <x v="1"/>
    <x v="0"/>
    <x v="3"/>
    <s v="Potential Layering"/>
    <x v="0"/>
  </r>
  <r>
    <x v="3664"/>
    <x v="0"/>
    <x v="2885"/>
    <n v="6185167250"/>
    <n v="470.51"/>
    <s v="UK pounds"/>
    <s v="UK pounds"/>
    <x v="0"/>
    <s v="UK"/>
    <x v="2"/>
    <x v="0"/>
    <x v="2"/>
    <s v="Consistent"/>
    <x v="0"/>
  </r>
  <r>
    <x v="3665"/>
    <x v="0"/>
    <x v="2886"/>
    <n v="8448609952"/>
    <n v="3308.48"/>
    <s v="UK pounds"/>
    <s v="UK pounds"/>
    <x v="0"/>
    <s v="UK"/>
    <x v="4"/>
    <x v="0"/>
    <x v="2"/>
    <s v="Consistent"/>
    <x v="0"/>
  </r>
  <r>
    <x v="3666"/>
    <x v="0"/>
    <x v="2887"/>
    <n v="1424693007"/>
    <n v="3360.22"/>
    <s v="UK pounds"/>
    <s v="UK pounds"/>
    <x v="0"/>
    <s v="UK"/>
    <x v="2"/>
    <x v="0"/>
    <x v="4"/>
    <s v="Consistent"/>
    <x v="0"/>
  </r>
  <r>
    <x v="3667"/>
    <x v="0"/>
    <x v="68"/>
    <n v="8992041252"/>
    <n v="7648.36"/>
    <s v="UK pounds"/>
    <s v="UK pounds"/>
    <x v="0"/>
    <s v="UK"/>
    <x v="3"/>
    <x v="0"/>
    <x v="1"/>
    <s v="Consistent"/>
    <x v="0"/>
  </r>
  <r>
    <x v="3668"/>
    <x v="0"/>
    <x v="2888"/>
    <n v="4566276320"/>
    <n v="945.81"/>
    <s v="UK pounds"/>
    <s v="UK pounds"/>
    <x v="0"/>
    <s v="UK"/>
    <x v="5"/>
    <x v="0"/>
    <x v="2"/>
    <s v="Consistent"/>
    <x v="0"/>
  </r>
  <r>
    <x v="3668"/>
    <x v="0"/>
    <x v="68"/>
    <n v="301740914"/>
    <n v="8829.49"/>
    <s v="UK pounds"/>
    <s v="UK pounds"/>
    <x v="0"/>
    <s v="UK"/>
    <x v="3"/>
    <x v="0"/>
    <x v="1"/>
    <s v="Consistent"/>
    <x v="0"/>
  </r>
  <r>
    <x v="3669"/>
    <x v="0"/>
    <x v="1473"/>
    <n v="8252790943"/>
    <n v="57.17"/>
    <s v="UK pounds"/>
    <s v="UK pounds"/>
    <x v="0"/>
    <s v="UK"/>
    <x v="3"/>
    <x v="0"/>
    <x v="2"/>
    <s v="Consistent"/>
    <x v="0"/>
  </r>
  <r>
    <x v="3669"/>
    <x v="0"/>
    <x v="2889"/>
    <n v="8562157450"/>
    <n v="1625.12"/>
    <s v="UK pounds"/>
    <s v="UK pounds"/>
    <x v="0"/>
    <s v="UK"/>
    <x v="2"/>
    <x v="0"/>
    <x v="2"/>
    <s v="Consistent"/>
    <x v="0"/>
  </r>
  <r>
    <x v="3670"/>
    <x v="0"/>
    <x v="2890"/>
    <n v="5448000896"/>
    <n v="11094.49"/>
    <s v="UK pounds"/>
    <s v="UK pounds"/>
    <x v="0"/>
    <s v="UK"/>
    <x v="4"/>
    <x v="0"/>
    <x v="2"/>
    <s v="Consistent"/>
    <x v="0"/>
  </r>
  <r>
    <x v="3671"/>
    <x v="0"/>
    <x v="2891"/>
    <n v="5341764983"/>
    <n v="292.64999999999998"/>
    <s v="UK pounds"/>
    <s v="UK pounds"/>
    <x v="0"/>
    <s v="UK"/>
    <x v="6"/>
    <x v="0"/>
    <x v="5"/>
    <s v="Consistent"/>
    <x v="0"/>
  </r>
  <r>
    <x v="3672"/>
    <x v="0"/>
    <x v="110"/>
    <n v="1812525358"/>
    <n v="5797.02"/>
    <s v="UK pounds"/>
    <s v="UK pounds"/>
    <x v="0"/>
    <s v="UK"/>
    <x v="4"/>
    <x v="0"/>
    <x v="1"/>
    <s v="Consistent"/>
    <x v="0"/>
  </r>
  <r>
    <x v="3673"/>
    <x v="0"/>
    <x v="470"/>
    <n v="5628674969"/>
    <n v="9761.5"/>
    <s v="UK pounds"/>
    <s v="UK pounds"/>
    <x v="0"/>
    <s v="UK"/>
    <x v="2"/>
    <x v="0"/>
    <x v="3"/>
    <s v="Consistent"/>
    <x v="0"/>
  </r>
  <r>
    <x v="3674"/>
    <x v="0"/>
    <x v="2892"/>
    <n v="9481895054"/>
    <n v="1019.77"/>
    <s v="UK pounds"/>
    <s v="UK pounds"/>
    <x v="0"/>
    <s v="UK"/>
    <x v="3"/>
    <x v="0"/>
    <x v="2"/>
    <s v="Consistent"/>
    <x v="0"/>
  </r>
  <r>
    <x v="3674"/>
    <x v="0"/>
    <x v="1178"/>
    <n v="6444220418"/>
    <n v="8224.8799999999992"/>
    <s v="UK pounds"/>
    <s v="UK pounds"/>
    <x v="0"/>
    <s v="UK"/>
    <x v="4"/>
    <x v="0"/>
    <x v="3"/>
    <s v="Consistent"/>
    <x v="0"/>
  </r>
  <r>
    <x v="3675"/>
    <x v="0"/>
    <x v="1239"/>
    <n v="5109623450"/>
    <n v="9142.15"/>
    <s v="UK pounds"/>
    <s v="UK pounds"/>
    <x v="0"/>
    <s v="UK"/>
    <x v="3"/>
    <x v="0"/>
    <x v="3"/>
    <s v="Consistent"/>
    <x v="0"/>
  </r>
  <r>
    <x v="3675"/>
    <x v="0"/>
    <x v="2893"/>
    <n v="9412281200"/>
    <n v="96.59"/>
    <s v="UK pounds"/>
    <s v="UK pounds"/>
    <x v="0"/>
    <s v="UK"/>
    <x v="6"/>
    <x v="0"/>
    <x v="5"/>
    <s v="Consistent"/>
    <x v="0"/>
  </r>
  <r>
    <x v="3676"/>
    <x v="0"/>
    <x v="2894"/>
    <n v="1027651346"/>
    <n v="1186.19"/>
    <s v="Indian rupee"/>
    <s v="UK pounds"/>
    <x v="0"/>
    <s v="UK"/>
    <x v="2"/>
    <x v="0"/>
    <x v="2"/>
    <s v="Potential Layering"/>
    <x v="0"/>
  </r>
  <r>
    <x v="3677"/>
    <x v="0"/>
    <x v="202"/>
    <n v="5109623450"/>
    <n v="7851.96"/>
    <s v="UK pounds"/>
    <s v="UK pounds"/>
    <x v="0"/>
    <s v="UK"/>
    <x v="3"/>
    <x v="0"/>
    <x v="3"/>
    <s v="Consistent"/>
    <x v="0"/>
  </r>
  <r>
    <x v="3678"/>
    <x v="0"/>
    <x v="2895"/>
    <n v="8739855178"/>
    <n v="871.66"/>
    <s v="UK pounds"/>
    <s v="UK pounds"/>
    <x v="0"/>
    <s v="UK"/>
    <x v="2"/>
    <x v="0"/>
    <x v="2"/>
    <s v="Consistent"/>
    <x v="0"/>
  </r>
  <r>
    <x v="3679"/>
    <x v="0"/>
    <x v="494"/>
    <n v="6646502650"/>
    <n v="10169.129999999999"/>
    <s v="UK pounds"/>
    <s v="Euro"/>
    <x v="0"/>
    <s v="France"/>
    <x v="1"/>
    <x v="0"/>
    <x v="3"/>
    <s v="Potential Layering"/>
    <x v="0"/>
  </r>
  <r>
    <x v="3680"/>
    <x v="0"/>
    <x v="2896"/>
    <n v="8309111731"/>
    <n v="3137.01"/>
    <s v="UK pounds"/>
    <s v="UK pounds"/>
    <x v="0"/>
    <s v="UK"/>
    <x v="5"/>
    <x v="0"/>
    <x v="4"/>
    <s v="Consistent"/>
    <x v="0"/>
  </r>
  <r>
    <x v="3681"/>
    <x v="0"/>
    <x v="280"/>
    <n v="5109623450"/>
    <n v="12149.75"/>
    <s v="UK pounds"/>
    <s v="UK pounds"/>
    <x v="0"/>
    <s v="UK"/>
    <x v="4"/>
    <x v="0"/>
    <x v="3"/>
    <s v="Consistent"/>
    <x v="0"/>
  </r>
  <r>
    <x v="3682"/>
    <x v="0"/>
    <x v="2897"/>
    <n v="3549170820"/>
    <n v="5533.77"/>
    <s v="UK pounds"/>
    <s v="UK pounds"/>
    <x v="0"/>
    <s v="UK"/>
    <x v="0"/>
    <x v="0"/>
    <x v="0"/>
    <s v="Consistent"/>
    <x v="0"/>
  </r>
  <r>
    <x v="3683"/>
    <x v="0"/>
    <x v="110"/>
    <n v="1812525358"/>
    <n v="5743.1"/>
    <s v="UK pounds"/>
    <s v="UK pounds"/>
    <x v="0"/>
    <s v="UK"/>
    <x v="2"/>
    <x v="0"/>
    <x v="1"/>
    <s v="Consistent"/>
    <x v="0"/>
  </r>
  <r>
    <x v="3684"/>
    <x v="0"/>
    <x v="385"/>
    <n v="6444220418"/>
    <n v="17638.759999999998"/>
    <s v="UK pounds"/>
    <s v="UK pounds"/>
    <x v="0"/>
    <s v="UK"/>
    <x v="3"/>
    <x v="0"/>
    <x v="3"/>
    <s v="Consistent"/>
    <x v="0"/>
  </r>
  <r>
    <x v="3685"/>
    <x v="0"/>
    <x v="210"/>
    <n v="7141835964"/>
    <n v="8114.63"/>
    <s v="UK pounds"/>
    <s v="UK pounds"/>
    <x v="0"/>
    <s v="UK"/>
    <x v="2"/>
    <x v="0"/>
    <x v="1"/>
    <s v="Consistent"/>
    <x v="0"/>
  </r>
  <r>
    <x v="3686"/>
    <x v="0"/>
    <x v="379"/>
    <n v="8402697545"/>
    <n v="12966.95"/>
    <s v="UK pounds"/>
    <s v="UK pounds"/>
    <x v="0"/>
    <s v="UK"/>
    <x v="2"/>
    <x v="0"/>
    <x v="1"/>
    <s v="Consistent"/>
    <x v="0"/>
  </r>
  <r>
    <x v="3686"/>
    <x v="0"/>
    <x v="2898"/>
    <n v="9034847904"/>
    <n v="4321.92"/>
    <s v="UK pounds"/>
    <s v="UK pounds"/>
    <x v="0"/>
    <s v="UK"/>
    <x v="5"/>
    <x v="0"/>
    <x v="2"/>
    <s v="Consistent"/>
    <x v="0"/>
  </r>
  <r>
    <x v="3687"/>
    <x v="0"/>
    <x v="61"/>
    <n v="5633100295"/>
    <n v="8721.94"/>
    <s v="UK pounds"/>
    <s v="UK pounds"/>
    <x v="0"/>
    <s v="UK"/>
    <x v="2"/>
    <x v="0"/>
    <x v="1"/>
    <s v="Consistent"/>
    <x v="0"/>
  </r>
  <r>
    <x v="3687"/>
    <x v="0"/>
    <x v="163"/>
    <n v="2695185687"/>
    <n v="7997.16"/>
    <s v="UK pounds"/>
    <s v="UK pounds"/>
    <x v="0"/>
    <s v="UK"/>
    <x v="2"/>
    <x v="0"/>
    <x v="1"/>
    <s v="Consistent"/>
    <x v="0"/>
  </r>
  <r>
    <x v="3688"/>
    <x v="0"/>
    <x v="2899"/>
    <n v="657942039"/>
    <n v="5134.01"/>
    <s v="UK pounds"/>
    <s v="UK pounds"/>
    <x v="0"/>
    <s v="UK"/>
    <x v="2"/>
    <x v="0"/>
    <x v="2"/>
    <s v="Consistent"/>
    <x v="0"/>
  </r>
  <r>
    <x v="3689"/>
    <x v="0"/>
    <x v="1948"/>
    <n v="906585162"/>
    <n v="6080.21"/>
    <s v="UK pounds"/>
    <s v="UK pounds"/>
    <x v="0"/>
    <s v="UK"/>
    <x v="4"/>
    <x v="0"/>
    <x v="2"/>
    <s v="Consistent"/>
    <x v="0"/>
  </r>
  <r>
    <x v="3690"/>
    <x v="0"/>
    <x v="2900"/>
    <n v="7338736386"/>
    <n v="1872.81"/>
    <s v="UK pounds"/>
    <s v="UK pounds"/>
    <x v="0"/>
    <s v="UK"/>
    <x v="5"/>
    <x v="0"/>
    <x v="2"/>
    <s v="Consistent"/>
    <x v="0"/>
  </r>
  <r>
    <x v="3691"/>
    <x v="0"/>
    <x v="2901"/>
    <n v="9554642525"/>
    <n v="1242.3399999999999"/>
    <s v="UK pounds"/>
    <s v="UK pounds"/>
    <x v="0"/>
    <s v="UK"/>
    <x v="4"/>
    <x v="0"/>
    <x v="2"/>
    <s v="Consistent"/>
    <x v="0"/>
  </r>
  <r>
    <x v="3692"/>
    <x v="0"/>
    <x v="2902"/>
    <n v="5623976634"/>
    <n v="4301.09"/>
    <s v="UK pounds"/>
    <s v="UK pounds"/>
    <x v="0"/>
    <s v="UK"/>
    <x v="4"/>
    <x v="0"/>
    <x v="2"/>
    <s v="Consistent"/>
    <x v="0"/>
  </r>
  <r>
    <x v="3693"/>
    <x v="0"/>
    <x v="1020"/>
    <n v="6646502650"/>
    <n v="5652.31"/>
    <s v="UK pounds"/>
    <s v="Euro"/>
    <x v="0"/>
    <s v="France"/>
    <x v="1"/>
    <x v="0"/>
    <x v="3"/>
    <s v="Potential Layering"/>
    <x v="0"/>
  </r>
  <r>
    <x v="3694"/>
    <x v="0"/>
    <x v="2410"/>
    <n v="4720971649"/>
    <n v="10348.91"/>
    <s v="UK pounds"/>
    <s v="Indian rupee"/>
    <x v="0"/>
    <s v="India"/>
    <x v="1"/>
    <x v="0"/>
    <x v="2"/>
    <s v="Potential Layering"/>
    <x v="0"/>
  </r>
  <r>
    <x v="3694"/>
    <x v="0"/>
    <x v="2903"/>
    <n v="6855935396"/>
    <n v="13028.53"/>
    <s v="UK pounds"/>
    <s v="Mexican Peso"/>
    <x v="0"/>
    <s v="UK"/>
    <x v="5"/>
    <x v="0"/>
    <x v="3"/>
    <s v="Potential Layering"/>
    <x v="0"/>
  </r>
  <r>
    <x v="3695"/>
    <x v="0"/>
    <x v="63"/>
    <n v="3681770380"/>
    <n v="22335.96"/>
    <s v="UK pounds"/>
    <s v="UK pounds"/>
    <x v="0"/>
    <s v="UK"/>
    <x v="5"/>
    <x v="0"/>
    <x v="1"/>
    <s v="Consistent"/>
    <x v="0"/>
  </r>
  <r>
    <x v="3696"/>
    <x v="0"/>
    <x v="2904"/>
    <n v="2898076984"/>
    <n v="920.27"/>
    <s v="UK pounds"/>
    <s v="UK pounds"/>
    <x v="0"/>
    <s v="UK"/>
    <x v="5"/>
    <x v="0"/>
    <x v="2"/>
    <s v="Consistent"/>
    <x v="0"/>
  </r>
  <r>
    <x v="3697"/>
    <x v="0"/>
    <x v="163"/>
    <n v="2166082350"/>
    <n v="4743.9799999999996"/>
    <s v="UK pounds"/>
    <s v="UK pounds"/>
    <x v="0"/>
    <s v="UK"/>
    <x v="3"/>
    <x v="0"/>
    <x v="1"/>
    <s v="Consistent"/>
    <x v="0"/>
  </r>
  <r>
    <x v="3698"/>
    <x v="0"/>
    <x v="124"/>
    <n v="8061984977"/>
    <n v="9551.14"/>
    <s v="UK pounds"/>
    <s v="UK pounds"/>
    <x v="0"/>
    <s v="UK"/>
    <x v="5"/>
    <x v="0"/>
    <x v="1"/>
    <s v="Consistent"/>
    <x v="0"/>
  </r>
  <r>
    <x v="3699"/>
    <x v="0"/>
    <x v="210"/>
    <n v="1799978362"/>
    <n v="7573.88"/>
    <s v="UK pounds"/>
    <s v="UK pounds"/>
    <x v="0"/>
    <s v="UK"/>
    <x v="2"/>
    <x v="0"/>
    <x v="1"/>
    <s v="Consistent"/>
    <x v="0"/>
  </r>
  <r>
    <x v="3700"/>
    <x v="0"/>
    <x v="855"/>
    <n v="6223365730"/>
    <n v="11719.29"/>
    <s v="UK pounds"/>
    <s v="UK pounds"/>
    <x v="0"/>
    <s v="UK"/>
    <x v="5"/>
    <x v="0"/>
    <x v="3"/>
    <s v="Consistent"/>
    <x v="0"/>
  </r>
  <r>
    <x v="3700"/>
    <x v="0"/>
    <x v="2905"/>
    <n v="618248540"/>
    <n v="3200.79"/>
    <s v="UK pounds"/>
    <s v="UK pounds"/>
    <x v="0"/>
    <s v="UK"/>
    <x v="0"/>
    <x v="0"/>
    <x v="0"/>
    <s v="Consistent"/>
    <x v="0"/>
  </r>
  <r>
    <x v="3701"/>
    <x v="0"/>
    <x v="81"/>
    <n v="4135708880"/>
    <n v="7889.92"/>
    <s v="UK pounds"/>
    <s v="UK pounds"/>
    <x v="0"/>
    <s v="UK"/>
    <x v="2"/>
    <x v="0"/>
    <x v="1"/>
    <s v="Consistent"/>
    <x v="0"/>
  </r>
  <r>
    <x v="3702"/>
    <x v="0"/>
    <x v="2906"/>
    <n v="6792035805"/>
    <n v="2292.35"/>
    <s v="UK pounds"/>
    <s v="UK pounds"/>
    <x v="0"/>
    <s v="UK"/>
    <x v="3"/>
    <x v="0"/>
    <x v="2"/>
    <s v="Consistent"/>
    <x v="0"/>
  </r>
  <r>
    <x v="3702"/>
    <x v="0"/>
    <x v="2907"/>
    <n v="9665064917"/>
    <n v="350.64"/>
    <s v="UK pounds"/>
    <s v="UK pounds"/>
    <x v="0"/>
    <s v="UK"/>
    <x v="5"/>
    <x v="0"/>
    <x v="2"/>
    <s v="Consistent"/>
    <x v="0"/>
  </r>
  <r>
    <x v="3703"/>
    <x v="0"/>
    <x v="75"/>
    <n v="6138274964"/>
    <n v="5239.46"/>
    <s v="UK pounds"/>
    <s v="UK pounds"/>
    <x v="0"/>
    <s v="UK"/>
    <x v="5"/>
    <x v="0"/>
    <x v="1"/>
    <s v="Consistent"/>
    <x v="0"/>
  </r>
  <r>
    <x v="3703"/>
    <x v="0"/>
    <x v="353"/>
    <n v="5363117119"/>
    <n v="19906.37"/>
    <s v="UK pounds"/>
    <s v="UK pounds"/>
    <x v="0"/>
    <s v="UK"/>
    <x v="5"/>
    <x v="0"/>
    <x v="3"/>
    <s v="Consistent"/>
    <x v="0"/>
  </r>
  <r>
    <x v="3704"/>
    <x v="0"/>
    <x v="243"/>
    <n v="3405158611"/>
    <n v="6537.49"/>
    <s v="Euro"/>
    <s v="UK pounds"/>
    <x v="4"/>
    <s v="UK"/>
    <x v="1"/>
    <x v="0"/>
    <x v="1"/>
    <s v="Potential Layering"/>
    <x v="0"/>
  </r>
  <r>
    <x v="3705"/>
    <x v="0"/>
    <x v="1923"/>
    <n v="5641865341"/>
    <n v="5951.61"/>
    <s v="UK pounds"/>
    <s v="UK pounds"/>
    <x v="0"/>
    <s v="UK"/>
    <x v="2"/>
    <x v="0"/>
    <x v="2"/>
    <s v="Consistent"/>
    <x v="0"/>
  </r>
  <r>
    <x v="3706"/>
    <x v="0"/>
    <x v="2908"/>
    <n v="4694794102"/>
    <n v="1926.02"/>
    <s v="UK pounds"/>
    <s v="UK pounds"/>
    <x v="0"/>
    <s v="UK"/>
    <x v="3"/>
    <x v="0"/>
    <x v="2"/>
    <s v="Consistent"/>
    <x v="0"/>
  </r>
  <r>
    <x v="3707"/>
    <x v="0"/>
    <x v="2909"/>
    <n v="838181875"/>
    <n v="902.12"/>
    <s v="UK pounds"/>
    <s v="UK pounds"/>
    <x v="0"/>
    <s v="UK"/>
    <x v="5"/>
    <x v="0"/>
    <x v="2"/>
    <s v="Consistent"/>
    <x v="0"/>
  </r>
  <r>
    <x v="3708"/>
    <x v="0"/>
    <x v="2364"/>
    <n v="8518184956"/>
    <n v="20076.8"/>
    <s v="UK pounds"/>
    <s v="UK pounds"/>
    <x v="0"/>
    <s v="UK"/>
    <x v="4"/>
    <x v="0"/>
    <x v="3"/>
    <s v="Consistent"/>
    <x v="0"/>
  </r>
  <r>
    <x v="3708"/>
    <x v="0"/>
    <x v="1210"/>
    <n v="7939987867"/>
    <n v="3419.19"/>
    <s v="UK pounds"/>
    <s v="UK pounds"/>
    <x v="0"/>
    <s v="UK"/>
    <x v="2"/>
    <x v="0"/>
    <x v="2"/>
    <s v="Consistent"/>
    <x v="0"/>
  </r>
  <r>
    <x v="3708"/>
    <x v="0"/>
    <x v="2910"/>
    <n v="2748382827"/>
    <n v="892.51"/>
    <s v="UK pounds"/>
    <s v="UK pounds"/>
    <x v="0"/>
    <s v="UK"/>
    <x v="3"/>
    <x v="0"/>
    <x v="2"/>
    <s v="Consistent"/>
    <x v="0"/>
  </r>
  <r>
    <x v="3709"/>
    <x v="0"/>
    <x v="368"/>
    <n v="685567924"/>
    <n v="10926.08"/>
    <s v="UK pounds"/>
    <s v="UK pounds"/>
    <x v="0"/>
    <s v="UK"/>
    <x v="5"/>
    <x v="0"/>
    <x v="1"/>
    <s v="Consistent"/>
    <x v="0"/>
  </r>
  <r>
    <x v="3710"/>
    <x v="0"/>
    <x v="2911"/>
    <n v="5628674969"/>
    <n v="8444.02"/>
    <s v="UK pounds"/>
    <s v="UK pounds"/>
    <x v="0"/>
    <s v="UK"/>
    <x v="4"/>
    <x v="0"/>
    <x v="3"/>
    <s v="Consistent"/>
    <x v="0"/>
  </r>
  <r>
    <x v="3711"/>
    <x v="0"/>
    <x v="2912"/>
    <n v="3374093366"/>
    <n v="3863.42"/>
    <s v="UK pounds"/>
    <s v="UK pounds"/>
    <x v="0"/>
    <s v="UK"/>
    <x v="2"/>
    <x v="0"/>
    <x v="4"/>
    <s v="Consistent"/>
    <x v="0"/>
  </r>
  <r>
    <x v="3712"/>
    <x v="0"/>
    <x v="2913"/>
    <n v="8073403211"/>
    <n v="5564.78"/>
    <s v="UK pounds"/>
    <s v="UK pounds"/>
    <x v="0"/>
    <s v="UK"/>
    <x v="4"/>
    <x v="0"/>
    <x v="7"/>
    <s v="Consistent"/>
    <x v="0"/>
  </r>
  <r>
    <x v="3712"/>
    <x v="0"/>
    <x v="2914"/>
    <n v="9261560213"/>
    <n v="80.25"/>
    <s v="UK pounds"/>
    <s v="UK pounds"/>
    <x v="0"/>
    <s v="UK"/>
    <x v="6"/>
    <x v="0"/>
    <x v="5"/>
    <s v="Consistent"/>
    <x v="0"/>
  </r>
  <r>
    <x v="3713"/>
    <x v="0"/>
    <x v="2915"/>
    <n v="9420911943"/>
    <n v="5028.82"/>
    <s v="UK pounds"/>
    <s v="UK pounds"/>
    <x v="0"/>
    <s v="UK"/>
    <x v="0"/>
    <x v="0"/>
    <x v="0"/>
    <s v="Consistent"/>
    <x v="0"/>
  </r>
  <r>
    <x v="3714"/>
    <x v="0"/>
    <x v="669"/>
    <n v="7160736915"/>
    <n v="6648.65"/>
    <s v="UK pounds"/>
    <s v="UK pounds"/>
    <x v="0"/>
    <s v="UK"/>
    <x v="3"/>
    <x v="0"/>
    <x v="3"/>
    <s v="Consistent"/>
    <x v="0"/>
  </r>
  <r>
    <x v="3715"/>
    <x v="0"/>
    <x v="784"/>
    <n v="188858444"/>
    <n v="699.38"/>
    <s v="UK pounds"/>
    <s v="UK pounds"/>
    <x v="0"/>
    <s v="UK"/>
    <x v="5"/>
    <x v="0"/>
    <x v="2"/>
    <s v="Consistent"/>
    <x v="0"/>
  </r>
  <r>
    <x v="3716"/>
    <x v="0"/>
    <x v="2916"/>
    <n v="7719011693"/>
    <n v="156.99"/>
    <s v="UK pounds"/>
    <s v="UK pounds"/>
    <x v="0"/>
    <s v="UK"/>
    <x v="4"/>
    <x v="0"/>
    <x v="2"/>
    <s v="Consistent"/>
    <x v="0"/>
  </r>
  <r>
    <x v="3717"/>
    <x v="0"/>
    <x v="2917"/>
    <n v="1195461882"/>
    <n v="4448.1499999999996"/>
    <s v="UK pounds"/>
    <s v="UK pounds"/>
    <x v="0"/>
    <s v="UK"/>
    <x v="4"/>
    <x v="0"/>
    <x v="2"/>
    <s v="Consistent"/>
    <x v="0"/>
  </r>
  <r>
    <x v="3718"/>
    <x v="0"/>
    <x v="1623"/>
    <n v="1377603863"/>
    <n v="5238.13"/>
    <s v="UK pounds"/>
    <s v="US dollar"/>
    <x v="0"/>
    <s v="UK"/>
    <x v="4"/>
    <x v="0"/>
    <x v="3"/>
    <s v="Potential Layering"/>
    <x v="0"/>
  </r>
  <r>
    <x v="3719"/>
    <x v="0"/>
    <x v="2918"/>
    <n v="3908007731"/>
    <n v="3862.5"/>
    <s v="UK pounds"/>
    <s v="UK pounds"/>
    <x v="0"/>
    <s v="UK"/>
    <x v="0"/>
    <x v="0"/>
    <x v="0"/>
    <s v="Consistent"/>
    <x v="0"/>
  </r>
  <r>
    <x v="3720"/>
    <x v="0"/>
    <x v="2919"/>
    <n v="345087914"/>
    <n v="7493.02"/>
    <s v="UK pounds"/>
    <s v="UK pounds"/>
    <x v="0"/>
    <s v="UK"/>
    <x v="5"/>
    <x v="0"/>
    <x v="4"/>
    <s v="Consistent"/>
    <x v="0"/>
  </r>
  <r>
    <x v="3721"/>
    <x v="0"/>
    <x v="2920"/>
    <n v="5844377613"/>
    <n v="693.34"/>
    <s v="UK pounds"/>
    <s v="UK pounds"/>
    <x v="0"/>
    <s v="UK"/>
    <x v="4"/>
    <x v="0"/>
    <x v="2"/>
    <s v="Consistent"/>
    <x v="0"/>
  </r>
  <r>
    <x v="3722"/>
    <x v="0"/>
    <x v="509"/>
    <n v="7199625988"/>
    <n v="10653.04"/>
    <s v="Dirham"/>
    <s v="UK pounds"/>
    <x v="6"/>
    <s v="UK"/>
    <x v="1"/>
    <x v="0"/>
    <x v="3"/>
    <s v="Potential Layering"/>
    <x v="2"/>
  </r>
  <r>
    <x v="3723"/>
    <x v="0"/>
    <x v="2921"/>
    <n v="1162826948"/>
    <n v="3174.23"/>
    <s v="UK pounds"/>
    <s v="UK pounds"/>
    <x v="0"/>
    <s v="UK"/>
    <x v="3"/>
    <x v="0"/>
    <x v="2"/>
    <s v="Consistent"/>
    <x v="0"/>
  </r>
  <r>
    <x v="3724"/>
    <x v="0"/>
    <x v="2922"/>
    <n v="8325668773"/>
    <n v="11732.5"/>
    <s v="UK pounds"/>
    <s v="UK pounds"/>
    <x v="0"/>
    <s v="UK"/>
    <x v="5"/>
    <x v="0"/>
    <x v="4"/>
    <s v="Consistent"/>
    <x v="0"/>
  </r>
  <r>
    <x v="3725"/>
    <x v="0"/>
    <x v="2923"/>
    <n v="8752943153"/>
    <n v="4867.37"/>
    <s v="UK pounds"/>
    <s v="UK pounds"/>
    <x v="0"/>
    <s v="UK"/>
    <x v="4"/>
    <x v="0"/>
    <x v="4"/>
    <s v="Consistent"/>
    <x v="0"/>
  </r>
  <r>
    <x v="3726"/>
    <x v="0"/>
    <x v="2924"/>
    <n v="5683968866"/>
    <n v="727.22"/>
    <s v="UK pounds"/>
    <s v="UK pounds"/>
    <x v="0"/>
    <s v="UK"/>
    <x v="3"/>
    <x v="0"/>
    <x v="2"/>
    <s v="Consistent"/>
    <x v="0"/>
  </r>
  <r>
    <x v="3727"/>
    <x v="0"/>
    <x v="2925"/>
    <n v="5955520642"/>
    <n v="637.54999999999995"/>
    <s v="UK pounds"/>
    <s v="UK pounds"/>
    <x v="0"/>
    <s v="UK"/>
    <x v="5"/>
    <x v="0"/>
    <x v="2"/>
    <s v="Consistent"/>
    <x v="0"/>
  </r>
  <r>
    <x v="3727"/>
    <x v="0"/>
    <x v="2926"/>
    <n v="6174440244"/>
    <n v="2493.8200000000002"/>
    <s v="UK pounds"/>
    <s v="UK pounds"/>
    <x v="0"/>
    <s v="UK"/>
    <x v="3"/>
    <x v="0"/>
    <x v="4"/>
    <s v="Consistent"/>
    <x v="0"/>
  </r>
  <r>
    <x v="3728"/>
    <x v="0"/>
    <x v="2927"/>
    <n v="3523706197"/>
    <n v="113.03"/>
    <s v="UK pounds"/>
    <s v="UK pounds"/>
    <x v="0"/>
    <s v="UK"/>
    <x v="6"/>
    <x v="0"/>
    <x v="5"/>
    <s v="Consistent"/>
    <x v="0"/>
  </r>
  <r>
    <x v="3729"/>
    <x v="0"/>
    <x v="2928"/>
    <n v="7905591095"/>
    <n v="103.01"/>
    <s v="UK pounds"/>
    <s v="UK pounds"/>
    <x v="0"/>
    <s v="UK"/>
    <x v="0"/>
    <x v="0"/>
    <x v="0"/>
    <s v="Consistent"/>
    <x v="0"/>
  </r>
  <r>
    <x v="3729"/>
    <x v="0"/>
    <x v="2929"/>
    <n v="5708936901"/>
    <n v="12223.75"/>
    <s v="UK pounds"/>
    <s v="UK pounds"/>
    <x v="0"/>
    <s v="UK"/>
    <x v="3"/>
    <x v="0"/>
    <x v="3"/>
    <s v="Consistent"/>
    <x v="0"/>
  </r>
  <r>
    <x v="3730"/>
    <x v="0"/>
    <x v="35"/>
    <n v="1379534157"/>
    <n v="5057.87"/>
    <s v="UK pounds"/>
    <s v="UK pounds"/>
    <x v="0"/>
    <s v="UK"/>
    <x v="5"/>
    <x v="0"/>
    <x v="1"/>
    <s v="Consistent"/>
    <x v="0"/>
  </r>
  <r>
    <x v="3731"/>
    <x v="0"/>
    <x v="1251"/>
    <n v="7655202476"/>
    <n v="1120.6500000000001"/>
    <s v="UK pounds"/>
    <s v="Swiss franc"/>
    <x v="0"/>
    <s v="Switzerland"/>
    <x v="1"/>
    <x v="0"/>
    <x v="2"/>
    <s v="Potential Layering"/>
    <x v="0"/>
  </r>
  <r>
    <x v="3732"/>
    <x v="0"/>
    <x v="2930"/>
    <n v="5480602679"/>
    <n v="328.2"/>
    <s v="UK pounds"/>
    <s v="UK pounds"/>
    <x v="0"/>
    <s v="UK"/>
    <x v="2"/>
    <x v="0"/>
    <x v="2"/>
    <s v="Consistent"/>
    <x v="0"/>
  </r>
  <r>
    <x v="3732"/>
    <x v="0"/>
    <x v="2931"/>
    <n v="9166626726"/>
    <n v="1575.54"/>
    <s v="UK pounds"/>
    <s v="UK pounds"/>
    <x v="0"/>
    <s v="UK"/>
    <x v="2"/>
    <x v="0"/>
    <x v="2"/>
    <s v="Consistent"/>
    <x v="0"/>
  </r>
  <r>
    <x v="3733"/>
    <x v="0"/>
    <x v="1123"/>
    <n v="4336977506"/>
    <n v="5217.4799999999996"/>
    <s v="UK pounds"/>
    <s v="UK pounds"/>
    <x v="0"/>
    <s v="UK"/>
    <x v="3"/>
    <x v="0"/>
    <x v="3"/>
    <s v="Consistent"/>
    <x v="0"/>
  </r>
  <r>
    <x v="3733"/>
    <x v="0"/>
    <x v="167"/>
    <n v="5109623450"/>
    <n v="7876.12"/>
    <s v="UK pounds"/>
    <s v="UK pounds"/>
    <x v="0"/>
    <s v="UK"/>
    <x v="3"/>
    <x v="0"/>
    <x v="3"/>
    <s v="Consistent"/>
    <x v="0"/>
  </r>
  <r>
    <x v="3734"/>
    <x v="0"/>
    <x v="34"/>
    <n v="8705942251"/>
    <n v="7463.99"/>
    <s v="UK pounds"/>
    <s v="UK pounds"/>
    <x v="0"/>
    <s v="UK"/>
    <x v="2"/>
    <x v="0"/>
    <x v="1"/>
    <s v="Consistent"/>
    <x v="0"/>
  </r>
  <r>
    <x v="3735"/>
    <x v="0"/>
    <x v="2932"/>
    <n v="3477434260"/>
    <n v="982.92"/>
    <s v="UK pounds"/>
    <s v="UK pounds"/>
    <x v="0"/>
    <s v="UK"/>
    <x v="5"/>
    <x v="0"/>
    <x v="2"/>
    <s v="Consistent"/>
    <x v="0"/>
  </r>
  <r>
    <x v="3736"/>
    <x v="0"/>
    <x v="2933"/>
    <n v="5674907569"/>
    <n v="684.06"/>
    <s v="UK pounds"/>
    <s v="UK pounds"/>
    <x v="0"/>
    <s v="UK"/>
    <x v="0"/>
    <x v="0"/>
    <x v="0"/>
    <s v="Consistent"/>
    <x v="0"/>
  </r>
  <r>
    <x v="3737"/>
    <x v="0"/>
    <x v="1241"/>
    <n v="378335393"/>
    <n v="2194.27"/>
    <s v="UK pounds"/>
    <s v="Indian rupee"/>
    <x v="0"/>
    <s v="UK"/>
    <x v="3"/>
    <x v="0"/>
    <x v="6"/>
    <s v="Potential Layering"/>
    <x v="0"/>
  </r>
  <r>
    <x v="3738"/>
    <x v="0"/>
    <x v="350"/>
    <n v="3695545812"/>
    <n v="4914.25"/>
    <s v="UK pounds"/>
    <s v="UK pounds"/>
    <x v="0"/>
    <s v="UK"/>
    <x v="4"/>
    <x v="0"/>
    <x v="3"/>
    <s v="Consistent"/>
    <x v="0"/>
  </r>
  <r>
    <x v="3739"/>
    <x v="0"/>
    <x v="40"/>
    <n v="2595978516"/>
    <n v="9641.8700000000008"/>
    <s v="UK pounds"/>
    <s v="UK pounds"/>
    <x v="0"/>
    <s v="UK"/>
    <x v="4"/>
    <x v="0"/>
    <x v="1"/>
    <s v="Consistent"/>
    <x v="0"/>
  </r>
  <r>
    <x v="3740"/>
    <x v="0"/>
    <x v="243"/>
    <n v="114960068"/>
    <n v="8489.2000000000007"/>
    <s v="Euro"/>
    <s v="Dirham"/>
    <x v="4"/>
    <s v="UAE"/>
    <x v="1"/>
    <x v="0"/>
    <x v="1"/>
    <s v="Potential Layering"/>
    <x v="0"/>
  </r>
  <r>
    <x v="3740"/>
    <x v="0"/>
    <x v="2934"/>
    <n v="2765451286"/>
    <n v="4757.8500000000004"/>
    <s v="UK pounds"/>
    <s v="UK pounds"/>
    <x v="0"/>
    <s v="UK"/>
    <x v="4"/>
    <x v="0"/>
    <x v="2"/>
    <s v="Consistent"/>
    <x v="0"/>
  </r>
  <r>
    <x v="3740"/>
    <x v="0"/>
    <x v="2935"/>
    <n v="1437911296"/>
    <n v="390.67"/>
    <s v="UK pounds"/>
    <s v="UK pounds"/>
    <x v="0"/>
    <s v="UK"/>
    <x v="2"/>
    <x v="0"/>
    <x v="2"/>
    <s v="Consistent"/>
    <x v="0"/>
  </r>
  <r>
    <x v="3741"/>
    <x v="0"/>
    <x v="2936"/>
    <n v="5823617053"/>
    <n v="3259.3"/>
    <s v="UK pounds"/>
    <s v="UK pounds"/>
    <x v="0"/>
    <s v="UK"/>
    <x v="2"/>
    <x v="0"/>
    <x v="2"/>
    <s v="Consistent"/>
    <x v="0"/>
  </r>
  <r>
    <x v="3742"/>
    <x v="0"/>
    <x v="63"/>
    <n v="2524044622"/>
    <n v="9497.0499999999993"/>
    <s v="UK pounds"/>
    <s v="UK pounds"/>
    <x v="0"/>
    <s v="UK"/>
    <x v="3"/>
    <x v="0"/>
    <x v="1"/>
    <s v="Consistent"/>
    <x v="0"/>
  </r>
  <r>
    <x v="3742"/>
    <x v="0"/>
    <x v="196"/>
    <n v="2584568182"/>
    <n v="2780.17"/>
    <s v="UK pounds"/>
    <s v="UK pounds"/>
    <x v="0"/>
    <s v="UK"/>
    <x v="4"/>
    <x v="0"/>
    <x v="6"/>
    <s v="Consistent"/>
    <x v="0"/>
  </r>
  <r>
    <x v="3743"/>
    <x v="0"/>
    <x v="2937"/>
    <n v="32660860"/>
    <n v="2151.58"/>
    <s v="UK pounds"/>
    <s v="UK pounds"/>
    <x v="0"/>
    <s v="UK"/>
    <x v="3"/>
    <x v="0"/>
    <x v="2"/>
    <s v="Consistent"/>
    <x v="0"/>
  </r>
  <r>
    <x v="3744"/>
    <x v="0"/>
    <x v="505"/>
    <n v="2534644942"/>
    <n v="5909.57"/>
    <s v="UK pounds"/>
    <s v="Euro"/>
    <x v="0"/>
    <s v="France"/>
    <x v="1"/>
    <x v="0"/>
    <x v="3"/>
    <s v="Potential Layering"/>
    <x v="0"/>
  </r>
  <r>
    <x v="3745"/>
    <x v="0"/>
    <x v="86"/>
    <n v="2361327503"/>
    <n v="7660.83"/>
    <s v="UK pounds"/>
    <s v="UK pounds"/>
    <x v="0"/>
    <s v="UK"/>
    <x v="4"/>
    <x v="0"/>
    <x v="1"/>
    <s v="Consistent"/>
    <x v="0"/>
  </r>
  <r>
    <x v="3746"/>
    <x v="0"/>
    <x v="1258"/>
    <n v="862828637"/>
    <n v="24985.47"/>
    <s v="UK pounds"/>
    <s v="UK pounds"/>
    <x v="0"/>
    <s v="UK"/>
    <x v="3"/>
    <x v="0"/>
    <x v="2"/>
    <s v="Consistent"/>
    <x v="0"/>
  </r>
  <r>
    <x v="3746"/>
    <x v="0"/>
    <x v="2938"/>
    <n v="2221393478"/>
    <n v="536.01"/>
    <s v="UK pounds"/>
    <s v="UK pounds"/>
    <x v="0"/>
    <s v="UK"/>
    <x v="5"/>
    <x v="0"/>
    <x v="2"/>
    <s v="Consistent"/>
    <x v="0"/>
  </r>
  <r>
    <x v="3747"/>
    <x v="0"/>
    <x v="40"/>
    <n v="7389041504"/>
    <n v="10262.31"/>
    <s v="UK pounds"/>
    <s v="UK pounds"/>
    <x v="0"/>
    <s v="UK"/>
    <x v="4"/>
    <x v="0"/>
    <x v="1"/>
    <s v="Consistent"/>
    <x v="0"/>
  </r>
  <r>
    <x v="3748"/>
    <x v="0"/>
    <x v="2939"/>
    <n v="1489915777"/>
    <n v="476.25"/>
    <s v="UK pounds"/>
    <s v="UK pounds"/>
    <x v="0"/>
    <s v="UK"/>
    <x v="2"/>
    <x v="0"/>
    <x v="2"/>
    <s v="Consistent"/>
    <x v="0"/>
  </r>
  <r>
    <x v="3749"/>
    <x v="0"/>
    <x v="20"/>
    <n v="7543250720"/>
    <n v="6812.56"/>
    <s v="UK pounds"/>
    <s v="UK pounds"/>
    <x v="0"/>
    <s v="UK"/>
    <x v="3"/>
    <x v="0"/>
    <x v="1"/>
    <s v="Consistent"/>
    <x v="0"/>
  </r>
  <r>
    <x v="3750"/>
    <x v="0"/>
    <x v="150"/>
    <n v="475649742"/>
    <n v="6501.99"/>
    <s v="UK pounds"/>
    <s v="UK pounds"/>
    <x v="0"/>
    <s v="UK"/>
    <x v="5"/>
    <x v="0"/>
    <x v="1"/>
    <s v="Consistent"/>
    <x v="0"/>
  </r>
  <r>
    <x v="3750"/>
    <x v="0"/>
    <x v="2940"/>
    <n v="1346446264"/>
    <n v="5661.88"/>
    <s v="UK pounds"/>
    <s v="UK pounds"/>
    <x v="0"/>
    <s v="UK"/>
    <x v="2"/>
    <x v="0"/>
    <x v="2"/>
    <s v="Consistent"/>
    <x v="0"/>
  </r>
  <r>
    <x v="3751"/>
    <x v="0"/>
    <x v="2180"/>
    <n v="6646502650"/>
    <n v="6202.15"/>
    <s v="UK pounds"/>
    <s v="Euro"/>
    <x v="0"/>
    <s v="France"/>
    <x v="1"/>
    <x v="0"/>
    <x v="3"/>
    <s v="Potential Layering"/>
    <x v="0"/>
  </r>
  <r>
    <x v="3752"/>
    <x v="0"/>
    <x v="2296"/>
    <n v="5708936901"/>
    <n v="11354.17"/>
    <s v="UK pounds"/>
    <s v="UK pounds"/>
    <x v="0"/>
    <s v="UK"/>
    <x v="3"/>
    <x v="0"/>
    <x v="3"/>
    <s v="Consistent"/>
    <x v="0"/>
  </r>
  <r>
    <x v="3753"/>
    <x v="0"/>
    <x v="2941"/>
    <n v="5896180453"/>
    <n v="13354.61"/>
    <s v="UK pounds"/>
    <s v="UK pounds"/>
    <x v="0"/>
    <s v="UK"/>
    <x v="4"/>
    <x v="0"/>
    <x v="3"/>
    <s v="Consistent"/>
    <x v="0"/>
  </r>
  <r>
    <x v="3754"/>
    <x v="0"/>
    <x v="2942"/>
    <n v="5281036091"/>
    <n v="1744.35"/>
    <s v="UK pounds"/>
    <s v="UK pounds"/>
    <x v="0"/>
    <s v="UK"/>
    <x v="4"/>
    <x v="0"/>
    <x v="2"/>
    <s v="Consistent"/>
    <x v="0"/>
  </r>
  <r>
    <x v="3755"/>
    <x v="0"/>
    <x v="2943"/>
    <n v="7892884492"/>
    <n v="7971"/>
    <s v="UK pounds"/>
    <s v="US dollar"/>
    <x v="0"/>
    <s v="USA"/>
    <x v="1"/>
    <x v="0"/>
    <x v="3"/>
    <s v="Potential Layering"/>
    <x v="0"/>
  </r>
  <r>
    <x v="3756"/>
    <x v="0"/>
    <x v="2944"/>
    <n v="5687522584"/>
    <n v="1439.18"/>
    <s v="UK pounds"/>
    <s v="UK pounds"/>
    <x v="0"/>
    <s v="UK"/>
    <x v="3"/>
    <x v="0"/>
    <x v="2"/>
    <s v="Consistent"/>
    <x v="0"/>
  </r>
  <r>
    <x v="3757"/>
    <x v="0"/>
    <x v="2945"/>
    <n v="2531693916"/>
    <n v="5678.32"/>
    <s v="UK pounds"/>
    <s v="UK pounds"/>
    <x v="0"/>
    <s v="UK"/>
    <x v="4"/>
    <x v="0"/>
    <x v="2"/>
    <s v="Consistent"/>
    <x v="0"/>
  </r>
  <r>
    <x v="3757"/>
    <x v="0"/>
    <x v="2946"/>
    <n v="8413073398"/>
    <n v="638.96"/>
    <s v="UK pounds"/>
    <s v="UK pounds"/>
    <x v="0"/>
    <s v="UK"/>
    <x v="5"/>
    <x v="0"/>
    <x v="2"/>
    <s v="Consistent"/>
    <x v="0"/>
  </r>
  <r>
    <x v="3758"/>
    <x v="0"/>
    <x v="706"/>
    <n v="5708936901"/>
    <n v="12843.26"/>
    <s v="UK pounds"/>
    <s v="UK pounds"/>
    <x v="0"/>
    <s v="UK"/>
    <x v="3"/>
    <x v="0"/>
    <x v="3"/>
    <s v="Consistent"/>
    <x v="0"/>
  </r>
  <r>
    <x v="3759"/>
    <x v="0"/>
    <x v="166"/>
    <n v="4293580479"/>
    <n v="25522.55"/>
    <s v="UK pounds"/>
    <s v="UK pounds"/>
    <x v="0"/>
    <s v="UK"/>
    <x v="4"/>
    <x v="0"/>
    <x v="3"/>
    <s v="Consistent"/>
    <x v="0"/>
  </r>
  <r>
    <x v="3760"/>
    <x v="0"/>
    <x v="63"/>
    <n v="2524044622"/>
    <n v="9500.7000000000007"/>
    <s v="UK pounds"/>
    <s v="UK pounds"/>
    <x v="0"/>
    <s v="UK"/>
    <x v="2"/>
    <x v="0"/>
    <x v="1"/>
    <s v="Consistent"/>
    <x v="0"/>
  </r>
  <r>
    <x v="3761"/>
    <x v="0"/>
    <x v="2947"/>
    <n v="8523695954"/>
    <n v="867.47"/>
    <s v="UK pounds"/>
    <s v="UK pounds"/>
    <x v="0"/>
    <s v="UK"/>
    <x v="3"/>
    <x v="0"/>
    <x v="2"/>
    <s v="Consistent"/>
    <x v="0"/>
  </r>
  <r>
    <x v="3762"/>
    <x v="0"/>
    <x v="68"/>
    <n v="4389103342"/>
    <n v="9414.9699999999993"/>
    <s v="UK pounds"/>
    <s v="UK pounds"/>
    <x v="0"/>
    <s v="UK"/>
    <x v="2"/>
    <x v="0"/>
    <x v="1"/>
    <s v="Consistent"/>
    <x v="0"/>
  </r>
  <r>
    <x v="3763"/>
    <x v="0"/>
    <x v="2326"/>
    <n v="4551471712"/>
    <n v="2079.7600000000002"/>
    <s v="UK pounds"/>
    <s v="UK pounds"/>
    <x v="0"/>
    <s v="UK"/>
    <x v="2"/>
    <x v="0"/>
    <x v="2"/>
    <s v="Consistent"/>
    <x v="0"/>
  </r>
  <r>
    <x v="3764"/>
    <x v="0"/>
    <x v="366"/>
    <n v="4270865741"/>
    <n v="11655.25"/>
    <s v="UK pounds"/>
    <s v="UK pounds"/>
    <x v="0"/>
    <s v="UK"/>
    <x v="3"/>
    <x v="0"/>
    <x v="3"/>
    <s v="Consistent"/>
    <x v="0"/>
  </r>
  <r>
    <x v="3764"/>
    <x v="0"/>
    <x v="210"/>
    <n v="8140432476"/>
    <n v="7933.79"/>
    <s v="UK pounds"/>
    <s v="UK pounds"/>
    <x v="0"/>
    <s v="UK"/>
    <x v="3"/>
    <x v="0"/>
    <x v="1"/>
    <s v="Consistent"/>
    <x v="0"/>
  </r>
  <r>
    <x v="3765"/>
    <x v="0"/>
    <x v="2948"/>
    <n v="8235122290"/>
    <n v="110.39"/>
    <s v="UK pounds"/>
    <s v="UK pounds"/>
    <x v="0"/>
    <s v="UK"/>
    <x v="6"/>
    <x v="0"/>
    <x v="5"/>
    <s v="Consistent"/>
    <x v="0"/>
  </r>
  <r>
    <x v="3766"/>
    <x v="0"/>
    <x v="2949"/>
    <n v="3231953623"/>
    <n v="223.53"/>
    <s v="UK pounds"/>
    <s v="UK pounds"/>
    <x v="0"/>
    <s v="UK"/>
    <x v="3"/>
    <x v="0"/>
    <x v="2"/>
    <s v="Consistent"/>
    <x v="0"/>
  </r>
  <r>
    <x v="3767"/>
    <x v="0"/>
    <x v="195"/>
    <n v="7468510228"/>
    <n v="5287.47"/>
    <s v="UK pounds"/>
    <s v="UK pounds"/>
    <x v="0"/>
    <s v="UK"/>
    <x v="5"/>
    <x v="0"/>
    <x v="1"/>
    <s v="Consistent"/>
    <x v="0"/>
  </r>
  <r>
    <x v="3767"/>
    <x v="0"/>
    <x v="161"/>
    <n v="7373473711"/>
    <n v="11033.02"/>
    <s v="UK pounds"/>
    <s v="UK pounds"/>
    <x v="0"/>
    <s v="UK"/>
    <x v="5"/>
    <x v="0"/>
    <x v="1"/>
    <s v="Consistent"/>
    <x v="0"/>
  </r>
  <r>
    <x v="3768"/>
    <x v="0"/>
    <x v="91"/>
    <n v="6440110871"/>
    <n v="15728.75"/>
    <s v="UK pounds"/>
    <s v="UK pounds"/>
    <x v="0"/>
    <s v="UK"/>
    <x v="3"/>
    <x v="0"/>
    <x v="1"/>
    <s v="Consistent"/>
    <x v="0"/>
  </r>
  <r>
    <x v="3769"/>
    <x v="0"/>
    <x v="1"/>
    <n v="123413463"/>
    <n v="10311.290000000001"/>
    <s v="UK pounds"/>
    <s v="UK pounds"/>
    <x v="0"/>
    <s v="UK"/>
    <x v="4"/>
    <x v="0"/>
    <x v="1"/>
    <s v="Consistent"/>
    <x v="0"/>
  </r>
  <r>
    <x v="3770"/>
    <x v="0"/>
    <x v="1262"/>
    <n v="2176710365"/>
    <n v="1265.81"/>
    <s v="UK pounds"/>
    <s v="UK pounds"/>
    <x v="0"/>
    <s v="UK"/>
    <x v="2"/>
    <x v="0"/>
    <x v="2"/>
    <s v="Consistent"/>
    <x v="0"/>
  </r>
  <r>
    <x v="3770"/>
    <x v="0"/>
    <x v="593"/>
    <n v="3938282574"/>
    <n v="2419.42"/>
    <s v="UK pounds"/>
    <s v="UK pounds"/>
    <x v="0"/>
    <s v="UK"/>
    <x v="2"/>
    <x v="0"/>
    <x v="6"/>
    <s v="Consistent"/>
    <x v="0"/>
  </r>
  <r>
    <x v="3771"/>
    <x v="0"/>
    <x v="2950"/>
    <n v="8683543845"/>
    <n v="13837.82"/>
    <s v="UK pounds"/>
    <s v="UK pounds"/>
    <x v="0"/>
    <s v="UK"/>
    <x v="4"/>
    <x v="1"/>
    <x v="17"/>
    <s v="Consistent"/>
    <x v="0"/>
  </r>
  <r>
    <x v="3772"/>
    <x v="0"/>
    <x v="2951"/>
    <n v="9237877084"/>
    <n v="359.84"/>
    <s v="UK pounds"/>
    <s v="Yen"/>
    <x v="0"/>
    <s v="UK"/>
    <x v="3"/>
    <x v="0"/>
    <x v="2"/>
    <s v="Potential Layering"/>
    <x v="0"/>
  </r>
  <r>
    <x v="3773"/>
    <x v="0"/>
    <x v="2782"/>
    <n v="1493436023"/>
    <n v="5116.88"/>
    <s v="UK pounds"/>
    <s v="UK pounds"/>
    <x v="0"/>
    <s v="UK"/>
    <x v="5"/>
    <x v="0"/>
    <x v="3"/>
    <s v="Consistent"/>
    <x v="0"/>
  </r>
  <r>
    <x v="3774"/>
    <x v="0"/>
    <x v="2952"/>
    <n v="413046602"/>
    <n v="3063.75"/>
    <s v="UK pounds"/>
    <s v="UK pounds"/>
    <x v="0"/>
    <s v="UK"/>
    <x v="0"/>
    <x v="0"/>
    <x v="0"/>
    <s v="Consistent"/>
    <x v="0"/>
  </r>
  <r>
    <x v="3775"/>
    <x v="0"/>
    <x v="46"/>
    <n v="7927090992"/>
    <n v="9258.01"/>
    <s v="UK pounds"/>
    <s v="UK pounds"/>
    <x v="0"/>
    <s v="UK"/>
    <x v="2"/>
    <x v="0"/>
    <x v="1"/>
    <s v="Consistent"/>
    <x v="0"/>
  </r>
  <r>
    <x v="3776"/>
    <x v="0"/>
    <x v="2953"/>
    <n v="3896145797"/>
    <n v="350.83"/>
    <s v="UK pounds"/>
    <s v="UK pounds"/>
    <x v="0"/>
    <s v="UK"/>
    <x v="0"/>
    <x v="0"/>
    <x v="0"/>
    <s v="Consistent"/>
    <x v="0"/>
  </r>
  <r>
    <x v="3777"/>
    <x v="0"/>
    <x v="216"/>
    <n v="1431561040"/>
    <n v="7020.94"/>
    <s v="UK pounds"/>
    <s v="UK pounds"/>
    <x v="0"/>
    <s v="UK"/>
    <x v="3"/>
    <x v="0"/>
    <x v="3"/>
    <s v="Consistent"/>
    <x v="0"/>
  </r>
  <r>
    <x v="3778"/>
    <x v="0"/>
    <x v="2954"/>
    <n v="779444026"/>
    <n v="281.2"/>
    <s v="UK pounds"/>
    <s v="UK pounds"/>
    <x v="0"/>
    <s v="UK"/>
    <x v="2"/>
    <x v="0"/>
    <x v="2"/>
    <s v="Consistent"/>
    <x v="0"/>
  </r>
  <r>
    <x v="3779"/>
    <x v="0"/>
    <x v="51"/>
    <n v="5585080337"/>
    <n v="10514.08"/>
    <s v="UK pounds"/>
    <s v="UK pounds"/>
    <x v="0"/>
    <s v="UK"/>
    <x v="4"/>
    <x v="0"/>
    <x v="1"/>
    <s v="Consistent"/>
    <x v="0"/>
  </r>
  <r>
    <x v="3779"/>
    <x v="0"/>
    <x v="2955"/>
    <n v="4313032227"/>
    <n v="2198.81"/>
    <s v="UK pounds"/>
    <s v="UK pounds"/>
    <x v="0"/>
    <s v="UK"/>
    <x v="5"/>
    <x v="0"/>
    <x v="4"/>
    <s v="Consistent"/>
    <x v="0"/>
  </r>
  <r>
    <x v="3780"/>
    <x v="0"/>
    <x v="2956"/>
    <n v="6091032343"/>
    <n v="6890.13"/>
    <s v="UK pounds"/>
    <s v="UK pounds"/>
    <x v="0"/>
    <s v="UK"/>
    <x v="5"/>
    <x v="0"/>
    <x v="2"/>
    <s v="Consistent"/>
    <x v="0"/>
  </r>
  <r>
    <x v="3780"/>
    <x v="0"/>
    <x v="2957"/>
    <n v="9904190266"/>
    <n v="54296.31"/>
    <s v="UK pounds"/>
    <s v="UK pounds"/>
    <x v="0"/>
    <s v="UK"/>
    <x v="5"/>
    <x v="0"/>
    <x v="8"/>
    <s v="Consistent"/>
    <x v="0"/>
  </r>
  <r>
    <x v="3781"/>
    <x v="0"/>
    <x v="2958"/>
    <n v="6334654077"/>
    <n v="614.46"/>
    <s v="UK pounds"/>
    <s v="UK pounds"/>
    <x v="0"/>
    <s v="UK"/>
    <x v="0"/>
    <x v="0"/>
    <x v="0"/>
    <s v="Consistent"/>
    <x v="0"/>
  </r>
  <r>
    <x v="3782"/>
    <x v="0"/>
    <x v="55"/>
    <n v="3706844167"/>
    <n v="316.2"/>
    <s v="UK pounds"/>
    <s v="UK pounds"/>
    <x v="0"/>
    <s v="UK"/>
    <x v="6"/>
    <x v="0"/>
    <x v="5"/>
    <s v="Consistent"/>
    <x v="0"/>
  </r>
  <r>
    <x v="3783"/>
    <x v="0"/>
    <x v="81"/>
    <n v="5672438828"/>
    <n v="13572.42"/>
    <s v="UK pounds"/>
    <s v="UK pounds"/>
    <x v="0"/>
    <s v="UK"/>
    <x v="3"/>
    <x v="0"/>
    <x v="1"/>
    <s v="Consistent"/>
    <x v="0"/>
  </r>
  <r>
    <x v="3784"/>
    <x v="0"/>
    <x v="2959"/>
    <n v="5363117119"/>
    <n v="5872.71"/>
    <s v="UK pounds"/>
    <s v="UK pounds"/>
    <x v="0"/>
    <s v="UK"/>
    <x v="3"/>
    <x v="0"/>
    <x v="3"/>
    <s v="Consistent"/>
    <x v="0"/>
  </r>
  <r>
    <x v="3785"/>
    <x v="0"/>
    <x v="2960"/>
    <n v="3445142371"/>
    <n v="39.43"/>
    <s v="UK pounds"/>
    <s v="UK pounds"/>
    <x v="0"/>
    <s v="UK"/>
    <x v="6"/>
    <x v="0"/>
    <x v="5"/>
    <s v="Consistent"/>
    <x v="0"/>
  </r>
  <r>
    <x v="3785"/>
    <x v="0"/>
    <x v="2961"/>
    <n v="8332417556"/>
    <n v="132.12"/>
    <s v="UK pounds"/>
    <s v="UK pounds"/>
    <x v="0"/>
    <s v="UK"/>
    <x v="5"/>
    <x v="0"/>
    <x v="2"/>
    <s v="Consistent"/>
    <x v="0"/>
  </r>
  <r>
    <x v="3786"/>
    <x v="0"/>
    <x v="2962"/>
    <n v="1912758407"/>
    <n v="7082.91"/>
    <s v="UK pounds"/>
    <s v="UK pounds"/>
    <x v="0"/>
    <s v="UK"/>
    <x v="3"/>
    <x v="0"/>
    <x v="2"/>
    <s v="Consistent"/>
    <x v="0"/>
  </r>
  <r>
    <x v="3787"/>
    <x v="0"/>
    <x v="670"/>
    <n v="9912730379"/>
    <n v="6509.69"/>
    <s v="UK pounds"/>
    <s v="UK pounds"/>
    <x v="0"/>
    <s v="UK"/>
    <x v="5"/>
    <x v="0"/>
    <x v="2"/>
    <s v="Consistent"/>
    <x v="0"/>
  </r>
  <r>
    <x v="3788"/>
    <x v="0"/>
    <x v="2963"/>
    <n v="6855935396"/>
    <n v="9212.73"/>
    <s v="UK pounds"/>
    <s v="UK pounds"/>
    <x v="0"/>
    <s v="UK"/>
    <x v="2"/>
    <x v="0"/>
    <x v="3"/>
    <s v="Consistent"/>
    <x v="0"/>
  </r>
  <r>
    <x v="3789"/>
    <x v="0"/>
    <x v="2964"/>
    <n v="6928675680"/>
    <n v="2177.0500000000002"/>
    <s v="UK pounds"/>
    <s v="Moroccan dirham"/>
    <x v="0"/>
    <s v="Morocco"/>
    <x v="1"/>
    <x v="0"/>
    <x v="2"/>
    <s v="Potential Layering"/>
    <x v="0"/>
  </r>
  <r>
    <x v="3790"/>
    <x v="0"/>
    <x v="2965"/>
    <n v="8039556217"/>
    <n v="888.87"/>
    <s v="UK pounds"/>
    <s v="UK pounds"/>
    <x v="0"/>
    <s v="UK"/>
    <x v="5"/>
    <x v="0"/>
    <x v="4"/>
    <s v="Consistent"/>
    <x v="0"/>
  </r>
  <r>
    <x v="3791"/>
    <x v="0"/>
    <x v="2637"/>
    <n v="6953672776"/>
    <n v="12844.66"/>
    <s v="UK pounds"/>
    <s v="Mexican Peso"/>
    <x v="0"/>
    <s v="Mexico"/>
    <x v="1"/>
    <x v="0"/>
    <x v="3"/>
    <s v="Potential Layering"/>
    <x v="0"/>
  </r>
  <r>
    <x v="3792"/>
    <x v="0"/>
    <x v="2966"/>
    <n v="8765716767"/>
    <n v="71.540000000000006"/>
    <s v="UK pounds"/>
    <s v="UK pounds"/>
    <x v="0"/>
    <s v="UK"/>
    <x v="0"/>
    <x v="0"/>
    <x v="0"/>
    <s v="Consistent"/>
    <x v="0"/>
  </r>
  <r>
    <x v="3793"/>
    <x v="0"/>
    <x v="2967"/>
    <n v="2412583330"/>
    <n v="11257.27"/>
    <s v="UK pounds"/>
    <s v="UK pounds"/>
    <x v="0"/>
    <s v="UK"/>
    <x v="5"/>
    <x v="0"/>
    <x v="2"/>
    <s v="Consistent"/>
    <x v="0"/>
  </r>
  <r>
    <x v="3794"/>
    <x v="0"/>
    <x v="8"/>
    <n v="7749320382"/>
    <n v="10619.53"/>
    <s v="UK pounds"/>
    <s v="UK pounds"/>
    <x v="0"/>
    <s v="UK"/>
    <x v="3"/>
    <x v="0"/>
    <x v="1"/>
    <s v="Consistent"/>
    <x v="0"/>
  </r>
  <r>
    <x v="3795"/>
    <x v="0"/>
    <x v="1980"/>
    <n v="1431561040"/>
    <n v="8191.33"/>
    <s v="UK pounds"/>
    <s v="UK pounds"/>
    <x v="0"/>
    <s v="UK"/>
    <x v="2"/>
    <x v="0"/>
    <x v="3"/>
    <s v="Consistent"/>
    <x v="0"/>
  </r>
  <r>
    <x v="3796"/>
    <x v="0"/>
    <x v="1476"/>
    <n v="1681424114"/>
    <n v="1944.77"/>
    <s v="UK pounds"/>
    <s v="UK pounds"/>
    <x v="0"/>
    <s v="UK"/>
    <x v="5"/>
    <x v="0"/>
    <x v="2"/>
    <s v="Consistent"/>
    <x v="0"/>
  </r>
  <r>
    <x v="3796"/>
    <x v="0"/>
    <x v="2968"/>
    <n v="8359378095"/>
    <n v="2289.14"/>
    <s v="UK pounds"/>
    <s v="UK pounds"/>
    <x v="0"/>
    <s v="UK"/>
    <x v="4"/>
    <x v="0"/>
    <x v="2"/>
    <s v="Consistent"/>
    <x v="0"/>
  </r>
  <r>
    <x v="3797"/>
    <x v="0"/>
    <x v="2969"/>
    <n v="5307549505"/>
    <n v="80.11"/>
    <s v="UK pounds"/>
    <s v="UK pounds"/>
    <x v="0"/>
    <s v="UK"/>
    <x v="6"/>
    <x v="0"/>
    <x v="5"/>
    <s v="Consistent"/>
    <x v="0"/>
  </r>
  <r>
    <x v="3798"/>
    <x v="0"/>
    <x v="2826"/>
    <n v="6646502650"/>
    <n v="32609.07"/>
    <s v="UK pounds"/>
    <s v="Euro"/>
    <x v="0"/>
    <s v="France"/>
    <x v="1"/>
    <x v="0"/>
    <x v="3"/>
    <s v="Potential Layering"/>
    <x v="0"/>
  </r>
  <r>
    <x v="3799"/>
    <x v="0"/>
    <x v="1211"/>
    <n v="5896180453"/>
    <n v="6943.9"/>
    <s v="UK pounds"/>
    <s v="UK pounds"/>
    <x v="0"/>
    <s v="UK"/>
    <x v="4"/>
    <x v="0"/>
    <x v="3"/>
    <s v="Consistent"/>
    <x v="0"/>
  </r>
  <r>
    <x v="3800"/>
    <x v="0"/>
    <x v="2690"/>
    <n v="6855935396"/>
    <n v="4543.4799999999996"/>
    <s v="UK pounds"/>
    <s v="UK pounds"/>
    <x v="0"/>
    <s v="UK"/>
    <x v="2"/>
    <x v="0"/>
    <x v="3"/>
    <s v="Consistent"/>
    <x v="0"/>
  </r>
  <r>
    <x v="3801"/>
    <x v="0"/>
    <x v="2970"/>
    <n v="4211883521"/>
    <n v="1256.33"/>
    <s v="UK pounds"/>
    <s v="UK pounds"/>
    <x v="0"/>
    <s v="UK"/>
    <x v="4"/>
    <x v="0"/>
    <x v="2"/>
    <s v="Consistent"/>
    <x v="0"/>
  </r>
  <r>
    <x v="3802"/>
    <x v="0"/>
    <x v="2971"/>
    <n v="2459692642"/>
    <n v="278.83999999999997"/>
    <s v="UK pounds"/>
    <s v="UK pounds"/>
    <x v="0"/>
    <s v="UK"/>
    <x v="0"/>
    <x v="0"/>
    <x v="0"/>
    <s v="Consistent"/>
    <x v="0"/>
  </r>
  <r>
    <x v="3803"/>
    <x v="0"/>
    <x v="2972"/>
    <n v="1461956181"/>
    <n v="1366.86"/>
    <s v="UK pounds"/>
    <s v="UK pounds"/>
    <x v="0"/>
    <s v="UK"/>
    <x v="3"/>
    <x v="0"/>
    <x v="2"/>
    <s v="Consistent"/>
    <x v="0"/>
  </r>
  <r>
    <x v="3804"/>
    <x v="0"/>
    <x v="2973"/>
    <n v="1602025773"/>
    <n v="1695.75"/>
    <s v="UK pounds"/>
    <s v="UK pounds"/>
    <x v="0"/>
    <s v="UK"/>
    <x v="2"/>
    <x v="0"/>
    <x v="2"/>
    <s v="Consistent"/>
    <x v="0"/>
  </r>
  <r>
    <x v="3805"/>
    <x v="0"/>
    <x v="2974"/>
    <n v="7237603377"/>
    <n v="3245.84"/>
    <s v="UK pounds"/>
    <s v="UK pounds"/>
    <x v="0"/>
    <s v="UK"/>
    <x v="2"/>
    <x v="0"/>
    <x v="2"/>
    <s v="Consistent"/>
    <x v="0"/>
  </r>
  <r>
    <x v="3805"/>
    <x v="0"/>
    <x v="2975"/>
    <n v="409707192"/>
    <n v="10693.33"/>
    <s v="UK pounds"/>
    <s v="UK pounds"/>
    <x v="0"/>
    <s v="UK"/>
    <x v="2"/>
    <x v="0"/>
    <x v="3"/>
    <s v="Consistent"/>
    <x v="0"/>
  </r>
  <r>
    <x v="3806"/>
    <x v="0"/>
    <x v="2976"/>
    <n v="9101257376"/>
    <n v="856.16"/>
    <s v="UK pounds"/>
    <s v="UK pounds"/>
    <x v="0"/>
    <s v="UK"/>
    <x v="3"/>
    <x v="0"/>
    <x v="2"/>
    <s v="Consistent"/>
    <x v="0"/>
  </r>
  <r>
    <x v="3807"/>
    <x v="0"/>
    <x v="163"/>
    <n v="9797294707"/>
    <n v="9105.0499999999993"/>
    <s v="UK pounds"/>
    <s v="UK pounds"/>
    <x v="0"/>
    <s v="UK"/>
    <x v="5"/>
    <x v="0"/>
    <x v="1"/>
    <s v="Consistent"/>
    <x v="0"/>
  </r>
  <r>
    <x v="3808"/>
    <x v="0"/>
    <x v="2929"/>
    <n v="5708936901"/>
    <n v="12265.55"/>
    <s v="UK pounds"/>
    <s v="UK pounds"/>
    <x v="0"/>
    <s v="UK"/>
    <x v="5"/>
    <x v="0"/>
    <x v="3"/>
    <s v="Consistent"/>
    <x v="0"/>
  </r>
  <r>
    <x v="3809"/>
    <x v="0"/>
    <x v="2977"/>
    <n v="9093602755"/>
    <n v="10743.16"/>
    <s v="UK pounds"/>
    <s v="UK pounds"/>
    <x v="0"/>
    <s v="UK"/>
    <x v="4"/>
    <x v="0"/>
    <x v="2"/>
    <s v="Consistent"/>
    <x v="0"/>
  </r>
  <r>
    <x v="3810"/>
    <x v="0"/>
    <x v="2978"/>
    <n v="2138505015"/>
    <n v="12500.27"/>
    <s v="UK pounds"/>
    <s v="Dirham"/>
    <x v="0"/>
    <s v="UAE"/>
    <x v="1"/>
    <x v="0"/>
    <x v="3"/>
    <s v="Potential Layering"/>
    <x v="0"/>
  </r>
  <r>
    <x v="3810"/>
    <x v="0"/>
    <x v="2979"/>
    <n v="1922373659"/>
    <n v="2146.17"/>
    <s v="UK pounds"/>
    <s v="UK pounds"/>
    <x v="0"/>
    <s v="UK"/>
    <x v="4"/>
    <x v="0"/>
    <x v="2"/>
    <s v="Consistent"/>
    <x v="0"/>
  </r>
  <r>
    <x v="3811"/>
    <x v="0"/>
    <x v="41"/>
    <n v="4908885093"/>
    <n v="2941.37"/>
    <s v="UK pounds"/>
    <s v="UK pounds"/>
    <x v="0"/>
    <s v="UK"/>
    <x v="2"/>
    <x v="0"/>
    <x v="2"/>
    <s v="Consistent"/>
    <x v="0"/>
  </r>
  <r>
    <x v="3812"/>
    <x v="0"/>
    <x v="195"/>
    <n v="2933259781"/>
    <n v="5875.59"/>
    <s v="UK pounds"/>
    <s v="UK pounds"/>
    <x v="0"/>
    <s v="UK"/>
    <x v="4"/>
    <x v="0"/>
    <x v="1"/>
    <s v="Consistent"/>
    <x v="0"/>
  </r>
  <r>
    <x v="3813"/>
    <x v="0"/>
    <x v="2980"/>
    <n v="395432590"/>
    <n v="619.01"/>
    <s v="UK pounds"/>
    <s v="UK pounds"/>
    <x v="0"/>
    <s v="UK"/>
    <x v="4"/>
    <x v="0"/>
    <x v="2"/>
    <s v="Consistent"/>
    <x v="0"/>
  </r>
  <r>
    <x v="3814"/>
    <x v="0"/>
    <x v="1623"/>
    <n v="1377603863"/>
    <n v="5255.16"/>
    <s v="UK pounds"/>
    <s v="UK pounds"/>
    <x v="0"/>
    <s v="UK"/>
    <x v="2"/>
    <x v="0"/>
    <x v="3"/>
    <s v="Consistent"/>
    <x v="0"/>
  </r>
  <r>
    <x v="3815"/>
    <x v="0"/>
    <x v="2981"/>
    <n v="7252463628"/>
    <n v="928.22"/>
    <s v="Mexican Peso"/>
    <s v="UK pounds"/>
    <x v="10"/>
    <s v="UK"/>
    <x v="1"/>
    <x v="0"/>
    <x v="4"/>
    <s v="Potential Layering"/>
    <x v="1"/>
  </r>
  <r>
    <x v="3816"/>
    <x v="0"/>
    <x v="786"/>
    <n v="2906571021"/>
    <n v="983.33"/>
    <s v="UK pounds"/>
    <s v="UK pounds"/>
    <x v="0"/>
    <s v="UK"/>
    <x v="2"/>
    <x v="0"/>
    <x v="2"/>
    <s v="Consistent"/>
    <x v="0"/>
  </r>
  <r>
    <x v="3817"/>
    <x v="0"/>
    <x v="238"/>
    <n v="3673994895"/>
    <n v="23334.59"/>
    <s v="UK pounds"/>
    <s v="UK pounds"/>
    <x v="0"/>
    <s v="UK"/>
    <x v="3"/>
    <x v="0"/>
    <x v="1"/>
    <s v="Consistent"/>
    <x v="0"/>
  </r>
  <r>
    <x v="3818"/>
    <x v="0"/>
    <x v="2851"/>
    <n v="8518184956"/>
    <n v="14822.68"/>
    <s v="UK pounds"/>
    <s v="UK pounds"/>
    <x v="0"/>
    <s v="UK"/>
    <x v="4"/>
    <x v="0"/>
    <x v="3"/>
    <s v="Consistent"/>
    <x v="0"/>
  </r>
  <r>
    <x v="3819"/>
    <x v="0"/>
    <x v="2982"/>
    <n v="1493436023"/>
    <n v="5219.75"/>
    <s v="UK pounds"/>
    <s v="UK pounds"/>
    <x v="0"/>
    <s v="UK"/>
    <x v="4"/>
    <x v="0"/>
    <x v="3"/>
    <s v="Consistent"/>
    <x v="0"/>
  </r>
  <r>
    <x v="3820"/>
    <x v="0"/>
    <x v="2983"/>
    <n v="7510758999"/>
    <n v="18575.89"/>
    <s v="UK pounds"/>
    <s v="UK pounds"/>
    <x v="0"/>
    <s v="UK"/>
    <x v="3"/>
    <x v="0"/>
    <x v="2"/>
    <s v="Consistent"/>
    <x v="0"/>
  </r>
  <r>
    <x v="3821"/>
    <x v="0"/>
    <x v="1423"/>
    <n v="5858369125"/>
    <n v="20212.21"/>
    <s v="UK pounds"/>
    <s v="UK pounds"/>
    <x v="0"/>
    <s v="UK"/>
    <x v="2"/>
    <x v="0"/>
    <x v="3"/>
    <s v="Consistent"/>
    <x v="0"/>
  </r>
  <r>
    <x v="3822"/>
    <x v="0"/>
    <x v="2984"/>
    <n v="5492525400"/>
    <n v="16646.990000000002"/>
    <s v="UK pounds"/>
    <s v="UK pounds"/>
    <x v="0"/>
    <s v="UK"/>
    <x v="3"/>
    <x v="0"/>
    <x v="4"/>
    <s v="Consistent"/>
    <x v="0"/>
  </r>
  <r>
    <x v="3823"/>
    <x v="0"/>
    <x v="2985"/>
    <n v="2064961882"/>
    <n v="11775.45"/>
    <s v="UK pounds"/>
    <s v="UK pounds"/>
    <x v="0"/>
    <s v="UK"/>
    <x v="5"/>
    <x v="0"/>
    <x v="8"/>
    <s v="Consistent"/>
    <x v="0"/>
  </r>
  <r>
    <x v="3824"/>
    <x v="0"/>
    <x v="2986"/>
    <n v="3194413087"/>
    <n v="1530.51"/>
    <s v="UK pounds"/>
    <s v="UK pounds"/>
    <x v="0"/>
    <s v="UK"/>
    <x v="3"/>
    <x v="0"/>
    <x v="2"/>
    <s v="Consistent"/>
    <x v="0"/>
  </r>
  <r>
    <x v="3825"/>
    <x v="0"/>
    <x v="2814"/>
    <n v="3458311359"/>
    <n v="1702.8"/>
    <s v="UK pounds"/>
    <s v="UK pounds"/>
    <x v="0"/>
    <s v="UK"/>
    <x v="4"/>
    <x v="0"/>
    <x v="2"/>
    <s v="Consistent"/>
    <x v="0"/>
  </r>
  <r>
    <x v="3826"/>
    <x v="0"/>
    <x v="2987"/>
    <n v="2755638665"/>
    <n v="4313.87"/>
    <s v="UK pounds"/>
    <s v="UK pounds"/>
    <x v="0"/>
    <s v="UK"/>
    <x v="5"/>
    <x v="0"/>
    <x v="2"/>
    <s v="Consistent"/>
    <x v="0"/>
  </r>
  <r>
    <x v="3827"/>
    <x v="0"/>
    <x v="1096"/>
    <n v="1431561040"/>
    <n v="16460.259999999998"/>
    <s v="UK pounds"/>
    <s v="UK pounds"/>
    <x v="0"/>
    <s v="UK"/>
    <x v="2"/>
    <x v="0"/>
    <x v="3"/>
    <s v="Consistent"/>
    <x v="0"/>
  </r>
  <r>
    <x v="3828"/>
    <x v="0"/>
    <x v="2988"/>
    <n v="1869363391"/>
    <n v="1358.18"/>
    <s v="UK pounds"/>
    <s v="UK pounds"/>
    <x v="0"/>
    <s v="UK"/>
    <x v="0"/>
    <x v="0"/>
    <x v="0"/>
    <s v="Consistent"/>
    <x v="0"/>
  </r>
  <r>
    <x v="3829"/>
    <x v="0"/>
    <x v="2060"/>
    <n v="8678802420"/>
    <n v="4419.9799999999996"/>
    <s v="UK pounds"/>
    <s v="Swiss franc"/>
    <x v="0"/>
    <s v="UK"/>
    <x v="3"/>
    <x v="0"/>
    <x v="3"/>
    <s v="Potential Layering"/>
    <x v="0"/>
  </r>
  <r>
    <x v="3830"/>
    <x v="0"/>
    <x v="2989"/>
    <n v="8701932731"/>
    <n v="3625.97"/>
    <s v="UK pounds"/>
    <s v="UK pounds"/>
    <x v="0"/>
    <s v="UK"/>
    <x v="5"/>
    <x v="0"/>
    <x v="2"/>
    <s v="Consistent"/>
    <x v="0"/>
  </r>
  <r>
    <x v="3831"/>
    <x v="0"/>
    <x v="2990"/>
    <n v="8698580126"/>
    <n v="2562.94"/>
    <s v="UK pounds"/>
    <s v="UK pounds"/>
    <x v="0"/>
    <s v="UK"/>
    <x v="2"/>
    <x v="0"/>
    <x v="2"/>
    <s v="Consistent"/>
    <x v="0"/>
  </r>
  <r>
    <x v="3832"/>
    <x v="0"/>
    <x v="1959"/>
    <n v="3232505622"/>
    <n v="1592.48"/>
    <s v="UK pounds"/>
    <s v="UK pounds"/>
    <x v="0"/>
    <s v="UK"/>
    <x v="3"/>
    <x v="0"/>
    <x v="6"/>
    <s v="Consistent"/>
    <x v="0"/>
  </r>
  <r>
    <x v="3833"/>
    <x v="0"/>
    <x v="63"/>
    <n v="1831928079"/>
    <n v="6974.41"/>
    <s v="UK pounds"/>
    <s v="UK pounds"/>
    <x v="0"/>
    <s v="UK"/>
    <x v="5"/>
    <x v="0"/>
    <x v="1"/>
    <s v="Consistent"/>
    <x v="0"/>
  </r>
  <r>
    <x v="3834"/>
    <x v="0"/>
    <x v="86"/>
    <n v="9440622206"/>
    <n v="7565.28"/>
    <s v="UK pounds"/>
    <s v="UK pounds"/>
    <x v="0"/>
    <s v="UK"/>
    <x v="5"/>
    <x v="0"/>
    <x v="1"/>
    <s v="Consistent"/>
    <x v="0"/>
  </r>
  <r>
    <x v="3835"/>
    <x v="0"/>
    <x v="2991"/>
    <n v="7942915175"/>
    <n v="2078.4699999999998"/>
    <s v="UK pounds"/>
    <s v="UK pounds"/>
    <x v="0"/>
    <s v="UK"/>
    <x v="2"/>
    <x v="0"/>
    <x v="4"/>
    <s v="Consistent"/>
    <x v="0"/>
  </r>
  <r>
    <x v="3836"/>
    <x v="0"/>
    <x v="210"/>
    <n v="3504466346"/>
    <n v="19101.77"/>
    <s v="UK pounds"/>
    <s v="UK pounds"/>
    <x v="0"/>
    <s v="UK"/>
    <x v="5"/>
    <x v="0"/>
    <x v="1"/>
    <s v="Consistent"/>
    <x v="0"/>
  </r>
  <r>
    <x v="3837"/>
    <x v="0"/>
    <x v="2992"/>
    <n v="2153824393"/>
    <n v="3649.56"/>
    <s v="UK pounds"/>
    <s v="UK pounds"/>
    <x v="0"/>
    <s v="UK"/>
    <x v="3"/>
    <x v="0"/>
    <x v="2"/>
    <s v="Consistent"/>
    <x v="0"/>
  </r>
  <r>
    <x v="3838"/>
    <x v="0"/>
    <x v="2993"/>
    <n v="234618181"/>
    <n v="7228.36"/>
    <s v="UK pounds"/>
    <s v="UK pounds"/>
    <x v="0"/>
    <s v="UK"/>
    <x v="2"/>
    <x v="0"/>
    <x v="2"/>
    <s v="Consistent"/>
    <x v="0"/>
  </r>
  <r>
    <x v="3839"/>
    <x v="0"/>
    <x v="52"/>
    <n v="3828135271"/>
    <n v="5613.04"/>
    <s v="UK pounds"/>
    <s v="UK pounds"/>
    <x v="0"/>
    <s v="UK"/>
    <x v="4"/>
    <x v="0"/>
    <x v="1"/>
    <s v="Consistent"/>
    <x v="0"/>
  </r>
  <r>
    <x v="3839"/>
    <x v="0"/>
    <x v="2561"/>
    <n v="693522868"/>
    <n v="8839.11"/>
    <s v="UK pounds"/>
    <s v="UK pounds"/>
    <x v="0"/>
    <s v="UK"/>
    <x v="4"/>
    <x v="0"/>
    <x v="6"/>
    <s v="Consistent"/>
    <x v="0"/>
  </r>
  <r>
    <x v="3840"/>
    <x v="0"/>
    <x v="75"/>
    <n v="4856706287"/>
    <n v="13227.56"/>
    <s v="UK pounds"/>
    <s v="UK pounds"/>
    <x v="0"/>
    <s v="UK"/>
    <x v="2"/>
    <x v="0"/>
    <x v="1"/>
    <s v="Consistent"/>
    <x v="0"/>
  </r>
  <r>
    <x v="3841"/>
    <x v="0"/>
    <x v="827"/>
    <n v="6855935396"/>
    <n v="5061.6000000000004"/>
    <s v="UK pounds"/>
    <s v="UK pounds"/>
    <x v="0"/>
    <s v="UK"/>
    <x v="4"/>
    <x v="0"/>
    <x v="3"/>
    <s v="Consistent"/>
    <x v="0"/>
  </r>
  <r>
    <x v="3841"/>
    <x v="0"/>
    <x v="150"/>
    <n v="7752965423"/>
    <n v="11184.21"/>
    <s v="UK pounds"/>
    <s v="UK pounds"/>
    <x v="0"/>
    <s v="UK"/>
    <x v="4"/>
    <x v="0"/>
    <x v="1"/>
    <s v="Consistent"/>
    <x v="0"/>
  </r>
  <r>
    <x v="3842"/>
    <x v="0"/>
    <x v="2994"/>
    <n v="4661506996"/>
    <n v="5972.19"/>
    <s v="UK pounds"/>
    <s v="UK pounds"/>
    <x v="0"/>
    <s v="UK"/>
    <x v="2"/>
    <x v="0"/>
    <x v="2"/>
    <s v="Consistent"/>
    <x v="0"/>
  </r>
  <r>
    <x v="3842"/>
    <x v="0"/>
    <x v="124"/>
    <n v="8562263055"/>
    <n v="6231.84"/>
    <s v="UK pounds"/>
    <s v="UK pounds"/>
    <x v="0"/>
    <s v="UK"/>
    <x v="3"/>
    <x v="0"/>
    <x v="1"/>
    <s v="Consistent"/>
    <x v="0"/>
  </r>
  <r>
    <x v="3843"/>
    <x v="0"/>
    <x v="1481"/>
    <n v="8352571580"/>
    <n v="9817.69"/>
    <s v="UK pounds"/>
    <s v="UK pounds"/>
    <x v="0"/>
    <s v="UK"/>
    <x v="5"/>
    <x v="0"/>
    <x v="3"/>
    <s v="Consistent"/>
    <x v="0"/>
  </r>
  <r>
    <x v="3844"/>
    <x v="0"/>
    <x v="2995"/>
    <n v="8412036628"/>
    <n v="465.13"/>
    <s v="UK pounds"/>
    <s v="UK pounds"/>
    <x v="0"/>
    <s v="UK"/>
    <x v="5"/>
    <x v="0"/>
    <x v="2"/>
    <s v="Consistent"/>
    <x v="0"/>
  </r>
  <r>
    <x v="3845"/>
    <x v="0"/>
    <x v="2996"/>
    <n v="5752717634"/>
    <n v="7592.17"/>
    <s v="UK pounds"/>
    <s v="UK pounds"/>
    <x v="0"/>
    <s v="UK"/>
    <x v="2"/>
    <x v="0"/>
    <x v="8"/>
    <s v="Consistent"/>
    <x v="0"/>
  </r>
  <r>
    <x v="3846"/>
    <x v="0"/>
    <x v="2583"/>
    <n v="7160736915"/>
    <n v="5226.7700000000004"/>
    <s v="UK pounds"/>
    <s v="UK pounds"/>
    <x v="0"/>
    <s v="UK"/>
    <x v="4"/>
    <x v="0"/>
    <x v="3"/>
    <s v="Consistent"/>
    <x v="0"/>
  </r>
  <r>
    <x v="3846"/>
    <x v="0"/>
    <x v="2997"/>
    <n v="7842846612"/>
    <n v="275.83"/>
    <s v="UK pounds"/>
    <s v="UK pounds"/>
    <x v="0"/>
    <s v="UK"/>
    <x v="4"/>
    <x v="0"/>
    <x v="2"/>
    <s v="Consistent"/>
    <x v="0"/>
  </r>
  <r>
    <x v="3847"/>
    <x v="0"/>
    <x v="1053"/>
    <n v="9505173357"/>
    <n v="7013.77"/>
    <s v="UK pounds"/>
    <s v="UK pounds"/>
    <x v="0"/>
    <s v="UK"/>
    <x v="2"/>
    <x v="0"/>
    <x v="2"/>
    <s v="Consistent"/>
    <x v="0"/>
  </r>
  <r>
    <x v="3848"/>
    <x v="0"/>
    <x v="86"/>
    <n v="4959470648"/>
    <n v="8135.61"/>
    <s v="UK pounds"/>
    <s v="UK pounds"/>
    <x v="0"/>
    <s v="UK"/>
    <x v="5"/>
    <x v="0"/>
    <x v="1"/>
    <s v="Consistent"/>
    <x v="0"/>
  </r>
  <r>
    <x v="3848"/>
    <x v="0"/>
    <x v="346"/>
    <n v="9600420220"/>
    <n v="7120.71"/>
    <s v="UK pounds"/>
    <s v="UK pounds"/>
    <x v="0"/>
    <s v="UK"/>
    <x v="3"/>
    <x v="0"/>
    <x v="3"/>
    <s v="Consistent"/>
    <x v="0"/>
  </r>
  <r>
    <x v="3849"/>
    <x v="0"/>
    <x v="2998"/>
    <n v="187827676"/>
    <n v="4486.5"/>
    <s v="UK pounds"/>
    <s v="Yen"/>
    <x v="0"/>
    <s v="Japan"/>
    <x v="1"/>
    <x v="0"/>
    <x v="2"/>
    <s v="Potential Layering"/>
    <x v="0"/>
  </r>
  <r>
    <x v="3850"/>
    <x v="0"/>
    <x v="2999"/>
    <n v="927895922"/>
    <n v="4194.0200000000004"/>
    <s v="UK pounds"/>
    <s v="UK pounds"/>
    <x v="0"/>
    <s v="UK"/>
    <x v="0"/>
    <x v="1"/>
    <x v="9"/>
    <s v="Consistent"/>
    <x v="0"/>
  </r>
  <r>
    <x v="3850"/>
    <x v="0"/>
    <x v="150"/>
    <n v="3844741692"/>
    <n v="11020.8"/>
    <s v="UK pounds"/>
    <s v="UK pounds"/>
    <x v="0"/>
    <s v="UK"/>
    <x v="5"/>
    <x v="0"/>
    <x v="1"/>
    <s v="Consistent"/>
    <x v="0"/>
  </r>
  <r>
    <x v="3851"/>
    <x v="0"/>
    <x v="829"/>
    <n v="9474443302"/>
    <n v="101.37"/>
    <s v="UK pounds"/>
    <s v="UK pounds"/>
    <x v="0"/>
    <s v="UK"/>
    <x v="2"/>
    <x v="0"/>
    <x v="2"/>
    <s v="Consistent"/>
    <x v="0"/>
  </r>
  <r>
    <x v="3852"/>
    <x v="0"/>
    <x v="2449"/>
    <n v="9105769228"/>
    <n v="24591.63"/>
    <s v="UK pounds"/>
    <s v="UK pounds"/>
    <x v="0"/>
    <s v="UK"/>
    <x v="4"/>
    <x v="0"/>
    <x v="3"/>
    <s v="Consistent"/>
    <x v="0"/>
  </r>
  <r>
    <x v="3853"/>
    <x v="0"/>
    <x v="46"/>
    <n v="7950918410"/>
    <n v="10064.25"/>
    <s v="UK pounds"/>
    <s v="UK pounds"/>
    <x v="0"/>
    <s v="UK"/>
    <x v="5"/>
    <x v="0"/>
    <x v="1"/>
    <s v="Consistent"/>
    <x v="0"/>
  </r>
  <r>
    <x v="3853"/>
    <x v="0"/>
    <x v="72"/>
    <n v="8172080174"/>
    <n v="5293.15"/>
    <s v="UK pounds"/>
    <s v="UK pounds"/>
    <x v="0"/>
    <s v="UK"/>
    <x v="4"/>
    <x v="0"/>
    <x v="3"/>
    <s v="Consistent"/>
    <x v="0"/>
  </r>
  <r>
    <x v="3854"/>
    <x v="0"/>
    <x v="3000"/>
    <n v="4360016354"/>
    <n v="12718.58"/>
    <s v="UK pounds"/>
    <s v="UK pounds"/>
    <x v="0"/>
    <s v="UK"/>
    <x v="2"/>
    <x v="0"/>
    <x v="2"/>
    <s v="Consistent"/>
    <x v="0"/>
  </r>
  <r>
    <x v="3855"/>
    <x v="0"/>
    <x v="3001"/>
    <n v="6219691940"/>
    <n v="3638.17"/>
    <s v="UK pounds"/>
    <s v="UK pounds"/>
    <x v="0"/>
    <s v="UK"/>
    <x v="3"/>
    <x v="0"/>
    <x v="2"/>
    <s v="Consistent"/>
    <x v="0"/>
  </r>
  <r>
    <x v="3856"/>
    <x v="0"/>
    <x v="3002"/>
    <n v="2615971254"/>
    <n v="12943.48"/>
    <s v="UK pounds"/>
    <s v="UK pounds"/>
    <x v="0"/>
    <s v="UK"/>
    <x v="3"/>
    <x v="0"/>
    <x v="2"/>
    <s v="Consistent"/>
    <x v="0"/>
  </r>
  <r>
    <x v="3857"/>
    <x v="0"/>
    <x v="3003"/>
    <n v="7993223725"/>
    <n v="265.86"/>
    <s v="UK pounds"/>
    <s v="UK pounds"/>
    <x v="0"/>
    <s v="UK"/>
    <x v="6"/>
    <x v="0"/>
    <x v="5"/>
    <s v="Consistent"/>
    <x v="0"/>
  </r>
  <r>
    <x v="3858"/>
    <x v="0"/>
    <x v="1638"/>
    <n v="5363117119"/>
    <n v="18374.580000000002"/>
    <s v="UK pounds"/>
    <s v="UK pounds"/>
    <x v="0"/>
    <s v="UK"/>
    <x v="2"/>
    <x v="0"/>
    <x v="3"/>
    <s v="Consistent"/>
    <x v="0"/>
  </r>
  <r>
    <x v="3859"/>
    <x v="0"/>
    <x v="3004"/>
    <n v="8117312471"/>
    <n v="275.44"/>
    <s v="UK pounds"/>
    <s v="UK pounds"/>
    <x v="0"/>
    <s v="UK"/>
    <x v="6"/>
    <x v="0"/>
    <x v="5"/>
    <s v="Consistent"/>
    <x v="0"/>
  </r>
  <r>
    <x v="3860"/>
    <x v="0"/>
    <x v="8"/>
    <n v="7541529999"/>
    <n v="5707.49"/>
    <s v="UK pounds"/>
    <s v="UK pounds"/>
    <x v="0"/>
    <s v="UK"/>
    <x v="4"/>
    <x v="0"/>
    <x v="1"/>
    <s v="Consistent"/>
    <x v="0"/>
  </r>
  <r>
    <x v="3861"/>
    <x v="0"/>
    <x v="3005"/>
    <n v="3987276089"/>
    <n v="3927.79"/>
    <s v="UK pounds"/>
    <s v="UK pounds"/>
    <x v="0"/>
    <s v="UK"/>
    <x v="2"/>
    <x v="0"/>
    <x v="2"/>
    <s v="Consistent"/>
    <x v="0"/>
  </r>
  <r>
    <x v="3862"/>
    <x v="0"/>
    <x v="3006"/>
    <n v="2582035398"/>
    <n v="2409.0500000000002"/>
    <s v="UK pounds"/>
    <s v="UK pounds"/>
    <x v="0"/>
    <s v="UK"/>
    <x v="4"/>
    <x v="0"/>
    <x v="2"/>
    <s v="Consistent"/>
    <x v="0"/>
  </r>
  <r>
    <x v="3863"/>
    <x v="0"/>
    <x v="75"/>
    <n v="2602962590"/>
    <n v="8448.34"/>
    <s v="UK pounds"/>
    <s v="UK pounds"/>
    <x v="0"/>
    <s v="UK"/>
    <x v="3"/>
    <x v="0"/>
    <x v="1"/>
    <s v="Consistent"/>
    <x v="0"/>
  </r>
  <r>
    <x v="3864"/>
    <x v="0"/>
    <x v="3007"/>
    <n v="2598995634"/>
    <n v="1333.13"/>
    <s v="UK pounds"/>
    <s v="UK pounds"/>
    <x v="0"/>
    <s v="UK"/>
    <x v="0"/>
    <x v="0"/>
    <x v="0"/>
    <s v="Consistent"/>
    <x v="0"/>
  </r>
  <r>
    <x v="3865"/>
    <x v="0"/>
    <x v="34"/>
    <n v="7489694854"/>
    <n v="23539.45"/>
    <s v="UK pounds"/>
    <s v="Euro"/>
    <x v="0"/>
    <s v="Italy"/>
    <x v="1"/>
    <x v="0"/>
    <x v="1"/>
    <s v="Potential Layering"/>
    <x v="0"/>
  </r>
  <r>
    <x v="3866"/>
    <x v="0"/>
    <x v="802"/>
    <n v="3695545812"/>
    <n v="6193.05"/>
    <s v="UK pounds"/>
    <s v="UK pounds"/>
    <x v="0"/>
    <s v="UK"/>
    <x v="4"/>
    <x v="0"/>
    <x v="3"/>
    <s v="Consistent"/>
    <x v="0"/>
  </r>
  <r>
    <x v="3867"/>
    <x v="0"/>
    <x v="2125"/>
    <n v="6953672776"/>
    <n v="10246.36"/>
    <s v="UK pounds"/>
    <s v="Mexican Peso"/>
    <x v="0"/>
    <s v="Mexico"/>
    <x v="1"/>
    <x v="0"/>
    <x v="3"/>
    <s v="Potential Layering"/>
    <x v="0"/>
  </r>
  <r>
    <x v="3868"/>
    <x v="0"/>
    <x v="3008"/>
    <n v="4422501495"/>
    <n v="6362.69"/>
    <s v="UK pounds"/>
    <s v="UK pounds"/>
    <x v="0"/>
    <s v="UK"/>
    <x v="5"/>
    <x v="0"/>
    <x v="2"/>
    <s v="Consistent"/>
    <x v="0"/>
  </r>
  <r>
    <x v="3869"/>
    <x v="0"/>
    <x v="3009"/>
    <n v="8591560600"/>
    <n v="26912.14"/>
    <s v="UK pounds"/>
    <s v="UK pounds"/>
    <x v="0"/>
    <s v="UK"/>
    <x v="2"/>
    <x v="0"/>
    <x v="2"/>
    <s v="Consistent"/>
    <x v="0"/>
  </r>
  <r>
    <x v="3870"/>
    <x v="0"/>
    <x v="86"/>
    <n v="6643039893"/>
    <n v="7579.05"/>
    <s v="UK pounds"/>
    <s v="Mexican Peso"/>
    <x v="0"/>
    <s v="Mexico"/>
    <x v="1"/>
    <x v="0"/>
    <x v="1"/>
    <s v="Potential Layering"/>
    <x v="0"/>
  </r>
  <r>
    <x v="3871"/>
    <x v="0"/>
    <x v="51"/>
    <n v="4269977194"/>
    <n v="7348.74"/>
    <s v="UK pounds"/>
    <s v="UK pounds"/>
    <x v="0"/>
    <s v="UK"/>
    <x v="2"/>
    <x v="0"/>
    <x v="1"/>
    <s v="Consistent"/>
    <x v="0"/>
  </r>
  <r>
    <x v="3872"/>
    <x v="0"/>
    <x v="3010"/>
    <n v="2415599111"/>
    <n v="1382.77"/>
    <s v="UK pounds"/>
    <s v="UK pounds"/>
    <x v="0"/>
    <s v="UK"/>
    <x v="2"/>
    <x v="0"/>
    <x v="4"/>
    <s v="Consistent"/>
    <x v="0"/>
  </r>
  <r>
    <x v="3873"/>
    <x v="0"/>
    <x v="936"/>
    <n v="5103043844"/>
    <n v="6494.69"/>
    <s v="UK pounds"/>
    <s v="Naira"/>
    <x v="0"/>
    <s v="Nigeria"/>
    <x v="1"/>
    <x v="0"/>
    <x v="3"/>
    <s v="Potential Layering"/>
    <x v="0"/>
  </r>
  <r>
    <x v="3874"/>
    <x v="0"/>
    <x v="3011"/>
    <n v="4070371284"/>
    <n v="3632"/>
    <s v="UK pounds"/>
    <s v="UK pounds"/>
    <x v="0"/>
    <s v="UK"/>
    <x v="0"/>
    <x v="0"/>
    <x v="0"/>
    <s v="Consistent"/>
    <x v="0"/>
  </r>
  <r>
    <x v="3874"/>
    <x v="0"/>
    <x v="3012"/>
    <n v="2177044140"/>
    <n v="5357.98"/>
    <s v="UK pounds"/>
    <s v="UK pounds"/>
    <x v="0"/>
    <s v="UK"/>
    <x v="5"/>
    <x v="0"/>
    <x v="4"/>
    <s v="Consistent"/>
    <x v="0"/>
  </r>
  <r>
    <x v="3875"/>
    <x v="0"/>
    <x v="368"/>
    <n v="338940099"/>
    <n v="8407.56"/>
    <s v="UK pounds"/>
    <s v="UK pounds"/>
    <x v="0"/>
    <s v="UK"/>
    <x v="4"/>
    <x v="0"/>
    <x v="1"/>
    <s v="Consistent"/>
    <x v="0"/>
  </r>
  <r>
    <x v="3875"/>
    <x v="0"/>
    <x v="2125"/>
    <n v="6953672776"/>
    <n v="10465.459999999999"/>
    <s v="UK pounds"/>
    <s v="Mexican Peso"/>
    <x v="0"/>
    <s v="Mexico"/>
    <x v="1"/>
    <x v="0"/>
    <x v="3"/>
    <s v="Potential Layering"/>
    <x v="0"/>
  </r>
  <r>
    <x v="3876"/>
    <x v="0"/>
    <x v="195"/>
    <n v="3772874052"/>
    <n v="11267.42"/>
    <s v="UK pounds"/>
    <s v="Turkish lira"/>
    <x v="0"/>
    <s v="Turkey"/>
    <x v="1"/>
    <x v="0"/>
    <x v="1"/>
    <s v="Potential Layering"/>
    <x v="0"/>
  </r>
  <r>
    <x v="3876"/>
    <x v="0"/>
    <x v="2929"/>
    <n v="5708936901"/>
    <n v="12211.65"/>
    <s v="UK pounds"/>
    <s v="UK pounds"/>
    <x v="0"/>
    <s v="UK"/>
    <x v="2"/>
    <x v="0"/>
    <x v="3"/>
    <s v="Consistent"/>
    <x v="0"/>
  </r>
  <r>
    <x v="3877"/>
    <x v="0"/>
    <x v="2636"/>
    <n v="6034997194"/>
    <n v="5730.63"/>
    <s v="Albanian lek"/>
    <s v="UK pounds"/>
    <x v="1"/>
    <s v="UK"/>
    <x v="1"/>
    <x v="0"/>
    <x v="3"/>
    <s v="Potential Layering"/>
    <x v="1"/>
  </r>
  <r>
    <x v="3878"/>
    <x v="0"/>
    <x v="3013"/>
    <n v="7531481878"/>
    <n v="785.37"/>
    <s v="UK pounds"/>
    <s v="UK pounds"/>
    <x v="0"/>
    <s v="UK"/>
    <x v="4"/>
    <x v="0"/>
    <x v="2"/>
    <s v="Consistent"/>
    <x v="0"/>
  </r>
  <r>
    <x v="3879"/>
    <x v="0"/>
    <x v="86"/>
    <n v="2361327503"/>
    <n v="7412.84"/>
    <s v="UK pounds"/>
    <s v="UK pounds"/>
    <x v="0"/>
    <s v="UK"/>
    <x v="4"/>
    <x v="0"/>
    <x v="1"/>
    <s v="Consistent"/>
    <x v="0"/>
  </r>
  <r>
    <x v="3880"/>
    <x v="0"/>
    <x v="3014"/>
    <n v="5674706553"/>
    <n v="4160.5200000000004"/>
    <s v="UK pounds"/>
    <s v="UK pounds"/>
    <x v="0"/>
    <s v="UK"/>
    <x v="3"/>
    <x v="0"/>
    <x v="2"/>
    <s v="Consistent"/>
    <x v="0"/>
  </r>
  <r>
    <x v="3881"/>
    <x v="0"/>
    <x v="346"/>
    <n v="9600420220"/>
    <n v="7131.75"/>
    <s v="UK pounds"/>
    <s v="UK pounds"/>
    <x v="0"/>
    <s v="UK"/>
    <x v="2"/>
    <x v="0"/>
    <x v="3"/>
    <s v="Consistent"/>
    <x v="0"/>
  </r>
  <r>
    <x v="3882"/>
    <x v="0"/>
    <x v="368"/>
    <n v="7140265767"/>
    <n v="5288.96"/>
    <s v="UK pounds"/>
    <s v="UK pounds"/>
    <x v="0"/>
    <s v="UK"/>
    <x v="2"/>
    <x v="0"/>
    <x v="1"/>
    <s v="Consistent"/>
    <x v="0"/>
  </r>
  <r>
    <x v="3882"/>
    <x v="0"/>
    <x v="3015"/>
    <n v="6444220418"/>
    <n v="15612.89"/>
    <s v="UK pounds"/>
    <s v="UK pounds"/>
    <x v="0"/>
    <s v="UK"/>
    <x v="5"/>
    <x v="0"/>
    <x v="3"/>
    <s v="Consistent"/>
    <x v="0"/>
  </r>
  <r>
    <x v="3883"/>
    <x v="0"/>
    <x v="3016"/>
    <n v="8256996294"/>
    <n v="734.06"/>
    <s v="UK pounds"/>
    <s v="UK pounds"/>
    <x v="0"/>
    <s v="UK"/>
    <x v="2"/>
    <x v="0"/>
    <x v="2"/>
    <s v="Consistent"/>
    <x v="0"/>
  </r>
  <r>
    <x v="3883"/>
    <x v="0"/>
    <x v="3017"/>
    <n v="8066079575"/>
    <n v="902.08"/>
    <s v="UK pounds"/>
    <s v="UK pounds"/>
    <x v="0"/>
    <s v="UK"/>
    <x v="4"/>
    <x v="0"/>
    <x v="2"/>
    <s v="Consistent"/>
    <x v="0"/>
  </r>
  <r>
    <x v="3884"/>
    <x v="0"/>
    <x v="3018"/>
    <n v="8678802420"/>
    <n v="5583.23"/>
    <s v="UK pounds"/>
    <s v="UK pounds"/>
    <x v="0"/>
    <s v="UK"/>
    <x v="4"/>
    <x v="0"/>
    <x v="3"/>
    <s v="Consistent"/>
    <x v="0"/>
  </r>
  <r>
    <x v="3885"/>
    <x v="0"/>
    <x v="3019"/>
    <n v="1788318949"/>
    <n v="2991.29"/>
    <s v="UK pounds"/>
    <s v="UK pounds"/>
    <x v="0"/>
    <s v="UK"/>
    <x v="4"/>
    <x v="0"/>
    <x v="4"/>
    <s v="Consistent"/>
    <x v="0"/>
  </r>
  <r>
    <x v="3886"/>
    <x v="0"/>
    <x v="3020"/>
    <n v="5103043844"/>
    <n v="5439.07"/>
    <s v="UK pounds"/>
    <s v="Naira"/>
    <x v="0"/>
    <s v="Nigeria"/>
    <x v="1"/>
    <x v="0"/>
    <x v="3"/>
    <s v="Potential Layering"/>
    <x v="0"/>
  </r>
  <r>
    <x v="3887"/>
    <x v="0"/>
    <x v="3021"/>
    <n v="4668819603"/>
    <n v="2813.46"/>
    <s v="UK pounds"/>
    <s v="Euro"/>
    <x v="0"/>
    <s v="Germany"/>
    <x v="1"/>
    <x v="0"/>
    <x v="2"/>
    <s v="Potential Layering"/>
    <x v="0"/>
  </r>
  <r>
    <x v="3888"/>
    <x v="0"/>
    <x v="40"/>
    <n v="5112224952"/>
    <n v="9688.5"/>
    <s v="UK pounds"/>
    <s v="UK pounds"/>
    <x v="0"/>
    <s v="UK"/>
    <x v="4"/>
    <x v="0"/>
    <x v="1"/>
    <s v="Consistent"/>
    <x v="0"/>
  </r>
  <r>
    <x v="3889"/>
    <x v="0"/>
    <x v="1547"/>
    <n v="5181918200"/>
    <n v="1878.54"/>
    <s v="UK pounds"/>
    <s v="UK pounds"/>
    <x v="0"/>
    <s v="UK"/>
    <x v="4"/>
    <x v="0"/>
    <x v="2"/>
    <s v="Consistent"/>
    <x v="0"/>
  </r>
  <r>
    <x v="3890"/>
    <x v="0"/>
    <x v="296"/>
    <n v="3695545812"/>
    <n v="12207.91"/>
    <s v="UK pounds"/>
    <s v="UK pounds"/>
    <x v="0"/>
    <s v="UK"/>
    <x v="4"/>
    <x v="0"/>
    <x v="3"/>
    <s v="Consistent"/>
    <x v="0"/>
  </r>
  <r>
    <x v="3891"/>
    <x v="0"/>
    <x v="91"/>
    <n v="6440110871"/>
    <n v="15672.56"/>
    <s v="UK pounds"/>
    <s v="UK pounds"/>
    <x v="0"/>
    <s v="UK"/>
    <x v="2"/>
    <x v="0"/>
    <x v="1"/>
    <s v="Consistent"/>
    <x v="0"/>
  </r>
  <r>
    <x v="3891"/>
    <x v="0"/>
    <x v="909"/>
    <n v="7160736915"/>
    <n v="5034.83"/>
    <s v="UK pounds"/>
    <s v="UK pounds"/>
    <x v="0"/>
    <s v="UK"/>
    <x v="2"/>
    <x v="0"/>
    <x v="3"/>
    <s v="Consistent"/>
    <x v="0"/>
  </r>
  <r>
    <x v="3892"/>
    <x v="0"/>
    <x v="3022"/>
    <n v="417605516"/>
    <n v="5362.33"/>
    <s v="UK pounds"/>
    <s v="UK pounds"/>
    <x v="0"/>
    <s v="UK"/>
    <x v="5"/>
    <x v="0"/>
    <x v="2"/>
    <s v="Consistent"/>
    <x v="0"/>
  </r>
  <r>
    <x v="3892"/>
    <x v="0"/>
    <x v="255"/>
    <n v="1948023764"/>
    <n v="21273.94"/>
    <s v="UK pounds"/>
    <s v="UK pounds"/>
    <x v="0"/>
    <s v="UK"/>
    <x v="4"/>
    <x v="0"/>
    <x v="1"/>
    <s v="Consistent"/>
    <x v="0"/>
  </r>
  <r>
    <x v="3893"/>
    <x v="0"/>
    <x v="3023"/>
    <n v="8100579100"/>
    <n v="2126.5100000000002"/>
    <s v="UK pounds"/>
    <s v="UK pounds"/>
    <x v="0"/>
    <s v="UK"/>
    <x v="0"/>
    <x v="0"/>
    <x v="0"/>
    <s v="Consistent"/>
    <x v="0"/>
  </r>
  <r>
    <x v="3894"/>
    <x v="0"/>
    <x v="248"/>
    <n v="3764741730"/>
    <n v="6174.92"/>
    <s v="UK pounds"/>
    <s v="UK pounds"/>
    <x v="0"/>
    <s v="UK"/>
    <x v="2"/>
    <x v="0"/>
    <x v="1"/>
    <s v="Consistent"/>
    <x v="0"/>
  </r>
  <r>
    <x v="3894"/>
    <x v="0"/>
    <x v="3024"/>
    <n v="1900172921"/>
    <n v="40.909999999999997"/>
    <s v="UK pounds"/>
    <s v="UK pounds"/>
    <x v="0"/>
    <s v="UK"/>
    <x v="6"/>
    <x v="0"/>
    <x v="5"/>
    <s v="Consistent"/>
    <x v="0"/>
  </r>
  <r>
    <x v="3895"/>
    <x v="0"/>
    <x v="583"/>
    <n v="621060264"/>
    <n v="10473.48"/>
    <s v="UK pounds"/>
    <s v="Indian rupee"/>
    <x v="0"/>
    <s v="UK"/>
    <x v="5"/>
    <x v="0"/>
    <x v="3"/>
    <s v="Potential Layering"/>
    <x v="0"/>
  </r>
  <r>
    <x v="3896"/>
    <x v="0"/>
    <x v="3025"/>
    <n v="8600542721"/>
    <n v="9203.3799999999992"/>
    <s v="UK pounds"/>
    <s v="UK pounds"/>
    <x v="0"/>
    <s v="UK"/>
    <x v="3"/>
    <x v="0"/>
    <x v="4"/>
    <s v="Consistent"/>
    <x v="0"/>
  </r>
  <r>
    <x v="3897"/>
    <x v="0"/>
    <x v="3026"/>
    <n v="5112594890"/>
    <n v="1199.0899999999999"/>
    <s v="UK pounds"/>
    <s v="UK pounds"/>
    <x v="0"/>
    <s v="UK"/>
    <x v="2"/>
    <x v="0"/>
    <x v="2"/>
    <s v="Consistent"/>
    <x v="0"/>
  </r>
  <r>
    <x v="3898"/>
    <x v="0"/>
    <x v="3027"/>
    <n v="9220280946"/>
    <n v="8282.2800000000007"/>
    <s v="UK pounds"/>
    <s v="Dirham"/>
    <x v="0"/>
    <s v="UAE"/>
    <x v="1"/>
    <x v="0"/>
    <x v="2"/>
    <s v="Potential Layering"/>
    <x v="0"/>
  </r>
  <r>
    <x v="3898"/>
    <x v="0"/>
    <x v="8"/>
    <n v="578267324"/>
    <n v="11275.03"/>
    <s v="UK pounds"/>
    <s v="UK pounds"/>
    <x v="0"/>
    <s v="UK"/>
    <x v="5"/>
    <x v="0"/>
    <x v="1"/>
    <s v="Consistent"/>
    <x v="0"/>
  </r>
  <r>
    <x v="3899"/>
    <x v="0"/>
    <x v="3028"/>
    <n v="4726894043"/>
    <n v="995.51"/>
    <s v="UK pounds"/>
    <s v="UK pounds"/>
    <x v="0"/>
    <s v="UK"/>
    <x v="3"/>
    <x v="0"/>
    <x v="2"/>
    <s v="Consistent"/>
    <x v="0"/>
  </r>
  <r>
    <x v="3900"/>
    <x v="0"/>
    <x v="598"/>
    <n v="427988865"/>
    <n v="17224.43"/>
    <s v="UK pounds"/>
    <s v="UK pounds"/>
    <x v="0"/>
    <s v="UK"/>
    <x v="2"/>
    <x v="0"/>
    <x v="6"/>
    <s v="Consistent"/>
    <x v="0"/>
  </r>
  <r>
    <x v="3901"/>
    <x v="0"/>
    <x v="3029"/>
    <n v="4721478443"/>
    <n v="11914.14"/>
    <s v="UK pounds"/>
    <s v="UK pounds"/>
    <x v="0"/>
    <s v="UK"/>
    <x v="3"/>
    <x v="0"/>
    <x v="2"/>
    <s v="Consistent"/>
    <x v="0"/>
  </r>
  <r>
    <x v="3901"/>
    <x v="0"/>
    <x v="3030"/>
    <n v="5635568638"/>
    <n v="1100.2"/>
    <s v="UK pounds"/>
    <s v="UK pounds"/>
    <x v="0"/>
    <s v="UK"/>
    <x v="4"/>
    <x v="0"/>
    <x v="2"/>
    <s v="Consistent"/>
    <x v="0"/>
  </r>
  <r>
    <x v="3902"/>
    <x v="0"/>
    <x v="3031"/>
    <n v="3732930791"/>
    <n v="3017.17"/>
    <s v="UK pounds"/>
    <s v="UK pounds"/>
    <x v="0"/>
    <s v="UK"/>
    <x v="0"/>
    <x v="0"/>
    <x v="0"/>
    <s v="Consistent"/>
    <x v="0"/>
  </r>
  <r>
    <x v="3903"/>
    <x v="0"/>
    <x v="2296"/>
    <n v="5708936901"/>
    <n v="11301.4"/>
    <s v="UK pounds"/>
    <s v="UK pounds"/>
    <x v="0"/>
    <s v="UK"/>
    <x v="2"/>
    <x v="0"/>
    <x v="3"/>
    <s v="Consistent"/>
    <x v="0"/>
  </r>
  <r>
    <x v="3904"/>
    <x v="0"/>
    <x v="238"/>
    <n v="3833545196"/>
    <n v="15143.42"/>
    <s v="UK pounds"/>
    <s v="UK pounds"/>
    <x v="0"/>
    <s v="UK"/>
    <x v="4"/>
    <x v="0"/>
    <x v="1"/>
    <s v="Consistent"/>
    <x v="0"/>
  </r>
  <r>
    <x v="3905"/>
    <x v="0"/>
    <x v="238"/>
    <n v="6066458462"/>
    <n v="5868.12"/>
    <s v="UK pounds"/>
    <s v="UK pounds"/>
    <x v="0"/>
    <s v="UK"/>
    <x v="3"/>
    <x v="0"/>
    <x v="1"/>
    <s v="Consistent"/>
    <x v="0"/>
  </r>
  <r>
    <x v="3906"/>
    <x v="0"/>
    <x v="583"/>
    <n v="621060264"/>
    <n v="10451.969999999999"/>
    <s v="UK pounds"/>
    <s v="UK pounds"/>
    <x v="0"/>
    <s v="UK"/>
    <x v="5"/>
    <x v="0"/>
    <x v="3"/>
    <s v="Consistent"/>
    <x v="0"/>
  </r>
  <r>
    <x v="3906"/>
    <x v="0"/>
    <x v="224"/>
    <n v="8172080174"/>
    <n v="4901.1499999999996"/>
    <s v="UK pounds"/>
    <s v="UK pounds"/>
    <x v="0"/>
    <s v="UK"/>
    <x v="3"/>
    <x v="0"/>
    <x v="3"/>
    <s v="Consistent"/>
    <x v="0"/>
  </r>
  <r>
    <x v="3907"/>
    <x v="0"/>
    <x v="2721"/>
    <n v="8172080174"/>
    <n v="5516.69"/>
    <s v="UK pounds"/>
    <s v="UK pounds"/>
    <x v="0"/>
    <s v="UK"/>
    <x v="5"/>
    <x v="0"/>
    <x v="3"/>
    <s v="Consistent"/>
    <x v="0"/>
  </r>
  <r>
    <x v="3908"/>
    <x v="0"/>
    <x v="317"/>
    <n v="5466123934"/>
    <n v="7911.89"/>
    <s v="UK pounds"/>
    <s v="UK pounds"/>
    <x v="0"/>
    <s v="UK"/>
    <x v="3"/>
    <x v="0"/>
    <x v="3"/>
    <s v="Consistent"/>
    <x v="0"/>
  </r>
  <r>
    <x v="3909"/>
    <x v="0"/>
    <x v="3032"/>
    <n v="3438932057"/>
    <n v="4479.2299999999996"/>
    <s v="UK pounds"/>
    <s v="UK pounds"/>
    <x v="0"/>
    <s v="UK"/>
    <x v="2"/>
    <x v="0"/>
    <x v="7"/>
    <s v="Consistent"/>
    <x v="0"/>
  </r>
  <r>
    <x v="3910"/>
    <x v="0"/>
    <x v="3033"/>
    <n v="8352571580"/>
    <n v="9704.66"/>
    <s v="UK pounds"/>
    <s v="UK pounds"/>
    <x v="0"/>
    <s v="UK"/>
    <x v="3"/>
    <x v="0"/>
    <x v="3"/>
    <s v="Consistent"/>
    <x v="0"/>
  </r>
  <r>
    <x v="3911"/>
    <x v="0"/>
    <x v="9"/>
    <n v="1160338470"/>
    <n v="4460.01"/>
    <s v="UK pounds"/>
    <s v="UK pounds"/>
    <x v="0"/>
    <s v="UK"/>
    <x v="3"/>
    <x v="0"/>
    <x v="1"/>
    <s v="Consistent"/>
    <x v="0"/>
  </r>
  <r>
    <x v="3912"/>
    <x v="0"/>
    <x v="3034"/>
    <n v="6648904622"/>
    <n v="514.91999999999996"/>
    <s v="UK pounds"/>
    <s v="UK pounds"/>
    <x v="0"/>
    <s v="UK"/>
    <x v="0"/>
    <x v="0"/>
    <x v="0"/>
    <s v="Consistent"/>
    <x v="0"/>
  </r>
  <r>
    <x v="3912"/>
    <x v="0"/>
    <x v="3035"/>
    <n v="6016247694"/>
    <n v="5256.24"/>
    <s v="UK pounds"/>
    <s v="UK pounds"/>
    <x v="0"/>
    <s v="UK"/>
    <x v="5"/>
    <x v="0"/>
    <x v="2"/>
    <s v="Consistent"/>
    <x v="0"/>
  </r>
  <r>
    <x v="3913"/>
    <x v="0"/>
    <x v="35"/>
    <n v="2749487707"/>
    <n v="8206.83"/>
    <s v="UK pounds"/>
    <s v="Euro"/>
    <x v="0"/>
    <s v="France"/>
    <x v="1"/>
    <x v="0"/>
    <x v="1"/>
    <s v="Potential Layering"/>
    <x v="0"/>
  </r>
  <r>
    <x v="3914"/>
    <x v="0"/>
    <x v="283"/>
    <n v="409707192"/>
    <n v="21064.560000000001"/>
    <s v="UK pounds"/>
    <s v="UK pounds"/>
    <x v="0"/>
    <s v="UK"/>
    <x v="2"/>
    <x v="0"/>
    <x v="3"/>
    <s v="Consistent"/>
    <x v="0"/>
  </r>
  <r>
    <x v="3915"/>
    <x v="0"/>
    <x v="3036"/>
    <n v="4863940969"/>
    <n v="196.06"/>
    <s v="UK pounds"/>
    <s v="Euro"/>
    <x v="0"/>
    <s v="Germany"/>
    <x v="1"/>
    <x v="0"/>
    <x v="2"/>
    <s v="Potential Layering"/>
    <x v="0"/>
  </r>
  <r>
    <x v="3916"/>
    <x v="0"/>
    <x v="852"/>
    <n v="2534644942"/>
    <n v="16799.47"/>
    <s v="UK pounds"/>
    <s v="Euro"/>
    <x v="0"/>
    <s v="France"/>
    <x v="1"/>
    <x v="0"/>
    <x v="3"/>
    <s v="Potential Layering"/>
    <x v="0"/>
  </r>
  <r>
    <x v="3917"/>
    <x v="0"/>
    <x v="3037"/>
    <n v="1816475063"/>
    <n v="10546.35"/>
    <s v="UK pounds"/>
    <s v="UK pounds"/>
    <x v="0"/>
    <s v="UK"/>
    <x v="4"/>
    <x v="0"/>
    <x v="2"/>
    <s v="Consistent"/>
    <x v="0"/>
  </r>
  <r>
    <x v="3918"/>
    <x v="0"/>
    <x v="63"/>
    <n v="1831928079"/>
    <n v="6875.64"/>
    <s v="UK pounds"/>
    <s v="UK pounds"/>
    <x v="0"/>
    <s v="UK"/>
    <x v="4"/>
    <x v="0"/>
    <x v="1"/>
    <s v="Consistent"/>
    <x v="0"/>
  </r>
  <r>
    <x v="3919"/>
    <x v="0"/>
    <x v="3038"/>
    <n v="8326891432"/>
    <n v="2025.45"/>
    <s v="UK pounds"/>
    <s v="UK pounds"/>
    <x v="0"/>
    <s v="UK"/>
    <x v="2"/>
    <x v="0"/>
    <x v="2"/>
    <s v="Consistent"/>
    <x v="0"/>
  </r>
  <r>
    <x v="3919"/>
    <x v="0"/>
    <x v="3039"/>
    <n v="983424230"/>
    <n v="14285.29"/>
    <s v="UK pounds"/>
    <s v="UK pounds"/>
    <x v="0"/>
    <s v="UK"/>
    <x v="4"/>
    <x v="0"/>
    <x v="2"/>
    <s v="Consistent"/>
    <x v="0"/>
  </r>
  <r>
    <x v="3920"/>
    <x v="0"/>
    <x v="1423"/>
    <n v="5858369125"/>
    <n v="20252.46"/>
    <s v="UK pounds"/>
    <s v="UK pounds"/>
    <x v="0"/>
    <s v="UK"/>
    <x v="2"/>
    <x v="0"/>
    <x v="3"/>
    <s v="Consistent"/>
    <x v="0"/>
  </r>
  <r>
    <x v="3921"/>
    <x v="0"/>
    <x v="20"/>
    <n v="7534701000"/>
    <n v="9216.42"/>
    <s v="UK pounds"/>
    <s v="UK pounds"/>
    <x v="0"/>
    <s v="UK"/>
    <x v="2"/>
    <x v="0"/>
    <x v="1"/>
    <s v="Consistent"/>
    <x v="0"/>
  </r>
  <r>
    <x v="3922"/>
    <x v="0"/>
    <x v="3040"/>
    <n v="2266691079"/>
    <n v="976.69"/>
    <s v="UK pounds"/>
    <s v="Euro"/>
    <x v="0"/>
    <s v="Italy"/>
    <x v="1"/>
    <x v="0"/>
    <x v="2"/>
    <s v="Potential Layering"/>
    <x v="0"/>
  </r>
  <r>
    <x v="3922"/>
    <x v="0"/>
    <x v="1178"/>
    <n v="6444220418"/>
    <n v="8112.29"/>
    <s v="UK pounds"/>
    <s v="UK pounds"/>
    <x v="0"/>
    <s v="UK"/>
    <x v="2"/>
    <x v="0"/>
    <x v="3"/>
    <s v="Consistent"/>
    <x v="0"/>
  </r>
  <r>
    <x v="3922"/>
    <x v="0"/>
    <x v="3041"/>
    <n v="8487135934"/>
    <n v="2666.32"/>
    <s v="UK pounds"/>
    <s v="UK pounds"/>
    <x v="0"/>
    <s v="UK"/>
    <x v="4"/>
    <x v="0"/>
    <x v="4"/>
    <s v="Consistent"/>
    <x v="0"/>
  </r>
  <r>
    <x v="3923"/>
    <x v="0"/>
    <x v="3042"/>
    <n v="413433379"/>
    <n v="879.27"/>
    <s v="UK pounds"/>
    <s v="UK pounds"/>
    <x v="0"/>
    <s v="UK"/>
    <x v="5"/>
    <x v="0"/>
    <x v="2"/>
    <s v="Consistent"/>
    <x v="0"/>
  </r>
  <r>
    <x v="3924"/>
    <x v="0"/>
    <x v="3043"/>
    <n v="976844058"/>
    <n v="53557.38"/>
    <s v="UK pounds"/>
    <s v="UK pounds"/>
    <x v="0"/>
    <s v="UK"/>
    <x v="5"/>
    <x v="0"/>
    <x v="8"/>
    <s v="Consistent"/>
    <x v="0"/>
  </r>
  <r>
    <x v="3925"/>
    <x v="0"/>
    <x v="3044"/>
    <n v="8810645384"/>
    <n v="14333.92"/>
    <s v="UK pounds"/>
    <s v="UK pounds"/>
    <x v="0"/>
    <s v="UK"/>
    <x v="2"/>
    <x v="0"/>
    <x v="2"/>
    <s v="Consistent"/>
    <x v="0"/>
  </r>
  <r>
    <x v="3926"/>
    <x v="0"/>
    <x v="3045"/>
    <n v="6709419099"/>
    <n v="493"/>
    <s v="UK pounds"/>
    <s v="UK pounds"/>
    <x v="0"/>
    <s v="UK"/>
    <x v="2"/>
    <x v="0"/>
    <x v="2"/>
    <s v="Consistent"/>
    <x v="0"/>
  </r>
  <r>
    <x v="3927"/>
    <x v="0"/>
    <x v="3046"/>
    <n v="8055543956"/>
    <n v="4686.8100000000004"/>
    <s v="UK pounds"/>
    <s v="UK pounds"/>
    <x v="0"/>
    <s v="UK"/>
    <x v="4"/>
    <x v="0"/>
    <x v="2"/>
    <s v="Consistent"/>
    <x v="0"/>
  </r>
  <r>
    <x v="3928"/>
    <x v="0"/>
    <x v="3047"/>
    <n v="9042187661"/>
    <n v="11006.2"/>
    <s v="UK pounds"/>
    <s v="UK pounds"/>
    <x v="0"/>
    <s v="UK"/>
    <x v="3"/>
    <x v="0"/>
    <x v="8"/>
    <s v="Consistent"/>
    <x v="0"/>
  </r>
  <r>
    <x v="3929"/>
    <x v="0"/>
    <x v="3048"/>
    <n v="5817244243"/>
    <n v="2286.48"/>
    <s v="UK pounds"/>
    <s v="UK pounds"/>
    <x v="0"/>
    <s v="UK"/>
    <x v="0"/>
    <x v="0"/>
    <x v="0"/>
    <s v="Consistent"/>
    <x v="0"/>
  </r>
  <r>
    <x v="3930"/>
    <x v="0"/>
    <x v="110"/>
    <n v="1812525358"/>
    <n v="5778.77"/>
    <s v="UK pounds"/>
    <s v="UK pounds"/>
    <x v="0"/>
    <s v="UK"/>
    <x v="5"/>
    <x v="0"/>
    <x v="1"/>
    <s v="Consistent"/>
    <x v="0"/>
  </r>
  <r>
    <x v="3931"/>
    <x v="0"/>
    <x v="1120"/>
    <n v="5103043844"/>
    <n v="6644.3"/>
    <s v="UK pounds"/>
    <s v="Naira"/>
    <x v="0"/>
    <s v="Nigeria"/>
    <x v="1"/>
    <x v="0"/>
    <x v="3"/>
    <s v="Potential Layering"/>
    <x v="0"/>
  </r>
  <r>
    <x v="3932"/>
    <x v="0"/>
    <x v="3049"/>
    <n v="5942970514"/>
    <n v="7103.28"/>
    <s v="UK pounds"/>
    <s v="UK pounds"/>
    <x v="0"/>
    <s v="UK"/>
    <x v="3"/>
    <x v="0"/>
    <x v="2"/>
    <s v="Consistent"/>
    <x v="0"/>
  </r>
  <r>
    <x v="3933"/>
    <x v="0"/>
    <x v="35"/>
    <n v="1861324833"/>
    <n v="4451.3900000000003"/>
    <s v="UK pounds"/>
    <s v="UK pounds"/>
    <x v="0"/>
    <s v="UK"/>
    <x v="4"/>
    <x v="0"/>
    <x v="1"/>
    <s v="Consistent"/>
    <x v="0"/>
  </r>
  <r>
    <x v="3933"/>
    <x v="0"/>
    <x v="2721"/>
    <n v="8172080174"/>
    <n v="5426.95"/>
    <s v="UK pounds"/>
    <s v="UK pounds"/>
    <x v="0"/>
    <s v="UK"/>
    <x v="4"/>
    <x v="0"/>
    <x v="3"/>
    <s v="Consistent"/>
    <x v="0"/>
  </r>
  <r>
    <x v="3934"/>
    <x v="0"/>
    <x v="154"/>
    <n v="1465487567"/>
    <n v="21334.53"/>
    <s v="UK pounds"/>
    <s v="UK pounds"/>
    <x v="0"/>
    <s v="UK"/>
    <x v="4"/>
    <x v="0"/>
    <x v="3"/>
    <s v="Consistent"/>
    <x v="0"/>
  </r>
  <r>
    <x v="3935"/>
    <x v="0"/>
    <x v="3050"/>
    <n v="3575556808"/>
    <n v="4469.71"/>
    <s v="UK pounds"/>
    <s v="UK pounds"/>
    <x v="0"/>
    <s v="UK"/>
    <x v="5"/>
    <x v="0"/>
    <x v="2"/>
    <s v="Consistent"/>
    <x v="0"/>
  </r>
  <r>
    <x v="3936"/>
    <x v="0"/>
    <x v="1785"/>
    <n v="6646502650"/>
    <n v="8452.94"/>
    <s v="UK pounds"/>
    <s v="Euro"/>
    <x v="0"/>
    <s v="France"/>
    <x v="1"/>
    <x v="0"/>
    <x v="3"/>
    <s v="Potential Layering"/>
    <x v="0"/>
  </r>
  <r>
    <x v="3937"/>
    <x v="0"/>
    <x v="3051"/>
    <n v="5388503676"/>
    <n v="15494.56"/>
    <s v="UK pounds"/>
    <s v="UK pounds"/>
    <x v="0"/>
    <s v="UK"/>
    <x v="2"/>
    <x v="0"/>
    <x v="2"/>
    <s v="Consistent"/>
    <x v="0"/>
  </r>
  <r>
    <x v="3938"/>
    <x v="0"/>
    <x v="46"/>
    <n v="7950918410"/>
    <n v="10135.64"/>
    <s v="UK pounds"/>
    <s v="UK pounds"/>
    <x v="0"/>
    <s v="UK"/>
    <x v="2"/>
    <x v="0"/>
    <x v="1"/>
    <s v="Consistent"/>
    <x v="0"/>
  </r>
  <r>
    <x v="3939"/>
    <x v="0"/>
    <x v="248"/>
    <n v="3559090340"/>
    <n v="11076.58"/>
    <s v="UK pounds"/>
    <s v="UK pounds"/>
    <x v="0"/>
    <s v="UK"/>
    <x v="5"/>
    <x v="0"/>
    <x v="1"/>
    <s v="Consistent"/>
    <x v="0"/>
  </r>
  <r>
    <x v="3939"/>
    <x v="0"/>
    <x v="2661"/>
    <n v="8660976387"/>
    <n v="685.97"/>
    <s v="UK pounds"/>
    <s v="UK pounds"/>
    <x v="0"/>
    <s v="UK"/>
    <x v="3"/>
    <x v="0"/>
    <x v="2"/>
    <s v="Consistent"/>
    <x v="0"/>
  </r>
  <r>
    <x v="3940"/>
    <x v="0"/>
    <x v="736"/>
    <n v="3695545812"/>
    <n v="7323.98"/>
    <s v="UK pounds"/>
    <s v="UK pounds"/>
    <x v="0"/>
    <s v="UK"/>
    <x v="5"/>
    <x v="0"/>
    <x v="3"/>
    <s v="Consistent"/>
    <x v="0"/>
  </r>
  <r>
    <x v="3941"/>
    <x v="0"/>
    <x v="1064"/>
    <n v="2534644942"/>
    <n v="13142.19"/>
    <s v="UK pounds"/>
    <s v="Euro"/>
    <x v="0"/>
    <s v="France"/>
    <x v="1"/>
    <x v="0"/>
    <x v="3"/>
    <s v="Potential Layering"/>
    <x v="0"/>
  </r>
  <r>
    <x v="3942"/>
    <x v="0"/>
    <x v="3052"/>
    <n v="1269866409"/>
    <n v="5845.44"/>
    <s v="UK pounds"/>
    <s v="Albanian lek"/>
    <x v="0"/>
    <s v="Albania"/>
    <x v="1"/>
    <x v="0"/>
    <x v="2"/>
    <s v="Potential Layering"/>
    <x v="0"/>
  </r>
  <r>
    <x v="3943"/>
    <x v="0"/>
    <x v="248"/>
    <n v="6705037126"/>
    <n v="10814.32"/>
    <s v="UK pounds"/>
    <s v="UK pounds"/>
    <x v="0"/>
    <s v="UK"/>
    <x v="3"/>
    <x v="0"/>
    <x v="1"/>
    <s v="Consistent"/>
    <x v="0"/>
  </r>
  <r>
    <x v="3944"/>
    <x v="0"/>
    <x v="210"/>
    <n v="5888689265"/>
    <n v="9050.51"/>
    <s v="UK pounds"/>
    <s v="UK pounds"/>
    <x v="0"/>
    <s v="UK"/>
    <x v="4"/>
    <x v="0"/>
    <x v="1"/>
    <s v="Consistent"/>
    <x v="0"/>
  </r>
  <r>
    <x v="3945"/>
    <x v="0"/>
    <x v="2321"/>
    <n v="5708936901"/>
    <n v="9698.01"/>
    <s v="UK pounds"/>
    <s v="UK pounds"/>
    <x v="0"/>
    <s v="UK"/>
    <x v="5"/>
    <x v="0"/>
    <x v="3"/>
    <s v="Consistent"/>
    <x v="0"/>
  </r>
  <r>
    <x v="3946"/>
    <x v="0"/>
    <x v="3053"/>
    <n v="9110195020"/>
    <n v="895.31"/>
    <s v="UK pounds"/>
    <s v="US dollar"/>
    <x v="0"/>
    <s v="USA"/>
    <x v="1"/>
    <x v="0"/>
    <x v="2"/>
    <s v="Potential Layering"/>
    <x v="0"/>
  </r>
  <r>
    <x v="3947"/>
    <x v="0"/>
    <x v="255"/>
    <n v="7689295746"/>
    <n v="5402.64"/>
    <s v="UK pounds"/>
    <s v="UK pounds"/>
    <x v="0"/>
    <s v="UK"/>
    <x v="5"/>
    <x v="0"/>
    <x v="1"/>
    <s v="Consistent"/>
    <x v="0"/>
  </r>
  <r>
    <x v="3948"/>
    <x v="0"/>
    <x v="46"/>
    <n v="7950918410"/>
    <n v="10102.09"/>
    <s v="UK pounds"/>
    <s v="UK pounds"/>
    <x v="0"/>
    <s v="UK"/>
    <x v="4"/>
    <x v="0"/>
    <x v="1"/>
    <s v="Consistent"/>
    <x v="0"/>
  </r>
  <r>
    <x v="3949"/>
    <x v="0"/>
    <x v="3054"/>
    <n v="7248207165"/>
    <n v="1314.76"/>
    <s v="UK pounds"/>
    <s v="Dirham"/>
    <x v="0"/>
    <s v="UAE"/>
    <x v="1"/>
    <x v="0"/>
    <x v="2"/>
    <s v="Potential Layering"/>
    <x v="0"/>
  </r>
  <r>
    <x v="3950"/>
    <x v="0"/>
    <x v="3055"/>
    <n v="109860175"/>
    <n v="335.97"/>
    <s v="UK pounds"/>
    <s v="UK pounds"/>
    <x v="0"/>
    <s v="UK"/>
    <x v="6"/>
    <x v="0"/>
    <x v="5"/>
    <s v="Consistent"/>
    <x v="0"/>
  </r>
  <r>
    <x v="3950"/>
    <x v="0"/>
    <x v="3056"/>
    <n v="7006170604"/>
    <n v="1123.31"/>
    <s v="UK pounds"/>
    <s v="UK pounds"/>
    <x v="0"/>
    <s v="UK"/>
    <x v="3"/>
    <x v="0"/>
    <x v="4"/>
    <s v="Consistent"/>
    <x v="0"/>
  </r>
  <r>
    <x v="3951"/>
    <x v="0"/>
    <x v="3057"/>
    <n v="5806354845"/>
    <n v="2276.9"/>
    <s v="UK pounds"/>
    <s v="UK pounds"/>
    <x v="0"/>
    <s v="UK"/>
    <x v="3"/>
    <x v="0"/>
    <x v="2"/>
    <s v="Consistent"/>
    <x v="0"/>
  </r>
  <r>
    <x v="3951"/>
    <x v="0"/>
    <x v="1993"/>
    <n v="8172080174"/>
    <n v="9294.5"/>
    <s v="UK pounds"/>
    <s v="UK pounds"/>
    <x v="0"/>
    <s v="UK"/>
    <x v="4"/>
    <x v="0"/>
    <x v="3"/>
    <s v="Consistent"/>
    <x v="0"/>
  </r>
  <r>
    <x v="3952"/>
    <x v="0"/>
    <x v="2617"/>
    <n v="5858369125"/>
    <n v="13166.3"/>
    <s v="UK pounds"/>
    <s v="UK pounds"/>
    <x v="0"/>
    <s v="UK"/>
    <x v="5"/>
    <x v="0"/>
    <x v="3"/>
    <s v="Consistent"/>
    <x v="0"/>
  </r>
  <r>
    <x v="3953"/>
    <x v="0"/>
    <x v="2198"/>
    <n v="5812509123"/>
    <n v="3949.53"/>
    <s v="UK pounds"/>
    <s v="UK pounds"/>
    <x v="0"/>
    <s v="UK"/>
    <x v="5"/>
    <x v="0"/>
    <x v="2"/>
    <s v="Consistent"/>
    <x v="0"/>
  </r>
  <r>
    <x v="3953"/>
    <x v="0"/>
    <x v="3058"/>
    <n v="351184098"/>
    <n v="1933.97"/>
    <s v="UK pounds"/>
    <s v="UK pounds"/>
    <x v="0"/>
    <s v="UK"/>
    <x v="5"/>
    <x v="0"/>
    <x v="4"/>
    <s v="Consistent"/>
    <x v="0"/>
  </r>
  <r>
    <x v="3954"/>
    <x v="0"/>
    <x v="35"/>
    <n v="360722730"/>
    <n v="10389.27"/>
    <s v="UK pounds"/>
    <s v="UK pounds"/>
    <x v="0"/>
    <s v="UK"/>
    <x v="2"/>
    <x v="0"/>
    <x v="1"/>
    <s v="Consistent"/>
    <x v="0"/>
  </r>
  <r>
    <x v="3954"/>
    <x v="0"/>
    <x v="3018"/>
    <n v="8678802420"/>
    <n v="5490.89"/>
    <s v="UK pounds"/>
    <s v="UK pounds"/>
    <x v="0"/>
    <s v="UK"/>
    <x v="3"/>
    <x v="0"/>
    <x v="3"/>
    <s v="Consistent"/>
    <x v="0"/>
  </r>
  <r>
    <x v="3955"/>
    <x v="0"/>
    <x v="248"/>
    <n v="8956282059"/>
    <n v="4592.1099999999997"/>
    <s v="UK pounds"/>
    <s v="UK pounds"/>
    <x v="0"/>
    <s v="UK"/>
    <x v="4"/>
    <x v="0"/>
    <x v="1"/>
    <s v="Consistent"/>
    <x v="0"/>
  </r>
  <r>
    <x v="3956"/>
    <x v="0"/>
    <x v="1259"/>
    <n v="129220260"/>
    <n v="3648.26"/>
    <s v="UK pounds"/>
    <s v="UK pounds"/>
    <x v="0"/>
    <s v="UK"/>
    <x v="5"/>
    <x v="0"/>
    <x v="2"/>
    <s v="Consistent"/>
    <x v="0"/>
  </r>
  <r>
    <x v="3956"/>
    <x v="0"/>
    <x v="1794"/>
    <n v="5628674969"/>
    <n v="5109.04"/>
    <s v="UK pounds"/>
    <s v="UK pounds"/>
    <x v="0"/>
    <s v="UK"/>
    <x v="3"/>
    <x v="0"/>
    <x v="3"/>
    <s v="Consistent"/>
    <x v="0"/>
  </r>
  <r>
    <x v="3957"/>
    <x v="0"/>
    <x v="3059"/>
    <n v="302893104"/>
    <n v="2647.87"/>
    <s v="UK pounds"/>
    <s v="UK pounds"/>
    <x v="0"/>
    <s v="UK"/>
    <x v="5"/>
    <x v="0"/>
    <x v="2"/>
    <s v="Consistent"/>
    <x v="0"/>
  </r>
  <r>
    <x v="3958"/>
    <x v="0"/>
    <x v="3060"/>
    <n v="3415080390"/>
    <n v="20877.080000000002"/>
    <s v="UK pounds"/>
    <s v="UK pounds"/>
    <x v="0"/>
    <s v="UK"/>
    <x v="5"/>
    <x v="0"/>
    <x v="2"/>
    <s v="Consistent"/>
    <x v="0"/>
  </r>
  <r>
    <x v="3959"/>
    <x v="0"/>
    <x v="40"/>
    <n v="5112224952"/>
    <n v="9476.44"/>
    <s v="UK pounds"/>
    <s v="UK pounds"/>
    <x v="0"/>
    <s v="UK"/>
    <x v="3"/>
    <x v="0"/>
    <x v="1"/>
    <s v="Consistent"/>
    <x v="0"/>
  </r>
  <r>
    <x v="3960"/>
    <x v="0"/>
    <x v="3061"/>
    <n v="7951686177"/>
    <n v="2552.71"/>
    <s v="Swiss franc"/>
    <s v="UK pounds"/>
    <x v="5"/>
    <s v="UK"/>
    <x v="1"/>
    <x v="0"/>
    <x v="2"/>
    <s v="Potential Layering"/>
    <x v="0"/>
  </r>
  <r>
    <x v="3961"/>
    <x v="0"/>
    <x v="2063"/>
    <n v="1740103909"/>
    <n v="11131"/>
    <s v="UK pounds"/>
    <s v="UK pounds"/>
    <x v="0"/>
    <s v="UK"/>
    <x v="5"/>
    <x v="0"/>
    <x v="6"/>
    <s v="Consistent"/>
    <x v="0"/>
  </r>
  <r>
    <x v="3962"/>
    <x v="0"/>
    <x v="210"/>
    <n v="1253036863"/>
    <n v="23801.49"/>
    <s v="UK pounds"/>
    <s v="Mexican Peso"/>
    <x v="0"/>
    <s v="Mexico"/>
    <x v="1"/>
    <x v="0"/>
    <x v="1"/>
    <s v="Potential Layering"/>
    <x v="0"/>
  </r>
  <r>
    <x v="3963"/>
    <x v="0"/>
    <x v="1809"/>
    <n v="6855935396"/>
    <n v="7057.13"/>
    <s v="UK pounds"/>
    <s v="UK pounds"/>
    <x v="0"/>
    <s v="UK"/>
    <x v="4"/>
    <x v="0"/>
    <x v="3"/>
    <s v="Consistent"/>
    <x v="0"/>
  </r>
  <r>
    <x v="3964"/>
    <x v="0"/>
    <x v="1557"/>
    <n v="5388224493"/>
    <n v="389.92"/>
    <s v="UK pounds"/>
    <s v="UK pounds"/>
    <x v="0"/>
    <s v="UK"/>
    <x v="3"/>
    <x v="0"/>
    <x v="2"/>
    <s v="Consistent"/>
    <x v="0"/>
  </r>
  <r>
    <x v="3965"/>
    <x v="0"/>
    <x v="30"/>
    <n v="2230367419"/>
    <n v="9726.39"/>
    <s v="UK pounds"/>
    <s v="UK pounds"/>
    <x v="0"/>
    <s v="UK"/>
    <x v="4"/>
    <x v="0"/>
    <x v="4"/>
    <s v="Consistent"/>
    <x v="0"/>
  </r>
  <r>
    <x v="3966"/>
    <x v="0"/>
    <x v="19"/>
    <n v="5628674969"/>
    <n v="10666.28"/>
    <s v="UK pounds"/>
    <s v="UK pounds"/>
    <x v="0"/>
    <s v="UK"/>
    <x v="3"/>
    <x v="0"/>
    <x v="3"/>
    <s v="Consistent"/>
    <x v="0"/>
  </r>
  <r>
    <x v="3967"/>
    <x v="0"/>
    <x v="3062"/>
    <n v="5109623450"/>
    <n v="7606.61"/>
    <s v="UK pounds"/>
    <s v="UK pounds"/>
    <x v="0"/>
    <s v="UK"/>
    <x v="4"/>
    <x v="0"/>
    <x v="3"/>
    <s v="Consistent"/>
    <x v="0"/>
  </r>
  <r>
    <x v="3968"/>
    <x v="0"/>
    <x v="3063"/>
    <n v="1616460662"/>
    <n v="24234.68"/>
    <s v="UK pounds"/>
    <s v="UK pounds"/>
    <x v="0"/>
    <s v="UK"/>
    <x v="4"/>
    <x v="0"/>
    <x v="2"/>
    <s v="Consistent"/>
    <x v="0"/>
  </r>
  <r>
    <x v="3968"/>
    <x v="0"/>
    <x v="3064"/>
    <n v="9170810780"/>
    <n v="1798.77"/>
    <s v="UK pounds"/>
    <s v="UK pounds"/>
    <x v="0"/>
    <s v="UK"/>
    <x v="2"/>
    <x v="0"/>
    <x v="2"/>
    <s v="Consistent"/>
    <x v="0"/>
  </r>
  <r>
    <x v="3969"/>
    <x v="0"/>
    <x v="3065"/>
    <n v="2184688282"/>
    <n v="1508.2"/>
    <s v="UK pounds"/>
    <s v="UK pounds"/>
    <x v="0"/>
    <s v="UK"/>
    <x v="2"/>
    <x v="0"/>
    <x v="2"/>
    <s v="Consistent"/>
    <x v="0"/>
  </r>
  <r>
    <x v="3970"/>
    <x v="0"/>
    <x v="3066"/>
    <n v="7697535323"/>
    <n v="13460.04"/>
    <s v="UK pounds"/>
    <s v="UK pounds"/>
    <x v="0"/>
    <s v="UK"/>
    <x v="4"/>
    <x v="0"/>
    <x v="2"/>
    <s v="Consistent"/>
    <x v="0"/>
  </r>
  <r>
    <x v="3971"/>
    <x v="0"/>
    <x v="379"/>
    <n v="835931677"/>
    <n v="15572.47"/>
    <s v="UK pounds"/>
    <s v="UK pounds"/>
    <x v="0"/>
    <s v="UK"/>
    <x v="3"/>
    <x v="0"/>
    <x v="1"/>
    <s v="Consistent"/>
    <x v="0"/>
  </r>
  <r>
    <x v="3971"/>
    <x v="0"/>
    <x v="20"/>
    <n v="8716511495"/>
    <n v="9718.1299999999992"/>
    <s v="UK pounds"/>
    <s v="UK pounds"/>
    <x v="0"/>
    <s v="UK"/>
    <x v="4"/>
    <x v="0"/>
    <x v="1"/>
    <s v="Consistent"/>
    <x v="0"/>
  </r>
  <r>
    <x v="3972"/>
    <x v="0"/>
    <x v="3067"/>
    <n v="1156639340"/>
    <n v="7145.77"/>
    <s v="UK pounds"/>
    <s v="UK pounds"/>
    <x v="0"/>
    <s v="UK"/>
    <x v="2"/>
    <x v="0"/>
    <x v="2"/>
    <s v="Consistent"/>
    <x v="0"/>
  </r>
  <r>
    <x v="3973"/>
    <x v="0"/>
    <x v="1865"/>
    <n v="5466123934"/>
    <n v="7732.52"/>
    <s v="UK pounds"/>
    <s v="UK pounds"/>
    <x v="0"/>
    <s v="UK"/>
    <x v="3"/>
    <x v="0"/>
    <x v="3"/>
    <s v="Consistent"/>
    <x v="0"/>
  </r>
  <r>
    <x v="3974"/>
    <x v="0"/>
    <x v="1133"/>
    <n v="6815874979"/>
    <n v="21679.8"/>
    <s v="UK pounds"/>
    <s v="UK pounds"/>
    <x v="0"/>
    <s v="UK"/>
    <x v="2"/>
    <x v="0"/>
    <x v="8"/>
    <s v="Consistent"/>
    <x v="0"/>
  </r>
  <r>
    <x v="3975"/>
    <x v="0"/>
    <x v="3068"/>
    <n v="3677707508"/>
    <n v="508.74"/>
    <s v="UK pounds"/>
    <s v="UK pounds"/>
    <x v="0"/>
    <s v="UK"/>
    <x v="0"/>
    <x v="0"/>
    <x v="0"/>
    <s v="Consistent"/>
    <x v="0"/>
  </r>
  <r>
    <x v="3976"/>
    <x v="0"/>
    <x v="3069"/>
    <n v="7662743578"/>
    <n v="11876.28"/>
    <s v="Euro"/>
    <s v="Euro"/>
    <x v="8"/>
    <s v="Germany"/>
    <x v="1"/>
    <x v="0"/>
    <x v="2"/>
    <s v="Consistent"/>
    <x v="0"/>
  </r>
  <r>
    <x v="3976"/>
    <x v="0"/>
    <x v="3070"/>
    <n v="2628250116"/>
    <n v="25465.45"/>
    <s v="UK pounds"/>
    <s v="UK pounds"/>
    <x v="0"/>
    <s v="UK"/>
    <x v="2"/>
    <x v="0"/>
    <x v="2"/>
    <s v="Consistent"/>
    <x v="0"/>
  </r>
  <r>
    <x v="3977"/>
    <x v="0"/>
    <x v="3071"/>
    <n v="7500256845"/>
    <n v="5187.8599999999997"/>
    <s v="UK pounds"/>
    <s v="UK pounds"/>
    <x v="0"/>
    <s v="UK"/>
    <x v="2"/>
    <x v="0"/>
    <x v="6"/>
    <s v="Consistent"/>
    <x v="0"/>
  </r>
  <r>
    <x v="3978"/>
    <x v="0"/>
    <x v="613"/>
    <n v="7892884492"/>
    <n v="16670.53"/>
    <s v="UK pounds"/>
    <s v="US dollar"/>
    <x v="0"/>
    <s v="USA"/>
    <x v="1"/>
    <x v="0"/>
    <x v="3"/>
    <s v="Potential Layering"/>
    <x v="0"/>
  </r>
  <r>
    <x v="3978"/>
    <x v="0"/>
    <x v="3072"/>
    <n v="1227332321"/>
    <n v="1976.89"/>
    <s v="UK pounds"/>
    <s v="UK pounds"/>
    <x v="0"/>
    <s v="UK"/>
    <x v="3"/>
    <x v="0"/>
    <x v="2"/>
    <s v="Consistent"/>
    <x v="0"/>
  </r>
  <r>
    <x v="3979"/>
    <x v="0"/>
    <x v="3073"/>
    <n v="6199103267"/>
    <n v="6953.13"/>
    <s v="UK pounds"/>
    <s v="UK pounds"/>
    <x v="0"/>
    <s v="UK"/>
    <x v="5"/>
    <x v="0"/>
    <x v="2"/>
    <s v="Consistent"/>
    <x v="0"/>
  </r>
  <r>
    <x v="3980"/>
    <x v="0"/>
    <x v="3074"/>
    <n v="7957718941"/>
    <n v="10059.51"/>
    <s v="UK pounds"/>
    <s v="UK pounds"/>
    <x v="0"/>
    <s v="UK"/>
    <x v="5"/>
    <x v="0"/>
    <x v="2"/>
    <s v="Consistent"/>
    <x v="0"/>
  </r>
  <r>
    <x v="3981"/>
    <x v="0"/>
    <x v="3075"/>
    <n v="1425703750"/>
    <n v="472.8"/>
    <s v="UK pounds"/>
    <s v="UK pounds"/>
    <x v="0"/>
    <s v="UK"/>
    <x v="0"/>
    <x v="0"/>
    <x v="0"/>
    <s v="Consistent"/>
    <x v="0"/>
  </r>
  <r>
    <x v="3982"/>
    <x v="0"/>
    <x v="3076"/>
    <n v="4246861735"/>
    <n v="1354.79"/>
    <s v="UK pounds"/>
    <s v="UK pounds"/>
    <x v="0"/>
    <s v="UK"/>
    <x v="5"/>
    <x v="0"/>
    <x v="2"/>
    <s v="Consistent"/>
    <x v="0"/>
  </r>
  <r>
    <x v="3982"/>
    <x v="0"/>
    <x v="502"/>
    <n v="3066321263"/>
    <n v="18302.61"/>
    <s v="UK pounds"/>
    <s v="UK pounds"/>
    <x v="0"/>
    <s v="UK"/>
    <x v="4"/>
    <x v="0"/>
    <x v="3"/>
    <s v="Consistent"/>
    <x v="0"/>
  </r>
  <r>
    <x v="3983"/>
    <x v="0"/>
    <x v="3077"/>
    <n v="176638936"/>
    <n v="2376.4499999999998"/>
    <s v="UK pounds"/>
    <s v="UK pounds"/>
    <x v="0"/>
    <s v="UK"/>
    <x v="2"/>
    <x v="0"/>
    <x v="2"/>
    <s v="Consistent"/>
    <x v="0"/>
  </r>
  <r>
    <x v="3984"/>
    <x v="0"/>
    <x v="8"/>
    <n v="578267324"/>
    <n v="11423.71"/>
    <s v="UK pounds"/>
    <s v="UK pounds"/>
    <x v="0"/>
    <s v="UK"/>
    <x v="3"/>
    <x v="0"/>
    <x v="1"/>
    <s v="Consistent"/>
    <x v="0"/>
  </r>
  <r>
    <x v="3985"/>
    <x v="0"/>
    <x v="3078"/>
    <n v="2076831887"/>
    <n v="5567.63"/>
    <s v="UK pounds"/>
    <s v="UK pounds"/>
    <x v="0"/>
    <s v="UK"/>
    <x v="4"/>
    <x v="0"/>
    <x v="2"/>
    <s v="Consistent"/>
    <x v="0"/>
  </r>
  <r>
    <x v="3986"/>
    <x v="0"/>
    <x v="575"/>
    <n v="4336977506"/>
    <n v="13275.28"/>
    <s v="UK pounds"/>
    <s v="UK pounds"/>
    <x v="0"/>
    <s v="UK"/>
    <x v="4"/>
    <x v="0"/>
    <x v="3"/>
    <s v="Consistent"/>
    <x v="0"/>
  </r>
  <r>
    <x v="3986"/>
    <x v="0"/>
    <x v="3079"/>
    <n v="2534644942"/>
    <n v="11130.83"/>
    <s v="UK pounds"/>
    <s v="Euro"/>
    <x v="0"/>
    <s v="France"/>
    <x v="1"/>
    <x v="0"/>
    <x v="3"/>
    <s v="Potential Layering"/>
    <x v="0"/>
  </r>
  <r>
    <x v="3987"/>
    <x v="0"/>
    <x v="444"/>
    <n v="409707192"/>
    <n v="9632.42"/>
    <s v="UK pounds"/>
    <s v="UK pounds"/>
    <x v="0"/>
    <s v="UK"/>
    <x v="3"/>
    <x v="0"/>
    <x v="3"/>
    <s v="Consistent"/>
    <x v="0"/>
  </r>
  <r>
    <x v="3988"/>
    <x v="0"/>
    <x v="3080"/>
    <n v="876106783"/>
    <n v="2563.1"/>
    <s v="UK pounds"/>
    <s v="UK pounds"/>
    <x v="0"/>
    <s v="UK"/>
    <x v="4"/>
    <x v="0"/>
    <x v="2"/>
    <s v="Consistent"/>
    <x v="0"/>
  </r>
  <r>
    <x v="3989"/>
    <x v="0"/>
    <x v="859"/>
    <n v="6444220418"/>
    <n v="8188.74"/>
    <s v="UK pounds"/>
    <s v="UK pounds"/>
    <x v="0"/>
    <s v="UK"/>
    <x v="5"/>
    <x v="0"/>
    <x v="3"/>
    <s v="Consistent"/>
    <x v="0"/>
  </r>
  <r>
    <x v="3989"/>
    <x v="0"/>
    <x v="3081"/>
    <n v="3424878395"/>
    <n v="7060.69"/>
    <s v="UK pounds"/>
    <s v="UK pounds"/>
    <x v="0"/>
    <s v="UK"/>
    <x v="5"/>
    <x v="0"/>
    <x v="4"/>
    <s v="Consistent"/>
    <x v="0"/>
  </r>
  <r>
    <x v="3990"/>
    <x v="0"/>
    <x v="238"/>
    <n v="219930770"/>
    <n v="13201.83"/>
    <s v="UK pounds"/>
    <s v="UK pounds"/>
    <x v="0"/>
    <s v="UK"/>
    <x v="4"/>
    <x v="0"/>
    <x v="1"/>
    <s v="Consistent"/>
    <x v="0"/>
  </r>
  <r>
    <x v="3990"/>
    <x v="0"/>
    <x v="1635"/>
    <n v="8673917867"/>
    <n v="6949.16"/>
    <s v="UK pounds"/>
    <s v="UK pounds"/>
    <x v="0"/>
    <s v="UK"/>
    <x v="4"/>
    <x v="0"/>
    <x v="3"/>
    <s v="Consistent"/>
    <x v="0"/>
  </r>
  <r>
    <x v="3990"/>
    <x v="0"/>
    <x v="1525"/>
    <n v="3695545812"/>
    <n v="24304.63"/>
    <s v="UK pounds"/>
    <s v="UK pounds"/>
    <x v="0"/>
    <s v="UK"/>
    <x v="2"/>
    <x v="0"/>
    <x v="3"/>
    <s v="Consistent"/>
    <x v="0"/>
  </r>
  <r>
    <x v="3991"/>
    <x v="0"/>
    <x v="2340"/>
    <n v="9600420220"/>
    <n v="8192.68"/>
    <s v="UK pounds"/>
    <s v="UK pounds"/>
    <x v="0"/>
    <s v="UK"/>
    <x v="3"/>
    <x v="0"/>
    <x v="3"/>
    <s v="Consistent"/>
    <x v="0"/>
  </r>
  <r>
    <x v="3992"/>
    <x v="0"/>
    <x v="3082"/>
    <n v="3458884468"/>
    <n v="658.21"/>
    <s v="UK pounds"/>
    <s v="UK pounds"/>
    <x v="0"/>
    <s v="UK"/>
    <x v="2"/>
    <x v="0"/>
    <x v="2"/>
    <s v="Consistent"/>
    <x v="0"/>
  </r>
  <r>
    <x v="3993"/>
    <x v="0"/>
    <x v="3083"/>
    <n v="8971076375"/>
    <n v="11975.57"/>
    <s v="UK pounds"/>
    <s v="UK pounds"/>
    <x v="0"/>
    <s v="UK"/>
    <x v="4"/>
    <x v="0"/>
    <x v="2"/>
    <s v="Consistent"/>
    <x v="0"/>
  </r>
  <r>
    <x v="3993"/>
    <x v="0"/>
    <x v="1065"/>
    <n v="7080357663"/>
    <n v="6902"/>
    <s v="UK pounds"/>
    <s v="UK pounds"/>
    <x v="0"/>
    <s v="UK"/>
    <x v="3"/>
    <x v="0"/>
    <x v="3"/>
    <s v="Consistent"/>
    <x v="0"/>
  </r>
  <r>
    <x v="3993"/>
    <x v="0"/>
    <x v="3084"/>
    <n v="189762376"/>
    <n v="12918.12"/>
    <s v="UK pounds"/>
    <s v="UK pounds"/>
    <x v="0"/>
    <s v="UK"/>
    <x v="3"/>
    <x v="0"/>
    <x v="2"/>
    <s v="Consistent"/>
    <x v="0"/>
  </r>
  <r>
    <x v="3994"/>
    <x v="0"/>
    <x v="574"/>
    <n v="2042062597"/>
    <n v="3529.08"/>
    <s v="UK pounds"/>
    <s v="UK pounds"/>
    <x v="0"/>
    <s v="UK"/>
    <x v="4"/>
    <x v="0"/>
    <x v="6"/>
    <s v="Consistent"/>
    <x v="0"/>
  </r>
  <r>
    <x v="3994"/>
    <x v="0"/>
    <x v="3085"/>
    <n v="424146908"/>
    <n v="223.8"/>
    <s v="UK pounds"/>
    <s v="UK pounds"/>
    <x v="0"/>
    <s v="UK"/>
    <x v="6"/>
    <x v="0"/>
    <x v="5"/>
    <s v="Consistent"/>
    <x v="0"/>
  </r>
  <r>
    <x v="3995"/>
    <x v="0"/>
    <x v="2975"/>
    <n v="409707192"/>
    <n v="10902.37"/>
    <s v="UK pounds"/>
    <s v="UK pounds"/>
    <x v="0"/>
    <s v="UK"/>
    <x v="4"/>
    <x v="0"/>
    <x v="3"/>
    <s v="Consistent"/>
    <x v="0"/>
  </r>
  <r>
    <x v="3996"/>
    <x v="0"/>
    <x v="68"/>
    <n v="1709703404"/>
    <n v="5491.26"/>
    <s v="UK pounds"/>
    <s v="UK pounds"/>
    <x v="0"/>
    <s v="UK"/>
    <x v="5"/>
    <x v="0"/>
    <x v="1"/>
    <s v="Consistent"/>
    <x v="0"/>
  </r>
  <r>
    <x v="3997"/>
    <x v="0"/>
    <x v="3086"/>
    <n v="1871672911"/>
    <n v="17289.73"/>
    <s v="UK pounds"/>
    <s v="UK pounds"/>
    <x v="0"/>
    <s v="UK"/>
    <x v="4"/>
    <x v="0"/>
    <x v="2"/>
    <s v="Consistent"/>
    <x v="0"/>
  </r>
  <r>
    <x v="3998"/>
    <x v="0"/>
    <x v="124"/>
    <n v="3546968911"/>
    <n v="5068.16"/>
    <s v="UK pounds"/>
    <s v="Euro"/>
    <x v="0"/>
    <s v="Germany"/>
    <x v="1"/>
    <x v="0"/>
    <x v="1"/>
    <s v="Potential Layering"/>
    <x v="0"/>
  </r>
  <r>
    <x v="3999"/>
    <x v="0"/>
    <x v="3087"/>
    <n v="493212103"/>
    <n v="3090.36"/>
    <s v="UK pounds"/>
    <s v="UK pounds"/>
    <x v="0"/>
    <s v="UK"/>
    <x v="2"/>
    <x v="0"/>
    <x v="2"/>
    <s v="Consistent"/>
    <x v="0"/>
  </r>
  <r>
    <x v="4000"/>
    <x v="0"/>
    <x v="3088"/>
    <n v="5348527635"/>
    <n v="2183.35"/>
    <s v="UK pounds"/>
    <s v="UK pounds"/>
    <x v="0"/>
    <s v="UK"/>
    <x v="4"/>
    <x v="0"/>
    <x v="2"/>
    <s v="Consistent"/>
    <x v="0"/>
  </r>
  <r>
    <x v="4001"/>
    <x v="0"/>
    <x v="3089"/>
    <n v="8744671811"/>
    <n v="241136.25"/>
    <s v="UK pounds"/>
    <s v="UK pounds"/>
    <x v="0"/>
    <s v="UK"/>
    <x v="2"/>
    <x v="0"/>
    <x v="10"/>
    <s v="Consistent"/>
    <x v="0"/>
  </r>
  <r>
    <x v="4002"/>
    <x v="0"/>
    <x v="52"/>
    <n v="5517479211"/>
    <n v="13516.04"/>
    <s v="UK pounds"/>
    <s v="UK pounds"/>
    <x v="0"/>
    <s v="UK"/>
    <x v="5"/>
    <x v="0"/>
    <x v="1"/>
    <s v="Consistent"/>
    <x v="0"/>
  </r>
  <r>
    <x v="4003"/>
    <x v="0"/>
    <x v="3090"/>
    <n v="5365565420"/>
    <n v="7201.31"/>
    <s v="UK pounds"/>
    <s v="Swiss franc"/>
    <x v="0"/>
    <s v="UK"/>
    <x v="2"/>
    <x v="0"/>
    <x v="2"/>
    <s v="Potential Layering"/>
    <x v="0"/>
  </r>
  <r>
    <x v="4004"/>
    <x v="0"/>
    <x v="3091"/>
    <n v="4401714175"/>
    <n v="5896.14"/>
    <s v="UK pounds"/>
    <s v="UK pounds"/>
    <x v="0"/>
    <s v="UK"/>
    <x v="4"/>
    <x v="0"/>
    <x v="2"/>
    <s v="Consistent"/>
    <x v="0"/>
  </r>
  <r>
    <x v="4005"/>
    <x v="0"/>
    <x v="684"/>
    <n v="5466123934"/>
    <n v="10315.58"/>
    <s v="UK pounds"/>
    <s v="UK pounds"/>
    <x v="0"/>
    <s v="UK"/>
    <x v="4"/>
    <x v="0"/>
    <x v="3"/>
    <s v="Consistent"/>
    <x v="0"/>
  </r>
  <r>
    <x v="4006"/>
    <x v="0"/>
    <x v="3092"/>
    <n v="3471663552"/>
    <n v="2706.96"/>
    <s v="UK pounds"/>
    <s v="UK pounds"/>
    <x v="0"/>
    <s v="UK"/>
    <x v="3"/>
    <x v="0"/>
    <x v="2"/>
    <s v="Consistent"/>
    <x v="0"/>
  </r>
  <r>
    <x v="4007"/>
    <x v="0"/>
    <x v="3093"/>
    <n v="3758959228"/>
    <n v="2386.6"/>
    <s v="UK pounds"/>
    <s v="UK pounds"/>
    <x v="0"/>
    <s v="UK"/>
    <x v="2"/>
    <x v="0"/>
    <x v="2"/>
    <s v="Consistent"/>
    <x v="0"/>
  </r>
  <r>
    <x v="4008"/>
    <x v="0"/>
    <x v="836"/>
    <n v="7080357663"/>
    <n v="7527.46"/>
    <s v="UK pounds"/>
    <s v="UK pounds"/>
    <x v="0"/>
    <s v="UK"/>
    <x v="3"/>
    <x v="0"/>
    <x v="3"/>
    <s v="Consistent"/>
    <x v="0"/>
  </r>
  <r>
    <x v="4009"/>
    <x v="0"/>
    <x v="167"/>
    <n v="5109623450"/>
    <n v="7915.52"/>
    <s v="UK pounds"/>
    <s v="UK pounds"/>
    <x v="0"/>
    <s v="UK"/>
    <x v="5"/>
    <x v="0"/>
    <x v="3"/>
    <s v="Consistent"/>
    <x v="0"/>
  </r>
  <r>
    <x v="4010"/>
    <x v="0"/>
    <x v="3094"/>
    <n v="2107425248"/>
    <n v="5606.83"/>
    <s v="UK pounds"/>
    <s v="UK pounds"/>
    <x v="0"/>
    <s v="UK"/>
    <x v="5"/>
    <x v="0"/>
    <x v="2"/>
    <s v="Consistent"/>
    <x v="0"/>
  </r>
  <r>
    <x v="4011"/>
    <x v="0"/>
    <x v="2276"/>
    <n v="2138505015"/>
    <n v="12632.15"/>
    <s v="UK pounds"/>
    <s v="Dirham"/>
    <x v="0"/>
    <s v="UAE"/>
    <x v="1"/>
    <x v="0"/>
    <x v="3"/>
    <s v="Potential Layering"/>
    <x v="0"/>
  </r>
  <r>
    <x v="4011"/>
    <x v="0"/>
    <x v="3095"/>
    <n v="4802678511"/>
    <n v="1043.1500000000001"/>
    <s v="UK pounds"/>
    <s v="UK pounds"/>
    <x v="0"/>
    <s v="UK"/>
    <x v="4"/>
    <x v="0"/>
    <x v="2"/>
    <s v="Consistent"/>
    <x v="0"/>
  </r>
  <r>
    <x v="4012"/>
    <x v="0"/>
    <x v="1819"/>
    <n v="6855935396"/>
    <n v="8700.5499999999993"/>
    <s v="UK pounds"/>
    <s v="UK pounds"/>
    <x v="0"/>
    <s v="UK"/>
    <x v="5"/>
    <x v="0"/>
    <x v="3"/>
    <s v="Consistent"/>
    <x v="0"/>
  </r>
  <r>
    <x v="4012"/>
    <x v="0"/>
    <x v="2340"/>
    <n v="9600420220"/>
    <n v="8230.85"/>
    <s v="UK pounds"/>
    <s v="UK pounds"/>
    <x v="0"/>
    <s v="UK"/>
    <x v="2"/>
    <x v="0"/>
    <x v="3"/>
    <s v="Consistent"/>
    <x v="0"/>
  </r>
  <r>
    <x v="4013"/>
    <x v="0"/>
    <x v="3096"/>
    <n v="4821876453"/>
    <n v="844.85"/>
    <s v="UK pounds"/>
    <s v="Moroccan dirham"/>
    <x v="0"/>
    <s v="Morocco"/>
    <x v="1"/>
    <x v="0"/>
    <x v="2"/>
    <s v="Potential Layering"/>
    <x v="0"/>
  </r>
  <r>
    <x v="4014"/>
    <x v="0"/>
    <x v="563"/>
    <n v="927702890"/>
    <n v="2144.3200000000002"/>
    <s v="UK pounds"/>
    <s v="UK pounds"/>
    <x v="0"/>
    <s v="UK"/>
    <x v="5"/>
    <x v="0"/>
    <x v="2"/>
    <s v="Consistent"/>
    <x v="0"/>
  </r>
  <r>
    <x v="4014"/>
    <x v="0"/>
    <x v="3097"/>
    <n v="894978947"/>
    <n v="210.71"/>
    <s v="UK pounds"/>
    <s v="UK pounds"/>
    <x v="0"/>
    <s v="UK"/>
    <x v="3"/>
    <x v="0"/>
    <x v="2"/>
    <s v="Consistent"/>
    <x v="0"/>
  </r>
  <r>
    <x v="4015"/>
    <x v="0"/>
    <x v="75"/>
    <n v="6138274964"/>
    <n v="5175.8900000000003"/>
    <s v="UK pounds"/>
    <s v="UK pounds"/>
    <x v="0"/>
    <s v="UK"/>
    <x v="5"/>
    <x v="0"/>
    <x v="1"/>
    <s v="Consistent"/>
    <x v="0"/>
  </r>
  <r>
    <x v="4015"/>
    <x v="0"/>
    <x v="1423"/>
    <n v="5858369125"/>
    <n v="20100.84"/>
    <s v="UK pounds"/>
    <s v="UK pounds"/>
    <x v="0"/>
    <s v="UK"/>
    <x v="5"/>
    <x v="0"/>
    <x v="3"/>
    <s v="Consistent"/>
    <x v="0"/>
  </r>
  <r>
    <x v="4016"/>
    <x v="0"/>
    <x v="1664"/>
    <n v="1590072487"/>
    <n v="17.61"/>
    <s v="UK pounds"/>
    <s v="UK pounds"/>
    <x v="0"/>
    <s v="UK"/>
    <x v="6"/>
    <x v="0"/>
    <x v="5"/>
    <s v="Consistent"/>
    <x v="0"/>
  </r>
  <r>
    <x v="4017"/>
    <x v="0"/>
    <x v="2524"/>
    <n v="5793658246"/>
    <n v="22380.74"/>
    <s v="UK pounds"/>
    <s v="UK pounds"/>
    <x v="0"/>
    <s v="UK"/>
    <x v="2"/>
    <x v="0"/>
    <x v="2"/>
    <s v="Consistent"/>
    <x v="0"/>
  </r>
  <r>
    <x v="4018"/>
    <x v="0"/>
    <x v="2420"/>
    <n v="6034997194"/>
    <n v="5823.92"/>
    <s v="UK pounds"/>
    <s v="UK pounds"/>
    <x v="0"/>
    <s v="UK"/>
    <x v="5"/>
    <x v="0"/>
    <x v="3"/>
    <s v="Consistent"/>
    <x v="0"/>
  </r>
  <r>
    <x v="4019"/>
    <x v="0"/>
    <x v="3098"/>
    <n v="79724850"/>
    <n v="65.16"/>
    <s v="UK pounds"/>
    <s v="UK pounds"/>
    <x v="0"/>
    <s v="UK"/>
    <x v="2"/>
    <x v="0"/>
    <x v="2"/>
    <s v="Consistent"/>
    <x v="0"/>
  </r>
  <r>
    <x v="4019"/>
    <x v="0"/>
    <x v="2"/>
    <n v="872570034"/>
    <n v="21609.67"/>
    <s v="UK pounds"/>
    <s v="Yen"/>
    <x v="0"/>
    <s v="UK"/>
    <x v="3"/>
    <x v="0"/>
    <x v="2"/>
    <s v="Potential Layering"/>
    <x v="0"/>
  </r>
  <r>
    <x v="4020"/>
    <x v="0"/>
    <x v="3099"/>
    <n v="6514419498"/>
    <n v="140.54"/>
    <s v="UK pounds"/>
    <s v="UK pounds"/>
    <x v="0"/>
    <s v="UK"/>
    <x v="5"/>
    <x v="0"/>
    <x v="2"/>
    <s v="Consistent"/>
    <x v="0"/>
  </r>
  <r>
    <x v="4021"/>
    <x v="0"/>
    <x v="1"/>
    <n v="7160767531"/>
    <n v="8311.61"/>
    <s v="UK pounds"/>
    <s v="UK pounds"/>
    <x v="0"/>
    <s v="UK"/>
    <x v="3"/>
    <x v="0"/>
    <x v="1"/>
    <s v="Consistent"/>
    <x v="0"/>
  </r>
  <r>
    <x v="4022"/>
    <x v="0"/>
    <x v="3100"/>
    <n v="8518296641"/>
    <n v="1411.93"/>
    <s v="UK pounds"/>
    <s v="UK pounds"/>
    <x v="0"/>
    <s v="UK"/>
    <x v="5"/>
    <x v="0"/>
    <x v="2"/>
    <s v="Consistent"/>
    <x v="0"/>
  </r>
  <r>
    <x v="4023"/>
    <x v="0"/>
    <x v="3101"/>
    <n v="5780213783"/>
    <n v="14632.87"/>
    <s v="UK pounds"/>
    <s v="UK pounds"/>
    <x v="0"/>
    <s v="UK"/>
    <x v="5"/>
    <x v="0"/>
    <x v="4"/>
    <s v="Consistent"/>
    <x v="0"/>
  </r>
  <r>
    <x v="4024"/>
    <x v="0"/>
    <x v="35"/>
    <n v="2759163705"/>
    <n v="5112.8500000000004"/>
    <s v="UK pounds"/>
    <s v="UK pounds"/>
    <x v="0"/>
    <s v="UK"/>
    <x v="3"/>
    <x v="0"/>
    <x v="1"/>
    <s v="Consistent"/>
    <x v="0"/>
  </r>
  <r>
    <x v="4025"/>
    <x v="0"/>
    <x v="138"/>
    <n v="9600420220"/>
    <n v="5056.79"/>
    <s v="UK pounds"/>
    <s v="UK pounds"/>
    <x v="0"/>
    <s v="UK"/>
    <x v="2"/>
    <x v="0"/>
    <x v="3"/>
    <s v="Consistent"/>
    <x v="0"/>
  </r>
  <r>
    <x v="4026"/>
    <x v="0"/>
    <x v="3102"/>
    <n v="9429865743"/>
    <n v="6367.8"/>
    <s v="UK pounds"/>
    <s v="UK pounds"/>
    <x v="0"/>
    <s v="UK"/>
    <x v="3"/>
    <x v="0"/>
    <x v="2"/>
    <s v="Consistent"/>
    <x v="0"/>
  </r>
  <r>
    <x v="4027"/>
    <x v="0"/>
    <x v="574"/>
    <n v="1402610857"/>
    <n v="4285.9399999999996"/>
    <s v="UK pounds"/>
    <s v="UK pounds"/>
    <x v="0"/>
    <s v="UK"/>
    <x v="4"/>
    <x v="0"/>
    <x v="2"/>
    <s v="Consistent"/>
    <x v="0"/>
  </r>
  <r>
    <x v="4028"/>
    <x v="0"/>
    <x v="40"/>
    <n v="6127165731"/>
    <n v="10987.89"/>
    <s v="UK pounds"/>
    <s v="UK pounds"/>
    <x v="0"/>
    <s v="UK"/>
    <x v="2"/>
    <x v="0"/>
    <x v="1"/>
    <s v="Consistent"/>
    <x v="0"/>
  </r>
  <r>
    <x v="4029"/>
    <x v="0"/>
    <x v="61"/>
    <n v="1492744665"/>
    <n v="5836.45"/>
    <s v="UK pounds"/>
    <s v="UK pounds"/>
    <x v="0"/>
    <s v="UK"/>
    <x v="5"/>
    <x v="0"/>
    <x v="1"/>
    <s v="Consistent"/>
    <x v="0"/>
  </r>
  <r>
    <x v="4030"/>
    <x v="0"/>
    <x v="3103"/>
    <n v="5276792960"/>
    <n v="2520.14"/>
    <s v="UK pounds"/>
    <s v="UK pounds"/>
    <x v="0"/>
    <s v="UK"/>
    <x v="2"/>
    <x v="0"/>
    <x v="2"/>
    <s v="Consistent"/>
    <x v="0"/>
  </r>
  <r>
    <x v="4031"/>
    <x v="0"/>
    <x v="243"/>
    <n v="2476331065"/>
    <n v="6612.07"/>
    <s v="Euro"/>
    <s v="UK pounds"/>
    <x v="4"/>
    <s v="UK"/>
    <x v="1"/>
    <x v="0"/>
    <x v="1"/>
    <s v="Potential Layering"/>
    <x v="0"/>
  </r>
  <r>
    <x v="4031"/>
    <x v="0"/>
    <x v="1854"/>
    <n v="2255008785"/>
    <n v="61896.53"/>
    <s v="UK pounds"/>
    <s v="UK pounds"/>
    <x v="0"/>
    <s v="UK"/>
    <x v="5"/>
    <x v="0"/>
    <x v="8"/>
    <s v="Consistent"/>
    <x v="0"/>
  </r>
  <r>
    <x v="4031"/>
    <x v="0"/>
    <x v="3104"/>
    <n v="4806198052"/>
    <n v="5942.66"/>
    <s v="UK pounds"/>
    <s v="UK pounds"/>
    <x v="0"/>
    <s v="UK"/>
    <x v="3"/>
    <x v="0"/>
    <x v="2"/>
    <s v="Consistent"/>
    <x v="0"/>
  </r>
  <r>
    <x v="4031"/>
    <x v="0"/>
    <x v="124"/>
    <n v="8061984977"/>
    <n v="9518.99"/>
    <s v="UK pounds"/>
    <s v="UK pounds"/>
    <x v="0"/>
    <s v="UK"/>
    <x v="3"/>
    <x v="0"/>
    <x v="1"/>
    <s v="Consistent"/>
    <x v="0"/>
  </r>
  <r>
    <x v="4032"/>
    <x v="0"/>
    <x v="907"/>
    <n v="6034997194"/>
    <n v="5363.49"/>
    <s v="UK pounds"/>
    <s v="UK pounds"/>
    <x v="0"/>
    <s v="UK"/>
    <x v="5"/>
    <x v="0"/>
    <x v="3"/>
    <s v="Consistent"/>
    <x v="0"/>
  </r>
  <r>
    <x v="4033"/>
    <x v="0"/>
    <x v="3105"/>
    <n v="6034997194"/>
    <n v="8377.34"/>
    <s v="UK pounds"/>
    <s v="UK pounds"/>
    <x v="0"/>
    <s v="UK"/>
    <x v="4"/>
    <x v="0"/>
    <x v="3"/>
    <s v="Consistent"/>
    <x v="0"/>
  </r>
  <r>
    <x v="4034"/>
    <x v="0"/>
    <x v="264"/>
    <n v="5708936901"/>
    <n v="17721.02"/>
    <s v="UK pounds"/>
    <s v="UK pounds"/>
    <x v="0"/>
    <s v="UK"/>
    <x v="5"/>
    <x v="0"/>
    <x v="3"/>
    <s v="Consistent"/>
    <x v="0"/>
  </r>
  <r>
    <x v="4035"/>
    <x v="0"/>
    <x v="86"/>
    <n v="645194991"/>
    <n v="15749.62"/>
    <s v="UK pounds"/>
    <s v="UK pounds"/>
    <x v="0"/>
    <s v="UK"/>
    <x v="3"/>
    <x v="0"/>
    <x v="1"/>
    <s v="Consistent"/>
    <x v="0"/>
  </r>
  <r>
    <x v="4036"/>
    <x v="0"/>
    <x v="2013"/>
    <n v="1341325734"/>
    <n v="2089.44"/>
    <s v="UK pounds"/>
    <s v="UK pounds"/>
    <x v="0"/>
    <s v="UK"/>
    <x v="5"/>
    <x v="0"/>
    <x v="2"/>
    <s v="Consistent"/>
    <x v="0"/>
  </r>
  <r>
    <x v="4037"/>
    <x v="0"/>
    <x v="3106"/>
    <n v="1605730227"/>
    <n v="1791.27"/>
    <s v="UK pounds"/>
    <s v="UK pounds"/>
    <x v="0"/>
    <s v="UK"/>
    <x v="4"/>
    <x v="0"/>
    <x v="2"/>
    <s v="Consistent"/>
    <x v="0"/>
  </r>
  <r>
    <x v="4038"/>
    <x v="0"/>
    <x v="3107"/>
    <n v="5363117119"/>
    <n v="10533.99"/>
    <s v="UK pounds"/>
    <s v="UK pounds"/>
    <x v="0"/>
    <s v="UK"/>
    <x v="4"/>
    <x v="0"/>
    <x v="3"/>
    <s v="Consistent"/>
    <x v="0"/>
  </r>
  <r>
    <x v="4038"/>
    <x v="0"/>
    <x v="61"/>
    <n v="4525312913"/>
    <n v="12912.46"/>
    <s v="UK pounds"/>
    <s v="UK pounds"/>
    <x v="0"/>
    <s v="UK"/>
    <x v="4"/>
    <x v="0"/>
    <x v="1"/>
    <s v="Consistent"/>
    <x v="0"/>
  </r>
  <r>
    <x v="4039"/>
    <x v="0"/>
    <x v="3108"/>
    <n v="5103043844"/>
    <n v="16398.13"/>
    <s v="UK pounds"/>
    <s v="Naira"/>
    <x v="0"/>
    <s v="Nigeria"/>
    <x v="1"/>
    <x v="0"/>
    <x v="3"/>
    <s v="Potential Layering"/>
    <x v="0"/>
  </r>
  <r>
    <x v="4039"/>
    <x v="0"/>
    <x v="3109"/>
    <n v="1230988846"/>
    <n v="5343.81"/>
    <s v="UK pounds"/>
    <s v="UK pounds"/>
    <x v="0"/>
    <s v="UK"/>
    <x v="4"/>
    <x v="0"/>
    <x v="2"/>
    <s v="Consistent"/>
    <x v="0"/>
  </r>
  <r>
    <x v="4040"/>
    <x v="0"/>
    <x v="3110"/>
    <n v="3220735304"/>
    <n v="6939.34"/>
    <s v="UK pounds"/>
    <s v="UK pounds"/>
    <x v="0"/>
    <s v="UK"/>
    <x v="4"/>
    <x v="0"/>
    <x v="3"/>
    <s v="Consistent"/>
    <x v="0"/>
  </r>
  <r>
    <x v="4041"/>
    <x v="0"/>
    <x v="1"/>
    <n v="4658438113"/>
    <n v="8434.5"/>
    <s v="UK pounds"/>
    <s v="UK pounds"/>
    <x v="0"/>
    <s v="UK"/>
    <x v="3"/>
    <x v="0"/>
    <x v="1"/>
    <s v="Consistent"/>
    <x v="0"/>
  </r>
  <r>
    <x v="4041"/>
    <x v="0"/>
    <x v="3111"/>
    <n v="7302976489"/>
    <n v="2549.27"/>
    <s v="UK pounds"/>
    <s v="UK pounds"/>
    <x v="0"/>
    <s v="UK"/>
    <x v="0"/>
    <x v="0"/>
    <x v="0"/>
    <s v="Consistent"/>
    <x v="0"/>
  </r>
  <r>
    <x v="4042"/>
    <x v="0"/>
    <x v="9"/>
    <n v="4086663568"/>
    <n v="8452.7900000000009"/>
    <s v="UK pounds"/>
    <s v="UK pounds"/>
    <x v="0"/>
    <s v="UK"/>
    <x v="5"/>
    <x v="0"/>
    <x v="1"/>
    <s v="Consistent"/>
    <x v="0"/>
  </r>
  <r>
    <x v="4043"/>
    <x v="0"/>
    <x v="3112"/>
    <n v="8673917867"/>
    <n v="9543.94"/>
    <s v="UK pounds"/>
    <s v="UK pounds"/>
    <x v="0"/>
    <s v="UK"/>
    <x v="3"/>
    <x v="0"/>
    <x v="3"/>
    <s v="Consistent"/>
    <x v="0"/>
  </r>
  <r>
    <x v="4044"/>
    <x v="0"/>
    <x v="1957"/>
    <n v="4336977506"/>
    <n v="4629.26"/>
    <s v="UK pounds"/>
    <s v="UK pounds"/>
    <x v="0"/>
    <s v="UK"/>
    <x v="4"/>
    <x v="0"/>
    <x v="3"/>
    <s v="Consistent"/>
    <x v="0"/>
  </r>
  <r>
    <x v="4045"/>
    <x v="0"/>
    <x v="118"/>
    <n v="5103043844"/>
    <n v="9120.6299999999992"/>
    <s v="UK pounds"/>
    <s v="Naira"/>
    <x v="0"/>
    <s v="Nigeria"/>
    <x v="1"/>
    <x v="0"/>
    <x v="3"/>
    <s v="Potential Layering"/>
    <x v="0"/>
  </r>
  <r>
    <x v="4045"/>
    <x v="0"/>
    <x v="868"/>
    <n v="6646502650"/>
    <n v="8583.33"/>
    <s v="UK pounds"/>
    <s v="Euro"/>
    <x v="0"/>
    <s v="France"/>
    <x v="1"/>
    <x v="0"/>
    <x v="3"/>
    <s v="Potential Layering"/>
    <x v="0"/>
  </r>
  <r>
    <x v="4045"/>
    <x v="0"/>
    <x v="2429"/>
    <n v="7498218097"/>
    <n v="561.05999999999995"/>
    <s v="UK pounds"/>
    <s v="UK pounds"/>
    <x v="0"/>
    <s v="UK"/>
    <x v="2"/>
    <x v="0"/>
    <x v="2"/>
    <s v="Consistent"/>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C780F9-EC3A-42EC-870A-27A62BF2D3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7" firstHeaderRow="0" firstDataRow="1" firstDataCol="1"/>
  <pivotFields count="17">
    <pivotField numFmtId="21" showAll="0">
      <items count="40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t="default"/>
      </items>
    </pivotField>
    <pivotField numFmtId="14" showAll="0"/>
    <pivotField dataField="1" showAll="0"/>
    <pivotField showAll="0"/>
    <pivotField dataField="1" showAll="0"/>
    <pivotField showAll="0"/>
    <pivotField showAll="0"/>
    <pivotField showAll="0"/>
    <pivotField showAll="0"/>
    <pivotField showAll="0">
      <items count="8">
        <item x="3"/>
        <item x="0"/>
        <item x="6"/>
        <item x="2"/>
        <item x="4"/>
        <item x="1"/>
        <item x="5"/>
        <item t="default"/>
      </items>
    </pivotField>
    <pivotField showAll="0"/>
    <pivotField showAll="0"/>
    <pivotField showAll="0"/>
    <pivotField axis="axisRow" showAll="0">
      <items count="4">
        <item x="1"/>
        <item x="0"/>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4">
    <i>
      <x/>
    </i>
    <i>
      <x v="1"/>
    </i>
    <i>
      <x v="2"/>
    </i>
    <i t="grand">
      <x/>
    </i>
  </rowItems>
  <colFields count="1">
    <field x="-2"/>
  </colFields>
  <colItems count="2">
    <i>
      <x/>
    </i>
    <i i="1">
      <x v="1"/>
    </i>
  </colItems>
  <dataFields count="2">
    <dataField name="Sum of Amount" fld="4" baseField="0" baseItem="0"/>
    <dataField name="Count of Sender_account" fld="2" subtotal="count" baseField="13" baseItem="0"/>
  </dataFields>
  <chartFormats count="1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13" count="1" selected="0">
            <x v="0"/>
          </reference>
        </references>
      </pivotArea>
    </chartFormat>
    <chartFormat chart="7" format="3">
      <pivotArea type="data" outline="0" fieldPosition="0">
        <references count="2">
          <reference field="4294967294" count="1" selected="0">
            <x v="0"/>
          </reference>
          <reference field="13" count="1" selected="0">
            <x v="1"/>
          </reference>
        </references>
      </pivotArea>
    </chartFormat>
    <chartFormat chart="7" format="4">
      <pivotArea type="data" outline="0" fieldPosition="0">
        <references count="2">
          <reference field="4294967294" count="1" selected="0">
            <x v="0"/>
          </reference>
          <reference field="13"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3" count="1" selected="0">
            <x v="0"/>
          </reference>
        </references>
      </pivotArea>
    </chartFormat>
    <chartFormat chart="11" format="15">
      <pivotArea type="data" outline="0" fieldPosition="0">
        <references count="2">
          <reference field="4294967294" count="1" selected="0">
            <x v="0"/>
          </reference>
          <reference field="13" count="1" selected="0">
            <x v="1"/>
          </reference>
        </references>
      </pivotArea>
    </chartFormat>
    <chartFormat chart="11" format="16">
      <pivotArea type="data" outline="0" fieldPosition="0">
        <references count="2">
          <reference field="4294967294" count="1" selected="0">
            <x v="0"/>
          </reference>
          <reference field="13" count="1" selected="0">
            <x v="2"/>
          </reference>
        </references>
      </pivotArea>
    </chartFormat>
    <chartFormat chart="11" format="17" series="1">
      <pivotArea type="data" outline="0" fieldPosition="0">
        <references count="1">
          <reference field="4294967294" count="1" selected="0">
            <x v="1"/>
          </reference>
        </references>
      </pivotArea>
    </chartFormat>
    <chartFormat chart="11" format="18">
      <pivotArea type="data" outline="0" fieldPosition="0">
        <references count="2">
          <reference field="4294967294" count="1" selected="0">
            <x v="1"/>
          </reference>
          <reference field="13" count="1" selected="0">
            <x v="0"/>
          </reference>
        </references>
      </pivotArea>
    </chartFormat>
    <chartFormat chart="11" format="19">
      <pivotArea type="data" outline="0" fieldPosition="0">
        <references count="2">
          <reference field="4294967294" count="1" selected="0">
            <x v="1"/>
          </reference>
          <reference field="13" count="1" selected="0">
            <x v="1"/>
          </reference>
        </references>
      </pivotArea>
    </chartFormat>
    <chartFormat chart="11" format="20">
      <pivotArea type="data" outline="0" fieldPosition="0">
        <references count="2">
          <reference field="4294967294" count="1" selected="0">
            <x v="1"/>
          </reference>
          <reference field="13" count="1" selected="0">
            <x v="2"/>
          </reference>
        </references>
      </pivotArea>
    </chartFormat>
    <chartFormat chart="7" format="5">
      <pivotArea type="data" outline="0" fieldPosition="0">
        <references count="2">
          <reference field="4294967294" count="1" selected="0">
            <x v="1"/>
          </reference>
          <reference field="13" count="1" selected="0">
            <x v="0"/>
          </reference>
        </references>
      </pivotArea>
    </chartFormat>
    <chartFormat chart="7" format="6">
      <pivotArea type="data" outline="0" fieldPosition="0">
        <references count="2">
          <reference field="4294967294" count="1" selected="0">
            <x v="1"/>
          </reference>
          <reference field="13" count="1" selected="0">
            <x v="1"/>
          </reference>
        </references>
      </pivotArea>
    </chartFormat>
    <chartFormat chart="7" format="7">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BFCF7E-2D4F-411F-899E-218917778A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0" firstHeaderRow="1" firstDataRow="1" firstDataCol="1" rowPageCount="1" colPageCount="1"/>
  <pivotFields count="17">
    <pivotField numFmtId="21" showAll="0">
      <items count="40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t="default"/>
      </items>
    </pivotField>
    <pivotField numFmtId="14" showAll="0"/>
    <pivotField showAll="0"/>
    <pivotField showAll="0"/>
    <pivotField dataField="1" showAll="0"/>
    <pivotField showAll="0"/>
    <pivotField showAll="0"/>
    <pivotField axis="axisRow" showAll="0" sortType="ascending">
      <items count="17">
        <item x="1"/>
        <item x="11"/>
        <item x="8"/>
        <item x="12"/>
        <item x="14"/>
        <item x="7"/>
        <item x="3"/>
        <item x="10"/>
        <item x="15"/>
        <item x="2"/>
        <item x="9"/>
        <item x="4"/>
        <item x="5"/>
        <item x="13"/>
        <item x="6"/>
        <item x="0"/>
        <item t="default"/>
      </items>
    </pivotField>
    <pivotField showAll="0"/>
    <pivotField showAll="0"/>
    <pivotField showAll="0"/>
    <pivotField showAll="0"/>
    <pivotField showAll="0"/>
    <pivotField axis="axisPage" multipleItemSelectionAllowed="1" showAll="0">
      <items count="4">
        <item x="1"/>
        <item x="0"/>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7">
    <i>
      <x/>
    </i>
    <i>
      <x v="1"/>
    </i>
    <i>
      <x v="2"/>
    </i>
    <i>
      <x v="3"/>
    </i>
    <i>
      <x v="4"/>
    </i>
    <i>
      <x v="5"/>
    </i>
    <i>
      <x v="6"/>
    </i>
    <i>
      <x v="7"/>
    </i>
    <i>
      <x v="8"/>
    </i>
    <i>
      <x v="9"/>
    </i>
    <i>
      <x v="10"/>
    </i>
    <i>
      <x v="11"/>
    </i>
    <i>
      <x v="12"/>
    </i>
    <i>
      <x v="13"/>
    </i>
    <i>
      <x v="14"/>
    </i>
    <i>
      <x v="15"/>
    </i>
    <i t="grand">
      <x/>
    </i>
  </rowItems>
  <colItems count="1">
    <i/>
  </colItems>
  <pageFields count="1">
    <pageField fld="13" hier="-1"/>
  </pageFields>
  <dataFields count="1">
    <dataField name="Sum of Amount" fld="4"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B2FE2B-7903-414B-ACAC-23819938DE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12" firstHeaderRow="1" firstDataRow="2" firstDataCol="1"/>
  <pivotFields count="17">
    <pivotField numFmtId="21" showAll="0">
      <items count="40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t="default"/>
      </items>
    </pivotField>
    <pivotField numFmtId="14" showAll="0"/>
    <pivotField showAll="0"/>
    <pivotField showAll="0"/>
    <pivotField dataField="1" showAll="0"/>
    <pivotField showAll="0"/>
    <pivotField showAll="0"/>
    <pivotField showAll="0"/>
    <pivotField showAll="0"/>
    <pivotField axis="axisRow" showAll="0">
      <items count="8">
        <item x="3"/>
        <item x="0"/>
        <item x="6"/>
        <item x="2"/>
        <item x="4"/>
        <item x="1"/>
        <item x="5"/>
        <item t="default"/>
      </items>
    </pivotField>
    <pivotField showAll="0"/>
    <pivotField showAll="0"/>
    <pivotField showAll="0"/>
    <pivotField axis="axisCol" showAll="0">
      <items count="4">
        <item x="1"/>
        <item x="0"/>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8">
    <i>
      <x/>
    </i>
    <i>
      <x v="1"/>
    </i>
    <i>
      <x v="2"/>
    </i>
    <i>
      <x v="3"/>
    </i>
    <i>
      <x v="4"/>
    </i>
    <i>
      <x v="5"/>
    </i>
    <i>
      <x v="6"/>
    </i>
    <i t="grand">
      <x/>
    </i>
  </rowItems>
  <colFields count="1">
    <field x="13"/>
  </colFields>
  <colItems count="4">
    <i>
      <x/>
    </i>
    <i>
      <x v="1"/>
    </i>
    <i>
      <x v="2"/>
    </i>
    <i t="grand">
      <x/>
    </i>
  </colItems>
  <dataFields count="1">
    <dataField name="Sum of Amount" fld="4"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88BC8F-4B04-4C54-984E-36C458134DF6}"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D12" firstHeaderRow="1" firstDataRow="1" firstDataCol="3" rowPageCount="1" colPageCount="1"/>
  <pivotFields count="17">
    <pivotField compact="0" numFmtId="21" outline="0" showAll="0" defaultSubtotal="0">
      <items count="40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s>
      <extLst>
        <ext xmlns:x14="http://schemas.microsoft.com/office/spreadsheetml/2009/9/main" uri="{2946ED86-A175-432a-8AC1-64E0C546D7DE}">
          <x14:pivotField fillDownLabels="1"/>
        </ext>
      </extLst>
    </pivotField>
    <pivotField axis="axisRow" compact="0" numFmtId="14"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113">
        <item x="1150"/>
        <item x="2922"/>
        <item x="2183"/>
        <item x="1156"/>
        <item x="440"/>
        <item x="1435"/>
        <item x="2601"/>
        <item x="320"/>
        <item x="538"/>
        <item x="2976"/>
        <item x="307"/>
        <item x="1741"/>
        <item x="54"/>
        <item x="1240"/>
        <item x="1128"/>
        <item x="2571"/>
        <item x="2890"/>
        <item x="2218"/>
        <item x="1138"/>
        <item x="1944"/>
        <item x="2055"/>
        <item x="226"/>
        <item x="1943"/>
        <item x="689"/>
        <item x="2018"/>
        <item x="1473"/>
        <item x="2270"/>
        <item x="270"/>
        <item x="2175"/>
        <item x="1781"/>
        <item x="44"/>
        <item x="2606"/>
        <item x="2700"/>
        <item x="1919"/>
        <item x="2852"/>
        <item x="2315"/>
        <item x="821"/>
        <item x="187"/>
        <item x="446"/>
        <item x="2741"/>
        <item x="655"/>
        <item x="1615"/>
        <item x="1658"/>
        <item x="1083"/>
        <item x="1795"/>
        <item x="1793"/>
        <item x="1542"/>
        <item x="1095"/>
        <item x="596"/>
        <item x="700"/>
        <item x="857"/>
        <item x="1755"/>
        <item x="1704"/>
        <item x="3078"/>
        <item x="1447"/>
        <item x="2848"/>
        <item x="740"/>
        <item x="2931"/>
        <item x="902"/>
        <item x="1687"/>
        <item x="615"/>
        <item x="1354"/>
        <item x="1688"/>
        <item x="433"/>
        <item x="1682"/>
        <item x="2961"/>
        <item x="1691"/>
        <item x="979"/>
        <item x="2478"/>
        <item x="332"/>
        <item x="1360"/>
        <item x="1313"/>
        <item x="1402"/>
        <item x="2541"/>
        <item x="118"/>
        <item x="1264"/>
        <item x="2691"/>
        <item x="2"/>
        <item x="2294"/>
        <item x="2941"/>
        <item x="1784"/>
        <item x="1533"/>
        <item x="3008"/>
        <item x="441"/>
        <item x="2977"/>
        <item x="2276"/>
        <item x="391"/>
        <item x="830"/>
        <item x="2311"/>
        <item x="2482"/>
        <item x="2186"/>
        <item x="1114"/>
        <item x="2910"/>
        <item x="777"/>
        <item x="1380"/>
        <item x="1608"/>
        <item x="2164"/>
        <item x="2496"/>
        <item x="2263"/>
        <item x="2912"/>
        <item x="2366"/>
        <item x="2899"/>
        <item x="1910"/>
        <item x="205"/>
        <item x="972"/>
        <item x="2370"/>
        <item x="3068"/>
        <item x="2027"/>
        <item x="2259"/>
        <item x="25"/>
        <item x="557"/>
        <item x="1530"/>
        <item x="241"/>
        <item x="2462"/>
        <item x="2227"/>
        <item x="2080"/>
        <item x="853"/>
        <item x="2574"/>
        <item x="2658"/>
        <item x="1799"/>
        <item x="2280"/>
        <item x="2862"/>
        <item x="364"/>
        <item x="3027"/>
        <item x="1801"/>
        <item x="397"/>
        <item x="2343"/>
        <item x="1431"/>
        <item x="2345"/>
        <item x="1445"/>
        <item x="1829"/>
        <item x="833"/>
        <item x="1393"/>
        <item x="1527"/>
        <item x="3021"/>
        <item x="2962"/>
        <item x="461"/>
        <item x="2828"/>
        <item x="1508"/>
        <item x="2096"/>
        <item x="2418"/>
        <item x="741"/>
        <item x="2594"/>
        <item x="2552"/>
        <item x="1851"/>
        <item x="221"/>
        <item x="2592"/>
        <item x="1440"/>
        <item x="1524"/>
        <item x="2894"/>
        <item x="386"/>
        <item x="60"/>
        <item x="2879"/>
        <item x="2580"/>
        <item x="1219"/>
        <item x="1270"/>
        <item x="1650"/>
        <item x="774"/>
        <item x="549"/>
        <item x="2670"/>
        <item x="987"/>
        <item x="1738"/>
        <item x="2597"/>
        <item x="305"/>
        <item x="469"/>
        <item x="361"/>
        <item x="749"/>
        <item x="284"/>
        <item x="3106"/>
        <item x="600"/>
        <item x="345"/>
        <item x="827"/>
        <item x="2003"/>
        <item x="1563"/>
        <item x="1154"/>
        <item x="2287"/>
        <item x="2666"/>
        <item x="1277"/>
        <item x="1323"/>
        <item x="569"/>
        <item x="2840"/>
        <item x="2925"/>
        <item x="2883"/>
        <item x="2689"/>
        <item x="2940"/>
        <item x="1389"/>
        <item x="1066"/>
        <item x="327"/>
        <item x="2349"/>
        <item x="1306"/>
        <item x="1690"/>
        <item x="2855"/>
        <item x="450"/>
        <item x="293"/>
        <item x="1821"/>
        <item x="1016"/>
        <item x="918"/>
        <item x="248"/>
        <item x="653"/>
        <item x="135"/>
        <item x="1457"/>
        <item x="2966"/>
        <item x="399"/>
        <item x="2207"/>
        <item x="1059"/>
        <item x="2756"/>
        <item x="892"/>
        <item x="102"/>
        <item x="2905"/>
        <item x="2662"/>
        <item x="2998"/>
        <item x="2608"/>
        <item x="1934"/>
        <item x="1037"/>
        <item x="452"/>
        <item x="2271"/>
        <item x="3042"/>
        <item x="1503"/>
        <item x="1679"/>
        <item x="1734"/>
        <item x="129"/>
        <item x="2678"/>
        <item x="1693"/>
        <item x="43"/>
        <item x="2406"/>
        <item x="2020"/>
        <item x="2304"/>
        <item x="2775"/>
        <item x="1472"/>
        <item x="870"/>
        <item x="1375"/>
        <item x="2257"/>
        <item x="286"/>
        <item x="1011"/>
        <item x="1662"/>
        <item x="2519"/>
        <item x="2979"/>
        <item x="2605"/>
        <item x="1668"/>
        <item x="2041"/>
        <item x="1018"/>
        <item x="805"/>
        <item x="2346"/>
        <item x="1769"/>
        <item x="326"/>
        <item x="1607"/>
        <item x="1916"/>
        <item x="1347"/>
        <item x="1381"/>
        <item x="2510"/>
        <item x="2650"/>
        <item x="1528"/>
        <item x="1993"/>
        <item x="2483"/>
        <item x="2019"/>
        <item x="300"/>
        <item x="1720"/>
        <item x="1883"/>
        <item x="2664"/>
        <item x="1433"/>
        <item x="864"/>
        <item x="1571"/>
        <item x="989"/>
        <item x="2008"/>
        <item x="3006"/>
        <item x="2679"/>
        <item x="370"/>
        <item x="706"/>
        <item x="2355"/>
        <item x="1946"/>
        <item x="1483"/>
        <item x="2997"/>
        <item x="1045"/>
        <item x="2506"/>
        <item x="1594"/>
        <item x="1237"/>
        <item x="1621"/>
        <item x="806"/>
        <item x="1667"/>
        <item x="1675"/>
        <item x="848"/>
        <item x="964"/>
        <item x="37"/>
        <item x="2640"/>
        <item x="2764"/>
        <item x="2740"/>
        <item x="1385"/>
        <item x="1814"/>
        <item x="2471"/>
        <item x="2230"/>
        <item x="2244"/>
        <item x="407"/>
        <item x="1541"/>
        <item x="471"/>
        <item x="498"/>
        <item x="6"/>
        <item x="2194"/>
        <item x="2127"/>
        <item x="2423"/>
        <item x="2314"/>
        <item x="41"/>
        <item x="1519"/>
        <item x="2704"/>
        <item x="416"/>
        <item x="798"/>
        <item x="519"/>
        <item x="1111"/>
        <item x="2562"/>
        <item x="896"/>
        <item x="1742"/>
        <item x="2540"/>
        <item x="1859"/>
        <item x="599"/>
        <item x="1350"/>
        <item x="1459"/>
        <item x="2958"/>
        <item x="133"/>
        <item x="2647"/>
        <item x="2980"/>
        <item x="1935"/>
        <item x="2660"/>
        <item x="2470"/>
        <item x="33"/>
        <item x="85"/>
        <item x="1098"/>
        <item x="420"/>
        <item x="1597"/>
        <item x="1289"/>
        <item x="219"/>
        <item x="1390"/>
        <item x="2077"/>
        <item x="1469"/>
        <item x="915"/>
        <item x="225"/>
        <item x="1745"/>
        <item x="1953"/>
        <item x="1978"/>
        <item x="1092"/>
        <item x="607"/>
        <item x="2009"/>
        <item x="509"/>
        <item x="2690"/>
        <item x="935"/>
        <item x="3069"/>
        <item x="1603"/>
        <item x="1869"/>
        <item x="2782"/>
        <item x="640"/>
        <item x="2250"/>
        <item x="1864"/>
        <item x="2316"/>
        <item x="1169"/>
        <item x="1180"/>
        <item x="2393"/>
        <item x="1945"/>
        <item x="2790"/>
        <item x="2221"/>
        <item x="2985"/>
        <item x="455"/>
        <item x="2570"/>
        <item x="2807"/>
        <item x="638"/>
        <item x="2232"/>
        <item x="510"/>
        <item x="30"/>
        <item x="1466"/>
        <item x="2672"/>
        <item x="390"/>
        <item x="1969"/>
        <item x="772"/>
        <item x="850"/>
        <item x="559"/>
        <item x="894"/>
        <item x="1202"/>
        <item x="1064"/>
        <item x="2021"/>
        <item x="2632"/>
        <item x="2607"/>
        <item x="608"/>
        <item x="1248"/>
        <item x="982"/>
        <item x="388"/>
        <item x="617"/>
        <item x="2090"/>
        <item x="912"/>
        <item x="3108"/>
        <item x="1877"/>
        <item x="793"/>
        <item x="3091"/>
        <item x="65"/>
        <item x="1898"/>
        <item x="344"/>
        <item x="2453"/>
        <item x="1450"/>
        <item x="374"/>
        <item x="2623"/>
        <item x="190"/>
        <item x="2720"/>
        <item x="1376"/>
        <item x="2167"/>
        <item x="578"/>
        <item x="1490"/>
        <item x="237"/>
        <item x="2176"/>
        <item x="2779"/>
        <item x="1438"/>
        <item x="2210"/>
        <item x="380"/>
        <item x="889"/>
        <item x="595"/>
        <item x="776"/>
        <item x="1178"/>
        <item x="161"/>
        <item x="2443"/>
        <item x="1904"/>
        <item x="157"/>
        <item x="1543"/>
        <item x="1626"/>
        <item x="2110"/>
        <item x="294"/>
        <item x="2750"/>
        <item x="2456"/>
        <item x="1242"/>
        <item x="3083"/>
        <item x="771"/>
        <item x="1001"/>
        <item x="12"/>
        <item x="887"/>
        <item x="1765"/>
        <item x="2909"/>
        <item x="1007"/>
        <item x="2072"/>
        <item x="376"/>
        <item x="1086"/>
        <item x="2796"/>
        <item x="2385"/>
        <item x="82"/>
        <item x="973"/>
        <item x="3090"/>
        <item x="589"/>
        <item x="1161"/>
        <item x="42"/>
        <item x="1463"/>
        <item x="191"/>
        <item x="3035"/>
        <item x="2673"/>
        <item x="17"/>
        <item x="2216"/>
        <item x="2820"/>
        <item x="2696"/>
        <item x="2566"/>
        <item x="779"/>
        <item x="1"/>
        <item x="3012"/>
        <item x="1773"/>
        <item x="349"/>
        <item x="2283"/>
        <item x="2837"/>
        <item x="2599"/>
        <item x="3018"/>
        <item x="1760"/>
        <item x="2330"/>
        <item x="1094"/>
        <item x="2236"/>
        <item x="535"/>
        <item x="3096"/>
        <item x="442"/>
        <item x="1430"/>
        <item x="2866"/>
        <item x="2865"/>
        <item x="357"/>
        <item x="1378"/>
        <item x="1521"/>
        <item x="1767"/>
        <item x="2226"/>
        <item x="1709"/>
        <item x="1015"/>
        <item x="1245"/>
        <item x="2135"/>
        <item x="460"/>
        <item x="415"/>
        <item x="2171"/>
        <item x="1374"/>
        <item x="1951"/>
        <item x="2600"/>
        <item x="2358"/>
        <item x="2734"/>
        <item x="1271"/>
        <item x="1311"/>
        <item x="2578"/>
        <item x="1302"/>
        <item x="1256"/>
        <item x="2765"/>
        <item x="1442"/>
        <item x="2636"/>
        <item x="1272"/>
        <item x="2859"/>
        <item x="456"/>
        <item x="582"/>
        <item x="571"/>
        <item x="1848"/>
        <item x="2396"/>
        <item x="1871"/>
        <item x="2435"/>
        <item x="564"/>
        <item x="1265"/>
        <item x="385"/>
        <item x="2656"/>
        <item x="1804"/>
        <item x="2518"/>
        <item x="1058"/>
        <item x="1697"/>
        <item x="1735"/>
        <item x="350"/>
        <item x="72"/>
        <item x="249"/>
        <item x="898"/>
        <item x="324"/>
        <item x="164"/>
        <item x="2196"/>
        <item x="283"/>
        <item x="1487"/>
        <item x="323"/>
        <item x="1298"/>
        <item x="2949"/>
        <item x="94"/>
        <item x="1590"/>
        <item x="1553"/>
        <item x="2814"/>
        <item x="814"/>
        <item x="1743"/>
        <item x="2813"/>
        <item x="552"/>
        <item x="2142"/>
        <item x="1922"/>
        <item x="424"/>
        <item x="1078"/>
        <item x="156"/>
        <item x="2105"/>
        <item x="2132"/>
        <item x="2749"/>
        <item x="3084"/>
        <item x="2168"/>
        <item x="127"/>
        <item x="2846"/>
        <item x="3061"/>
        <item x="338"/>
        <item x="2063"/>
        <item x="1057"/>
        <item x="1134"/>
        <item x="405"/>
        <item x="2450"/>
        <item x="463"/>
        <item x="2223"/>
        <item x="533"/>
        <item x="586"/>
        <item x="1792"/>
        <item x="2944"/>
        <item x="1137"/>
        <item x="464"/>
        <item x="1705"/>
        <item x="2107"/>
        <item x="58"/>
        <item x="2626"/>
        <item x="2729"/>
        <item x="2300"/>
        <item x="1853"/>
        <item x="1925"/>
        <item x="1494"/>
        <item x="1839"/>
        <item x="195"/>
        <item x="2267"/>
        <item x="1414"/>
        <item x="737"/>
        <item x="3022"/>
        <item x="3019"/>
        <item x="240"/>
        <item x="470"/>
        <item x="2354"/>
        <item x="2781"/>
        <item x="782"/>
        <item x="998"/>
        <item x="475"/>
        <item x="1179"/>
        <item x="2160"/>
        <item x="2568"/>
        <item x="2900"/>
        <item x="1470"/>
        <item x="435"/>
        <item x="1770"/>
        <item x="544"/>
        <item x="330"/>
        <item x="1604"/>
        <item x="1982"/>
        <item x="2657"/>
        <item x="808"/>
        <item x="876"/>
        <item x="1636"/>
        <item x="27"/>
        <item x="1424"/>
        <item x="809"/>
        <item x="2898"/>
        <item x="1513"/>
        <item x="2896"/>
        <item x="2086"/>
        <item x="1036"/>
        <item x="1654"/>
        <item x="2440"/>
        <item x="2312"/>
        <item x="837"/>
        <item x="2305"/>
        <item x="3073"/>
        <item x="1030"/>
        <item x="792"/>
        <item x="383"/>
        <item x="1452"/>
        <item x="1587"/>
        <item x="314"/>
        <item x="16"/>
        <item x="2306"/>
        <item x="1731"/>
        <item x="1881"/>
        <item x="1077"/>
        <item x="88"/>
        <item x="2161"/>
        <item x="302"/>
        <item x="1523"/>
        <item x="2357"/>
        <item x="2050"/>
        <item x="639"/>
        <item x="1085"/>
        <item x="1570"/>
        <item x="2339"/>
        <item x="901"/>
        <item x="583"/>
        <item x="969"/>
        <item x="556"/>
        <item x="2331"/>
        <item x="2815"/>
        <item x="2668"/>
        <item x="716"/>
        <item x="231"/>
        <item x="1727"/>
        <item x="2373"/>
        <item x="1886"/>
        <item x="1069"/>
        <item x="1217"/>
        <item x="688"/>
        <item x="454"/>
        <item x="893"/>
        <item x="580"/>
        <item x="1426"/>
        <item x="2293"/>
        <item x="1124"/>
        <item x="1706"/>
        <item x="1938"/>
        <item x="705"/>
        <item x="2645"/>
        <item x="13"/>
        <item x="1269"/>
        <item x="206"/>
        <item x="165"/>
        <item x="959"/>
        <item x="59"/>
        <item x="2867"/>
        <item x="1929"/>
        <item x="732"/>
        <item x="3103"/>
        <item x="194"/>
        <item x="2442"/>
        <item x="2827"/>
        <item x="739"/>
        <item x="869"/>
        <item x="1529"/>
        <item x="1986"/>
        <item x="1589"/>
        <item x="2602"/>
        <item x="1777"/>
        <item x="299"/>
        <item x="2128"/>
        <item x="1646"/>
        <item x="315"/>
        <item x="333"/>
        <item x="111"/>
        <item x="2433"/>
        <item x="985"/>
        <item x="908"/>
        <item x="3094"/>
        <item x="1321"/>
        <item x="1648"/>
        <item x="505"/>
        <item x="2793"/>
        <item x="940"/>
        <item x="3062"/>
        <item x="2525"/>
        <item x="815"/>
        <item x="839"/>
        <item x="3032"/>
        <item x="256"/>
        <item x="1746"/>
        <item x="644"/>
        <item x="269"/>
        <item x="726"/>
        <item x="2719"/>
        <item x="1933"/>
        <item x="2413"/>
        <item x="342"/>
        <item x="1185"/>
        <item x="1235"/>
        <item x="2026"/>
        <item x="2538"/>
        <item x="1977"/>
        <item x="459"/>
        <item x="2069"/>
        <item x="163"/>
        <item x="629"/>
        <item x="1842"/>
        <item x="1952"/>
        <item x="955"/>
        <item x="1958"/>
        <item x="2697"/>
        <item x="449"/>
        <item x="1233"/>
        <item x="585"/>
        <item x="2035"/>
        <item x="2487"/>
        <item x="2334"/>
        <item x="1489"/>
        <item x="87"/>
        <item x="482"/>
        <item x="2787"/>
        <item x="95"/>
        <item x="631"/>
        <item x="2234"/>
        <item x="1496"/>
        <item x="800"/>
        <item x="2523"/>
        <item x="2923"/>
        <item x="1042"/>
        <item x="1259"/>
        <item x="2148"/>
        <item x="2144"/>
        <item x="1213"/>
        <item x="1334"/>
        <item x="188"/>
        <item x="991"/>
        <item x="1343"/>
        <item x="2842"/>
        <item x="871"/>
        <item x="2612"/>
        <item x="2990"/>
        <item x="2046"/>
        <item x="1076"/>
        <item x="513"/>
        <item x="1591"/>
        <item x="2389"/>
        <item x="2557"/>
        <item x="947"/>
        <item x="3030"/>
        <item x="2873"/>
        <item x="551"/>
        <item x="1771"/>
        <item x="2806"/>
        <item x="576"/>
        <item x="2364"/>
        <item x="2326"/>
        <item x="983"/>
        <item x="434"/>
        <item x="429"/>
        <item x="2590"/>
        <item x="2237"/>
        <item x="1189"/>
        <item x="1491"/>
        <item x="1027"/>
        <item x="2394"/>
        <item x="2937"/>
        <item x="1862"/>
        <item x="1820"/>
        <item x="1345"/>
        <item x="1252"/>
        <item x="1282"/>
        <item x="2915"/>
        <item x="518"/>
        <item x="502"/>
        <item x="384"/>
        <item x="722"/>
        <item x="990"/>
        <item x="217"/>
        <item x="242"/>
        <item x="981"/>
        <item x="1250"/>
        <item x="2982"/>
        <item x="537"/>
        <item x="1747"/>
        <item x="3079"/>
        <item x="1201"/>
        <item x="2746"/>
        <item x="254"/>
        <item x="147"/>
        <item x="1545"/>
        <item x="1963"/>
        <item x="886"/>
        <item x="1759"/>
        <item x="2488"/>
        <item x="594"/>
        <item x="1143"/>
        <item x="229"/>
        <item x="2122"/>
        <item x="2715"/>
        <item x="791"/>
        <item x="2087"/>
        <item x="2066"/>
        <item x="2836"/>
        <item x="3112"/>
        <item x="389"/>
        <item x="819"/>
        <item x="2531"/>
        <item x="2773"/>
        <item x="2551"/>
        <item x="813"/>
        <item x="481"/>
        <item x="1710"/>
        <item x="2251"/>
        <item x="754"/>
        <item x="1097"/>
        <item x="2065"/>
        <item x="2302"/>
        <item x="123"/>
        <item x="2061"/>
        <item x="2611"/>
        <item x="2798"/>
        <item x="547"/>
        <item x="1642"/>
        <item x="2213"/>
        <item x="1565"/>
        <item x="1753"/>
        <item x="2986"/>
        <item x="1396"/>
        <item x="1619"/>
        <item x="2996"/>
        <item x="1506"/>
        <item x="2190"/>
        <item x="1616"/>
        <item x="395"/>
        <item x="2722"/>
        <item x="2034"/>
        <item x="2631"/>
        <item x="61"/>
        <item x="884"/>
        <item x="1279"/>
        <item x="999"/>
        <item x="2430"/>
        <item x="2857"/>
        <item x="1346"/>
        <item x="2854"/>
        <item x="1331"/>
        <item x="1585"/>
        <item x="2023"/>
        <item x="769"/>
        <item x="301"/>
        <item x="572"/>
        <item x="477"/>
        <item x="2017"/>
        <item x="244"/>
        <item x="1388"/>
        <item x="3031"/>
        <item x="701"/>
        <item x="134"/>
        <item x="1230"/>
        <item x="1917"/>
        <item x="720"/>
        <item x="2687"/>
        <item x="490"/>
        <item x="718"/>
        <item x="2118"/>
        <item x="2703"/>
        <item x="2850"/>
        <item x="2563"/>
        <item x="895"/>
        <item x="2585"/>
        <item x="2321"/>
        <item x="1047"/>
        <item x="1878"/>
        <item x="2965"/>
        <item x="2903"/>
        <item x="1486"/>
        <item x="74"/>
        <item x="847"/>
        <item x="1901"/>
        <item x="2004"/>
        <item x="2044"/>
        <item x="1017"/>
        <item x="1879"/>
        <item x="789"/>
        <item x="936"/>
        <item x="2957"/>
        <item x="308"/>
        <item x="2709"/>
        <item x="642"/>
        <item x="2369"/>
        <item x="2663"/>
        <item x="2490"/>
        <item x="1725"/>
        <item x="1499"/>
        <item x="1361"/>
        <item x="2928"/>
        <item x="1251"/>
        <item x="2296"/>
        <item x="719"/>
        <item x="2281"/>
        <item x="2452"/>
        <item x="2489"/>
        <item x="1714"/>
        <item x="1502"/>
        <item x="2667"/>
        <item x="1174"/>
        <item x="746"/>
        <item x="626"/>
        <item x="121"/>
        <item x="421"/>
        <item x="3085"/>
        <item x="55"/>
        <item x="412"/>
        <item x="2620"/>
        <item x="1920"/>
        <item x="2616"/>
        <item x="2245"/>
        <item x="693"/>
        <item x="1713"/>
        <item x="2247"/>
        <item x="1824"/>
        <item x="1304"/>
        <item x="1088"/>
        <item x="1894"/>
        <item x="816"/>
        <item x="567"/>
        <item x="647"/>
        <item x="1707"/>
        <item x="1645"/>
        <item x="1637"/>
        <item x="2743"/>
        <item x="1857"/>
        <item x="2201"/>
        <item x="525"/>
        <item x="80"/>
        <item x="923"/>
        <item x="79"/>
        <item x="1236"/>
        <item x="838"/>
        <item x="2182"/>
        <item x="1418"/>
        <item x="2770"/>
        <item x="2361"/>
        <item x="365"/>
        <item x="75"/>
        <item x="1972"/>
        <item x="1605"/>
        <item x="2143"/>
        <item x="2581"/>
        <item x="1624"/>
        <item x="3010"/>
        <item x="930"/>
        <item x="1762"/>
        <item x="1856"/>
        <item x="1053"/>
        <item x="2481"/>
        <item x="2956"/>
        <item x="2460"/>
        <item x="1403"/>
        <item x="154"/>
        <item x="1954"/>
        <item x="1332"/>
        <item x="2189"/>
        <item x="169"/>
        <item x="1600"/>
        <item x="2500"/>
        <item x="1107"/>
        <item x="874"/>
        <item x="1008"/>
        <item x="409"/>
        <item x="1482"/>
        <item x="1818"/>
        <item x="1010"/>
        <item x="611"/>
        <item x="695"/>
        <item x="335"/>
        <item x="2808"/>
        <item x="484"/>
        <item x="2084"/>
        <item x="3036"/>
        <item x="760"/>
        <item x="468"/>
        <item x="3063"/>
        <item x="558"/>
        <item x="799"/>
        <item x="355"/>
        <item x="1478"/>
        <item x="1262"/>
        <item x="593"/>
        <item x="2177"/>
        <item x="1822"/>
        <item x="2360"/>
        <item x="1386"/>
        <item x="929"/>
        <item x="1115"/>
        <item x="2437"/>
        <item x="2881"/>
        <item x="1341"/>
        <item x="408"/>
        <item x="2897"/>
        <item x="89"/>
        <item x="2546"/>
        <item x="1985"/>
        <item x="2001"/>
        <item x="1356"/>
        <item x="1333"/>
        <item x="143"/>
        <item x="3072"/>
        <item x="1606"/>
        <item x="200"/>
        <item x="313"/>
        <item x="166"/>
        <item x="2891"/>
        <item x="714"/>
        <item x="881"/>
        <item x="2530"/>
        <item x="2730"/>
        <item x="1578"/>
        <item x="2335"/>
        <item x="1555"/>
        <item x="951"/>
        <item x="1221"/>
        <item x="622"/>
        <item x="1696"/>
        <item x="634"/>
        <item x="1686"/>
        <item x="516"/>
        <item x="751"/>
        <item x="52"/>
        <item x="1384"/>
        <item x="2109"/>
        <item x="2948"/>
        <item x="2274"/>
        <item x="352"/>
        <item x="2420"/>
        <item x="1197"/>
        <item x="2624"/>
        <item x="2919"/>
        <item x="3029"/>
        <item x="927"/>
        <item x="83"/>
        <item x="1948"/>
        <item x="2416"/>
        <item x="676"/>
        <item x="1231"/>
        <item x="1367"/>
        <item x="2062"/>
        <item x="2229"/>
        <item x="35"/>
        <item x="604"/>
        <item x="2108"/>
        <item x="2022"/>
        <item x="1100"/>
        <item x="1004"/>
        <item x="822"/>
        <item x="2902"/>
        <item x="846"/>
        <item x="962"/>
        <item x="298"/>
        <item x="2480"/>
        <item x="1108"/>
        <item x="2401"/>
        <item x="937"/>
        <item x="1758"/>
        <item x="1737"/>
        <item x="1034"/>
        <item x="2085"/>
        <item x="1780"/>
        <item x="2758"/>
        <item x="2163"/>
        <item x="1051"/>
        <item x="2826"/>
        <item x="568"/>
        <item x="2914"/>
        <item x="1789"/>
        <item x="610"/>
        <item x="106"/>
        <item x="1512"/>
        <item x="2615"/>
        <item x="96"/>
        <item x="2513"/>
        <item x="601"/>
        <item x="1764"/>
        <item x="238"/>
        <item x="656"/>
        <item x="1834"/>
        <item x="2554"/>
        <item x="2053"/>
        <item x="2874"/>
        <item x="2619"/>
        <item x="711"/>
        <item x="2256"/>
        <item x="2649"/>
        <item x="247"/>
        <item x="235"/>
        <item x="1191"/>
        <item x="1723"/>
        <item x="650"/>
        <item x="246"/>
        <item x="1288"/>
        <item x="2272"/>
        <item x="2114"/>
        <item x="563"/>
        <item x="685"/>
        <item x="1119"/>
        <item x="2613"/>
        <item x="2934"/>
        <item x="2095"/>
        <item x="1193"/>
        <item x="45"/>
        <item x="250"/>
        <item x="669"/>
        <item x="2621"/>
        <item x="1295"/>
        <item x="20"/>
        <item x="1561"/>
        <item x="139"/>
        <item x="1205"/>
        <item x="179"/>
        <item x="1622"/>
        <item x="2308"/>
        <item x="239"/>
        <item x="158"/>
        <item x="1552"/>
        <item x="2033"/>
        <item x="1892"/>
        <item x="126"/>
        <item x="356"/>
        <item x="1678"/>
        <item x="2901"/>
        <item x="406"/>
        <item x="137"/>
        <item x="2042"/>
        <item x="939"/>
        <item x="2911"/>
        <item x="1699"/>
        <item x="1666"/>
        <item x="2261"/>
        <item x="1281"/>
        <item x="1127"/>
        <item x="2459"/>
        <item x="2800"/>
        <item x="171"/>
        <item x="439"/>
        <item x="131"/>
        <item x="1602"/>
        <item x="1548"/>
        <item x="3075"/>
        <item x="845"/>
        <item x="2447"/>
        <item x="3087"/>
        <item x="1647"/>
        <item x="943"/>
        <item x="3039"/>
        <item x="763"/>
        <item x="2622"/>
        <item x="1327"/>
        <item x="436"/>
        <item x="3040"/>
        <item x="1181"/>
        <item x="1498"/>
        <item x="1423"/>
        <item x="2725"/>
        <item x="2402"/>
        <item x="803"/>
        <item x="2428"/>
        <item x="1040"/>
        <item x="2284"/>
        <item x="748"/>
        <item x="2655"/>
        <item x="527"/>
        <item x="378"/>
        <item x="942"/>
        <item x="2984"/>
        <item x="2831"/>
        <item x="2817"/>
        <item x="2721"/>
        <item x="862"/>
        <item x="1698"/>
        <item x="354"/>
        <item x="2410"/>
        <item x="1492"/>
        <item x="2521"/>
        <item x="1046"/>
        <item x="2573"/>
        <item x="2885"/>
        <item x="834"/>
        <item x="801"/>
        <item x="2987"/>
        <item x="1889"/>
        <item x="2795"/>
        <item x="1212"/>
        <item x="2425"/>
        <item x="2156"/>
        <item x="1091"/>
        <item x="2429"/>
        <item x="2849"/>
        <item x="1980"/>
        <item x="3000"/>
        <item x="62"/>
        <item x="920"/>
        <item x="1638"/>
        <item x="2708"/>
        <item x="992"/>
        <item x="2724"/>
        <item x="122"/>
        <item x="426"/>
        <item x="514"/>
        <item x="2224"/>
        <item x="3082"/>
        <item x="1505"/>
        <item x="2682"/>
        <item x="419"/>
        <item x="3038"/>
        <item x="214"/>
        <item x="287"/>
        <item x="1867"/>
        <item x="2870"/>
        <item x="2699"/>
        <item x="31"/>
        <item x="216"/>
        <item x="1090"/>
        <item x="1849"/>
        <item x="69"/>
        <item x="1665"/>
        <item x="203"/>
        <item x="2841"/>
        <item x="2202"/>
        <item x="1012"/>
        <item x="274"/>
        <item x="2766"/>
        <item x="2694"/>
        <item x="1409"/>
        <item x="2309"/>
        <item x="1041"/>
        <item x="1716"/>
        <item x="2731"/>
        <item x="863"/>
        <item x="1870"/>
        <item x="1182"/>
        <item x="2785"/>
        <item x="500"/>
        <item x="39"/>
        <item x="2374"/>
        <item x="1351"/>
        <item x="162"/>
        <item x="2754"/>
        <item x="1634"/>
        <item x="1965"/>
        <item x="2412"/>
        <item x="933"/>
        <item x="1125"/>
        <item x="1324"/>
        <item x="264"/>
        <item x="2209"/>
        <item x="824"/>
        <item x="1785"/>
        <item x="1184"/>
        <item x="243"/>
        <item x="1283"/>
        <item x="2639"/>
        <item x="2075"/>
        <item x="2002"/>
        <item x="854"/>
        <item x="2165"/>
        <item x="3052"/>
        <item x="487"/>
        <item x="90"/>
        <item x="2351"/>
        <item x="2586"/>
        <item x="2676"/>
        <item x="2121"/>
        <item x="1172"/>
        <item x="1726"/>
        <item x="882"/>
        <item x="1342"/>
        <item x="1791"/>
        <item x="2356"/>
        <item x="1903"/>
        <item x="1121"/>
        <item x="2386"/>
        <item x="1556"/>
        <item x="2379"/>
        <item x="1532"/>
        <item x="1400"/>
        <item x="1961"/>
        <item x="1840"/>
        <item x="646"/>
        <item x="1772"/>
        <item x="807"/>
        <item x="252"/>
        <item x="914"/>
        <item x="1147"/>
        <item x="1918"/>
        <item x="1882"/>
        <item x="375"/>
        <item x="2468"/>
        <item x="785"/>
        <item x="2761"/>
        <item x="867"/>
        <item x="761"/>
        <item x="2215"/>
        <item x="1573"/>
        <item x="2537"/>
        <item x="2262"/>
        <item x="2772"/>
        <item x="2763"/>
        <item x="334"/>
        <item x="1942"/>
        <item x="1526"/>
        <item x="1165"/>
        <item x="517"/>
        <item x="778"/>
        <item x="1455"/>
        <item x="265"/>
        <item x="2445"/>
        <item x="2282"/>
        <item x="994"/>
        <item x="2886"/>
        <item x="680"/>
        <item x="1276"/>
        <item x="2246"/>
        <item x="1411"/>
        <item x="1627"/>
        <item x="465"/>
        <item x="1207"/>
        <item x="2579"/>
        <item x="2829"/>
        <item x="743"/>
        <item x="71"/>
        <item x="954"/>
        <item x="262"/>
        <item x="259"/>
        <item x="427"/>
        <item x="764"/>
        <item x="184"/>
        <item x="3077"/>
        <item x="2774"/>
        <item x="880"/>
        <item x="2633"/>
        <item x="277"/>
        <item x="1810"/>
        <item x="159"/>
        <item x="2588"/>
        <item x="2048"/>
        <item x="1336"/>
        <item x="1168"/>
        <item x="2514"/>
        <item x="2564"/>
        <item x="2497"/>
        <item x="1371"/>
        <item x="1005"/>
        <item x="625"/>
        <item x="2893"/>
        <item x="2451"/>
        <item x="153"/>
        <item x="530"/>
        <item x="173"/>
        <item x="2239"/>
        <item x="1991"/>
        <item x="2978"/>
        <item x="1451"/>
        <item x="1348"/>
        <item x="1326"/>
        <item x="1404"/>
        <item x="2652"/>
        <item x="1504"/>
        <item x="18"/>
        <item x="2353"/>
        <item x="550"/>
        <item x="545"/>
        <item x="958"/>
        <item x="2337"/>
        <item x="2705"/>
        <item x="692"/>
        <item x="917"/>
        <item x="2382"/>
        <item x="2166"/>
        <item x="2317"/>
        <item x="321"/>
        <item x="273"/>
        <item x="2864"/>
        <item x="1966"/>
        <item x="1167"/>
        <item x="2549"/>
        <item x="842"/>
        <item x="288"/>
        <item x="185"/>
        <item x="787"/>
        <item x="681"/>
        <item x="232"/>
        <item x="1475"/>
        <item x="2946"/>
        <item x="1474"/>
        <item x="890"/>
        <item x="1712"/>
        <item x="2079"/>
        <item x="207"/>
        <item x="804"/>
        <item x="2231"/>
        <item x="373"/>
        <item x="2908"/>
        <item x="690"/>
        <item x="1937"/>
        <item x="2967"/>
        <item x="907"/>
        <item x="2644"/>
        <item x="1998"/>
        <item x="2089"/>
        <item x="2325"/>
        <item x="3095"/>
        <item x="766"/>
        <item x="1724"/>
        <item x="2950"/>
        <item x="2344"/>
        <item x="1126"/>
        <item x="2422"/>
        <item x="1776"/>
        <item x="1428"/>
        <item x="2767"/>
        <item x="1663"/>
        <item x="1689"/>
        <item x="1224"/>
        <item x="654"/>
        <item x="1866"/>
        <item x="1981"/>
        <item x="2297"/>
        <item x="1941"/>
        <item x="2037"/>
        <item x="3059"/>
        <item x="1703"/>
        <item x="2419"/>
        <item x="993"/>
        <item x="643"/>
        <item x="222"/>
        <item x="1875"/>
        <item x="660"/>
        <item x="899"/>
        <item x="1209"/>
        <item x="2193"/>
        <item x="279"/>
        <item x="2104"/>
        <item x="466"/>
        <item x="322"/>
        <item x="2737"/>
        <item x="76"/>
        <item x="1434"/>
        <item x="598"/>
        <item x="3043"/>
        <item x="885"/>
        <item x="2748"/>
        <item x="2681"/>
        <item x="2771"/>
        <item x="1190"/>
        <item x="2387"/>
        <item x="2091"/>
        <item x="2099"/>
        <item x="2532"/>
        <item x="2139"/>
        <item x="1900"/>
        <item x="130"/>
        <item x="1103"/>
        <item x="974"/>
        <item x="1422"/>
        <item x="2945"/>
        <item x="104"/>
        <item x="1357"/>
        <item x="1278"/>
        <item x="1896"/>
        <item x="1891"/>
        <item x="683"/>
        <item x="1170"/>
        <item x="2753"/>
        <item x="2269"/>
        <item x="865"/>
        <item x="2536"/>
        <item x="1588"/>
        <item x="1293"/>
        <item x="1266"/>
        <item x="93"/>
        <item x="2913"/>
        <item x="976"/>
        <item x="970"/>
        <item x="2993"/>
        <item x="897"/>
        <item x="2324"/>
        <item x="818"/>
        <item x="108"/>
        <item x="2963"/>
        <item x="1253"/>
        <item x="1574"/>
        <item x="1595"/>
        <item x="2040"/>
        <item x="2952"/>
        <item x="1495"/>
        <item x="1140"/>
        <item x="178"/>
        <item x="3057"/>
        <item x="396"/>
        <item x="1130"/>
        <item x="503"/>
        <item x="2141"/>
        <item x="2415"/>
        <item x="2146"/>
        <item x="1315"/>
        <item x="2533"/>
        <item x="2381"/>
        <item x="358"/>
        <item x="331"/>
        <item x="878"/>
        <item x="2329"/>
        <item x="2661"/>
        <item x="508"/>
        <item x="2185"/>
        <item x="2372"/>
        <item x="2596"/>
        <item x="2558"/>
        <item x="2892"/>
        <item x="1715"/>
        <item x="3058"/>
        <item x="2178"/>
        <item x="1618"/>
        <item x="1674"/>
        <item x="1623"/>
        <item x="1109"/>
        <item x="573"/>
        <item x="1263"/>
        <item x="1122"/>
        <item x="1782"/>
        <item x="677"/>
        <item x="189"/>
        <item x="3049"/>
        <item x="860"/>
        <item x="1050"/>
        <item x="3048"/>
        <item x="2995"/>
        <item x="2853"/>
        <item x="1874"/>
        <item x="3047"/>
        <item x="347"/>
        <item x="1328"/>
        <item x="1273"/>
        <item x="659"/>
        <item x="1238"/>
        <item x="1643"/>
        <item x="81"/>
        <item x="1200"/>
        <item x="2947"/>
        <item x="2359"/>
        <item x="1284"/>
        <item x="2336"/>
        <item x="359"/>
        <item x="1275"/>
        <item x="1408"/>
        <item x="2238"/>
        <item x="675"/>
        <item x="1322"/>
        <item x="275"/>
        <item x="3001"/>
        <item x="430"/>
        <item x="1054"/>
        <item x="1559"/>
        <item x="1421"/>
        <item x="1566"/>
        <item x="623"/>
        <item x="2595"/>
        <item x="2629"/>
        <item x="2669"/>
        <item x="2291"/>
        <item x="849"/>
        <item x="1368"/>
        <item x="1630"/>
        <item x="2152"/>
        <item x="2491"/>
        <item x="2567"/>
        <item x="1373"/>
        <item x="2728"/>
        <item x="1507"/>
        <item x="119"/>
        <item x="2120"/>
        <item x="2498"/>
        <item x="2052"/>
        <item x="1118"/>
        <item x="2494"/>
        <item x="10"/>
        <item x="32"/>
        <item x="2158"/>
        <item x="1692"/>
        <item x="2751"/>
        <item x="1838"/>
        <item x="2279"/>
        <item x="1887"/>
        <item x="1320"/>
        <item x="2598"/>
        <item x="1525"/>
        <item x="1493"/>
        <item x="1736"/>
        <item x="1640"/>
        <item x="2860"/>
        <item x="292"/>
        <item x="670"/>
        <item x="2016"/>
        <item x="168"/>
        <item x="1908"/>
        <item x="2188"/>
        <item x="2718"/>
        <item x="2340"/>
        <item x="2320"/>
        <item x="1990"/>
        <item x="1788"/>
        <item x="621"/>
        <item x="2289"/>
        <item x="967"/>
        <item x="1551"/>
        <item x="1676"/>
        <item x="1680"/>
        <item x="2760"/>
        <item x="3045"/>
        <item x="1228"/>
        <item x="3066"/>
        <item x="2472"/>
        <item x="1611"/>
        <item x="1580"/>
        <item x="2999"/>
        <item x="1257"/>
        <item x="236"/>
        <item x="868"/>
        <item x="996"/>
        <item x="1297"/>
        <item x="2637"/>
        <item x="975"/>
        <item x="1247"/>
        <item x="2569"/>
        <item x="3026"/>
        <item x="1999"/>
        <item x="458"/>
        <item x="2716"/>
        <item x="1479"/>
        <item x="3093"/>
        <item x="418"/>
        <item x="476"/>
        <item x="2542"/>
        <item x="3055"/>
        <item x="584"/>
        <item x="2582"/>
        <item x="2362"/>
        <item x="142"/>
        <item x="2805"/>
        <item x="1701"/>
        <item x="542"/>
        <item x="2576"/>
        <item x="2932"/>
        <item x="1192"/>
        <item x="3"/>
        <item x="413"/>
        <item x="1939"/>
        <item x="1310"/>
        <item x="532"/>
        <item x="2473"/>
        <item x="858"/>
        <item x="1669"/>
        <item x="2449"/>
        <item x="810"/>
        <item x="2493"/>
        <item x="182"/>
        <item x="1620"/>
        <item x="1453"/>
        <item x="1511"/>
        <item x="1947"/>
        <item x="1123"/>
        <item x="3105"/>
        <item x="148"/>
        <item x="609"/>
        <item x="2916"/>
        <item x="913"/>
        <item x="2431"/>
        <item x="960"/>
        <item x="1353"/>
        <item x="1902"/>
        <item x="2371"/>
        <item x="1261"/>
        <item x="708"/>
        <item x="2501"/>
        <item x="562"/>
        <item x="3016"/>
        <item x="401"/>
        <item x="2067"/>
        <item x="2458"/>
        <item x="483"/>
        <item x="2871"/>
        <item x="2015"/>
        <item x="796"/>
        <item x="1116"/>
        <item x="1779"/>
        <item x="3099"/>
        <item x="3097"/>
        <item x="1352"/>
        <item x="2457"/>
        <item x="1873"/>
        <item x="997"/>
        <item x="1152"/>
        <item x="512"/>
        <item x="2975"/>
        <item x="101"/>
        <item x="1063"/>
        <item x="2651"/>
        <item x="2646"/>
        <item x="1006"/>
        <item x="2863"/>
        <item x="493"/>
        <item x="474"/>
        <item x="1750"/>
        <item x="1860"/>
        <item x="811"/>
        <item x="1888"/>
        <item x="724"/>
        <item x="2794"/>
        <item x="1067"/>
        <item x="1280"/>
        <item x="295"/>
        <item x="2674"/>
        <item x="2377"/>
        <item x="1082"/>
        <item x="2301"/>
        <item x="752"/>
        <item x="590"/>
        <item x="2509"/>
        <item x="624"/>
        <item x="1786"/>
        <item x="1997"/>
        <item x="11"/>
        <item x="1287"/>
        <item x="1740"/>
        <item x="697"/>
        <item x="661"/>
        <item x="400"/>
        <item x="1425"/>
        <item x="1592"/>
        <item x="1035"/>
        <item x="2789"/>
        <item x="2254"/>
        <item x="2769"/>
        <item x="738"/>
        <item x="2448"/>
        <item x="3071"/>
        <item x="1613"/>
        <item x="728"/>
        <item x="1976"/>
        <item x="125"/>
        <item x="2548"/>
        <item x="1467"/>
        <item x="2102"/>
        <item x="2960"/>
        <item x="531"/>
        <item x="2502"/>
        <item x="2768"/>
        <item x="1449"/>
        <item x="1382"/>
        <item x="1436"/>
        <item x="1072"/>
        <item x="2242"/>
        <item x="2195"/>
        <item x="1718"/>
        <item x="1391"/>
        <item x="107"/>
        <item x="2818"/>
        <item x="667"/>
        <item x="2524"/>
        <item x="2264"/>
        <item x="961"/>
        <item x="2205"/>
        <item x="448"/>
        <item x="2073"/>
        <item x="2038"/>
        <item x="1397"/>
        <item x="160"/>
        <item x="1484"/>
        <item x="2170"/>
        <item x="1210"/>
        <item x="2319"/>
        <item x="831"/>
        <item x="1377"/>
        <item x="1164"/>
        <item x="2101"/>
        <item x="1955"/>
        <item x="555"/>
        <item x="1757"/>
        <item x="411"/>
        <item x="1176"/>
        <item x="1461"/>
        <item x="2591"/>
        <item x="1835"/>
        <item x="1000"/>
        <item x="2417"/>
        <item x="1415"/>
        <item x="1241"/>
        <item x="2212"/>
        <item x="2147"/>
        <item x="2157"/>
        <item x="1465"/>
        <item x="1617"/>
        <item x="372"/>
        <item x="1577"/>
        <item x="553"/>
        <item x="2512"/>
        <item x="826"/>
        <item x="1338"/>
        <item x="1136"/>
        <item x="1649"/>
        <item x="84"/>
        <item x="1664"/>
        <item x="1960"/>
        <item x="2802"/>
        <item x="348"/>
        <item x="1227"/>
        <item x="823"/>
        <item x="1825"/>
        <item x="2383"/>
        <item x="1339"/>
        <item x="2136"/>
        <item x="2173"/>
        <item x="1641"/>
        <item x="1989"/>
        <item x="1387"/>
        <item x="257"/>
        <item x="1806"/>
        <item x="146"/>
        <item x="1441"/>
        <item x="2539"/>
        <item x="1987"/>
        <item x="2717"/>
        <item x="795"/>
        <item x="2776"/>
        <item x="2388"/>
        <item x="49"/>
        <item x="2634"/>
        <item x="1458"/>
        <item x="1318"/>
        <item x="2671"/>
        <item x="1660"/>
        <item x="2056"/>
        <item x="116"/>
        <item x="2427"/>
        <item x="115"/>
        <item x="1661"/>
        <item x="2400"/>
        <item x="2444"/>
        <item x="734"/>
        <item x="1249"/>
        <item x="278"/>
        <item x="536"/>
        <item x="1146"/>
        <item x="2559"/>
        <item x="2071"/>
        <item x="444"/>
        <item x="46"/>
        <item x="245"/>
        <item x="443"/>
        <item x="2299"/>
        <item x="971"/>
        <item x="2877"/>
        <item x="1844"/>
        <item x="501"/>
        <item x="2233"/>
        <item x="417"/>
        <item x="2025"/>
        <item x="1702"/>
        <item x="1317"/>
        <item x="2446"/>
        <item x="261"/>
        <item x="504"/>
        <item x="2936"/>
        <item x="2367"/>
        <item x="2049"/>
        <item x="2738"/>
        <item x="1639"/>
        <item x="2024"/>
        <item x="2191"/>
        <item x="149"/>
        <item x="1153"/>
        <item x="2653"/>
        <item x="1151"/>
        <item x="658"/>
        <item x="506"/>
        <item x="679"/>
        <item x="2788"/>
        <item x="1766"/>
        <item x="1052"/>
        <item x="210"/>
        <item x="817"/>
        <item x="2610"/>
        <item x="2529"/>
        <item x="2516"/>
        <item x="1614"/>
        <item x="534"/>
        <item x="1936"/>
        <item x="1811"/>
        <item x="1656"/>
        <item x="8"/>
        <item x="1084"/>
        <item x="2208"/>
        <item x="2214"/>
        <item x="2031"/>
        <item x="1325"/>
        <item x="851"/>
        <item x="820"/>
        <item x="2064"/>
        <item x="394"/>
        <item x="1044"/>
        <item x="1246"/>
        <item x="2627"/>
        <item x="2733"/>
        <item x="2884"/>
        <item x="2964"/>
        <item x="1099"/>
        <item x="775"/>
        <item x="2235"/>
        <item x="2484"/>
        <item x="1653"/>
        <item x="619"/>
        <item x="1480"/>
        <item x="1817"/>
        <item x="2092"/>
        <item x="2803"/>
        <item x="1514"/>
        <item x="291"/>
        <item x="1432"/>
        <item x="489"/>
        <item x="2424"/>
        <item x="3111"/>
        <item x="2258"/>
        <item x="577"/>
        <item x="1267"/>
        <item x="1763"/>
        <item x="1300"/>
        <item x="2117"/>
        <item x="1807"/>
        <item x="2032"/>
        <item x="2093"/>
        <item x="1823"/>
        <item x="1032"/>
        <item x="671"/>
        <item x="618"/>
        <item x="3020"/>
        <item x="317"/>
        <item x="2507"/>
        <item x="565"/>
        <item x="843"/>
        <item x="2278"/>
        <item x="1144"/>
        <item x="630"/>
        <item x="467"/>
        <item x="1612"/>
        <item x="698"/>
        <item x="2322"/>
        <item x="1843"/>
        <item x="1254"/>
        <item x="1383"/>
        <item x="829"/>
        <item x="1195"/>
        <item x="1711"/>
        <item x="3074"/>
        <item x="2812"/>
        <item x="2527"/>
        <item x="2917"/>
        <item x="1258"/>
        <item x="1395"/>
        <item x="1625"/>
        <item x="1554"/>
        <item x="888"/>
        <item x="1540"/>
        <item x="2154"/>
        <item x="2713"/>
        <item x="511"/>
        <item x="2638"/>
        <item x="906"/>
        <item x="1790"/>
        <item x="2078"/>
        <item x="1417"/>
        <item x="2762"/>
        <item x="2348"/>
        <item x="2466"/>
        <item x="916"/>
        <item x="1830"/>
        <item x="606"/>
        <item x="1572"/>
        <item x="966"/>
        <item x="2659"/>
        <item x="78"/>
        <item x="398"/>
        <item x="1567"/>
        <item x="1569"/>
        <item x="1232"/>
        <item x="343"/>
        <item x="3064"/>
        <item x="2973"/>
        <item x="825"/>
        <item x="978"/>
        <item x="319"/>
        <item x="2544"/>
        <item x="209"/>
        <item x="2408"/>
        <item x="2712"/>
        <item x="2039"/>
        <item x="268"/>
        <item x="1481"/>
        <item x="856"/>
        <item x="1043"/>
        <item x="2693"/>
        <item x="663"/>
        <item x="977"/>
        <item x="2347"/>
        <item x="2648"/>
        <item x="70"/>
        <item x="2543"/>
        <item x="1471"/>
        <item x="1223"/>
        <item x="1020"/>
        <item x="1964"/>
        <item x="3015"/>
        <item x="3053"/>
        <item x="2398"/>
        <item x="227"/>
        <item x="988"/>
        <item x="2954"/>
        <item x="903"/>
        <item x="712"/>
        <item x="117"/>
        <item x="1517"/>
        <item x="2989"/>
        <item x="548"/>
        <item x="486"/>
        <item x="2503"/>
        <item x="3024"/>
        <item x="422"/>
        <item x="371"/>
        <item x="1412"/>
        <item x="1905"/>
        <item x="377"/>
        <item x="304"/>
        <item x="2010"/>
        <item x="758"/>
        <item x="2375"/>
        <item x="1983"/>
        <item x="495"/>
        <item x="92"/>
        <item x="48"/>
        <item x="1033"/>
        <item x="953"/>
        <item x="29"/>
        <item x="290"/>
        <item x="120"/>
        <item x="2323"/>
        <item x="150"/>
        <item x="2255"/>
        <item x="2555"/>
        <item x="2991"/>
        <item x="995"/>
        <item x="1292"/>
        <item x="113"/>
        <item x="3060"/>
        <item x="1026"/>
        <item x="177"/>
        <item x="2971"/>
        <item x="181"/>
        <item x="877"/>
        <item x="1349"/>
        <item x="1761"/>
        <item x="1586"/>
        <item x="2461"/>
        <item x="2123"/>
        <item x="140"/>
        <item x="873"/>
        <item x="1815"/>
        <item x="2485"/>
        <item x="1644"/>
        <item x="2835"/>
        <item x="1601"/>
        <item x="2286"/>
        <item x="2560"/>
        <item x="1344"/>
        <item x="710"/>
        <item x="312"/>
        <item x="2953"/>
        <item x="3041"/>
        <item x="2265"/>
        <item x="1651"/>
        <item x="2959"/>
        <item x="337"/>
        <item x="2047"/>
        <item x="280"/>
        <item x="2432"/>
        <item x="2830"/>
        <item x="1876"/>
        <item x="1865"/>
        <item x="1833"/>
        <item x="1911"/>
        <item x="2851"/>
        <item x="432"/>
        <item x="14"/>
        <item x="1774"/>
        <item x="1335"/>
        <item x="1149"/>
        <item x="2476"/>
        <item x="325"/>
        <item x="664"/>
        <item x="1852"/>
        <item x="211"/>
        <item x="336"/>
        <item x="1216"/>
        <item x="2151"/>
        <item x="641"/>
        <item x="1065"/>
        <item x="926"/>
        <item x="699"/>
        <item x="1558"/>
        <item x="1148"/>
        <item x="1406"/>
        <item x="627"/>
        <item x="1398"/>
        <item x="2376"/>
        <item x="1358"/>
        <item x="1038"/>
        <item x="1079"/>
        <item x="309"/>
        <item x="499"/>
        <item x="636"/>
        <item x="2113"/>
        <item x="759"/>
        <item x="2614"/>
        <item x="859"/>
        <item x="2688"/>
        <item x="2125"/>
        <item x="306"/>
        <item x="2534"/>
        <item x="24"/>
        <item x="1826"/>
        <item x="1074"/>
        <item x="2112"/>
        <item x="1729"/>
        <item x="840"/>
        <item x="2013"/>
        <item x="2129"/>
        <item x="2059"/>
        <item x="193"/>
        <item x="86"/>
        <item x="2799"/>
        <item x="1314"/>
        <item x="1330"/>
        <item x="950"/>
        <item x="781"/>
        <item x="1609"/>
        <item x="3011"/>
        <item x="2783"/>
        <item x="67"/>
        <item x="2455"/>
        <item x="2411"/>
        <item x="2332"/>
        <item x="1841"/>
        <item x="201"/>
        <item x="2172"/>
        <item x="2935"/>
        <item x="155"/>
        <item x="1194"/>
        <item x="780"/>
        <item x="1827"/>
        <item x="1062"/>
        <item x="2392"/>
        <item x="57"/>
        <item x="491"/>
        <item x="841"/>
        <item x="3109"/>
        <item x="3092"/>
        <item x="144"/>
        <item x="946"/>
        <item x="2511"/>
        <item x="2792"/>
        <item x="50"/>
        <item x="1599"/>
        <item x="15"/>
        <item x="198"/>
        <item x="1598"/>
        <item x="253"/>
        <item x="152"/>
        <item x="1749"/>
        <item x="879"/>
        <item x="1070"/>
        <item x="1670"/>
        <item x="2887"/>
        <item x="1576"/>
        <item x="1329"/>
        <item x="1135"/>
        <item x="2876"/>
        <item x="909"/>
        <item x="674"/>
        <item x="2641"/>
        <item x="1476"/>
        <item x="3044"/>
        <item x="1794"/>
        <item x="2780"/>
        <item x="717"/>
        <item x="1756"/>
        <item x="1754"/>
        <item x="520"/>
        <item x="1974"/>
        <item x="1596"/>
        <item x="2675"/>
        <item x="2380"/>
        <item x="980"/>
        <item x="2012"/>
        <item x="2575"/>
        <item x="2918"/>
        <item x="109"/>
        <item x="1957"/>
        <item x="1677"/>
        <item x="1847"/>
        <item x="2727"/>
        <item x="199"/>
        <item x="1846"/>
        <item x="233"/>
        <item x="1296"/>
        <item x="1539"/>
        <item x="1102"/>
        <item x="271"/>
        <item x="3003"/>
        <item x="1509"/>
        <item x="2889"/>
        <item x="282"/>
        <item x="3054"/>
        <item x="812"/>
        <item x="727"/>
        <item x="2924"/>
        <item x="2310"/>
        <item x="112"/>
        <item x="1355"/>
        <item x="1089"/>
        <item x="560"/>
        <item x="1215"/>
        <item x="2088"/>
        <item x="1024"/>
        <item x="64"/>
        <item x="2273"/>
        <item x="1797"/>
        <item x="2124"/>
        <item x="99"/>
        <item x="2816"/>
        <item x="3065"/>
        <item x="1110"/>
        <item x="2951"/>
        <item x="1730"/>
        <item x="1544"/>
        <item x="715"/>
        <item x="632"/>
        <item x="1520"/>
        <item x="2686"/>
        <item x="2584"/>
        <item x="1155"/>
        <item x="2844"/>
        <item x="1635"/>
        <item x="1950"/>
        <item x="832"/>
        <item x="1488"/>
        <item x="2145"/>
        <item x="176"/>
        <item x="2007"/>
        <item x="438"/>
        <item x="1973"/>
        <item x="1175"/>
        <item x="2342"/>
        <item x="934"/>
        <item x="2520"/>
        <item x="1405"/>
        <item x="2414"/>
        <item x="22"/>
        <item x="2528"/>
        <item x="944"/>
        <item x="566"/>
        <item x="1101"/>
        <item x="1845"/>
        <item x="2492"/>
        <item x="197"/>
        <item x="2333"/>
        <item x="186"/>
        <item x="1307"/>
        <item x="2832"/>
        <item x="403"/>
        <item x="2469"/>
        <item x="2197"/>
        <item x="616"/>
        <item x="2465"/>
        <item x="682"/>
        <item x="2665"/>
        <item x="1087"/>
        <item x="367"/>
        <item x="686"/>
        <item x="2467"/>
        <item x="2577"/>
        <item x="872"/>
        <item x="730"/>
        <item x="215"/>
        <item x="1477"/>
        <item x="1994"/>
        <item x="272"/>
        <item x="2755"/>
        <item x="73"/>
        <item x="2076"/>
        <item x="316"/>
        <item x="2861"/>
        <item x="2103"/>
        <item x="9"/>
        <item x="3070"/>
        <item x="1337"/>
        <item x="2030"/>
        <item x="2338"/>
        <item x="2723"/>
        <item x="1274"/>
        <item x="2260"/>
        <item x="1695"/>
        <item x="3101"/>
        <item x="1129"/>
        <item x="2711"/>
        <item x="1672"/>
        <item x="360"/>
        <item x="1225"/>
        <item x="1694"/>
        <item x="132"/>
        <item x="1316"/>
        <item x="1214"/>
        <item x="1579"/>
        <item x="2441"/>
        <item x="1379"/>
        <item x="767"/>
        <item x="2057"/>
        <item x="605"/>
        <item x="2043"/>
        <item x="875"/>
        <item x="507"/>
        <item x="124"/>
        <item x="588"/>
        <item x="1366"/>
        <item x="731"/>
        <item x="2187"/>
        <item x="1557"/>
        <item x="2878"/>
        <item x="2240"/>
        <item x="2784"/>
        <item x="844"/>
        <item x="581"/>
        <item x="2140"/>
        <item x="2505"/>
        <item x="2159"/>
        <item x="47"/>
        <item x="3009"/>
        <item x="1631"/>
        <item x="1988"/>
        <item x="733"/>
        <item x="451"/>
        <item x="2454"/>
        <item x="2395"/>
        <item x="3023"/>
        <item x="2630"/>
        <item x="402"/>
        <item x="2759"/>
        <item x="1744"/>
        <item x="744"/>
        <item x="1535"/>
        <item x="1132"/>
        <item x="1014"/>
        <item x="2014"/>
        <item x="574"/>
        <item x="709"/>
        <item x="932"/>
        <item x="1413"/>
        <item x="2752"/>
        <item x="2882"/>
        <item x="707"/>
        <item x="2736"/>
        <item x="2068"/>
        <item x="2426"/>
        <item x="1464"/>
        <item x="2933"/>
        <item x="1096"/>
        <item x="1139"/>
        <item x="423"/>
        <item x="1582"/>
        <item x="2589"/>
        <item x="2149"/>
        <item x="2869"/>
        <item x="2094"/>
        <item x="1673"/>
        <item x="1912"/>
        <item x="3080"/>
        <item x="267"/>
        <item x="1836"/>
        <item x="2880"/>
        <item x="2116"/>
        <item x="1872"/>
        <item x="1560"/>
        <item x="2739"/>
        <item x="40"/>
        <item x="788"/>
        <item x="1113"/>
        <item x="575"/>
        <item x="2981"/>
        <item x="2363"/>
        <item x="2499"/>
        <item x="1564"/>
        <item x="941"/>
        <item x="2927"/>
        <item x="1299"/>
        <item x="2508"/>
        <item x="2390"/>
        <item x="2169"/>
        <item x="1255"/>
        <item x="1131"/>
        <item x="2777"/>
        <item x="366"/>
        <item x="2707"/>
        <item x="310"/>
        <item x="362"/>
        <item x="1439"/>
        <item x="1303"/>
        <item x="1081"/>
        <item x="620"/>
        <item x="526"/>
        <item x="1751"/>
        <item x="68"/>
        <item x="938"/>
        <item x="1895"/>
        <item x="2036"/>
        <item x="635"/>
        <item x="2706"/>
        <item x="925"/>
        <item x="1538"/>
        <item x="1206"/>
        <item x="2695"/>
        <item x="2988"/>
        <item x="1025"/>
        <item x="2603"/>
        <item x="2328"/>
        <item x="742"/>
        <item x="2858"/>
        <item x="835"/>
        <item x="1401"/>
        <item x="1550"/>
        <item x="1885"/>
        <item x="192"/>
        <item x="1683"/>
        <item x="1294"/>
        <item x="986"/>
        <item x="2735"/>
        <item x="1003"/>
        <item x="2843"/>
        <item x="2206"/>
        <item x="2685"/>
        <item x="524"/>
        <item x="180"/>
        <item x="554"/>
        <item x="1880"/>
        <item x="1002"/>
        <item x="1979"/>
        <item x="2823"/>
        <item x="1803"/>
        <item x="1399"/>
        <item x="2868"/>
        <item x="1655"/>
        <item x="208"/>
        <item x="410"/>
        <item x="1549"/>
        <item x="3100"/>
        <item x="1907"/>
        <item x="928"/>
        <item x="1160"/>
        <item x="2477"/>
        <item x="1584"/>
        <item x="98"/>
        <item x="1959"/>
        <item x="2403"/>
        <item x="329"/>
        <item x="1909"/>
        <item x="2313"/>
        <item x="2895"/>
        <item x="2243"/>
        <item x="175"/>
        <item x="2635"/>
        <item x="425"/>
        <item x="431"/>
        <item x="1365"/>
        <item x="2184"/>
        <item x="2288"/>
        <item x="1028"/>
        <item x="965"/>
        <item x="1416"/>
        <item x="783"/>
        <item x="702"/>
        <item x="2811"/>
        <item x="1141"/>
        <item x="196"/>
        <item x="2000"/>
        <item x="382"/>
        <item x="1177"/>
        <item x="2204"/>
        <item x="7"/>
        <item x="1717"/>
        <item x="220"/>
        <item x="2249"/>
        <item x="1460"/>
        <item x="2199"/>
        <item x="1145"/>
        <item x="2838"/>
        <item x="2642"/>
        <item x="2565"/>
        <item x="2292"/>
        <item x="392"/>
        <item x="2463"/>
        <item x="1073"/>
        <item x="2028"/>
        <item x="614"/>
        <item x="2618"/>
        <item x="3088"/>
        <item x="866"/>
        <item x="2137"/>
        <item x="2029"/>
        <item x="1071"/>
        <item x="587"/>
        <item x="351"/>
        <item x="684"/>
        <item x="1162"/>
        <item x="2399"/>
        <item x="528"/>
        <item x="1243"/>
        <item x="602"/>
        <item x="1023"/>
        <item x="2517"/>
        <item x="1226"/>
        <item x="1157"/>
        <item x="2111"/>
        <item x="523"/>
        <item x="2797"/>
        <item x="2875"/>
        <item x="1633"/>
        <item x="603"/>
        <item x="1362"/>
        <item x="1967"/>
        <item x="19"/>
        <item x="453"/>
        <item x="2138"/>
        <item x="77"/>
        <item x="768"/>
        <item x="784"/>
        <item x="346"/>
        <item x="339"/>
        <item x="36"/>
        <item x="1783"/>
        <item x="755"/>
        <item x="1832"/>
        <item x="2698"/>
        <item x="2434"/>
        <item x="1768"/>
        <item x="648"/>
        <item x="2786"/>
        <item x="3034"/>
        <item x="1778"/>
        <item x="2368"/>
        <item x="3086"/>
        <item x="303"/>
        <item x="1809"/>
        <item x="318"/>
        <item x="1093"/>
        <item x="2839"/>
        <item x="922"/>
        <item x="2070"/>
        <item x="1022"/>
        <item x="919"/>
        <item x="1048"/>
        <item x="1805"/>
        <item x="1906"/>
        <item x="2134"/>
        <item x="1893"/>
        <item x="2219"/>
        <item x="2972"/>
        <item x="1971"/>
        <item x="2203"/>
        <item x="428"/>
        <item x="1537"/>
        <item x="2983"/>
        <item x="3067"/>
        <item x="735"/>
        <item x="2290"/>
        <item x="1928"/>
        <item x="21"/>
        <item x="765"/>
        <item x="957"/>
        <item x="2920"/>
        <item x="202"/>
        <item x="1831"/>
        <item x="2930"/>
        <item x="1056"/>
        <item x="2845"/>
        <item x="1522"/>
        <item x="2834"/>
        <item x="2825"/>
        <item x="1462"/>
        <item x="56"/>
        <item x="2561"/>
        <item x="2714"/>
        <item x="2824"/>
        <item x="172"/>
        <item x="1568"/>
        <item x="1039"/>
        <item x="1163"/>
        <item x="2535"/>
        <item x="1652"/>
        <item x="34"/>
        <item x="1913"/>
        <item x="2006"/>
        <item x="2904"/>
        <item x="911"/>
        <item x="218"/>
        <item x="38"/>
        <item x="100"/>
        <item x="592"/>
        <item x="1049"/>
        <item x="1515"/>
        <item x="561"/>
        <item x="3089"/>
        <item x="956"/>
        <item x="1850"/>
        <item x="1419"/>
        <item x="1166"/>
        <item x="63"/>
        <item x="1562"/>
        <item x="1992"/>
        <item x="852"/>
        <item x="1657"/>
        <item x="1187"/>
        <item x="2968"/>
        <item x="1019"/>
        <item x="1531"/>
        <item x="2051"/>
        <item x="747"/>
        <item x="2268"/>
        <item x="213"/>
        <item x="2821"/>
        <item x="285"/>
        <item x="1610"/>
        <item x="2378"/>
        <item x="2654"/>
        <item x="861"/>
        <item x="472"/>
        <item x="2115"/>
        <item x="1837"/>
        <item x="2439"/>
        <item x="3102"/>
        <item x="1291"/>
        <item x="2515"/>
        <item x="1796"/>
        <item x="2153"/>
        <item x="2747"/>
        <item x="1068"/>
        <item x="1369"/>
        <item x="437"/>
        <item x="447"/>
        <item x="2266"/>
        <item x="2045"/>
        <item x="2341"/>
        <item x="480"/>
        <item x="353"/>
        <item x="1021"/>
        <item x="828"/>
        <item x="1915"/>
        <item x="2285"/>
        <item x="2192"/>
        <item x="1211"/>
        <item x="1629"/>
        <item x="1159"/>
        <item x="522"/>
        <item x="3076"/>
        <item x="2955"/>
        <item x="3014"/>
        <item x="2684"/>
        <item x="341"/>
        <item x="1812"/>
        <item x="2130"/>
        <item x="2307"/>
        <item x="1930"/>
        <item x="297"/>
        <item x="1446"/>
        <item x="2241"/>
        <item x="3056"/>
        <item x="2421"/>
        <item x="2133"/>
        <item x="2174"/>
        <item x="2778"/>
        <item x="762"/>
        <item x="773"/>
        <item x="66"/>
        <item x="2486"/>
        <item x="2327"/>
        <item x="905"/>
        <item x="1319"/>
        <item x="797"/>
        <item x="2994"/>
        <item x="1534"/>
        <item x="984"/>
        <item x="28"/>
        <item x="0"/>
        <item x="404"/>
        <item x="945"/>
        <item x="2220"/>
        <item x="1733"/>
        <item x="1392"/>
        <item x="1890"/>
        <item x="2131"/>
        <item x="1444"/>
        <item x="1628"/>
        <item x="1593"/>
        <item x="633"/>
        <item x="1198"/>
        <item x="1671"/>
        <item x="2628"/>
        <item x="1816"/>
        <item x="387"/>
        <item x="1158"/>
        <item x="141"/>
        <item x="790"/>
        <item x="2819"/>
        <item x="1739"/>
        <item x="258"/>
        <item x="968"/>
        <item x="1055"/>
        <item x="591"/>
        <item x="1029"/>
        <item x="2495"/>
        <item x="103"/>
        <item x="1196"/>
        <item x="637"/>
        <item x="1305"/>
        <item x="2011"/>
        <item x="2074"/>
        <item x="570"/>
        <item x="2081"/>
        <item x="138"/>
        <item x="2504"/>
        <item x="904"/>
        <item x="2097"/>
        <item x="2181"/>
        <item x="678"/>
        <item x="1924"/>
        <item x="1681"/>
        <item x="1581"/>
        <item x="1060"/>
        <item x="1454"/>
        <item x="2200"/>
        <item x="457"/>
        <item x="2228"/>
        <item x="492"/>
        <item x="1800"/>
        <item x="2683"/>
        <item x="494"/>
        <item x="1112"/>
        <item x="2992"/>
        <item x="1031"/>
        <item x="497"/>
        <item x="1984"/>
        <item x="597"/>
        <item x="1854"/>
        <item x="3046"/>
        <item x="1340"/>
        <item x="3051"/>
        <item x="2082"/>
        <item x="1234"/>
        <item x="2907"/>
        <item x="369"/>
        <item x="2217"/>
        <item x="2701"/>
        <item x="696"/>
        <item x="1443"/>
        <item x="1429"/>
        <item x="2625"/>
        <item x="1510"/>
        <item x="1748"/>
        <item x="51"/>
        <item x="128"/>
        <item x="204"/>
        <item x="2617"/>
        <item x="1926"/>
        <item x="289"/>
        <item x="1186"/>
        <item x="1884"/>
        <item x="281"/>
        <item x="521"/>
        <item x="645"/>
        <item x="363"/>
        <item x="473"/>
        <item x="5"/>
        <item x="1659"/>
        <item x="756"/>
        <item x="368"/>
        <item x="1485"/>
        <item x="2791"/>
        <item x="2939"/>
        <item x="1364"/>
        <item x="2609"/>
        <item x="952"/>
        <item x="1932"/>
        <item x="2550"/>
        <item x="543"/>
        <item x="723"/>
        <item x="2822"/>
        <item x="540"/>
        <item x="2677"/>
        <item x="2545"/>
        <item x="1106"/>
        <item x="1394"/>
        <item x="802"/>
        <item x="2391"/>
        <item x="2888"/>
        <item x="2547"/>
        <item x="1808"/>
        <item x="2275"/>
        <item x="2847"/>
        <item x="1244"/>
        <item x="1309"/>
        <item x="666"/>
        <item x="2742"/>
        <item x="3033"/>
        <item x="1301"/>
        <item x="1188"/>
        <item x="2438"/>
        <item x="223"/>
        <item x="1009"/>
        <item x="228"/>
        <item x="2833"/>
        <item x="2942"/>
        <item x="1970"/>
        <item x="2303"/>
        <item x="97"/>
        <item x="1684"/>
        <item x="183"/>
        <item x="3005"/>
        <item x="2350"/>
        <item x="2526"/>
        <item x="1802"/>
        <item x="1199"/>
        <item x="2943"/>
        <item x="1285"/>
        <item x="53"/>
        <item x="328"/>
        <item x="1921"/>
        <item x="151"/>
        <item x="266"/>
        <item x="1437"/>
        <item x="672"/>
        <item x="23"/>
        <item x="703"/>
        <item x="3050"/>
        <item x="1518"/>
        <item x="2150"/>
        <item x="948"/>
        <item x="2583"/>
        <item x="736"/>
        <item x="2464"/>
        <item x="1995"/>
        <item x="1220"/>
        <item x="3107"/>
        <item x="488"/>
        <item x="1204"/>
        <item x="1819"/>
        <item x="673"/>
        <item x="1897"/>
        <item x="668"/>
        <item x="2126"/>
        <item x="1359"/>
        <item x="579"/>
        <item x="105"/>
        <item x="2098"/>
        <item x="691"/>
        <item x="1722"/>
        <item x="1468"/>
        <item x="1813"/>
        <item x="2298"/>
        <item x="1239"/>
        <item x="1171"/>
        <item x="2119"/>
        <item x="251"/>
        <item x="3098"/>
        <item x="1104"/>
        <item x="2058"/>
        <item x="26"/>
        <item x="2522"/>
        <item x="770"/>
        <item x="541"/>
        <item x="2083"/>
        <item x="2604"/>
        <item x="704"/>
        <item x="1708"/>
        <item x="2479"/>
        <item x="2409"/>
        <item x="657"/>
        <item x="924"/>
        <item x="1732"/>
        <item x="2106"/>
        <item x="612"/>
        <item x="3104"/>
        <item x="1363"/>
        <item x="665"/>
        <item x="2572"/>
        <item x="2405"/>
        <item x="931"/>
        <item x="745"/>
        <item x="2100"/>
        <item x="393"/>
        <item x="1855"/>
        <item x="1931"/>
        <item x="757"/>
        <item x="2970"/>
        <item x="1117"/>
        <item x="114"/>
        <item x="1203"/>
        <item x="1962"/>
        <item x="900"/>
        <item x="2929"/>
        <item x="2969"/>
        <item x="496"/>
        <item x="2680"/>
        <item x="1828"/>
        <item x="2404"/>
        <item x="2710"/>
        <item x="1013"/>
        <item x="1229"/>
        <item x="729"/>
        <item x="1370"/>
        <item x="2556"/>
        <item x="1427"/>
        <item x="949"/>
        <item x="1914"/>
        <item x="1290"/>
        <item x="170"/>
        <item x="662"/>
        <item x="652"/>
        <item x="3002"/>
        <item x="546"/>
        <item x="2005"/>
        <item x="145"/>
        <item x="1927"/>
        <item x="2198"/>
        <item x="539"/>
        <item x="2643"/>
        <item x="2702"/>
        <item x="3081"/>
        <item x="174"/>
        <item x="1501"/>
        <item x="2365"/>
        <item x="855"/>
        <item x="2593"/>
        <item x="1420"/>
        <item x="1410"/>
        <item x="2872"/>
        <item x="753"/>
        <item x="794"/>
        <item x="2253"/>
        <item x="694"/>
        <item x="1208"/>
        <item x="1546"/>
        <item x="725"/>
        <item x="381"/>
        <item x="1863"/>
        <item x="1120"/>
        <item x="2295"/>
        <item x="883"/>
        <item x="414"/>
        <item x="2921"/>
        <item x="1968"/>
        <item x="786"/>
        <item x="2801"/>
        <item x="2277"/>
        <item x="529"/>
        <item x="2384"/>
        <item x="3110"/>
        <item x="1456"/>
        <item x="255"/>
        <item x="1061"/>
        <item x="1516"/>
        <item x="2248"/>
        <item x="1312"/>
        <item x="921"/>
        <item x="1080"/>
        <item x="2474"/>
        <item x="1105"/>
        <item x="2757"/>
        <item x="1497"/>
        <item x="311"/>
        <item x="2222"/>
        <item x="1787"/>
        <item x="1775"/>
        <item x="1719"/>
        <item x="2180"/>
        <item x="2692"/>
        <item x="2938"/>
        <item x="649"/>
        <item x="2732"/>
        <item x="479"/>
        <item x="379"/>
        <item x="3028"/>
        <item x="1075"/>
        <item x="1142"/>
        <item x="3013"/>
        <item x="4"/>
        <item x="1407"/>
        <item x="1547"/>
        <item x="2436"/>
        <item x="721"/>
        <item x="224"/>
        <item x="1685"/>
        <item x="260"/>
        <item x="167"/>
        <item x="2726"/>
        <item x="296"/>
        <item x="276"/>
        <item x="687"/>
        <item x="1861"/>
        <item x="1583"/>
        <item x="910"/>
        <item x="2162"/>
        <item x="651"/>
        <item x="2553"/>
        <item x="1752"/>
        <item x="2587"/>
        <item x="713"/>
        <item x="2352"/>
        <item x="1133"/>
        <item x="1923"/>
        <item x="2155"/>
        <item x="110"/>
        <item x="2318"/>
        <item x="1996"/>
        <item x="2060"/>
        <item x="2744"/>
        <item x="91"/>
        <item x="2745"/>
        <item x="3017"/>
        <item x="1899"/>
        <item x="1868"/>
        <item x="1956"/>
        <item x="1700"/>
        <item x="1173"/>
        <item x="462"/>
        <item x="515"/>
        <item x="3025"/>
        <item x="628"/>
        <item x="1308"/>
        <item x="2225"/>
        <item x="2906"/>
        <item x="1632"/>
        <item x="2397"/>
        <item x="963"/>
        <item x="1975"/>
        <item x="2856"/>
        <item x="234"/>
        <item x="485"/>
        <item x="3007"/>
        <item x="2475"/>
        <item x="1721"/>
        <item x="750"/>
        <item x="836"/>
        <item x="1372"/>
        <item x="2810"/>
        <item x="2407"/>
        <item x="445"/>
        <item x="2804"/>
        <item x="1448"/>
        <item x="1218"/>
        <item x="613"/>
        <item x="2054"/>
        <item x="1940"/>
        <item x="2809"/>
        <item x="230"/>
        <item x="2211"/>
        <item x="263"/>
        <item x="212"/>
        <item x="2926"/>
        <item x="1183"/>
        <item x="1268"/>
        <item x="1222"/>
        <item x="891"/>
        <item x="1575"/>
        <item x="1260"/>
        <item x="3037"/>
        <item x="2252"/>
        <item x="478"/>
        <item x="3004"/>
        <item x="1536"/>
        <item x="1858"/>
        <item x="1500"/>
        <item x="2179"/>
        <item x="1286"/>
        <item x="1728"/>
        <item x="136"/>
        <item x="340"/>
        <item x="1949"/>
        <item x="2974"/>
        <item x="179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0"/>
        <item x="1"/>
      </items>
      <extLst>
        <ext xmlns:x14="http://schemas.microsoft.com/office/spreadsheetml/2009/9/main" uri="{2946ED86-A175-432a-8AC1-64E0C546D7DE}">
          <x14:pivotField fillDownLabels="1"/>
        </ext>
      </extLst>
    </pivotField>
    <pivotField axis="axisRow" compact="0" outline="0" showAll="0" defaultSubtotal="0">
      <items count="18">
        <item x="15"/>
        <item x="13"/>
        <item x="12"/>
        <item x="16"/>
        <item x="17"/>
        <item x="0"/>
        <item x="5"/>
        <item x="3"/>
        <item x="1"/>
        <item x="7"/>
        <item x="4"/>
        <item x="8"/>
        <item x="6"/>
        <item x="10"/>
        <item x="11"/>
        <item x="2"/>
        <item x="9"/>
        <item x="1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extLst>
        <ext xmlns:x14="http://schemas.microsoft.com/office/spreadsheetml/2009/9/main" uri="{2946ED86-A175-432a-8AC1-64E0C546D7DE}">
          <x14:pivotField fillDownLabels="1"/>
        </ext>
      </extLst>
    </pivotField>
    <pivotField compact="0" outline="0" subtotalTop="0" showAll="0" defaultSubtota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extLst>
        <ext xmlns:x14="http://schemas.microsoft.com/office/spreadsheetml/2009/9/main" uri="{2946ED86-A175-432a-8AC1-64E0C546D7DE}">
          <x14:pivotField fillDownLabels="1"/>
        </ext>
      </extLst>
    </pivotField>
    <pivotField compact="0" outline="0" subtotalTop="0" showAll="0" defaultSubtotal="0">
      <items count="26">
        <item x="0"/>
        <item x="1"/>
        <item x="2"/>
        <item x="3"/>
        <item x="4"/>
        <item x="5"/>
        <item x="6"/>
        <item x="7"/>
        <item x="8"/>
        <item x="9"/>
        <item x="10"/>
        <item x="11"/>
        <item x="12"/>
        <item x="13"/>
        <item x="14"/>
        <item x="15"/>
        <item x="16"/>
        <item x="17"/>
        <item x="18"/>
        <item x="19"/>
        <item x="20"/>
        <item x="21"/>
        <item x="22"/>
        <item x="23"/>
        <item x="24"/>
        <item x="25"/>
      </items>
      <extLst>
        <ext xmlns:x14="http://schemas.microsoft.com/office/spreadsheetml/2009/9/main" uri="{2946ED86-A175-432a-8AC1-64E0C546D7DE}">
          <x14:pivotField fillDownLabels="1"/>
        </ext>
      </extLst>
    </pivotField>
  </pivotFields>
  <rowFields count="3">
    <field x="1"/>
    <field x="2"/>
    <field x="11"/>
  </rowFields>
  <rowItems count="9">
    <i>
      <x/>
      <x v="132"/>
      <x v="17"/>
    </i>
    <i r="1">
      <x v="833"/>
      <x v="17"/>
    </i>
    <i r="1">
      <x v="1137"/>
      <x v="1"/>
    </i>
    <i r="1">
      <x v="1423"/>
      <x v="4"/>
    </i>
    <i r="1">
      <x v="1525"/>
      <x v="3"/>
    </i>
    <i r="1">
      <x v="1633"/>
      <x v="16"/>
    </i>
    <i r="1">
      <x v="1789"/>
      <x/>
    </i>
    <i r="1">
      <x v="1985"/>
      <x v="2"/>
    </i>
    <i r="1">
      <x v="2312"/>
      <x v="16"/>
    </i>
  </rowItems>
  <colItems count="1">
    <i/>
  </colItems>
  <pageFields count="1">
    <pageField fld="10" hier="-1"/>
  </pageFields>
  <dataFields count="1">
    <dataField name="Sum of Amount" fld="4" baseField="0" baseItem="0"/>
  </dataFields>
  <formats count="17">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field="2" type="button" dataOnly="0" labelOnly="1" outline="0" axis="axisRow" fieldPosition="1"/>
    </format>
    <format dxfId="13">
      <pivotArea field="11" type="button" dataOnly="0" labelOnly="1" outline="0" axis="axisRow" fieldPosition="2"/>
    </format>
    <format dxfId="12">
      <pivotArea dataOnly="0" labelOnly="1" outline="0" fieldPosition="0">
        <references count="1">
          <reference field="1" count="0"/>
        </references>
      </pivotArea>
    </format>
    <format dxfId="11">
      <pivotArea dataOnly="0" labelOnly="1" outline="0" fieldPosition="0">
        <references count="2">
          <reference field="1" count="0" selected="0"/>
          <reference field="2" count="9">
            <x v="132"/>
            <x v="833"/>
            <x v="1137"/>
            <x v="1423"/>
            <x v="1525"/>
            <x v="1633"/>
            <x v="1789"/>
            <x v="1985"/>
            <x v="2312"/>
          </reference>
        </references>
      </pivotArea>
    </format>
    <format dxfId="10">
      <pivotArea dataOnly="0" labelOnly="1" outline="0" fieldPosition="0">
        <references count="3">
          <reference field="1" count="0" selected="0"/>
          <reference field="2" count="1" selected="0">
            <x v="132"/>
          </reference>
          <reference field="11" count="1">
            <x v="17"/>
          </reference>
        </references>
      </pivotArea>
    </format>
    <format dxfId="9">
      <pivotArea dataOnly="0" labelOnly="1" outline="0" fieldPosition="0">
        <references count="3">
          <reference field="1" count="0" selected="0"/>
          <reference field="2" count="1" selected="0">
            <x v="833"/>
          </reference>
          <reference field="11" count="1">
            <x v="17"/>
          </reference>
        </references>
      </pivotArea>
    </format>
    <format dxfId="8">
      <pivotArea dataOnly="0" labelOnly="1" outline="0" fieldPosition="0">
        <references count="3">
          <reference field="1" count="0" selected="0"/>
          <reference field="2" count="1" selected="0">
            <x v="1137"/>
          </reference>
          <reference field="11" count="1">
            <x v="1"/>
          </reference>
        </references>
      </pivotArea>
    </format>
    <format dxfId="7">
      <pivotArea dataOnly="0" labelOnly="1" outline="0" fieldPosition="0">
        <references count="3">
          <reference field="1" count="0" selected="0"/>
          <reference field="2" count="1" selected="0">
            <x v="1423"/>
          </reference>
          <reference field="11" count="1">
            <x v="4"/>
          </reference>
        </references>
      </pivotArea>
    </format>
    <format dxfId="6">
      <pivotArea dataOnly="0" labelOnly="1" outline="0" fieldPosition="0">
        <references count="3">
          <reference field="1" count="0" selected="0"/>
          <reference field="2" count="1" selected="0">
            <x v="1525"/>
          </reference>
          <reference field="11" count="1">
            <x v="3"/>
          </reference>
        </references>
      </pivotArea>
    </format>
    <format dxfId="5">
      <pivotArea dataOnly="0" labelOnly="1" outline="0" fieldPosition="0">
        <references count="3">
          <reference field="1" count="0" selected="0"/>
          <reference field="2" count="1" selected="0">
            <x v="1633"/>
          </reference>
          <reference field="11" count="1">
            <x v="16"/>
          </reference>
        </references>
      </pivotArea>
    </format>
    <format dxfId="4">
      <pivotArea dataOnly="0" labelOnly="1" outline="0" fieldPosition="0">
        <references count="3">
          <reference field="1" count="0" selected="0"/>
          <reference field="2" count="1" selected="0">
            <x v="1789"/>
          </reference>
          <reference field="11" count="1">
            <x v="0"/>
          </reference>
        </references>
      </pivotArea>
    </format>
    <format dxfId="3">
      <pivotArea dataOnly="0" labelOnly="1" outline="0" fieldPosition="0">
        <references count="3">
          <reference field="1" count="0" selected="0"/>
          <reference field="2" count="1" selected="0">
            <x v="1985"/>
          </reference>
          <reference field="11" count="1">
            <x v="2"/>
          </reference>
        </references>
      </pivotArea>
    </format>
    <format dxfId="2">
      <pivotArea dataOnly="0" labelOnly="1" outline="0" fieldPosition="0">
        <references count="3">
          <reference field="1" count="0" selected="0"/>
          <reference field="2" count="1" selected="0">
            <x v="2312"/>
          </reference>
          <reference field="11" count="1">
            <x v="16"/>
          </reference>
        </references>
      </pivotArea>
    </format>
    <format dxfId="1">
      <pivotArea dataOnly="0" labelOnly="1" outline="0" axis="axisValues" fieldPosition="0"/>
    </format>
  </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3D631D-B843-4FF9-B915-1C0D0982A8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17">
    <pivotField numFmtId="21" showAll="0">
      <items count="40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t="default"/>
      </items>
    </pivotField>
    <pivotField numFmtId="14" showAll="0"/>
    <pivotField showAll="0"/>
    <pivotField showAll="0"/>
    <pivotField showAll="0"/>
    <pivotField showAll="0"/>
    <pivotField showAll="0"/>
    <pivotField showAll="0"/>
    <pivotField showAll="0"/>
    <pivotField showAll="0"/>
    <pivotField axis="axisPage" dataField="1" multipleItemSelectionAllowed="1" showAll="0">
      <items count="3">
        <item h="1" x="0"/>
        <item x="1"/>
        <item t="default"/>
      </items>
    </pivotField>
    <pivotField showAll="0"/>
    <pivotField showAll="0"/>
    <pivotField showAll="0">
      <items count="4">
        <item x="1"/>
        <item x="0"/>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pageFields count="1">
    <pageField fld="10" hier="-1"/>
  </pageFields>
  <dataFields count="1">
    <dataField name="Count of Is_laundering"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7B7B79-7343-4F53-B22A-1C049C67C4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17">
    <pivotField numFmtId="21" showAll="0">
      <items count="40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t="default"/>
      </items>
    </pivotField>
    <pivotField numFmtId="14" showAll="0"/>
    <pivotField showAll="0"/>
    <pivotField showAll="0"/>
    <pivotField showAll="0"/>
    <pivotField showAll="0"/>
    <pivotField showAll="0"/>
    <pivotField showAll="0"/>
    <pivotField showAll="0"/>
    <pivotField axis="axisRow" showAll="0" sortType="descending">
      <items count="8">
        <item x="3"/>
        <item x="0"/>
        <item x="6"/>
        <item x="2"/>
        <item x="4"/>
        <item x="1"/>
        <item x="5"/>
        <item t="default"/>
      </items>
      <autoSortScope>
        <pivotArea dataOnly="0" outline="0" fieldPosition="0">
          <references count="1">
            <reference field="4294967294" count="1" selected="0">
              <x v="0"/>
            </reference>
          </references>
        </pivotArea>
      </autoSortScope>
    </pivotField>
    <pivotField axis="axisPage" dataField="1" multipleItemSelectionAllowed="1" showAll="0">
      <items count="3">
        <item h="1" x="0"/>
        <item x="1"/>
        <item t="default"/>
      </items>
    </pivotField>
    <pivotField showAll="0"/>
    <pivotField showAll="0"/>
    <pivotField showAll="0">
      <items count="4">
        <item x="1"/>
        <item x="0"/>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9"/>
  </rowFields>
  <rowItems count="6">
    <i>
      <x v="5"/>
    </i>
    <i>
      <x v="1"/>
    </i>
    <i>
      <x v="6"/>
    </i>
    <i>
      <x v="2"/>
    </i>
    <i>
      <x v="4"/>
    </i>
    <i t="grand">
      <x/>
    </i>
  </rowItems>
  <colItems count="1">
    <i/>
  </colItems>
  <pageFields count="1">
    <pageField fld="10" hier="-1"/>
  </pageFields>
  <dataFields count="1">
    <dataField name="Count of Is_laundering" fld="10" subtotal="count" baseField="9"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558E56-DCDC-4DBE-919F-066639556B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17">
    <pivotField numFmtId="21" showAll="0">
      <items count="40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t="default"/>
      </items>
    </pivotField>
    <pivotField numFmtId="14" showAll="0"/>
    <pivotField showAll="0"/>
    <pivotField showAll="0"/>
    <pivotField dataField="1"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items count="4">
        <item x="1"/>
        <item x="0"/>
        <item x="2"/>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pageFields count="1">
    <pageField fld="10" hier="-1"/>
  </pageFields>
  <dataFields count="1">
    <dataField name="Sum of Amount" fld="4"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ECF5B8-77F0-48CF-A132-D41B84B46C3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rowPageCount="1" colPageCount="1"/>
  <pivotFields count="17">
    <pivotField axis="axisRow" numFmtId="21" showAll="0">
      <items count="40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t="default"/>
      </items>
    </pivotField>
    <pivotField numFmtId="14" showAll="0"/>
    <pivotField showAll="0"/>
    <pivotField showAll="0"/>
    <pivotField showAll="0"/>
    <pivotField showAll="0"/>
    <pivotField showAll="0"/>
    <pivotField showAll="0"/>
    <pivotField showAll="0"/>
    <pivotField showAll="0"/>
    <pivotField axis="axisPage" dataField="1" multipleItemSelectionAllowed="1" showAll="0">
      <items count="3">
        <item x="0"/>
        <item x="1"/>
        <item t="default"/>
      </items>
    </pivotField>
    <pivotField showAll="0">
      <items count="19">
        <item x="15"/>
        <item x="13"/>
        <item x="12"/>
        <item x="16"/>
        <item x="17"/>
        <item x="0"/>
        <item x="5"/>
        <item x="3"/>
        <item x="1"/>
        <item x="7"/>
        <item x="4"/>
        <item x="8"/>
        <item x="6"/>
        <item x="10"/>
        <item x="11"/>
        <item x="2"/>
        <item x="9"/>
        <item x="14"/>
        <item t="default"/>
      </items>
    </pivotField>
    <pivotField showAll="0"/>
    <pivotField showAll="0">
      <items count="4">
        <item x="1"/>
        <item x="0"/>
        <item x="2"/>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numFmtId="165"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4">
    <field x="16"/>
    <field x="15"/>
    <field x="14"/>
    <field x="0"/>
  </rowFields>
  <rowItems count="5">
    <i>
      <x v="11"/>
    </i>
    <i>
      <x v="12"/>
    </i>
    <i>
      <x v="13"/>
    </i>
    <i>
      <x v="14"/>
    </i>
    <i t="grand">
      <x/>
    </i>
  </rowItems>
  <colItems count="1">
    <i/>
  </colItems>
  <pageFields count="1">
    <pageField fld="10" hier="-1"/>
  </pageFields>
  <dataFields count="1">
    <dataField name="Count of Is_laundering" fld="10" subtotal="count" baseField="16" baseItem="11"/>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0DAD6941-4950-4A1D-A199-D45753930DB2}" sourceName="Payment_type">
  <pivotTables>
    <pivotTable tabId="3" name="PivotTable1"/>
  </pivotTables>
  <data>
    <tabular pivotCacheId="134881570">
      <items count="7">
        <i x="3" s="1"/>
        <i x="0" s="1"/>
        <i x="6" s="1"/>
        <i x="2" s="1"/>
        <i x="4"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isk_Rating." xr10:uid="{A6578F64-9915-403F-BEBB-55EB2624B3CF}" sourceName="Country_Risk_Rating.">
  <pivotTables>
    <pivotTable tabId="3" name="PivotTable1"/>
    <pivotTable tabId="15" name="PivotTable7"/>
    <pivotTable tabId="4" name="PivotTable2"/>
    <pivotTable tabId="5" name="PivotTable3"/>
    <pivotTable tabId="9" name="PivotTable2"/>
    <pivotTable tabId="11" name="PivotTable2"/>
    <pivotTable tabId="12" name="PivotTable4"/>
    <pivotTable tabId="13" name="PivotTable5"/>
  </pivotTables>
  <data>
    <tabular pivotCacheId="13488157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 xr10:uid="{C587EB29-DBED-442B-BD50-07B2F7FAD895}" cache="Slicer_Payment_type" caption="Payment_type" style="My style" rowHeight="252000"/>
  <slicer name="Country_Risk_Rating." xr10:uid="{3E2413A4-0188-452B-BD25-94813E34817B}" cache="Slicer_Country_Risk_Rating." caption="Country_Risk_Rating." style="My style"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322C-08AA-4F1D-9307-13A88EEE5093}">
  <dimension ref="A1:N5000"/>
  <sheetViews>
    <sheetView workbookViewId="0"/>
  </sheetViews>
  <sheetFormatPr defaultRowHeight="14.4"/>
  <cols>
    <col min="1" max="1" width="9.21875" customWidth="1"/>
    <col min="2" max="2" width="12.33203125" customWidth="1"/>
    <col min="3" max="3" width="15.6640625" customWidth="1"/>
    <col min="4" max="4" width="15.5546875" customWidth="1"/>
    <col min="5" max="5" width="9.33203125" customWidth="1"/>
    <col min="6" max="6" width="16" customWidth="1"/>
    <col min="7" max="7" width="16.6640625" customWidth="1"/>
    <col min="8" max="8" width="18.5546875" customWidth="1"/>
    <col min="9" max="9" width="21" customWidth="1"/>
    <col min="10" max="10" width="14.21875" customWidth="1"/>
    <col min="11" max="11" width="11.44140625" customWidth="1"/>
    <col min="12" max="12" width="20.109375" customWidth="1"/>
    <col min="13" max="13" width="16.21875" customWidth="1"/>
    <col min="14" max="14" width="19.88671875" customWidth="1"/>
  </cols>
  <sheetData>
    <row r="1" spans="1:14">
      <c r="A1" s="1" t="s">
        <v>0</v>
      </c>
      <c r="B1" s="1" t="s">
        <v>1</v>
      </c>
      <c r="C1" s="1" t="s">
        <v>2</v>
      </c>
      <c r="D1" s="1" t="s">
        <v>3</v>
      </c>
      <c r="E1" s="1" t="s">
        <v>4</v>
      </c>
      <c r="F1" s="1" t="s">
        <v>5</v>
      </c>
      <c r="G1" s="1" t="s">
        <v>6</v>
      </c>
      <c r="H1" s="1" t="s">
        <v>7</v>
      </c>
      <c r="I1" s="1" t="s">
        <v>8</v>
      </c>
      <c r="J1" s="1" t="s">
        <v>9</v>
      </c>
      <c r="K1" s="1" t="s">
        <v>10</v>
      </c>
      <c r="L1" s="1" t="s">
        <v>11</v>
      </c>
      <c r="M1" s="1" t="s">
        <v>68</v>
      </c>
      <c r="N1" s="5" t="s">
        <v>69</v>
      </c>
    </row>
    <row r="2" spans="1:14">
      <c r="A2" s="2">
        <v>0.44119212962962961</v>
      </c>
      <c r="B2" s="3">
        <v>44841</v>
      </c>
      <c r="C2" s="1">
        <v>8724731955</v>
      </c>
      <c r="D2" s="1">
        <v>2769355426</v>
      </c>
      <c r="E2" s="1">
        <v>1459.15</v>
      </c>
      <c r="F2" s="1" t="s">
        <v>12</v>
      </c>
      <c r="G2" s="1" t="s">
        <v>12</v>
      </c>
      <c r="H2" s="1" t="s">
        <v>13</v>
      </c>
      <c r="I2" s="1" t="s">
        <v>13</v>
      </c>
      <c r="J2" s="1" t="s">
        <v>14</v>
      </c>
      <c r="K2" s="1">
        <v>0</v>
      </c>
      <c r="L2" s="1" t="s">
        <v>15</v>
      </c>
      <c r="M2" s="1" t="str">
        <f>IF(F2=G2, "Consistent", "Potential Layering")</f>
        <v>Consistent</v>
      </c>
      <c r="N2" s="1" t="str">
        <f>_xlfn.XLOOKUP(H2, risk_score!A:A, risk_score!B:B, "Not Found")</f>
        <v>Low Risk</v>
      </c>
    </row>
    <row r="3" spans="1:14">
      <c r="A3" s="2">
        <v>0.44120370370370371</v>
      </c>
      <c r="B3" s="3">
        <v>44841</v>
      </c>
      <c r="C3" s="1">
        <v>1491989064</v>
      </c>
      <c r="D3" s="1">
        <v>8401255335</v>
      </c>
      <c r="E3" s="1">
        <v>6019.64</v>
      </c>
      <c r="F3" s="1" t="s">
        <v>12</v>
      </c>
      <c r="G3" s="1" t="s">
        <v>16</v>
      </c>
      <c r="H3" s="1" t="s">
        <v>13</v>
      </c>
      <c r="I3" s="1" t="s">
        <v>17</v>
      </c>
      <c r="J3" s="1" t="s">
        <v>18</v>
      </c>
      <c r="K3" s="1">
        <v>0</v>
      </c>
      <c r="L3" s="1" t="s">
        <v>19</v>
      </c>
      <c r="M3" s="1" t="str">
        <f t="shared" ref="M3:M66" si="0">IF(F3=G3, "Consistent", "Potential Layering")</f>
        <v>Potential Layering</v>
      </c>
      <c r="N3" s="1" t="str">
        <f>_xlfn.XLOOKUP(H3, risk_score!A:A, risk_score!B:B, 0)</f>
        <v>Low Risk</v>
      </c>
    </row>
    <row r="4" spans="1:14">
      <c r="A4" s="2">
        <v>0.44120370370370371</v>
      </c>
      <c r="B4" s="3">
        <v>44841</v>
      </c>
      <c r="C4" s="1">
        <v>287305149</v>
      </c>
      <c r="D4" s="1">
        <v>4404767002</v>
      </c>
      <c r="E4" s="1">
        <v>14328.44</v>
      </c>
      <c r="F4" s="1" t="s">
        <v>12</v>
      </c>
      <c r="G4" s="1" t="s">
        <v>12</v>
      </c>
      <c r="H4" s="1" t="s">
        <v>13</v>
      </c>
      <c r="I4" s="1" t="s">
        <v>13</v>
      </c>
      <c r="J4" s="1" t="s">
        <v>20</v>
      </c>
      <c r="K4" s="1">
        <v>0</v>
      </c>
      <c r="L4" s="1" t="s">
        <v>21</v>
      </c>
      <c r="M4" s="1" t="str">
        <f t="shared" si="0"/>
        <v>Consistent</v>
      </c>
      <c r="N4" s="1" t="str">
        <f>_xlfn.XLOOKUP(H4, risk_score!A:A, risk_score!B:B, 0)</f>
        <v>Low Risk</v>
      </c>
    </row>
    <row r="5" spans="1:14">
      <c r="A5" s="2">
        <v>0.4412152777777778</v>
      </c>
      <c r="B5" s="3">
        <v>44841</v>
      </c>
      <c r="C5" s="1">
        <v>5376652437</v>
      </c>
      <c r="D5" s="1">
        <v>9600420220</v>
      </c>
      <c r="E5" s="1">
        <v>11895</v>
      </c>
      <c r="F5" s="1" t="s">
        <v>12</v>
      </c>
      <c r="G5" s="1" t="s">
        <v>12</v>
      </c>
      <c r="H5" s="1" t="s">
        <v>13</v>
      </c>
      <c r="I5" s="1" t="s">
        <v>13</v>
      </c>
      <c r="J5" s="1" t="s">
        <v>22</v>
      </c>
      <c r="K5" s="1">
        <v>0</v>
      </c>
      <c r="L5" s="1" t="s">
        <v>23</v>
      </c>
      <c r="M5" s="1" t="str">
        <f t="shared" si="0"/>
        <v>Consistent</v>
      </c>
      <c r="N5" s="1" t="str">
        <f>_xlfn.XLOOKUP(H5, risk_score!A:A, risk_score!B:B, 0)</f>
        <v>Low Risk</v>
      </c>
    </row>
    <row r="6" spans="1:14">
      <c r="A6" s="2">
        <v>0.4412152777777778</v>
      </c>
      <c r="B6" s="3">
        <v>44841</v>
      </c>
      <c r="C6" s="1">
        <v>9614186178</v>
      </c>
      <c r="D6" s="1">
        <v>3803336972</v>
      </c>
      <c r="E6" s="1">
        <v>115.25</v>
      </c>
      <c r="F6" s="1" t="s">
        <v>12</v>
      </c>
      <c r="G6" s="1" t="s">
        <v>12</v>
      </c>
      <c r="H6" s="1" t="s">
        <v>13</v>
      </c>
      <c r="I6" s="1" t="s">
        <v>13</v>
      </c>
      <c r="J6" s="1" t="s">
        <v>14</v>
      </c>
      <c r="K6" s="1">
        <v>0</v>
      </c>
      <c r="L6" s="1" t="s">
        <v>15</v>
      </c>
      <c r="M6" s="1" t="str">
        <f t="shared" si="0"/>
        <v>Consistent</v>
      </c>
      <c r="N6" s="1" t="str">
        <f>_xlfn.XLOOKUP(H6, risk_score!A:A, risk_score!B:B, 0)</f>
        <v>Low Risk</v>
      </c>
    </row>
    <row r="7" spans="1:14">
      <c r="A7" s="2">
        <v>0.4412152777777778</v>
      </c>
      <c r="B7" s="3">
        <v>44841</v>
      </c>
      <c r="C7" s="1">
        <v>8974559268</v>
      </c>
      <c r="D7" s="1">
        <v>3143547511</v>
      </c>
      <c r="E7" s="1">
        <v>5130.99</v>
      </c>
      <c r="F7" s="1" t="s">
        <v>12</v>
      </c>
      <c r="G7" s="1" t="s">
        <v>12</v>
      </c>
      <c r="H7" s="1" t="s">
        <v>13</v>
      </c>
      <c r="I7" s="1" t="s">
        <v>13</v>
      </c>
      <c r="J7" s="1" t="s">
        <v>22</v>
      </c>
      <c r="K7" s="1">
        <v>0</v>
      </c>
      <c r="L7" s="1" t="s">
        <v>24</v>
      </c>
      <c r="M7" s="1" t="str">
        <f t="shared" si="0"/>
        <v>Consistent</v>
      </c>
      <c r="N7" s="1" t="str">
        <f>_xlfn.XLOOKUP(H7, risk_score!A:A, risk_score!B:B, 0)</f>
        <v>Low Risk</v>
      </c>
    </row>
    <row r="8" spans="1:14">
      <c r="A8" s="2">
        <v>0.44123842592592594</v>
      </c>
      <c r="B8" s="3">
        <v>44841</v>
      </c>
      <c r="C8" s="1">
        <v>980191499</v>
      </c>
      <c r="D8" s="1">
        <v>8577635959</v>
      </c>
      <c r="E8" s="1">
        <v>12176.52</v>
      </c>
      <c r="F8" s="1" t="s">
        <v>12</v>
      </c>
      <c r="G8" s="1" t="s">
        <v>12</v>
      </c>
      <c r="H8" s="1" t="s">
        <v>13</v>
      </c>
      <c r="I8" s="1" t="s">
        <v>13</v>
      </c>
      <c r="J8" s="1" t="s">
        <v>22</v>
      </c>
      <c r="K8" s="1">
        <v>0</v>
      </c>
      <c r="L8" s="1" t="s">
        <v>21</v>
      </c>
      <c r="M8" s="1" t="str">
        <f t="shared" si="0"/>
        <v>Consistent</v>
      </c>
      <c r="N8" s="1" t="str">
        <f>_xlfn.XLOOKUP(H8, risk_score!A:A, risk_score!B:B, 0)</f>
        <v>Low Risk</v>
      </c>
    </row>
    <row r="9" spans="1:14">
      <c r="A9" s="2">
        <v>0.44123842592592594</v>
      </c>
      <c r="B9" s="3">
        <v>44841</v>
      </c>
      <c r="C9" s="1">
        <v>8057793308</v>
      </c>
      <c r="D9" s="1">
        <v>9350896213</v>
      </c>
      <c r="E9" s="1">
        <v>56.9</v>
      </c>
      <c r="F9" s="1" t="s">
        <v>12</v>
      </c>
      <c r="G9" s="1" t="s">
        <v>12</v>
      </c>
      <c r="H9" s="1" t="s">
        <v>13</v>
      </c>
      <c r="I9" s="1" t="s">
        <v>13</v>
      </c>
      <c r="J9" s="1" t="s">
        <v>25</v>
      </c>
      <c r="K9" s="1">
        <v>0</v>
      </c>
      <c r="L9" s="1" t="s">
        <v>21</v>
      </c>
      <c r="M9" s="1" t="str">
        <f t="shared" si="0"/>
        <v>Consistent</v>
      </c>
      <c r="N9" s="1" t="str">
        <f>_xlfn.XLOOKUP(H9, risk_score!A:A, risk_score!B:B, 0)</f>
        <v>Low Risk</v>
      </c>
    </row>
    <row r="10" spans="1:14">
      <c r="A10" s="2">
        <v>0.44127314814814816</v>
      </c>
      <c r="B10" s="3">
        <v>44841</v>
      </c>
      <c r="C10" s="1">
        <v>6116657264</v>
      </c>
      <c r="D10" s="1">
        <v>656192169</v>
      </c>
      <c r="E10" s="1">
        <v>4738.45</v>
      </c>
      <c r="F10" s="1" t="s">
        <v>12</v>
      </c>
      <c r="G10" s="1" t="s">
        <v>12</v>
      </c>
      <c r="H10" s="1" t="s">
        <v>13</v>
      </c>
      <c r="I10" s="1" t="s">
        <v>13</v>
      </c>
      <c r="J10" s="1" t="s">
        <v>20</v>
      </c>
      <c r="K10" s="1">
        <v>0</v>
      </c>
      <c r="L10" s="1" t="s">
        <v>19</v>
      </c>
      <c r="M10" s="1" t="str">
        <f t="shared" si="0"/>
        <v>Consistent</v>
      </c>
      <c r="N10" s="1" t="str">
        <f>_xlfn.XLOOKUP(H10, risk_score!A:A, risk_score!B:B, 0)</f>
        <v>Low Risk</v>
      </c>
    </row>
    <row r="11" spans="1:14">
      <c r="A11" s="2">
        <v>0.44130787037037039</v>
      </c>
      <c r="B11" s="3">
        <v>44841</v>
      </c>
      <c r="C11" s="1">
        <v>7421451752</v>
      </c>
      <c r="D11" s="1">
        <v>2755709071</v>
      </c>
      <c r="E11" s="1">
        <v>5883.87</v>
      </c>
      <c r="F11" s="1" t="s">
        <v>26</v>
      </c>
      <c r="G11" s="1" t="s">
        <v>12</v>
      </c>
      <c r="H11" s="1" t="s">
        <v>13</v>
      </c>
      <c r="I11" s="1" t="s">
        <v>13</v>
      </c>
      <c r="J11" s="1" t="s">
        <v>25</v>
      </c>
      <c r="K11" s="1">
        <v>0</v>
      </c>
      <c r="L11" s="1" t="s">
        <v>19</v>
      </c>
      <c r="M11" s="1" t="str">
        <f t="shared" si="0"/>
        <v>Potential Layering</v>
      </c>
      <c r="N11" s="1" t="str">
        <f>_xlfn.XLOOKUP(H11, risk_score!A:A, risk_score!B:B, 0)</f>
        <v>Low Risk</v>
      </c>
    </row>
    <row r="12" spans="1:14">
      <c r="A12" s="2">
        <v>0.44133101851851853</v>
      </c>
      <c r="B12" s="3">
        <v>44841</v>
      </c>
      <c r="C12" s="1">
        <v>5119661534</v>
      </c>
      <c r="D12" s="1">
        <v>9734073275</v>
      </c>
      <c r="E12" s="1">
        <v>2342.31</v>
      </c>
      <c r="F12" s="1" t="s">
        <v>12</v>
      </c>
      <c r="G12" s="1" t="s">
        <v>12</v>
      </c>
      <c r="H12" s="1" t="s">
        <v>13</v>
      </c>
      <c r="I12" s="1" t="s">
        <v>13</v>
      </c>
      <c r="J12" s="1" t="s">
        <v>27</v>
      </c>
      <c r="K12" s="1">
        <v>0</v>
      </c>
      <c r="L12" s="1" t="s">
        <v>21</v>
      </c>
      <c r="M12" s="1" t="str">
        <f t="shared" si="0"/>
        <v>Consistent</v>
      </c>
      <c r="N12" s="1" t="str">
        <f>_xlfn.XLOOKUP(H12, risk_score!A:A, risk_score!B:B, 0)</f>
        <v>Low Risk</v>
      </c>
    </row>
    <row r="13" spans="1:14">
      <c r="A13" s="2">
        <v>0.44136574074074075</v>
      </c>
      <c r="B13" s="3">
        <v>44841</v>
      </c>
      <c r="C13" s="1">
        <v>5606024775</v>
      </c>
      <c r="D13" s="1">
        <v>8646193759</v>
      </c>
      <c r="E13" s="1">
        <v>1239.6099999999999</v>
      </c>
      <c r="F13" s="1" t="s">
        <v>12</v>
      </c>
      <c r="G13" s="1" t="s">
        <v>12</v>
      </c>
      <c r="H13" s="1" t="s">
        <v>13</v>
      </c>
      <c r="I13" s="1" t="s">
        <v>13</v>
      </c>
      <c r="J13" s="1" t="s">
        <v>14</v>
      </c>
      <c r="K13" s="1">
        <v>0</v>
      </c>
      <c r="L13" s="1" t="s">
        <v>15</v>
      </c>
      <c r="M13" s="1" t="str">
        <f t="shared" si="0"/>
        <v>Consistent</v>
      </c>
      <c r="N13" s="1" t="str">
        <f>_xlfn.XLOOKUP(H13, risk_score!A:A, risk_score!B:B, 0)</f>
        <v>Low Risk</v>
      </c>
    </row>
    <row r="14" spans="1:14">
      <c r="A14" s="2">
        <v>0.44136574074074075</v>
      </c>
      <c r="B14" s="3">
        <v>44841</v>
      </c>
      <c r="C14" s="1">
        <v>1405792399</v>
      </c>
      <c r="D14" s="1">
        <v>5109623450</v>
      </c>
      <c r="E14" s="1">
        <v>16555.310000000001</v>
      </c>
      <c r="F14" s="1" t="s">
        <v>12</v>
      </c>
      <c r="G14" s="1" t="s">
        <v>28</v>
      </c>
      <c r="H14" s="1" t="s">
        <v>13</v>
      </c>
      <c r="I14" s="1" t="s">
        <v>13</v>
      </c>
      <c r="J14" s="1" t="s">
        <v>25</v>
      </c>
      <c r="K14" s="1">
        <v>0</v>
      </c>
      <c r="L14" s="1" t="s">
        <v>23</v>
      </c>
      <c r="M14" s="1" t="str">
        <f t="shared" si="0"/>
        <v>Potential Layering</v>
      </c>
      <c r="N14" s="1" t="str">
        <f>_xlfn.XLOOKUP(H14, risk_score!A:A, risk_score!B:B, 0)</f>
        <v>Low Risk</v>
      </c>
    </row>
    <row r="15" spans="1:14">
      <c r="A15" s="2">
        <v>0.44140046296296298</v>
      </c>
      <c r="B15" s="3">
        <v>44841</v>
      </c>
      <c r="C15" s="1">
        <v>2188890133</v>
      </c>
      <c r="D15" s="1">
        <v>3938416782</v>
      </c>
      <c r="E15" s="1">
        <v>15459.46</v>
      </c>
      <c r="F15" s="1" t="s">
        <v>12</v>
      </c>
      <c r="G15" s="1" t="s">
        <v>12</v>
      </c>
      <c r="H15" s="1" t="s">
        <v>13</v>
      </c>
      <c r="I15" s="1" t="s">
        <v>13</v>
      </c>
      <c r="J15" s="1" t="s">
        <v>20</v>
      </c>
      <c r="K15" s="1">
        <v>0</v>
      </c>
      <c r="L15" s="1" t="s">
        <v>21</v>
      </c>
      <c r="M15" s="1" t="str">
        <f t="shared" si="0"/>
        <v>Consistent</v>
      </c>
      <c r="N15" s="1" t="str">
        <f>_xlfn.XLOOKUP(H15, risk_score!A:A, risk_score!B:B, 0)</f>
        <v>Low Risk</v>
      </c>
    </row>
    <row r="16" spans="1:14">
      <c r="A16" s="2">
        <v>0.44140046296296298</v>
      </c>
      <c r="B16" s="3">
        <v>44841</v>
      </c>
      <c r="C16" s="1">
        <v>6715177555</v>
      </c>
      <c r="D16" s="1">
        <v>4460925916</v>
      </c>
      <c r="E16" s="1">
        <v>586.28</v>
      </c>
      <c r="F16" s="1" t="s">
        <v>12</v>
      </c>
      <c r="G16" s="1" t="s">
        <v>12</v>
      </c>
      <c r="H16" s="1" t="s">
        <v>13</v>
      </c>
      <c r="I16" s="1" t="s">
        <v>13</v>
      </c>
      <c r="J16" s="1" t="s">
        <v>20</v>
      </c>
      <c r="K16" s="1">
        <v>0</v>
      </c>
      <c r="L16" s="1" t="s">
        <v>21</v>
      </c>
      <c r="M16" s="1" t="str">
        <f t="shared" si="0"/>
        <v>Consistent</v>
      </c>
      <c r="N16" s="1" t="str">
        <f>_xlfn.XLOOKUP(H16, risk_score!A:A, risk_score!B:B, 0)</f>
        <v>Low Risk</v>
      </c>
    </row>
    <row r="17" spans="1:14">
      <c r="A17" s="2">
        <v>0.44140046296296298</v>
      </c>
      <c r="B17" s="3">
        <v>44841</v>
      </c>
      <c r="C17" s="1">
        <v>7017008854</v>
      </c>
      <c r="D17" s="1">
        <v>3714297114</v>
      </c>
      <c r="E17" s="1">
        <v>1971.15</v>
      </c>
      <c r="F17" s="1" t="s">
        <v>12</v>
      </c>
      <c r="G17" s="1" t="s">
        <v>29</v>
      </c>
      <c r="H17" s="1" t="s">
        <v>13</v>
      </c>
      <c r="I17" s="1" t="s">
        <v>30</v>
      </c>
      <c r="J17" s="1" t="s">
        <v>18</v>
      </c>
      <c r="K17" s="1">
        <v>0</v>
      </c>
      <c r="L17" s="1" t="s">
        <v>21</v>
      </c>
      <c r="M17" s="1" t="str">
        <f t="shared" si="0"/>
        <v>Potential Layering</v>
      </c>
      <c r="N17" s="1" t="str">
        <f>_xlfn.XLOOKUP(H17, risk_score!A:A, risk_score!B:B, 0)</f>
        <v>Low Risk</v>
      </c>
    </row>
    <row r="18" spans="1:14">
      <c r="A18" s="2">
        <v>0.44141203703703702</v>
      </c>
      <c r="B18" s="3">
        <v>44841</v>
      </c>
      <c r="C18" s="1">
        <v>2047410771</v>
      </c>
      <c r="D18" s="1">
        <v>6646502650</v>
      </c>
      <c r="E18" s="1">
        <v>8110.72</v>
      </c>
      <c r="F18" s="1" t="s">
        <v>12</v>
      </c>
      <c r="G18" s="1" t="s">
        <v>29</v>
      </c>
      <c r="H18" s="1" t="s">
        <v>13</v>
      </c>
      <c r="I18" s="1" t="s">
        <v>31</v>
      </c>
      <c r="J18" s="1" t="s">
        <v>18</v>
      </c>
      <c r="K18" s="1">
        <v>0</v>
      </c>
      <c r="L18" s="1" t="s">
        <v>23</v>
      </c>
      <c r="M18" s="1" t="str">
        <f t="shared" si="0"/>
        <v>Potential Layering</v>
      </c>
      <c r="N18" s="1" t="str">
        <f>_xlfn.XLOOKUP(H18, risk_score!A:A, risk_score!B:B, 0)</f>
        <v>Low Risk</v>
      </c>
    </row>
    <row r="19" spans="1:14">
      <c r="A19" s="2">
        <v>0.44144675925925925</v>
      </c>
      <c r="B19" s="3">
        <v>44841</v>
      </c>
      <c r="C19" s="1">
        <v>1470504995</v>
      </c>
      <c r="D19" s="1">
        <v>3347268325</v>
      </c>
      <c r="E19" s="1">
        <v>1190.3</v>
      </c>
      <c r="F19" s="1" t="s">
        <v>12</v>
      </c>
      <c r="G19" s="1" t="s">
        <v>12</v>
      </c>
      <c r="H19" s="1" t="s">
        <v>13</v>
      </c>
      <c r="I19" s="1" t="s">
        <v>13</v>
      </c>
      <c r="J19" s="1" t="s">
        <v>25</v>
      </c>
      <c r="K19" s="1">
        <v>0</v>
      </c>
      <c r="L19" s="1" t="s">
        <v>24</v>
      </c>
      <c r="M19" s="1" t="str">
        <f t="shared" si="0"/>
        <v>Consistent</v>
      </c>
      <c r="N19" s="1" t="str">
        <f>_xlfn.XLOOKUP(H19, risk_score!A:A, risk_score!B:B, 0)</f>
        <v>Low Risk</v>
      </c>
    </row>
    <row r="20" spans="1:14">
      <c r="A20" s="2">
        <v>0.44146990740740738</v>
      </c>
      <c r="B20" s="3">
        <v>44841</v>
      </c>
      <c r="C20" s="1">
        <v>4473647189</v>
      </c>
      <c r="D20" s="1">
        <v>7892884492</v>
      </c>
      <c r="E20" s="1">
        <v>11957.87</v>
      </c>
      <c r="F20" s="1" t="s">
        <v>12</v>
      </c>
      <c r="G20" s="1" t="s">
        <v>32</v>
      </c>
      <c r="H20" s="1" t="s">
        <v>13</v>
      </c>
      <c r="I20" s="1" t="s">
        <v>33</v>
      </c>
      <c r="J20" s="1" t="s">
        <v>18</v>
      </c>
      <c r="K20" s="1">
        <v>0</v>
      </c>
      <c r="L20" s="1" t="s">
        <v>23</v>
      </c>
      <c r="M20" s="1" t="str">
        <f t="shared" si="0"/>
        <v>Potential Layering</v>
      </c>
      <c r="N20" s="1" t="str">
        <f>_xlfn.XLOOKUP(H20, risk_score!A:A, risk_score!B:B, 0)</f>
        <v>Low Risk</v>
      </c>
    </row>
    <row r="21" spans="1:14">
      <c r="A21" s="2">
        <v>0.44148148148148147</v>
      </c>
      <c r="B21" s="3">
        <v>44841</v>
      </c>
      <c r="C21" s="1">
        <v>8184612956</v>
      </c>
      <c r="D21" s="1">
        <v>5628674969</v>
      </c>
      <c r="E21" s="1">
        <v>10529.75</v>
      </c>
      <c r="F21" s="1" t="s">
        <v>12</v>
      </c>
      <c r="G21" s="1" t="s">
        <v>12</v>
      </c>
      <c r="H21" s="1" t="s">
        <v>13</v>
      </c>
      <c r="I21" s="1" t="s">
        <v>13</v>
      </c>
      <c r="J21" s="1" t="s">
        <v>25</v>
      </c>
      <c r="K21" s="1">
        <v>0</v>
      </c>
      <c r="L21" s="1" t="s">
        <v>23</v>
      </c>
      <c r="M21" s="1" t="str">
        <f t="shared" si="0"/>
        <v>Consistent</v>
      </c>
      <c r="N21" s="1" t="str">
        <f>_xlfn.XLOOKUP(H21, risk_score!A:A, risk_score!B:B, 0)</f>
        <v>Low Risk</v>
      </c>
    </row>
    <row r="22" spans="1:14">
      <c r="A22" s="2">
        <v>0.44150462962962961</v>
      </c>
      <c r="B22" s="3">
        <v>44841</v>
      </c>
      <c r="C22" s="1">
        <v>3709430533</v>
      </c>
      <c r="D22" s="1">
        <v>9172843471</v>
      </c>
      <c r="E22" s="1">
        <v>5274.76</v>
      </c>
      <c r="F22" s="1" t="s">
        <v>12</v>
      </c>
      <c r="G22" s="1" t="s">
        <v>12</v>
      </c>
      <c r="H22" s="1" t="s">
        <v>13</v>
      </c>
      <c r="I22" s="1" t="s">
        <v>13</v>
      </c>
      <c r="J22" s="1" t="s">
        <v>27</v>
      </c>
      <c r="K22" s="1">
        <v>0</v>
      </c>
      <c r="L22" s="1" t="s">
        <v>19</v>
      </c>
      <c r="M22" s="1" t="str">
        <f t="shared" si="0"/>
        <v>Consistent</v>
      </c>
      <c r="N22" s="1" t="str">
        <f>_xlfn.XLOOKUP(H22, risk_score!A:A, risk_score!B:B, 0)</f>
        <v>Low Risk</v>
      </c>
    </row>
    <row r="23" spans="1:14">
      <c r="A23" s="2">
        <v>0.44155092592592593</v>
      </c>
      <c r="B23" s="3">
        <v>44841</v>
      </c>
      <c r="C23" s="1">
        <v>8331196922</v>
      </c>
      <c r="D23" s="1">
        <v>7390946087</v>
      </c>
      <c r="E23" s="1">
        <v>774.18</v>
      </c>
      <c r="F23" s="1" t="s">
        <v>12</v>
      </c>
      <c r="G23" s="1" t="s">
        <v>12</v>
      </c>
      <c r="H23" s="1" t="s">
        <v>13</v>
      </c>
      <c r="I23" s="1" t="s">
        <v>13</v>
      </c>
      <c r="J23" s="1" t="s">
        <v>22</v>
      </c>
      <c r="K23" s="1">
        <v>0</v>
      </c>
      <c r="L23" s="1" t="s">
        <v>21</v>
      </c>
      <c r="M23" s="1" t="str">
        <f t="shared" si="0"/>
        <v>Consistent</v>
      </c>
      <c r="N23" s="1" t="str">
        <f>_xlfn.XLOOKUP(H23, risk_score!A:A, risk_score!B:B, 0)</f>
        <v>Low Risk</v>
      </c>
    </row>
    <row r="24" spans="1:14">
      <c r="A24" s="2">
        <v>0.44158564814814816</v>
      </c>
      <c r="B24" s="3">
        <v>44841</v>
      </c>
      <c r="C24" s="1">
        <v>7311441430</v>
      </c>
      <c r="D24" s="1">
        <v>4362242478</v>
      </c>
      <c r="E24" s="1">
        <v>8364.5499999999993</v>
      </c>
      <c r="F24" s="1" t="s">
        <v>12</v>
      </c>
      <c r="G24" s="1" t="s">
        <v>12</v>
      </c>
      <c r="H24" s="1" t="s">
        <v>13</v>
      </c>
      <c r="I24" s="1" t="s">
        <v>13</v>
      </c>
      <c r="J24" s="1" t="s">
        <v>22</v>
      </c>
      <c r="K24" s="1">
        <v>0</v>
      </c>
      <c r="L24" s="1" t="s">
        <v>21</v>
      </c>
      <c r="M24" s="1" t="str">
        <f t="shared" si="0"/>
        <v>Consistent</v>
      </c>
      <c r="N24" s="1" t="str">
        <f>_xlfn.XLOOKUP(H24, risk_score!A:A, risk_score!B:B, 0)</f>
        <v>Low Risk</v>
      </c>
    </row>
    <row r="25" spans="1:14">
      <c r="A25" s="2">
        <v>0.4415972222222222</v>
      </c>
      <c r="B25" s="3">
        <v>44841</v>
      </c>
      <c r="C25" s="1">
        <v>9139420948</v>
      </c>
      <c r="D25" s="1">
        <v>4473064900</v>
      </c>
      <c r="E25" s="1">
        <v>1877.56</v>
      </c>
      <c r="F25" s="1" t="s">
        <v>12</v>
      </c>
      <c r="G25" s="1" t="s">
        <v>12</v>
      </c>
      <c r="H25" s="1" t="s">
        <v>13</v>
      </c>
      <c r="I25" s="1" t="s">
        <v>13</v>
      </c>
      <c r="J25" s="1" t="s">
        <v>25</v>
      </c>
      <c r="K25" s="1">
        <v>0</v>
      </c>
      <c r="L25" s="1" t="s">
        <v>21</v>
      </c>
      <c r="M25" s="1" t="str">
        <f t="shared" si="0"/>
        <v>Consistent</v>
      </c>
      <c r="N25" s="1" t="str">
        <f>_xlfn.XLOOKUP(H25, risk_score!A:A, risk_score!B:B, 0)</f>
        <v>Low Risk</v>
      </c>
    </row>
    <row r="26" spans="1:14">
      <c r="A26" s="2">
        <v>0.44160879629629629</v>
      </c>
      <c r="B26" s="3">
        <v>44841</v>
      </c>
      <c r="C26" s="1">
        <v>6846270694</v>
      </c>
      <c r="D26" s="1">
        <v>855729452</v>
      </c>
      <c r="E26" s="1">
        <v>3166.12</v>
      </c>
      <c r="F26" s="1" t="s">
        <v>12</v>
      </c>
      <c r="G26" s="1" t="s">
        <v>12</v>
      </c>
      <c r="H26" s="1" t="s">
        <v>13</v>
      </c>
      <c r="I26" s="1" t="s">
        <v>13</v>
      </c>
      <c r="J26" s="1" t="s">
        <v>27</v>
      </c>
      <c r="K26" s="1">
        <v>0</v>
      </c>
      <c r="L26" s="1" t="s">
        <v>24</v>
      </c>
      <c r="M26" s="1" t="str">
        <f t="shared" si="0"/>
        <v>Consistent</v>
      </c>
      <c r="N26" s="1" t="str">
        <f>_xlfn.XLOOKUP(H26, risk_score!A:A, risk_score!B:B, 0)</f>
        <v>Low Risk</v>
      </c>
    </row>
    <row r="27" spans="1:14">
      <c r="A27" s="2">
        <v>0.44166666666666665</v>
      </c>
      <c r="B27" s="3">
        <v>44841</v>
      </c>
      <c r="C27" s="1">
        <v>374414130</v>
      </c>
      <c r="D27" s="1">
        <v>3220735304</v>
      </c>
      <c r="E27" s="1">
        <v>10463.94</v>
      </c>
      <c r="F27" s="1" t="s">
        <v>12</v>
      </c>
      <c r="G27" s="1" t="s">
        <v>12</v>
      </c>
      <c r="H27" s="1" t="s">
        <v>13</v>
      </c>
      <c r="I27" s="1" t="s">
        <v>13</v>
      </c>
      <c r="J27" s="1" t="s">
        <v>25</v>
      </c>
      <c r="K27" s="1">
        <v>0</v>
      </c>
      <c r="L27" s="1" t="s">
        <v>23</v>
      </c>
      <c r="M27" s="1" t="str">
        <f t="shared" si="0"/>
        <v>Consistent</v>
      </c>
      <c r="N27" s="1" t="str">
        <f>_xlfn.XLOOKUP(H27, risk_score!A:A, risk_score!B:B, 0)</f>
        <v>Low Risk</v>
      </c>
    </row>
    <row r="28" spans="1:14">
      <c r="A28" s="2">
        <v>0.44167824074074075</v>
      </c>
      <c r="B28" s="3">
        <v>44841</v>
      </c>
      <c r="C28" s="1">
        <v>9239631224</v>
      </c>
      <c r="D28" s="1">
        <v>3274570726</v>
      </c>
      <c r="E28" s="1">
        <v>13230.72</v>
      </c>
      <c r="F28" s="1" t="s">
        <v>12</v>
      </c>
      <c r="G28" s="1" t="s">
        <v>12</v>
      </c>
      <c r="H28" s="1" t="s">
        <v>13</v>
      </c>
      <c r="I28" s="1" t="s">
        <v>13</v>
      </c>
      <c r="J28" s="1" t="s">
        <v>22</v>
      </c>
      <c r="K28" s="1">
        <v>0</v>
      </c>
      <c r="L28" s="1" t="s">
        <v>21</v>
      </c>
      <c r="M28" s="1" t="str">
        <f t="shared" si="0"/>
        <v>Consistent</v>
      </c>
      <c r="N28" s="1" t="str">
        <f>_xlfn.XLOOKUP(H28, risk_score!A:A, risk_score!B:B, 0)</f>
        <v>Low Risk</v>
      </c>
    </row>
    <row r="29" spans="1:14">
      <c r="A29" s="2">
        <v>0.44171296296296297</v>
      </c>
      <c r="B29" s="3">
        <v>44841</v>
      </c>
      <c r="C29" s="1">
        <v>2004133484</v>
      </c>
      <c r="D29" s="1">
        <v>3079818547</v>
      </c>
      <c r="E29" s="1">
        <v>8095.66</v>
      </c>
      <c r="F29" s="1" t="s">
        <v>12</v>
      </c>
      <c r="G29" s="1" t="s">
        <v>12</v>
      </c>
      <c r="H29" s="1" t="s">
        <v>13</v>
      </c>
      <c r="I29" s="1" t="s">
        <v>13</v>
      </c>
      <c r="J29" s="1" t="s">
        <v>25</v>
      </c>
      <c r="K29" s="1">
        <v>0</v>
      </c>
      <c r="L29" s="1" t="s">
        <v>23</v>
      </c>
      <c r="M29" s="1" t="str">
        <f t="shared" si="0"/>
        <v>Consistent</v>
      </c>
      <c r="N29" s="1" t="str">
        <f>_xlfn.XLOOKUP(H29, risk_score!A:A, risk_score!B:B, 0)</f>
        <v>Low Risk</v>
      </c>
    </row>
    <row r="30" spans="1:14">
      <c r="A30" s="2">
        <v>0.44171296296296297</v>
      </c>
      <c r="B30" s="3">
        <v>44841</v>
      </c>
      <c r="C30" s="1">
        <v>8723924487</v>
      </c>
      <c r="D30" s="1">
        <v>8381540882</v>
      </c>
      <c r="E30" s="1">
        <v>3839.09</v>
      </c>
      <c r="F30" s="1" t="s">
        <v>12</v>
      </c>
      <c r="G30" s="1" t="s">
        <v>12</v>
      </c>
      <c r="H30" s="1" t="s">
        <v>13</v>
      </c>
      <c r="I30" s="1" t="s">
        <v>13</v>
      </c>
      <c r="J30" s="1" t="s">
        <v>22</v>
      </c>
      <c r="K30" s="1">
        <v>0</v>
      </c>
      <c r="L30" s="1" t="s">
        <v>21</v>
      </c>
      <c r="M30" s="1" t="str">
        <f t="shared" si="0"/>
        <v>Consistent</v>
      </c>
      <c r="N30" s="1" t="str">
        <f>_xlfn.XLOOKUP(H30, risk_score!A:A, risk_score!B:B, 0)</f>
        <v>Low Risk</v>
      </c>
    </row>
    <row r="31" spans="1:14">
      <c r="A31" s="2">
        <v>0.44171296296296297</v>
      </c>
      <c r="B31" s="3">
        <v>44841</v>
      </c>
      <c r="C31" s="1">
        <v>6533102627</v>
      </c>
      <c r="D31" s="1">
        <v>9092261147</v>
      </c>
      <c r="E31" s="1">
        <v>4731.8599999999997</v>
      </c>
      <c r="F31" s="1" t="s">
        <v>12</v>
      </c>
      <c r="G31" s="1" t="s">
        <v>12</v>
      </c>
      <c r="H31" s="1" t="s">
        <v>13</v>
      </c>
      <c r="I31" s="1" t="s">
        <v>13</v>
      </c>
      <c r="J31" s="1" t="s">
        <v>14</v>
      </c>
      <c r="K31" s="1">
        <v>0</v>
      </c>
      <c r="L31" s="1" t="s">
        <v>15</v>
      </c>
      <c r="M31" s="1" t="str">
        <f t="shared" si="0"/>
        <v>Consistent</v>
      </c>
      <c r="N31" s="1" t="str">
        <f>_xlfn.XLOOKUP(H31, risk_score!A:A, risk_score!B:B, 0)</f>
        <v>Low Risk</v>
      </c>
    </row>
    <row r="32" spans="1:14">
      <c r="A32" s="2">
        <v>0.44172453703703701</v>
      </c>
      <c r="B32" s="3">
        <v>44841</v>
      </c>
      <c r="C32" s="1">
        <v>1203252958</v>
      </c>
      <c r="D32" s="1">
        <v>8500212178</v>
      </c>
      <c r="E32" s="1">
        <v>2438.3000000000002</v>
      </c>
      <c r="F32" s="1" t="s">
        <v>12</v>
      </c>
      <c r="G32" s="1" t="s">
        <v>34</v>
      </c>
      <c r="H32" s="1" t="s">
        <v>13</v>
      </c>
      <c r="I32" s="1" t="s">
        <v>35</v>
      </c>
      <c r="J32" s="1" t="s">
        <v>18</v>
      </c>
      <c r="K32" s="1">
        <v>0</v>
      </c>
      <c r="L32" s="1" t="s">
        <v>24</v>
      </c>
      <c r="M32" s="1" t="str">
        <f t="shared" si="0"/>
        <v>Potential Layering</v>
      </c>
      <c r="N32" s="1" t="str">
        <f>_xlfn.XLOOKUP(H32, risk_score!A:A, risk_score!B:B, 0)</f>
        <v>Low Risk</v>
      </c>
    </row>
    <row r="33" spans="1:14">
      <c r="A33" s="2">
        <v>0.4417476851851852</v>
      </c>
      <c r="B33" s="3">
        <v>44841</v>
      </c>
      <c r="C33" s="1">
        <v>4021161031</v>
      </c>
      <c r="D33" s="1">
        <v>979819164</v>
      </c>
      <c r="E33" s="1">
        <v>3293.28</v>
      </c>
      <c r="F33" s="1" t="s">
        <v>12</v>
      </c>
      <c r="G33" s="1" t="s">
        <v>12</v>
      </c>
      <c r="H33" s="1" t="s">
        <v>13</v>
      </c>
      <c r="I33" s="1" t="s">
        <v>13</v>
      </c>
      <c r="J33" s="1" t="s">
        <v>25</v>
      </c>
      <c r="K33" s="1">
        <v>0</v>
      </c>
      <c r="L33" s="1" t="s">
        <v>21</v>
      </c>
      <c r="M33" s="1" t="str">
        <f t="shared" si="0"/>
        <v>Consistent</v>
      </c>
      <c r="N33" s="1" t="str">
        <f>_xlfn.XLOOKUP(H33, risk_score!A:A, risk_score!B:B, 0)</f>
        <v>Low Risk</v>
      </c>
    </row>
    <row r="34" spans="1:14">
      <c r="A34" s="2">
        <v>0.44175925925925924</v>
      </c>
      <c r="B34" s="3">
        <v>44841</v>
      </c>
      <c r="C34" s="1">
        <v>5126390175</v>
      </c>
      <c r="D34" s="1">
        <v>8518184956</v>
      </c>
      <c r="E34" s="1">
        <v>5828.8</v>
      </c>
      <c r="F34" s="1" t="s">
        <v>12</v>
      </c>
      <c r="G34" s="1" t="s">
        <v>12</v>
      </c>
      <c r="H34" s="1" t="s">
        <v>13</v>
      </c>
      <c r="I34" s="1" t="s">
        <v>13</v>
      </c>
      <c r="J34" s="1" t="s">
        <v>22</v>
      </c>
      <c r="K34" s="1">
        <v>0</v>
      </c>
      <c r="L34" s="1" t="s">
        <v>23</v>
      </c>
      <c r="M34" s="1" t="str">
        <f t="shared" si="0"/>
        <v>Consistent</v>
      </c>
      <c r="N34" s="1" t="str">
        <f>_xlfn.XLOOKUP(H34, risk_score!A:A, risk_score!B:B, 0)</f>
        <v>Low Risk</v>
      </c>
    </row>
    <row r="35" spans="1:14">
      <c r="A35" s="2">
        <v>0.44177083333333333</v>
      </c>
      <c r="B35" s="3">
        <v>44841</v>
      </c>
      <c r="C35" s="1">
        <v>1074336451</v>
      </c>
      <c r="D35" s="1">
        <v>855832934</v>
      </c>
      <c r="E35" s="1">
        <v>2299.29</v>
      </c>
      <c r="F35" s="1" t="s">
        <v>12</v>
      </c>
      <c r="G35" s="1" t="s">
        <v>12</v>
      </c>
      <c r="H35" s="1" t="s">
        <v>13</v>
      </c>
      <c r="I35" s="1" t="s">
        <v>13</v>
      </c>
      <c r="J35" s="1" t="s">
        <v>22</v>
      </c>
      <c r="K35" s="1">
        <v>0</v>
      </c>
      <c r="L35" s="1" t="s">
        <v>21</v>
      </c>
      <c r="M35" s="1" t="str">
        <f t="shared" si="0"/>
        <v>Consistent</v>
      </c>
      <c r="N35" s="1" t="str">
        <f>_xlfn.XLOOKUP(H35, risk_score!A:A, risk_score!B:B, 0)</f>
        <v>Low Risk</v>
      </c>
    </row>
    <row r="36" spans="1:14">
      <c r="A36" s="2">
        <v>0.44181712962962966</v>
      </c>
      <c r="B36" s="3">
        <v>44841</v>
      </c>
      <c r="C36" s="1">
        <v>8389148416</v>
      </c>
      <c r="D36" s="1">
        <v>721717864</v>
      </c>
      <c r="E36" s="1">
        <v>16974.63</v>
      </c>
      <c r="F36" s="1" t="s">
        <v>12</v>
      </c>
      <c r="G36" s="1" t="s">
        <v>12</v>
      </c>
      <c r="H36" s="1" t="s">
        <v>13</v>
      </c>
      <c r="I36" s="1" t="s">
        <v>13</v>
      </c>
      <c r="J36" s="1" t="s">
        <v>25</v>
      </c>
      <c r="K36" s="1">
        <v>0</v>
      </c>
      <c r="L36" s="1" t="s">
        <v>19</v>
      </c>
      <c r="M36" s="1" t="str">
        <f t="shared" si="0"/>
        <v>Consistent</v>
      </c>
      <c r="N36" s="1" t="str">
        <f>_xlfn.XLOOKUP(H36, risk_score!A:A, risk_score!B:B, 0)</f>
        <v>Low Risk</v>
      </c>
    </row>
    <row r="37" spans="1:14">
      <c r="A37" s="2">
        <v>0.4418287037037037</v>
      </c>
      <c r="B37" s="3">
        <v>44841</v>
      </c>
      <c r="C37" s="1">
        <v>3510078932</v>
      </c>
      <c r="D37" s="1">
        <v>9418077278</v>
      </c>
      <c r="E37" s="1">
        <v>9766.1299999999992</v>
      </c>
      <c r="F37" s="1" t="s">
        <v>12</v>
      </c>
      <c r="G37" s="1" t="s">
        <v>12</v>
      </c>
      <c r="H37" s="1" t="s">
        <v>13</v>
      </c>
      <c r="I37" s="1" t="s">
        <v>13</v>
      </c>
      <c r="J37" s="1" t="s">
        <v>22</v>
      </c>
      <c r="K37" s="1">
        <v>0</v>
      </c>
      <c r="L37" s="1" t="s">
        <v>19</v>
      </c>
      <c r="M37" s="1" t="str">
        <f t="shared" si="0"/>
        <v>Consistent</v>
      </c>
      <c r="N37" s="1" t="str">
        <f>_xlfn.XLOOKUP(H37, risk_score!A:A, risk_score!B:B, 0)</f>
        <v>Low Risk</v>
      </c>
    </row>
    <row r="38" spans="1:14">
      <c r="A38" s="2">
        <v>0.44184027777777779</v>
      </c>
      <c r="B38" s="3">
        <v>44841</v>
      </c>
      <c r="C38" s="1">
        <v>8204380961</v>
      </c>
      <c r="D38" s="1">
        <v>4816555386</v>
      </c>
      <c r="E38" s="1">
        <v>3615.93</v>
      </c>
      <c r="F38" s="1" t="s">
        <v>12</v>
      </c>
      <c r="G38" s="1" t="s">
        <v>12</v>
      </c>
      <c r="H38" s="1" t="s">
        <v>13</v>
      </c>
      <c r="I38" s="1" t="s">
        <v>13</v>
      </c>
      <c r="J38" s="1" t="s">
        <v>20</v>
      </c>
      <c r="K38" s="1">
        <v>0</v>
      </c>
      <c r="L38" s="1" t="s">
        <v>21</v>
      </c>
      <c r="M38" s="1" t="str">
        <f t="shared" si="0"/>
        <v>Consistent</v>
      </c>
      <c r="N38" s="1" t="str">
        <f>_xlfn.XLOOKUP(H38, risk_score!A:A, risk_score!B:B, 0)</f>
        <v>Low Risk</v>
      </c>
    </row>
    <row r="39" spans="1:14">
      <c r="A39" s="2">
        <v>0.44187500000000002</v>
      </c>
      <c r="B39" s="3">
        <v>44841</v>
      </c>
      <c r="C39" s="1">
        <v>936440682</v>
      </c>
      <c r="D39" s="1">
        <v>4336977506</v>
      </c>
      <c r="E39" s="1">
        <v>7405.41</v>
      </c>
      <c r="F39" s="1" t="s">
        <v>12</v>
      </c>
      <c r="G39" s="1" t="s">
        <v>12</v>
      </c>
      <c r="H39" s="1" t="s">
        <v>13</v>
      </c>
      <c r="I39" s="1" t="s">
        <v>13</v>
      </c>
      <c r="J39" s="1" t="s">
        <v>25</v>
      </c>
      <c r="K39" s="1">
        <v>0</v>
      </c>
      <c r="L39" s="1" t="s">
        <v>23</v>
      </c>
      <c r="M39" s="1" t="str">
        <f t="shared" si="0"/>
        <v>Consistent</v>
      </c>
      <c r="N39" s="1" t="str">
        <f>_xlfn.XLOOKUP(H39, risk_score!A:A, risk_score!B:B, 0)</f>
        <v>Low Risk</v>
      </c>
    </row>
    <row r="40" spans="1:14">
      <c r="A40" s="2">
        <v>0.44193287037037038</v>
      </c>
      <c r="B40" s="3">
        <v>44841</v>
      </c>
      <c r="C40" s="1">
        <v>8410434333</v>
      </c>
      <c r="D40" s="1">
        <v>8518184956</v>
      </c>
      <c r="E40" s="1">
        <v>10960.64</v>
      </c>
      <c r="F40" s="1" t="s">
        <v>12</v>
      </c>
      <c r="G40" s="1" t="s">
        <v>12</v>
      </c>
      <c r="H40" s="1" t="s">
        <v>13</v>
      </c>
      <c r="I40" s="1" t="s">
        <v>13</v>
      </c>
      <c r="J40" s="1" t="s">
        <v>27</v>
      </c>
      <c r="K40" s="1">
        <v>0</v>
      </c>
      <c r="L40" s="1" t="s">
        <v>23</v>
      </c>
      <c r="M40" s="1" t="str">
        <f t="shared" si="0"/>
        <v>Consistent</v>
      </c>
      <c r="N40" s="1" t="str">
        <f>_xlfn.XLOOKUP(H40, risk_score!A:A, risk_score!B:B, 0)</f>
        <v>Low Risk</v>
      </c>
    </row>
    <row r="41" spans="1:14">
      <c r="A41" s="2">
        <v>0.44202546296296297</v>
      </c>
      <c r="B41" s="3">
        <v>44841</v>
      </c>
      <c r="C41" s="1">
        <v>4082552798</v>
      </c>
      <c r="D41" s="1">
        <v>4173195094</v>
      </c>
      <c r="E41" s="1">
        <v>11974.68</v>
      </c>
      <c r="F41" s="1" t="s">
        <v>12</v>
      </c>
      <c r="G41" s="1" t="s">
        <v>12</v>
      </c>
      <c r="H41" s="1" t="s">
        <v>13</v>
      </c>
      <c r="I41" s="1" t="s">
        <v>13</v>
      </c>
      <c r="J41" s="1" t="s">
        <v>20</v>
      </c>
      <c r="K41" s="1">
        <v>0</v>
      </c>
      <c r="L41" s="1" t="s">
        <v>23</v>
      </c>
      <c r="M41" s="1" t="str">
        <f t="shared" si="0"/>
        <v>Consistent</v>
      </c>
      <c r="N41" s="1" t="str">
        <f>_xlfn.XLOOKUP(H41, risk_score!A:A, risk_score!B:B, 0)</f>
        <v>Low Risk</v>
      </c>
    </row>
    <row r="42" spans="1:14">
      <c r="A42" s="2">
        <v>0.44206018518518519</v>
      </c>
      <c r="B42" s="3">
        <v>44841</v>
      </c>
      <c r="C42" s="1">
        <v>7669236826</v>
      </c>
      <c r="D42" s="1">
        <v>6044424887</v>
      </c>
      <c r="E42" s="1">
        <v>8560.2800000000007</v>
      </c>
      <c r="F42" s="1" t="s">
        <v>12</v>
      </c>
      <c r="G42" s="1" t="s">
        <v>12</v>
      </c>
      <c r="H42" s="1" t="s">
        <v>13</v>
      </c>
      <c r="I42" s="1" t="s">
        <v>13</v>
      </c>
      <c r="J42" s="1" t="s">
        <v>22</v>
      </c>
      <c r="K42" s="1">
        <v>0</v>
      </c>
      <c r="L42" s="1" t="s">
        <v>19</v>
      </c>
      <c r="M42" s="1" t="str">
        <f t="shared" si="0"/>
        <v>Consistent</v>
      </c>
      <c r="N42" s="1" t="str">
        <f>_xlfn.XLOOKUP(H42, risk_score!A:A, risk_score!B:B, 0)</f>
        <v>Low Risk</v>
      </c>
    </row>
    <row r="43" spans="1:14">
      <c r="A43" s="2">
        <v>0.44207175925925923</v>
      </c>
      <c r="B43" s="3">
        <v>44841</v>
      </c>
      <c r="C43" s="1">
        <v>1008340236</v>
      </c>
      <c r="D43" s="1">
        <v>339701644</v>
      </c>
      <c r="E43" s="1">
        <v>2868.46</v>
      </c>
      <c r="F43" s="1" t="s">
        <v>12</v>
      </c>
      <c r="G43" s="1" t="s">
        <v>26</v>
      </c>
      <c r="H43" s="1" t="s">
        <v>13</v>
      </c>
      <c r="I43" s="1" t="s">
        <v>13</v>
      </c>
      <c r="J43" s="1" t="s">
        <v>25</v>
      </c>
      <c r="K43" s="1">
        <v>0</v>
      </c>
      <c r="L43" s="1" t="s">
        <v>21</v>
      </c>
      <c r="M43" s="1" t="str">
        <f t="shared" si="0"/>
        <v>Potential Layering</v>
      </c>
      <c r="N43" s="1" t="str">
        <f>_xlfn.XLOOKUP(H43, risk_score!A:A, risk_score!B:B, 0)</f>
        <v>Low Risk</v>
      </c>
    </row>
    <row r="44" spans="1:14">
      <c r="A44" s="2">
        <v>0.44208333333333333</v>
      </c>
      <c r="B44" s="3">
        <v>44841</v>
      </c>
      <c r="C44" s="1">
        <v>1445991735</v>
      </c>
      <c r="D44" s="1">
        <v>8941775586</v>
      </c>
      <c r="E44" s="1">
        <v>33322.120000000003</v>
      </c>
      <c r="F44" s="1" t="s">
        <v>12</v>
      </c>
      <c r="G44" s="1" t="s">
        <v>12</v>
      </c>
      <c r="H44" s="1" t="s">
        <v>13</v>
      </c>
      <c r="I44" s="1" t="s">
        <v>13</v>
      </c>
      <c r="J44" s="1" t="s">
        <v>20</v>
      </c>
      <c r="K44" s="1">
        <v>0</v>
      </c>
      <c r="L44" s="1" t="s">
        <v>21</v>
      </c>
      <c r="M44" s="1" t="str">
        <f t="shared" si="0"/>
        <v>Consistent</v>
      </c>
      <c r="N44" s="1" t="str">
        <f>_xlfn.XLOOKUP(H44, risk_score!A:A, risk_score!B:B, 0)</f>
        <v>Low Risk</v>
      </c>
    </row>
    <row r="45" spans="1:14">
      <c r="A45" s="2">
        <v>0.44209490740740742</v>
      </c>
      <c r="B45" s="3">
        <v>44841</v>
      </c>
      <c r="C45" s="1">
        <v>757928908</v>
      </c>
      <c r="D45" s="1">
        <v>6083019593</v>
      </c>
      <c r="E45" s="1">
        <v>1626.05</v>
      </c>
      <c r="F45" s="1" t="s">
        <v>12</v>
      </c>
      <c r="G45" s="1" t="s">
        <v>12</v>
      </c>
      <c r="H45" s="1" t="s">
        <v>13</v>
      </c>
      <c r="I45" s="1" t="s">
        <v>13</v>
      </c>
      <c r="J45" s="1" t="s">
        <v>25</v>
      </c>
      <c r="K45" s="1">
        <v>0</v>
      </c>
      <c r="L45" s="1" t="s">
        <v>24</v>
      </c>
      <c r="M45" s="1" t="str">
        <f t="shared" si="0"/>
        <v>Consistent</v>
      </c>
      <c r="N45" s="1" t="str">
        <f>_xlfn.XLOOKUP(H45, risk_score!A:A, risk_score!B:B, 0)</f>
        <v>Low Risk</v>
      </c>
    </row>
    <row r="46" spans="1:14">
      <c r="A46" s="2">
        <v>0.44218750000000001</v>
      </c>
      <c r="B46" s="3">
        <v>44841</v>
      </c>
      <c r="C46" s="1">
        <v>109525315</v>
      </c>
      <c r="D46" s="1">
        <v>8518184956</v>
      </c>
      <c r="E46" s="1">
        <v>38707.49</v>
      </c>
      <c r="F46" s="1" t="s">
        <v>12</v>
      </c>
      <c r="G46" s="1" t="s">
        <v>12</v>
      </c>
      <c r="H46" s="1" t="s">
        <v>13</v>
      </c>
      <c r="I46" s="1" t="s">
        <v>13</v>
      </c>
      <c r="J46" s="1" t="s">
        <v>25</v>
      </c>
      <c r="K46" s="1">
        <v>0</v>
      </c>
      <c r="L46" s="1" t="s">
        <v>23</v>
      </c>
      <c r="M46" s="1" t="str">
        <f t="shared" si="0"/>
        <v>Consistent</v>
      </c>
      <c r="N46" s="1" t="str">
        <f>_xlfn.XLOOKUP(H46, risk_score!A:A, risk_score!B:B, 0)</f>
        <v>Low Risk</v>
      </c>
    </row>
    <row r="47" spans="1:14">
      <c r="A47" s="2">
        <v>0.44222222222222224</v>
      </c>
      <c r="B47" s="3">
        <v>44841</v>
      </c>
      <c r="C47" s="1">
        <v>3696248769</v>
      </c>
      <c r="D47" s="1">
        <v>3364557136</v>
      </c>
      <c r="E47" s="1">
        <v>327.9</v>
      </c>
      <c r="F47" s="1" t="s">
        <v>12</v>
      </c>
      <c r="G47" s="1" t="s">
        <v>12</v>
      </c>
      <c r="H47" s="1" t="s">
        <v>13</v>
      </c>
      <c r="I47" s="1" t="s">
        <v>13</v>
      </c>
      <c r="J47" s="1" t="s">
        <v>25</v>
      </c>
      <c r="K47" s="1">
        <v>0</v>
      </c>
      <c r="L47" s="1" t="s">
        <v>21</v>
      </c>
      <c r="M47" s="1" t="str">
        <f t="shared" si="0"/>
        <v>Consistent</v>
      </c>
      <c r="N47" s="1" t="str">
        <f>_xlfn.XLOOKUP(H47, risk_score!A:A, risk_score!B:B, 0)</f>
        <v>Low Risk</v>
      </c>
    </row>
    <row r="48" spans="1:14">
      <c r="A48" s="2">
        <v>0.44230324074074073</v>
      </c>
      <c r="B48" s="3">
        <v>44841</v>
      </c>
      <c r="C48" s="1">
        <v>5982914936</v>
      </c>
      <c r="D48" s="1">
        <v>7950918410</v>
      </c>
      <c r="E48" s="1">
        <v>10131.299999999999</v>
      </c>
      <c r="F48" s="1" t="s">
        <v>12</v>
      </c>
      <c r="G48" s="1" t="s">
        <v>12</v>
      </c>
      <c r="H48" s="1" t="s">
        <v>13</v>
      </c>
      <c r="I48" s="1" t="s">
        <v>13</v>
      </c>
      <c r="J48" s="1" t="s">
        <v>22</v>
      </c>
      <c r="K48" s="1">
        <v>0</v>
      </c>
      <c r="L48" s="1" t="s">
        <v>19</v>
      </c>
      <c r="M48" s="1" t="str">
        <f t="shared" si="0"/>
        <v>Consistent</v>
      </c>
      <c r="N48" s="1" t="str">
        <f>_xlfn.XLOOKUP(H48, risk_score!A:A, risk_score!B:B, 0)</f>
        <v>Low Risk</v>
      </c>
    </row>
    <row r="49" spans="1:14">
      <c r="A49" s="2">
        <v>0.44232638888888887</v>
      </c>
      <c r="B49" s="3">
        <v>44841</v>
      </c>
      <c r="C49" s="1">
        <v>7541983570</v>
      </c>
      <c r="D49" s="1">
        <v>3613886607</v>
      </c>
      <c r="E49" s="1">
        <v>2100.7399999999998</v>
      </c>
      <c r="F49" s="1" t="s">
        <v>12</v>
      </c>
      <c r="G49" s="1" t="s">
        <v>12</v>
      </c>
      <c r="H49" s="1" t="s">
        <v>13</v>
      </c>
      <c r="I49" s="1" t="s">
        <v>13</v>
      </c>
      <c r="J49" s="1" t="s">
        <v>22</v>
      </c>
      <c r="K49" s="1">
        <v>0</v>
      </c>
      <c r="L49" s="1" t="s">
        <v>21</v>
      </c>
      <c r="M49" s="1" t="str">
        <f t="shared" si="0"/>
        <v>Consistent</v>
      </c>
      <c r="N49" s="1" t="str">
        <f>_xlfn.XLOOKUP(H49, risk_score!A:A, risk_score!B:B, 0)</f>
        <v>Low Risk</v>
      </c>
    </row>
    <row r="50" spans="1:14">
      <c r="A50" s="2">
        <v>0.44234953703703705</v>
      </c>
      <c r="B50" s="3">
        <v>44841</v>
      </c>
      <c r="C50" s="1">
        <v>6517611333</v>
      </c>
      <c r="D50" s="1">
        <v>7936590626</v>
      </c>
      <c r="E50" s="1">
        <v>10623.2</v>
      </c>
      <c r="F50" s="1" t="s">
        <v>12</v>
      </c>
      <c r="G50" s="1" t="s">
        <v>12</v>
      </c>
      <c r="H50" s="1" t="s">
        <v>13</v>
      </c>
      <c r="I50" s="1" t="s">
        <v>13</v>
      </c>
      <c r="J50" s="1" t="s">
        <v>25</v>
      </c>
      <c r="K50" s="1">
        <v>0</v>
      </c>
      <c r="L50" s="1" t="s">
        <v>21</v>
      </c>
      <c r="M50" s="1" t="str">
        <f t="shared" si="0"/>
        <v>Consistent</v>
      </c>
      <c r="N50" s="1" t="str">
        <f>_xlfn.XLOOKUP(H50, risk_score!A:A, risk_score!B:B, 0)</f>
        <v>Low Risk</v>
      </c>
    </row>
    <row r="51" spans="1:14">
      <c r="A51" s="2">
        <v>0.44241898148148145</v>
      </c>
      <c r="B51" s="3">
        <v>44841</v>
      </c>
      <c r="C51" s="1">
        <v>5896510161</v>
      </c>
      <c r="D51" s="1">
        <v>1377603863</v>
      </c>
      <c r="E51" s="1">
        <v>7603.2</v>
      </c>
      <c r="F51" s="1" t="s">
        <v>12</v>
      </c>
      <c r="G51" s="1" t="s">
        <v>12</v>
      </c>
      <c r="H51" s="1" t="s">
        <v>13</v>
      </c>
      <c r="I51" s="1" t="s">
        <v>13</v>
      </c>
      <c r="J51" s="1" t="s">
        <v>20</v>
      </c>
      <c r="K51" s="1">
        <v>0</v>
      </c>
      <c r="L51" s="1" t="s">
        <v>23</v>
      </c>
      <c r="M51" s="1" t="str">
        <f t="shared" si="0"/>
        <v>Consistent</v>
      </c>
      <c r="N51" s="1" t="str">
        <f>_xlfn.XLOOKUP(H51, risk_score!A:A, risk_score!B:B, 0)</f>
        <v>Low Risk</v>
      </c>
    </row>
    <row r="52" spans="1:14">
      <c r="A52" s="2">
        <v>0.44244212962962964</v>
      </c>
      <c r="B52" s="3">
        <v>44841</v>
      </c>
      <c r="C52" s="1">
        <v>7012967496</v>
      </c>
      <c r="D52" s="1">
        <v>6855935396</v>
      </c>
      <c r="E52" s="1">
        <v>5468.75</v>
      </c>
      <c r="F52" s="1" t="s">
        <v>12</v>
      </c>
      <c r="G52" s="1" t="s">
        <v>12</v>
      </c>
      <c r="H52" s="1" t="s">
        <v>13</v>
      </c>
      <c r="I52" s="1" t="s">
        <v>13</v>
      </c>
      <c r="J52" s="1" t="s">
        <v>25</v>
      </c>
      <c r="K52" s="1">
        <v>0</v>
      </c>
      <c r="L52" s="1" t="s">
        <v>23</v>
      </c>
      <c r="M52" s="1" t="str">
        <f t="shared" si="0"/>
        <v>Consistent</v>
      </c>
      <c r="N52" s="1" t="str">
        <f>_xlfn.XLOOKUP(H52, risk_score!A:A, risk_score!B:B, 0)</f>
        <v>Low Risk</v>
      </c>
    </row>
    <row r="53" spans="1:14">
      <c r="A53" s="2">
        <v>0.44245370370370368</v>
      </c>
      <c r="B53" s="3">
        <v>44841</v>
      </c>
      <c r="C53" s="1">
        <v>8952177221</v>
      </c>
      <c r="D53" s="1">
        <v>6424463145</v>
      </c>
      <c r="E53" s="1">
        <v>12682.06</v>
      </c>
      <c r="F53" s="1" t="s">
        <v>12</v>
      </c>
      <c r="G53" s="1" t="s">
        <v>12</v>
      </c>
      <c r="H53" s="1" t="s">
        <v>13</v>
      </c>
      <c r="I53" s="1" t="s">
        <v>13</v>
      </c>
      <c r="J53" s="1" t="s">
        <v>27</v>
      </c>
      <c r="K53" s="1">
        <v>0</v>
      </c>
      <c r="L53" s="1" t="s">
        <v>19</v>
      </c>
      <c r="M53" s="1" t="str">
        <f t="shared" si="0"/>
        <v>Consistent</v>
      </c>
      <c r="N53" s="1" t="str">
        <f>_xlfn.XLOOKUP(H53, risk_score!A:A, risk_score!B:B, 0)</f>
        <v>Low Risk</v>
      </c>
    </row>
    <row r="54" spans="1:14">
      <c r="A54" s="2">
        <v>0.44247685185185187</v>
      </c>
      <c r="B54" s="3">
        <v>44841</v>
      </c>
      <c r="C54" s="1">
        <v>3452368468</v>
      </c>
      <c r="D54" s="1">
        <v>3828135271</v>
      </c>
      <c r="E54" s="1">
        <v>5594.78</v>
      </c>
      <c r="F54" s="1" t="s">
        <v>12</v>
      </c>
      <c r="G54" s="1" t="s">
        <v>12</v>
      </c>
      <c r="H54" s="1" t="s">
        <v>13</v>
      </c>
      <c r="I54" s="1" t="s">
        <v>13</v>
      </c>
      <c r="J54" s="1" t="s">
        <v>27</v>
      </c>
      <c r="K54" s="1">
        <v>0</v>
      </c>
      <c r="L54" s="1" t="s">
        <v>19</v>
      </c>
      <c r="M54" s="1" t="str">
        <f t="shared" si="0"/>
        <v>Consistent</v>
      </c>
      <c r="N54" s="1" t="str">
        <f>_xlfn.XLOOKUP(H54, risk_score!A:A, risk_score!B:B, 0)</f>
        <v>Low Risk</v>
      </c>
    </row>
    <row r="55" spans="1:14">
      <c r="A55" s="2">
        <v>0.44253472222222223</v>
      </c>
      <c r="B55" s="3">
        <v>44841</v>
      </c>
      <c r="C55" s="1">
        <v>9119143782</v>
      </c>
      <c r="D55" s="1">
        <v>1576773608</v>
      </c>
      <c r="E55" s="1">
        <v>4568.8900000000003</v>
      </c>
      <c r="F55" s="1" t="s">
        <v>12</v>
      </c>
      <c r="G55" s="1" t="s">
        <v>12</v>
      </c>
      <c r="H55" s="1" t="s">
        <v>13</v>
      </c>
      <c r="I55" s="1" t="s">
        <v>13</v>
      </c>
      <c r="J55" s="1" t="s">
        <v>14</v>
      </c>
      <c r="K55" s="1">
        <v>0</v>
      </c>
      <c r="L55" s="1" t="s">
        <v>15</v>
      </c>
      <c r="M55" s="1" t="str">
        <f t="shared" si="0"/>
        <v>Consistent</v>
      </c>
      <c r="N55" s="1" t="str">
        <f>_xlfn.XLOOKUP(H55, risk_score!A:A, risk_score!B:B, 0)</f>
        <v>Low Risk</v>
      </c>
    </row>
    <row r="56" spans="1:14">
      <c r="A56" s="2">
        <v>0.44253472222222223</v>
      </c>
      <c r="B56" s="3">
        <v>44841</v>
      </c>
      <c r="C56" s="1">
        <v>35328673</v>
      </c>
      <c r="D56" s="1">
        <v>1794595555</v>
      </c>
      <c r="E56" s="1">
        <v>652.29</v>
      </c>
      <c r="F56" s="1" t="s">
        <v>12</v>
      </c>
      <c r="G56" s="1" t="s">
        <v>12</v>
      </c>
      <c r="H56" s="1" t="s">
        <v>13</v>
      </c>
      <c r="I56" s="1" t="s">
        <v>13</v>
      </c>
      <c r="J56" s="1" t="s">
        <v>27</v>
      </c>
      <c r="K56" s="1">
        <v>0</v>
      </c>
      <c r="L56" s="1" t="s">
        <v>21</v>
      </c>
      <c r="M56" s="1" t="str">
        <f t="shared" si="0"/>
        <v>Consistent</v>
      </c>
      <c r="N56" s="1" t="str">
        <f>_xlfn.XLOOKUP(H56, risk_score!A:A, risk_score!B:B, 0)</f>
        <v>Low Risk</v>
      </c>
    </row>
    <row r="57" spans="1:14">
      <c r="A57" s="2">
        <v>0.44256944444444446</v>
      </c>
      <c r="B57" s="3">
        <v>44841</v>
      </c>
      <c r="C57" s="1">
        <v>3050015080</v>
      </c>
      <c r="D57" s="1">
        <v>3706844167</v>
      </c>
      <c r="E57" s="1">
        <v>153.80000000000001</v>
      </c>
      <c r="F57" s="1" t="s">
        <v>12</v>
      </c>
      <c r="G57" s="1" t="s">
        <v>12</v>
      </c>
      <c r="H57" s="1" t="s">
        <v>13</v>
      </c>
      <c r="I57" s="1" t="s">
        <v>13</v>
      </c>
      <c r="J57" s="1" t="s">
        <v>36</v>
      </c>
      <c r="K57" s="1">
        <v>0</v>
      </c>
      <c r="L57" s="1" t="s">
        <v>37</v>
      </c>
      <c r="M57" s="1" t="str">
        <f t="shared" si="0"/>
        <v>Consistent</v>
      </c>
      <c r="N57" s="1" t="str">
        <f>_xlfn.XLOOKUP(H57, risk_score!A:A, risk_score!B:B, 0)</f>
        <v>Low Risk</v>
      </c>
    </row>
    <row r="58" spans="1:14">
      <c r="A58" s="2">
        <v>0.4425810185185185</v>
      </c>
      <c r="B58" s="3">
        <v>44841</v>
      </c>
      <c r="C58" s="1">
        <v>8365941229</v>
      </c>
      <c r="D58" s="1">
        <v>6444220418</v>
      </c>
      <c r="E58" s="1">
        <v>8350.59</v>
      </c>
      <c r="F58" s="1" t="s">
        <v>12</v>
      </c>
      <c r="G58" s="1" t="s">
        <v>12</v>
      </c>
      <c r="H58" s="1" t="s">
        <v>13</v>
      </c>
      <c r="I58" s="1" t="s">
        <v>13</v>
      </c>
      <c r="J58" s="1" t="s">
        <v>22</v>
      </c>
      <c r="K58" s="1">
        <v>0</v>
      </c>
      <c r="L58" s="1" t="s">
        <v>23</v>
      </c>
      <c r="M58" s="1" t="str">
        <f t="shared" si="0"/>
        <v>Consistent</v>
      </c>
      <c r="N58" s="1" t="str">
        <f>_xlfn.XLOOKUP(H58, risk_score!A:A, risk_score!B:B, 0)</f>
        <v>Low Risk</v>
      </c>
    </row>
    <row r="59" spans="1:14">
      <c r="A59" s="2">
        <v>0.4425810185185185</v>
      </c>
      <c r="B59" s="3">
        <v>44841</v>
      </c>
      <c r="C59" s="1">
        <v>6979398786</v>
      </c>
      <c r="D59" s="1">
        <v>8494600637</v>
      </c>
      <c r="E59" s="1">
        <v>4911.78</v>
      </c>
      <c r="F59" s="1" t="s">
        <v>12</v>
      </c>
      <c r="G59" s="1" t="s">
        <v>12</v>
      </c>
      <c r="H59" s="1" t="s">
        <v>13</v>
      </c>
      <c r="I59" s="1" t="s">
        <v>13</v>
      </c>
      <c r="J59" s="1" t="s">
        <v>25</v>
      </c>
      <c r="K59" s="1">
        <v>0</v>
      </c>
      <c r="L59" s="1" t="s">
        <v>24</v>
      </c>
      <c r="M59" s="1" t="str">
        <f t="shared" si="0"/>
        <v>Consistent</v>
      </c>
      <c r="N59" s="1" t="str">
        <f>_xlfn.XLOOKUP(H59, risk_score!A:A, risk_score!B:B, 0)</f>
        <v>Low Risk</v>
      </c>
    </row>
    <row r="60" spans="1:14">
      <c r="A60" s="2">
        <v>0.44260416666666669</v>
      </c>
      <c r="B60" s="3">
        <v>44841</v>
      </c>
      <c r="C60" s="1">
        <v>1877205049</v>
      </c>
      <c r="D60" s="1">
        <v>2016944900</v>
      </c>
      <c r="E60" s="1">
        <v>4249.6899999999996</v>
      </c>
      <c r="F60" s="1" t="s">
        <v>12</v>
      </c>
      <c r="G60" s="1" t="s">
        <v>12</v>
      </c>
      <c r="H60" s="1" t="s">
        <v>13</v>
      </c>
      <c r="I60" s="1" t="s">
        <v>13</v>
      </c>
      <c r="J60" s="1" t="s">
        <v>14</v>
      </c>
      <c r="K60" s="1">
        <v>0</v>
      </c>
      <c r="L60" s="1" t="s">
        <v>15</v>
      </c>
      <c r="M60" s="1" t="str">
        <f t="shared" si="0"/>
        <v>Consistent</v>
      </c>
      <c r="N60" s="1" t="str">
        <f>_xlfn.XLOOKUP(H60, risk_score!A:A, risk_score!B:B, 0)</f>
        <v>Low Risk</v>
      </c>
    </row>
    <row r="61" spans="1:14">
      <c r="A61" s="2">
        <v>0.44262731481481482</v>
      </c>
      <c r="B61" s="3">
        <v>44841</v>
      </c>
      <c r="C61" s="1">
        <v>2206902878</v>
      </c>
      <c r="D61" s="1">
        <v>5109623450</v>
      </c>
      <c r="E61" s="1">
        <v>9831.65</v>
      </c>
      <c r="F61" s="1" t="s">
        <v>12</v>
      </c>
      <c r="G61" s="1" t="s">
        <v>12</v>
      </c>
      <c r="H61" s="1" t="s">
        <v>13</v>
      </c>
      <c r="I61" s="1" t="s">
        <v>13</v>
      </c>
      <c r="J61" s="1" t="s">
        <v>27</v>
      </c>
      <c r="K61" s="1">
        <v>0</v>
      </c>
      <c r="L61" s="1" t="s">
        <v>23</v>
      </c>
      <c r="M61" s="1" t="str">
        <f t="shared" si="0"/>
        <v>Consistent</v>
      </c>
      <c r="N61" s="1" t="str">
        <f>_xlfn.XLOOKUP(H61, risk_score!A:A, risk_score!B:B, 0)</f>
        <v>Low Risk</v>
      </c>
    </row>
    <row r="62" spans="1:14">
      <c r="A62" s="2">
        <v>0.44267361111111109</v>
      </c>
      <c r="B62" s="3">
        <v>44841</v>
      </c>
      <c r="C62" s="1">
        <v>512171500</v>
      </c>
      <c r="D62" s="1">
        <v>8669661419</v>
      </c>
      <c r="E62" s="1">
        <v>614.89</v>
      </c>
      <c r="F62" s="1" t="s">
        <v>12</v>
      </c>
      <c r="G62" s="1" t="s">
        <v>12</v>
      </c>
      <c r="H62" s="1" t="s">
        <v>13</v>
      </c>
      <c r="I62" s="1" t="s">
        <v>13</v>
      </c>
      <c r="J62" s="1" t="s">
        <v>27</v>
      </c>
      <c r="K62" s="1">
        <v>0</v>
      </c>
      <c r="L62" s="1" t="s">
        <v>21</v>
      </c>
      <c r="M62" s="1" t="str">
        <f t="shared" si="0"/>
        <v>Consistent</v>
      </c>
      <c r="N62" s="1" t="str">
        <f>_xlfn.XLOOKUP(H62, risk_score!A:A, risk_score!B:B, 0)</f>
        <v>Low Risk</v>
      </c>
    </row>
    <row r="63" spans="1:14">
      <c r="A63" s="2">
        <v>0.44269675925925928</v>
      </c>
      <c r="B63" s="3">
        <v>44841</v>
      </c>
      <c r="C63" s="1">
        <v>2797271466</v>
      </c>
      <c r="D63" s="1">
        <v>5914713322</v>
      </c>
      <c r="E63" s="1">
        <v>10918.76</v>
      </c>
      <c r="F63" s="1" t="s">
        <v>12</v>
      </c>
      <c r="G63" s="1" t="s">
        <v>12</v>
      </c>
      <c r="H63" s="1" t="s">
        <v>13</v>
      </c>
      <c r="I63" s="1" t="s">
        <v>13</v>
      </c>
      <c r="J63" s="1" t="s">
        <v>27</v>
      </c>
      <c r="K63" s="1">
        <v>0</v>
      </c>
      <c r="L63" s="1" t="s">
        <v>19</v>
      </c>
      <c r="M63" s="1" t="str">
        <f t="shared" si="0"/>
        <v>Consistent</v>
      </c>
      <c r="N63" s="1" t="str">
        <f>_xlfn.XLOOKUP(H63, risk_score!A:A, risk_score!B:B, 0)</f>
        <v>Low Risk</v>
      </c>
    </row>
    <row r="64" spans="1:14">
      <c r="A64" s="2">
        <v>0.44270833333333331</v>
      </c>
      <c r="B64" s="3">
        <v>44841</v>
      </c>
      <c r="C64" s="1">
        <v>3967122805</v>
      </c>
      <c r="D64" s="1">
        <v>1493436023</v>
      </c>
      <c r="E64" s="1">
        <v>5300.52</v>
      </c>
      <c r="F64" s="1" t="s">
        <v>12</v>
      </c>
      <c r="G64" s="1" t="s">
        <v>12</v>
      </c>
      <c r="H64" s="1" t="s">
        <v>13</v>
      </c>
      <c r="I64" s="1" t="s">
        <v>13</v>
      </c>
      <c r="J64" s="1" t="s">
        <v>20</v>
      </c>
      <c r="K64" s="1">
        <v>0</v>
      </c>
      <c r="L64" s="1" t="s">
        <v>23</v>
      </c>
      <c r="M64" s="1" t="str">
        <f t="shared" si="0"/>
        <v>Consistent</v>
      </c>
      <c r="N64" s="1" t="str">
        <f>_xlfn.XLOOKUP(H64, risk_score!A:A, risk_score!B:B, 0)</f>
        <v>Low Risk</v>
      </c>
    </row>
    <row r="65" spans="1:14">
      <c r="A65" s="2">
        <v>0.44276620370370373</v>
      </c>
      <c r="B65" s="3">
        <v>44841</v>
      </c>
      <c r="C65" s="1">
        <v>8456279067</v>
      </c>
      <c r="D65" s="1">
        <v>4358275767</v>
      </c>
      <c r="E65" s="1">
        <v>13106.42</v>
      </c>
      <c r="F65" s="1" t="s">
        <v>12</v>
      </c>
      <c r="G65" s="1" t="s">
        <v>12</v>
      </c>
      <c r="H65" s="1" t="s">
        <v>13</v>
      </c>
      <c r="I65" s="1" t="s">
        <v>13</v>
      </c>
      <c r="J65" s="1" t="s">
        <v>22</v>
      </c>
      <c r="K65" s="1">
        <v>0</v>
      </c>
      <c r="L65" s="1" t="s">
        <v>19</v>
      </c>
      <c r="M65" s="1" t="str">
        <f t="shared" si="0"/>
        <v>Consistent</v>
      </c>
      <c r="N65" s="1" t="str">
        <f>_xlfn.XLOOKUP(H65, risk_score!A:A, risk_score!B:B, 0)</f>
        <v>Low Risk</v>
      </c>
    </row>
    <row r="66" spans="1:14">
      <c r="A66" s="2">
        <v>0.44283564814814813</v>
      </c>
      <c r="B66" s="3">
        <v>44841</v>
      </c>
      <c r="C66" s="1">
        <v>7189128119</v>
      </c>
      <c r="D66" s="1">
        <v>4344504728</v>
      </c>
      <c r="E66" s="1">
        <v>17651.63</v>
      </c>
      <c r="F66" s="1" t="s">
        <v>12</v>
      </c>
      <c r="G66" s="1" t="s">
        <v>12</v>
      </c>
      <c r="H66" s="1" t="s">
        <v>13</v>
      </c>
      <c r="I66" s="1" t="s">
        <v>13</v>
      </c>
      <c r="J66" s="1" t="s">
        <v>25</v>
      </c>
      <c r="K66" s="1">
        <v>0</v>
      </c>
      <c r="L66" s="1" t="s">
        <v>21</v>
      </c>
      <c r="M66" s="1" t="str">
        <f t="shared" si="0"/>
        <v>Consistent</v>
      </c>
      <c r="N66" s="1" t="str">
        <f>_xlfn.XLOOKUP(H66, risk_score!A:A, risk_score!B:B, 0)</f>
        <v>Low Risk</v>
      </c>
    </row>
    <row r="67" spans="1:14">
      <c r="A67" s="2">
        <v>0.44284722222222223</v>
      </c>
      <c r="B67" s="3">
        <v>44841</v>
      </c>
      <c r="C67" s="1">
        <v>1294695860</v>
      </c>
      <c r="D67" s="1">
        <v>5951743151</v>
      </c>
      <c r="E67" s="1">
        <v>5795.55</v>
      </c>
      <c r="F67" s="1" t="s">
        <v>12</v>
      </c>
      <c r="G67" s="1" t="s">
        <v>12</v>
      </c>
      <c r="H67" s="1" t="s">
        <v>13</v>
      </c>
      <c r="I67" s="1" t="s">
        <v>13</v>
      </c>
      <c r="J67" s="1" t="s">
        <v>25</v>
      </c>
      <c r="K67" s="1">
        <v>0</v>
      </c>
      <c r="L67" s="1" t="s">
        <v>21</v>
      </c>
      <c r="M67" s="1" t="str">
        <f t="shared" ref="M67:M130" si="1">IF(F67=G67, "Consistent", "Potential Layering")</f>
        <v>Consistent</v>
      </c>
      <c r="N67" s="1" t="str">
        <f>_xlfn.XLOOKUP(H67, risk_score!A:A, risk_score!B:B, 0)</f>
        <v>Low Risk</v>
      </c>
    </row>
    <row r="68" spans="1:14">
      <c r="A68" s="2">
        <v>0.44288194444444445</v>
      </c>
      <c r="B68" s="3">
        <v>44841</v>
      </c>
      <c r="C68" s="1">
        <v>8695107817</v>
      </c>
      <c r="D68" s="1">
        <v>2532987287</v>
      </c>
      <c r="E68" s="1">
        <v>1334.75</v>
      </c>
      <c r="F68" s="1" t="s">
        <v>12</v>
      </c>
      <c r="G68" s="1" t="s">
        <v>12</v>
      </c>
      <c r="H68" s="1" t="s">
        <v>13</v>
      </c>
      <c r="I68" s="1" t="s">
        <v>13</v>
      </c>
      <c r="J68" s="1" t="s">
        <v>25</v>
      </c>
      <c r="K68" s="1">
        <v>0</v>
      </c>
      <c r="L68" s="1" t="s">
        <v>21</v>
      </c>
      <c r="M68" s="1" t="str">
        <f t="shared" si="1"/>
        <v>Consistent</v>
      </c>
      <c r="N68" s="1" t="str">
        <f>_xlfn.XLOOKUP(H68, risk_score!A:A, risk_score!B:B, 0)</f>
        <v>Low Risk</v>
      </c>
    </row>
    <row r="69" spans="1:14">
      <c r="A69" s="2">
        <v>0.44292824074074072</v>
      </c>
      <c r="B69" s="3">
        <v>44841</v>
      </c>
      <c r="C69" s="1">
        <v>6949764034</v>
      </c>
      <c r="D69" s="1">
        <v>1612314007</v>
      </c>
      <c r="E69" s="1">
        <v>14303.33</v>
      </c>
      <c r="F69" s="1" t="s">
        <v>12</v>
      </c>
      <c r="G69" s="1" t="s">
        <v>12</v>
      </c>
      <c r="H69" s="1" t="s">
        <v>13</v>
      </c>
      <c r="I69" s="1" t="s">
        <v>13</v>
      </c>
      <c r="J69" s="1" t="s">
        <v>25</v>
      </c>
      <c r="K69" s="1">
        <v>0</v>
      </c>
      <c r="L69" s="1" t="s">
        <v>38</v>
      </c>
      <c r="M69" s="1" t="str">
        <f t="shared" si="1"/>
        <v>Consistent</v>
      </c>
      <c r="N69" s="1" t="str">
        <f>_xlfn.XLOOKUP(H69, risk_score!A:A, risk_score!B:B, 0)</f>
        <v>Low Risk</v>
      </c>
    </row>
    <row r="70" spans="1:14">
      <c r="A70" s="2">
        <v>0.44293981481481481</v>
      </c>
      <c r="B70" s="3">
        <v>44841</v>
      </c>
      <c r="C70" s="1">
        <v>3510078932</v>
      </c>
      <c r="D70" s="1">
        <v>8722924810</v>
      </c>
      <c r="E70" s="1">
        <v>8067.61</v>
      </c>
      <c r="F70" s="1" t="s">
        <v>12</v>
      </c>
      <c r="G70" s="1" t="s">
        <v>39</v>
      </c>
      <c r="H70" s="1" t="s">
        <v>13</v>
      </c>
      <c r="I70" s="1" t="s">
        <v>40</v>
      </c>
      <c r="J70" s="1" t="s">
        <v>18</v>
      </c>
      <c r="K70" s="1">
        <v>0</v>
      </c>
      <c r="L70" s="1" t="s">
        <v>19</v>
      </c>
      <c r="M70" s="1" t="str">
        <f t="shared" si="1"/>
        <v>Potential Layering</v>
      </c>
      <c r="N70" s="1" t="str">
        <f>_xlfn.XLOOKUP(H70, risk_score!A:A, risk_score!B:B, 0)</f>
        <v>Low Risk</v>
      </c>
    </row>
    <row r="71" spans="1:14">
      <c r="A71" s="2">
        <v>0.44300925925925927</v>
      </c>
      <c r="B71" s="3">
        <v>44841</v>
      </c>
      <c r="C71" s="1">
        <v>7758268667</v>
      </c>
      <c r="D71" s="1">
        <v>4389103342</v>
      </c>
      <c r="E71" s="1">
        <v>9354.8700000000008</v>
      </c>
      <c r="F71" s="1" t="s">
        <v>12</v>
      </c>
      <c r="G71" s="1" t="s">
        <v>12</v>
      </c>
      <c r="H71" s="1" t="s">
        <v>13</v>
      </c>
      <c r="I71" s="1" t="s">
        <v>13</v>
      </c>
      <c r="J71" s="1" t="s">
        <v>27</v>
      </c>
      <c r="K71" s="1">
        <v>0</v>
      </c>
      <c r="L71" s="1" t="s">
        <v>19</v>
      </c>
      <c r="M71" s="1" t="str">
        <f t="shared" si="1"/>
        <v>Consistent</v>
      </c>
      <c r="N71" s="1" t="str">
        <f>_xlfn.XLOOKUP(H71, risk_score!A:A, risk_score!B:B, 0)</f>
        <v>Low Risk</v>
      </c>
    </row>
    <row r="72" spans="1:14">
      <c r="A72" s="2">
        <v>0.44306712962962963</v>
      </c>
      <c r="B72" s="3">
        <v>44841</v>
      </c>
      <c r="C72" s="1">
        <v>4036316426</v>
      </c>
      <c r="D72" s="1">
        <v>7643602388</v>
      </c>
      <c r="E72" s="1">
        <v>7377.8</v>
      </c>
      <c r="F72" s="1" t="s">
        <v>12</v>
      </c>
      <c r="G72" s="1" t="s">
        <v>12</v>
      </c>
      <c r="H72" s="1" t="s">
        <v>13</v>
      </c>
      <c r="I72" s="1" t="s">
        <v>13</v>
      </c>
      <c r="J72" s="1" t="s">
        <v>22</v>
      </c>
      <c r="K72" s="1">
        <v>0</v>
      </c>
      <c r="L72" s="1" t="s">
        <v>21</v>
      </c>
      <c r="M72" s="1" t="str">
        <f t="shared" si="1"/>
        <v>Consistent</v>
      </c>
      <c r="N72" s="1" t="str">
        <f>_xlfn.XLOOKUP(H72, risk_score!A:A, risk_score!B:B, 0)</f>
        <v>Low Risk</v>
      </c>
    </row>
    <row r="73" spans="1:14">
      <c r="A73" s="2">
        <v>0.44307870370370372</v>
      </c>
      <c r="B73" s="3">
        <v>44841</v>
      </c>
      <c r="C73" s="1">
        <v>6431038386</v>
      </c>
      <c r="D73" s="1">
        <v>4336977506</v>
      </c>
      <c r="E73" s="1">
        <v>12831.3</v>
      </c>
      <c r="F73" s="1" t="s">
        <v>12</v>
      </c>
      <c r="G73" s="1" t="s">
        <v>12</v>
      </c>
      <c r="H73" s="1" t="s">
        <v>13</v>
      </c>
      <c r="I73" s="1" t="s">
        <v>13</v>
      </c>
      <c r="J73" s="1" t="s">
        <v>20</v>
      </c>
      <c r="K73" s="1">
        <v>0</v>
      </c>
      <c r="L73" s="1" t="s">
        <v>23</v>
      </c>
      <c r="M73" s="1" t="str">
        <f t="shared" si="1"/>
        <v>Consistent</v>
      </c>
      <c r="N73" s="1" t="str">
        <f>_xlfn.XLOOKUP(H73, risk_score!A:A, risk_score!B:B, 0)</f>
        <v>Low Risk</v>
      </c>
    </row>
    <row r="74" spans="1:14">
      <c r="A74" s="2">
        <v>0.44307870370370372</v>
      </c>
      <c r="B74" s="3">
        <v>44841</v>
      </c>
      <c r="C74" s="1">
        <v>4339554565</v>
      </c>
      <c r="D74" s="1">
        <v>6061705491</v>
      </c>
      <c r="E74" s="1">
        <v>1360.82</v>
      </c>
      <c r="F74" s="1" t="s">
        <v>12</v>
      </c>
      <c r="G74" s="1" t="s">
        <v>12</v>
      </c>
      <c r="H74" s="1" t="s">
        <v>13</v>
      </c>
      <c r="I74" s="1" t="s">
        <v>13</v>
      </c>
      <c r="J74" s="1" t="s">
        <v>25</v>
      </c>
      <c r="K74" s="1">
        <v>0</v>
      </c>
      <c r="L74" s="1" t="s">
        <v>21</v>
      </c>
      <c r="M74" s="1" t="str">
        <f t="shared" si="1"/>
        <v>Consistent</v>
      </c>
      <c r="N74" s="1" t="str">
        <f>_xlfn.XLOOKUP(H74, risk_score!A:A, risk_score!B:B, 0)</f>
        <v>Low Risk</v>
      </c>
    </row>
    <row r="75" spans="1:14">
      <c r="A75" s="2">
        <v>0.44310185185185186</v>
      </c>
      <c r="B75" s="3">
        <v>44841</v>
      </c>
      <c r="C75" s="1">
        <v>1710329832</v>
      </c>
      <c r="D75" s="1">
        <v>8172080174</v>
      </c>
      <c r="E75" s="1">
        <v>5308.47</v>
      </c>
      <c r="F75" s="1" t="s">
        <v>12</v>
      </c>
      <c r="G75" s="1" t="s">
        <v>12</v>
      </c>
      <c r="H75" s="1" t="s">
        <v>13</v>
      </c>
      <c r="I75" s="1" t="s">
        <v>13</v>
      </c>
      <c r="J75" s="1" t="s">
        <v>25</v>
      </c>
      <c r="K75" s="1">
        <v>0</v>
      </c>
      <c r="L75" s="1" t="s">
        <v>23</v>
      </c>
      <c r="M75" s="1" t="str">
        <f t="shared" si="1"/>
        <v>Consistent</v>
      </c>
      <c r="N75" s="1" t="str">
        <f>_xlfn.XLOOKUP(H75, risk_score!A:A, risk_score!B:B, 0)</f>
        <v>Low Risk</v>
      </c>
    </row>
    <row r="76" spans="1:14">
      <c r="A76" s="2">
        <v>0.44313657407407409</v>
      </c>
      <c r="B76" s="3">
        <v>44841</v>
      </c>
      <c r="C76" s="1">
        <v>7402947955</v>
      </c>
      <c r="D76" s="1">
        <v>1462289205</v>
      </c>
      <c r="E76" s="1">
        <v>5536.81</v>
      </c>
      <c r="F76" s="1" t="s">
        <v>12</v>
      </c>
      <c r="G76" s="1" t="s">
        <v>12</v>
      </c>
      <c r="H76" s="1" t="s">
        <v>13</v>
      </c>
      <c r="I76" s="1" t="s">
        <v>13</v>
      </c>
      <c r="J76" s="1" t="s">
        <v>22</v>
      </c>
      <c r="K76" s="1">
        <v>0</v>
      </c>
      <c r="L76" s="1" t="s">
        <v>21</v>
      </c>
      <c r="M76" s="1" t="str">
        <f t="shared" si="1"/>
        <v>Consistent</v>
      </c>
      <c r="N76" s="1" t="str">
        <f>_xlfn.XLOOKUP(H76, risk_score!A:A, risk_score!B:B, 0)</f>
        <v>Low Risk</v>
      </c>
    </row>
    <row r="77" spans="1:14">
      <c r="A77" s="2">
        <v>0.44313657407407409</v>
      </c>
      <c r="B77" s="3">
        <v>44841</v>
      </c>
      <c r="C77" s="1">
        <v>2939856893</v>
      </c>
      <c r="D77" s="1">
        <v>2633911782</v>
      </c>
      <c r="E77" s="1">
        <v>2563.16</v>
      </c>
      <c r="F77" s="1" t="s">
        <v>12</v>
      </c>
      <c r="G77" s="1" t="s">
        <v>12</v>
      </c>
      <c r="H77" s="1" t="s">
        <v>13</v>
      </c>
      <c r="I77" s="1" t="s">
        <v>13</v>
      </c>
      <c r="J77" s="1" t="s">
        <v>22</v>
      </c>
      <c r="K77" s="1">
        <v>0</v>
      </c>
      <c r="L77" s="1" t="s">
        <v>21</v>
      </c>
      <c r="M77" s="1" t="str">
        <f t="shared" si="1"/>
        <v>Consistent</v>
      </c>
      <c r="N77" s="1" t="str">
        <f>_xlfn.XLOOKUP(H77, risk_score!A:A, risk_score!B:B, 0)</f>
        <v>Low Risk</v>
      </c>
    </row>
    <row r="78" spans="1:14">
      <c r="A78" s="2">
        <v>0.44315972222222222</v>
      </c>
      <c r="B78" s="3">
        <v>44841</v>
      </c>
      <c r="C78" s="1">
        <v>7758268667</v>
      </c>
      <c r="D78" s="1">
        <v>9940921949</v>
      </c>
      <c r="E78" s="1">
        <v>9099.99</v>
      </c>
      <c r="F78" s="1" t="s">
        <v>12</v>
      </c>
      <c r="G78" s="1" t="s">
        <v>12</v>
      </c>
      <c r="H78" s="1" t="s">
        <v>13</v>
      </c>
      <c r="I78" s="1" t="s">
        <v>13</v>
      </c>
      <c r="J78" s="1" t="s">
        <v>25</v>
      </c>
      <c r="K78" s="1">
        <v>0</v>
      </c>
      <c r="L78" s="1" t="s">
        <v>19</v>
      </c>
      <c r="M78" s="1" t="str">
        <f t="shared" si="1"/>
        <v>Consistent</v>
      </c>
      <c r="N78" s="1" t="str">
        <f>_xlfn.XLOOKUP(H78, risk_score!A:A, risk_score!B:B, 0)</f>
        <v>Low Risk</v>
      </c>
    </row>
    <row r="79" spans="1:14">
      <c r="A79" s="2">
        <v>0.44320601851851854</v>
      </c>
      <c r="B79" s="3">
        <v>44841</v>
      </c>
      <c r="C79" s="1">
        <v>2797271466</v>
      </c>
      <c r="D79" s="1">
        <v>4528663768</v>
      </c>
      <c r="E79" s="1">
        <v>7369.79</v>
      </c>
      <c r="F79" s="1" t="s">
        <v>12</v>
      </c>
      <c r="G79" s="1" t="s">
        <v>12</v>
      </c>
      <c r="H79" s="1" t="s">
        <v>13</v>
      </c>
      <c r="I79" s="1" t="s">
        <v>13</v>
      </c>
      <c r="J79" s="1" t="s">
        <v>25</v>
      </c>
      <c r="K79" s="1">
        <v>0</v>
      </c>
      <c r="L79" s="1" t="s">
        <v>19</v>
      </c>
      <c r="M79" s="1" t="str">
        <f t="shared" si="1"/>
        <v>Consistent</v>
      </c>
      <c r="N79" s="1" t="str">
        <f>_xlfn.XLOOKUP(H79, risk_score!A:A, risk_score!B:B, 0)</f>
        <v>Low Risk</v>
      </c>
    </row>
    <row r="80" spans="1:14">
      <c r="A80" s="2">
        <v>0.44324074074074077</v>
      </c>
      <c r="B80" s="3">
        <v>44841</v>
      </c>
      <c r="C80" s="1">
        <v>3168051873</v>
      </c>
      <c r="D80" s="1">
        <v>999810092</v>
      </c>
      <c r="E80" s="1">
        <v>11367.9</v>
      </c>
      <c r="F80" s="1" t="s">
        <v>12</v>
      </c>
      <c r="G80" s="1" t="s">
        <v>12</v>
      </c>
      <c r="H80" s="1" t="s">
        <v>13</v>
      </c>
      <c r="I80" s="1" t="s">
        <v>13</v>
      </c>
      <c r="J80" s="1" t="s">
        <v>22</v>
      </c>
      <c r="K80" s="1">
        <v>0</v>
      </c>
      <c r="L80" s="1" t="s">
        <v>19</v>
      </c>
      <c r="M80" s="1" t="str">
        <f t="shared" si="1"/>
        <v>Consistent</v>
      </c>
      <c r="N80" s="1" t="str">
        <f>_xlfn.XLOOKUP(H80, risk_score!A:A, risk_score!B:B, 0)</f>
        <v>Low Risk</v>
      </c>
    </row>
    <row r="81" spans="1:14">
      <c r="A81" s="2">
        <v>0.44327546296296294</v>
      </c>
      <c r="B81" s="3">
        <v>44841</v>
      </c>
      <c r="C81" s="1">
        <v>4712930207</v>
      </c>
      <c r="D81" s="1">
        <v>1493436023</v>
      </c>
      <c r="E81" s="1">
        <v>13408.68</v>
      </c>
      <c r="F81" s="1" t="s">
        <v>12</v>
      </c>
      <c r="G81" s="1" t="s">
        <v>12</v>
      </c>
      <c r="H81" s="1" t="s">
        <v>13</v>
      </c>
      <c r="I81" s="1" t="s">
        <v>13</v>
      </c>
      <c r="J81" s="1" t="s">
        <v>20</v>
      </c>
      <c r="K81" s="1">
        <v>0</v>
      </c>
      <c r="L81" s="1" t="s">
        <v>23</v>
      </c>
      <c r="M81" s="1" t="str">
        <f t="shared" si="1"/>
        <v>Consistent</v>
      </c>
      <c r="N81" s="1" t="str">
        <f>_xlfn.XLOOKUP(H81, risk_score!A:A, risk_score!B:B, 0)</f>
        <v>Low Risk</v>
      </c>
    </row>
    <row r="82" spans="1:14">
      <c r="A82" s="2">
        <v>0.44328703703703703</v>
      </c>
      <c r="B82" s="3">
        <v>44841</v>
      </c>
      <c r="C82" s="1">
        <v>8188003704</v>
      </c>
      <c r="D82" s="1">
        <v>6983898031</v>
      </c>
      <c r="E82" s="1">
        <v>20662.11</v>
      </c>
      <c r="F82" s="1" t="s">
        <v>12</v>
      </c>
      <c r="G82" s="1" t="s">
        <v>12</v>
      </c>
      <c r="H82" s="1" t="s">
        <v>13</v>
      </c>
      <c r="I82" s="1" t="s">
        <v>13</v>
      </c>
      <c r="J82" s="1" t="s">
        <v>27</v>
      </c>
      <c r="K82" s="1">
        <v>0</v>
      </c>
      <c r="L82" s="1" t="s">
        <v>21</v>
      </c>
      <c r="M82" s="1" t="str">
        <f t="shared" si="1"/>
        <v>Consistent</v>
      </c>
      <c r="N82" s="1" t="str">
        <f>_xlfn.XLOOKUP(H82, risk_score!A:A, risk_score!B:B, 0)</f>
        <v>Low Risk</v>
      </c>
    </row>
    <row r="83" spans="1:14">
      <c r="A83" s="2">
        <v>0.44333333333333336</v>
      </c>
      <c r="B83" s="3">
        <v>44841</v>
      </c>
      <c r="C83" s="1">
        <v>6375216043</v>
      </c>
      <c r="D83" s="1">
        <v>3466136919</v>
      </c>
      <c r="E83" s="1">
        <v>333.17</v>
      </c>
      <c r="F83" s="1" t="s">
        <v>12</v>
      </c>
      <c r="G83" s="1" t="s">
        <v>12</v>
      </c>
      <c r="H83" s="1" t="s">
        <v>13</v>
      </c>
      <c r="I83" s="1" t="s">
        <v>13</v>
      </c>
      <c r="J83" s="1" t="s">
        <v>20</v>
      </c>
      <c r="K83" s="1">
        <v>0</v>
      </c>
      <c r="L83" s="1" t="s">
        <v>21</v>
      </c>
      <c r="M83" s="1" t="str">
        <f t="shared" si="1"/>
        <v>Consistent</v>
      </c>
      <c r="N83" s="1" t="str">
        <f>_xlfn.XLOOKUP(H83, risk_score!A:A, risk_score!B:B, 0)</f>
        <v>Low Risk</v>
      </c>
    </row>
    <row r="84" spans="1:14">
      <c r="A84" s="2">
        <v>0.4433449074074074</v>
      </c>
      <c r="B84" s="3">
        <v>44841</v>
      </c>
      <c r="C84" s="1">
        <v>3139337800</v>
      </c>
      <c r="D84" s="1">
        <v>8817936053</v>
      </c>
      <c r="E84" s="1">
        <v>3223.47</v>
      </c>
      <c r="F84" s="1" t="s">
        <v>12</v>
      </c>
      <c r="G84" s="1" t="s">
        <v>12</v>
      </c>
      <c r="H84" s="1" t="s">
        <v>13</v>
      </c>
      <c r="I84" s="1" t="s">
        <v>13</v>
      </c>
      <c r="J84" s="1" t="s">
        <v>22</v>
      </c>
      <c r="K84" s="1">
        <v>0</v>
      </c>
      <c r="L84" s="1" t="s">
        <v>41</v>
      </c>
      <c r="M84" s="1" t="str">
        <f t="shared" si="1"/>
        <v>Consistent</v>
      </c>
      <c r="N84" s="1" t="str">
        <f>_xlfn.XLOOKUP(H84, risk_score!A:A, risk_score!B:B, 0)</f>
        <v>Low Risk</v>
      </c>
    </row>
    <row r="85" spans="1:14">
      <c r="A85" s="2">
        <v>0.44337962962962962</v>
      </c>
      <c r="B85" s="3">
        <v>44841</v>
      </c>
      <c r="C85" s="1">
        <v>3137540462</v>
      </c>
      <c r="D85" s="1">
        <v>5061861850</v>
      </c>
      <c r="E85" s="1">
        <v>734.2</v>
      </c>
      <c r="F85" s="1" t="s">
        <v>12</v>
      </c>
      <c r="G85" s="1" t="s">
        <v>12</v>
      </c>
      <c r="H85" s="1" t="s">
        <v>13</v>
      </c>
      <c r="I85" s="1" t="s">
        <v>13</v>
      </c>
      <c r="J85" s="1" t="s">
        <v>14</v>
      </c>
      <c r="K85" s="1">
        <v>0</v>
      </c>
      <c r="L85" s="1" t="s">
        <v>15</v>
      </c>
      <c r="M85" s="1" t="str">
        <f t="shared" si="1"/>
        <v>Consistent</v>
      </c>
      <c r="N85" s="1" t="str">
        <f>_xlfn.XLOOKUP(H85, risk_score!A:A, risk_score!B:B, 0)</f>
        <v>Low Risk</v>
      </c>
    </row>
    <row r="86" spans="1:14">
      <c r="A86" s="2">
        <v>0.44339120370370372</v>
      </c>
      <c r="B86" s="3">
        <v>44841</v>
      </c>
      <c r="C86" s="1">
        <v>5021785800</v>
      </c>
      <c r="D86" s="1">
        <v>737679962</v>
      </c>
      <c r="E86" s="1">
        <v>4542.4399999999996</v>
      </c>
      <c r="F86" s="1" t="s">
        <v>12</v>
      </c>
      <c r="G86" s="1" t="s">
        <v>12</v>
      </c>
      <c r="H86" s="1" t="s">
        <v>13</v>
      </c>
      <c r="I86" s="1" t="s">
        <v>13</v>
      </c>
      <c r="J86" s="1" t="s">
        <v>20</v>
      </c>
      <c r="K86" s="1">
        <v>0</v>
      </c>
      <c r="L86" s="1" t="s">
        <v>19</v>
      </c>
      <c r="M86" s="1" t="str">
        <f t="shared" si="1"/>
        <v>Consistent</v>
      </c>
      <c r="N86" s="1" t="str">
        <f>_xlfn.XLOOKUP(H86, risk_score!A:A, risk_score!B:B, 0)</f>
        <v>Low Risk</v>
      </c>
    </row>
    <row r="87" spans="1:14">
      <c r="A87" s="2">
        <v>0.44341435185185185</v>
      </c>
      <c r="B87" s="3">
        <v>44841</v>
      </c>
      <c r="C87" s="1">
        <v>1429354049</v>
      </c>
      <c r="D87" s="1">
        <v>4702471426</v>
      </c>
      <c r="E87" s="1">
        <v>284.79000000000002</v>
      </c>
      <c r="F87" s="1" t="s">
        <v>12</v>
      </c>
      <c r="G87" s="1" t="s">
        <v>12</v>
      </c>
      <c r="H87" s="1" t="s">
        <v>13</v>
      </c>
      <c r="I87" s="1" t="s">
        <v>13</v>
      </c>
      <c r="J87" s="1" t="s">
        <v>22</v>
      </c>
      <c r="K87" s="1">
        <v>0</v>
      </c>
      <c r="L87" s="1" t="s">
        <v>21</v>
      </c>
      <c r="M87" s="1" t="str">
        <f t="shared" si="1"/>
        <v>Consistent</v>
      </c>
      <c r="N87" s="1" t="str">
        <f>_xlfn.XLOOKUP(H87, risk_score!A:A, risk_score!B:B, 0)</f>
        <v>Low Risk</v>
      </c>
    </row>
    <row r="88" spans="1:14">
      <c r="A88" s="2">
        <v>0.44341435185185185</v>
      </c>
      <c r="B88" s="3">
        <v>44841</v>
      </c>
      <c r="C88" s="1">
        <v>3486760473</v>
      </c>
      <c r="D88" s="1">
        <v>8468601858</v>
      </c>
      <c r="E88" s="1">
        <v>1485.01</v>
      </c>
      <c r="F88" s="1" t="s">
        <v>12</v>
      </c>
      <c r="G88" s="1" t="s">
        <v>12</v>
      </c>
      <c r="H88" s="1" t="s">
        <v>13</v>
      </c>
      <c r="I88" s="1" t="s">
        <v>13</v>
      </c>
      <c r="J88" s="1" t="s">
        <v>25</v>
      </c>
      <c r="K88" s="1">
        <v>0</v>
      </c>
      <c r="L88" s="1" t="s">
        <v>21</v>
      </c>
      <c r="M88" s="1" t="str">
        <f t="shared" si="1"/>
        <v>Consistent</v>
      </c>
      <c r="N88" s="1" t="str">
        <f>_xlfn.XLOOKUP(H88, risk_score!A:A, risk_score!B:B, 0)</f>
        <v>Low Risk</v>
      </c>
    </row>
    <row r="89" spans="1:14">
      <c r="A89" s="2">
        <v>0.44341435185185185</v>
      </c>
      <c r="B89" s="3">
        <v>44841</v>
      </c>
      <c r="C89" s="1">
        <v>5811321937</v>
      </c>
      <c r="D89" s="1">
        <v>2032222230</v>
      </c>
      <c r="E89" s="1">
        <v>241.18</v>
      </c>
      <c r="F89" s="1" t="s">
        <v>12</v>
      </c>
      <c r="G89" s="1" t="s">
        <v>12</v>
      </c>
      <c r="H89" s="1" t="s">
        <v>13</v>
      </c>
      <c r="I89" s="1" t="s">
        <v>13</v>
      </c>
      <c r="J89" s="1" t="s">
        <v>22</v>
      </c>
      <c r="K89" s="1">
        <v>0</v>
      </c>
      <c r="L89" s="1" t="s">
        <v>21</v>
      </c>
      <c r="M89" s="1" t="str">
        <f t="shared" si="1"/>
        <v>Consistent</v>
      </c>
      <c r="N89" s="1" t="str">
        <f>_xlfn.XLOOKUP(H89, risk_score!A:A, risk_score!B:B, 0)</f>
        <v>Low Risk</v>
      </c>
    </row>
    <row r="90" spans="1:14">
      <c r="A90" s="2">
        <v>0.44341435185185185</v>
      </c>
      <c r="B90" s="3">
        <v>44841</v>
      </c>
      <c r="C90" s="1">
        <v>1074859180</v>
      </c>
      <c r="D90" s="1">
        <v>5363117119</v>
      </c>
      <c r="E90" s="1">
        <v>17413.990000000002</v>
      </c>
      <c r="F90" s="1" t="s">
        <v>12</v>
      </c>
      <c r="G90" s="1" t="s">
        <v>12</v>
      </c>
      <c r="H90" s="1" t="s">
        <v>13</v>
      </c>
      <c r="I90" s="1" t="s">
        <v>13</v>
      </c>
      <c r="J90" s="1" t="s">
        <v>22</v>
      </c>
      <c r="K90" s="1">
        <v>0</v>
      </c>
      <c r="L90" s="1" t="s">
        <v>23</v>
      </c>
      <c r="M90" s="1" t="str">
        <f t="shared" si="1"/>
        <v>Consistent</v>
      </c>
      <c r="N90" s="1" t="str">
        <f>_xlfn.XLOOKUP(H90, risk_score!A:A, risk_score!B:B, 0)</f>
        <v>Low Risk</v>
      </c>
    </row>
    <row r="91" spans="1:14">
      <c r="A91" s="2">
        <v>0.44341435185185185</v>
      </c>
      <c r="B91" s="3">
        <v>44841</v>
      </c>
      <c r="C91" s="1">
        <v>6904668523</v>
      </c>
      <c r="D91" s="1">
        <v>9408376441</v>
      </c>
      <c r="E91" s="1">
        <v>7883.3</v>
      </c>
      <c r="F91" s="1" t="s">
        <v>12</v>
      </c>
      <c r="G91" s="1" t="s">
        <v>12</v>
      </c>
      <c r="H91" s="1" t="s">
        <v>13</v>
      </c>
      <c r="I91" s="1" t="s">
        <v>13</v>
      </c>
      <c r="J91" s="1" t="s">
        <v>25</v>
      </c>
      <c r="K91" s="1">
        <v>0</v>
      </c>
      <c r="L91" s="1" t="s">
        <v>19</v>
      </c>
      <c r="M91" s="1" t="str">
        <f t="shared" si="1"/>
        <v>Consistent</v>
      </c>
      <c r="N91" s="1" t="str">
        <f>_xlfn.XLOOKUP(H91, risk_score!A:A, risk_score!B:B, 0)</f>
        <v>Low Risk</v>
      </c>
    </row>
    <row r="92" spans="1:14">
      <c r="A92" s="2">
        <v>0.44347222222222221</v>
      </c>
      <c r="B92" s="3">
        <v>44841</v>
      </c>
      <c r="C92" s="1">
        <v>2422360624</v>
      </c>
      <c r="D92" s="1">
        <v>1908962398</v>
      </c>
      <c r="E92" s="1">
        <v>2407.2600000000002</v>
      </c>
      <c r="F92" s="1" t="s">
        <v>12</v>
      </c>
      <c r="G92" s="1" t="s">
        <v>12</v>
      </c>
      <c r="H92" s="1" t="s">
        <v>13</v>
      </c>
      <c r="I92" s="1" t="s">
        <v>13</v>
      </c>
      <c r="J92" s="1" t="s">
        <v>20</v>
      </c>
      <c r="K92" s="1">
        <v>0</v>
      </c>
      <c r="L92" s="1" t="s">
        <v>21</v>
      </c>
      <c r="M92" s="1" t="str">
        <f t="shared" si="1"/>
        <v>Consistent</v>
      </c>
      <c r="N92" s="1" t="str">
        <f>_xlfn.XLOOKUP(H92, risk_score!A:A, risk_score!B:B, 0)</f>
        <v>Low Risk</v>
      </c>
    </row>
    <row r="93" spans="1:14">
      <c r="A93" s="2">
        <v>0.44353009259259257</v>
      </c>
      <c r="B93" s="3">
        <v>44841</v>
      </c>
      <c r="C93" s="1">
        <v>2056215656</v>
      </c>
      <c r="D93" s="1">
        <v>4183747352</v>
      </c>
      <c r="E93" s="1">
        <v>2567.4299999999998</v>
      </c>
      <c r="F93" s="1" t="s">
        <v>12</v>
      </c>
      <c r="G93" s="1" t="s">
        <v>12</v>
      </c>
      <c r="H93" s="1" t="s">
        <v>13</v>
      </c>
      <c r="I93" s="1" t="s">
        <v>13</v>
      </c>
      <c r="J93" s="1" t="s">
        <v>27</v>
      </c>
      <c r="K93" s="1">
        <v>0</v>
      </c>
      <c r="L93" s="1" t="s">
        <v>21</v>
      </c>
      <c r="M93" s="1" t="str">
        <f t="shared" si="1"/>
        <v>Consistent</v>
      </c>
      <c r="N93" s="1" t="str">
        <f>_xlfn.XLOOKUP(H93, risk_score!A:A, risk_score!B:B, 0)</f>
        <v>Low Risk</v>
      </c>
    </row>
    <row r="94" spans="1:14">
      <c r="A94" s="2">
        <v>0.44358796296296299</v>
      </c>
      <c r="B94" s="3">
        <v>44841</v>
      </c>
      <c r="C94" s="1">
        <v>3345407297</v>
      </c>
      <c r="D94" s="1">
        <v>2189418125</v>
      </c>
      <c r="E94" s="1">
        <v>7901.92</v>
      </c>
      <c r="F94" s="1" t="s">
        <v>12</v>
      </c>
      <c r="G94" s="1" t="s">
        <v>12</v>
      </c>
      <c r="H94" s="1" t="s">
        <v>13</v>
      </c>
      <c r="I94" s="1" t="s">
        <v>13</v>
      </c>
      <c r="J94" s="1" t="s">
        <v>20</v>
      </c>
      <c r="K94" s="1">
        <v>0</v>
      </c>
      <c r="L94" s="1" t="s">
        <v>21</v>
      </c>
      <c r="M94" s="1" t="str">
        <f t="shared" si="1"/>
        <v>Consistent</v>
      </c>
      <c r="N94" s="1" t="str">
        <f>_xlfn.XLOOKUP(H94, risk_score!A:A, risk_score!B:B, 0)</f>
        <v>Low Risk</v>
      </c>
    </row>
    <row r="95" spans="1:14">
      <c r="A95" s="2">
        <v>0.44358796296296299</v>
      </c>
      <c r="B95" s="3">
        <v>44841</v>
      </c>
      <c r="C95" s="1">
        <v>4150879707</v>
      </c>
      <c r="D95" s="1">
        <v>409707192</v>
      </c>
      <c r="E95" s="1">
        <v>10663.14</v>
      </c>
      <c r="F95" s="1" t="s">
        <v>12</v>
      </c>
      <c r="G95" s="1" t="s">
        <v>12</v>
      </c>
      <c r="H95" s="1" t="s">
        <v>13</v>
      </c>
      <c r="I95" s="1" t="s">
        <v>13</v>
      </c>
      <c r="J95" s="1" t="s">
        <v>20</v>
      </c>
      <c r="K95" s="1">
        <v>0</v>
      </c>
      <c r="L95" s="1" t="s">
        <v>23</v>
      </c>
      <c r="M95" s="1" t="str">
        <f t="shared" si="1"/>
        <v>Consistent</v>
      </c>
      <c r="N95" s="1" t="str">
        <f>_xlfn.XLOOKUP(H95, risk_score!A:A, risk_score!B:B, 0)</f>
        <v>Low Risk</v>
      </c>
    </row>
    <row r="96" spans="1:14">
      <c r="A96" s="2">
        <v>0.44359953703703703</v>
      </c>
      <c r="B96" s="3">
        <v>44841</v>
      </c>
      <c r="C96" s="1">
        <v>9746384104</v>
      </c>
      <c r="D96" s="1">
        <v>6333926499</v>
      </c>
      <c r="E96" s="1">
        <v>13185.36</v>
      </c>
      <c r="F96" s="1" t="s">
        <v>12</v>
      </c>
      <c r="G96" s="1" t="s">
        <v>12</v>
      </c>
      <c r="H96" s="1" t="s">
        <v>13</v>
      </c>
      <c r="I96" s="1" t="s">
        <v>13</v>
      </c>
      <c r="J96" s="1" t="s">
        <v>25</v>
      </c>
      <c r="K96" s="1">
        <v>0</v>
      </c>
      <c r="L96" s="1" t="s">
        <v>19</v>
      </c>
      <c r="M96" s="1" t="str">
        <f t="shared" si="1"/>
        <v>Consistent</v>
      </c>
      <c r="N96" s="1" t="str">
        <f>_xlfn.XLOOKUP(H96, risk_score!A:A, risk_score!B:B, 0)</f>
        <v>Low Risk</v>
      </c>
    </row>
    <row r="97" spans="1:14">
      <c r="A97" s="2">
        <v>0.44363425925925926</v>
      </c>
      <c r="B97" s="3">
        <v>44841</v>
      </c>
      <c r="C97" s="1">
        <v>6516739348</v>
      </c>
      <c r="D97" s="1">
        <v>3787011727</v>
      </c>
      <c r="E97" s="1">
        <v>8985.3700000000008</v>
      </c>
      <c r="F97" s="1" t="s">
        <v>12</v>
      </c>
      <c r="G97" s="1" t="s">
        <v>12</v>
      </c>
      <c r="H97" s="1" t="s">
        <v>13</v>
      </c>
      <c r="I97" s="1" t="s">
        <v>13</v>
      </c>
      <c r="J97" s="1" t="s">
        <v>25</v>
      </c>
      <c r="K97" s="1">
        <v>0</v>
      </c>
      <c r="L97" s="1" t="s">
        <v>21</v>
      </c>
      <c r="M97" s="1" t="str">
        <f t="shared" si="1"/>
        <v>Consistent</v>
      </c>
      <c r="N97" s="1" t="str">
        <f>_xlfn.XLOOKUP(H97, risk_score!A:A, risk_score!B:B, 0)</f>
        <v>Low Risk</v>
      </c>
    </row>
    <row r="98" spans="1:14">
      <c r="A98" s="2">
        <v>0.44366898148148148</v>
      </c>
      <c r="B98" s="3">
        <v>44841</v>
      </c>
      <c r="C98" s="1">
        <v>4808614002</v>
      </c>
      <c r="D98" s="1">
        <v>7669085919</v>
      </c>
      <c r="E98" s="1">
        <v>1740.32</v>
      </c>
      <c r="F98" s="1" t="s">
        <v>12</v>
      </c>
      <c r="G98" s="1" t="s">
        <v>12</v>
      </c>
      <c r="H98" s="1" t="s">
        <v>13</v>
      </c>
      <c r="I98" s="1" t="s">
        <v>13</v>
      </c>
      <c r="J98" s="1" t="s">
        <v>25</v>
      </c>
      <c r="K98" s="1">
        <v>0</v>
      </c>
      <c r="L98" s="1" t="s">
        <v>24</v>
      </c>
      <c r="M98" s="1" t="str">
        <f t="shared" si="1"/>
        <v>Consistent</v>
      </c>
      <c r="N98" s="1" t="str">
        <f>_xlfn.XLOOKUP(H98, risk_score!A:A, risk_score!B:B, 0)</f>
        <v>Low Risk</v>
      </c>
    </row>
    <row r="99" spans="1:14">
      <c r="A99" s="2">
        <v>0.44372685185185184</v>
      </c>
      <c r="B99" s="3">
        <v>44841</v>
      </c>
      <c r="C99" s="1">
        <v>1769527701</v>
      </c>
      <c r="D99" s="1">
        <v>4308380343</v>
      </c>
      <c r="E99" s="1">
        <v>441.4</v>
      </c>
      <c r="F99" s="1" t="s">
        <v>12</v>
      </c>
      <c r="G99" s="1" t="s">
        <v>12</v>
      </c>
      <c r="H99" s="1" t="s">
        <v>13</v>
      </c>
      <c r="I99" s="1" t="s">
        <v>13</v>
      </c>
      <c r="J99" s="1" t="s">
        <v>25</v>
      </c>
      <c r="K99" s="1">
        <v>0</v>
      </c>
      <c r="L99" s="1" t="s">
        <v>21</v>
      </c>
      <c r="M99" s="1" t="str">
        <f t="shared" si="1"/>
        <v>Consistent</v>
      </c>
      <c r="N99" s="1" t="str">
        <f>_xlfn.XLOOKUP(H99, risk_score!A:A, risk_score!B:B, 0)</f>
        <v>Low Risk</v>
      </c>
    </row>
    <row r="100" spans="1:14">
      <c r="A100" s="2">
        <v>0.44372685185185184</v>
      </c>
      <c r="B100" s="3">
        <v>44841</v>
      </c>
      <c r="C100" s="1">
        <v>2434664247</v>
      </c>
      <c r="D100" s="1">
        <v>6807695942</v>
      </c>
      <c r="E100" s="1">
        <v>204.92</v>
      </c>
      <c r="F100" s="1" t="s">
        <v>12</v>
      </c>
      <c r="G100" s="1" t="s">
        <v>12</v>
      </c>
      <c r="H100" s="1" t="s">
        <v>13</v>
      </c>
      <c r="I100" s="1" t="s">
        <v>13</v>
      </c>
      <c r="J100" s="1" t="s">
        <v>25</v>
      </c>
      <c r="K100" s="1">
        <v>0</v>
      </c>
      <c r="L100" s="1" t="s">
        <v>21</v>
      </c>
      <c r="M100" s="1" t="str">
        <f t="shared" si="1"/>
        <v>Consistent</v>
      </c>
      <c r="N100" s="1" t="str">
        <f>_xlfn.XLOOKUP(H100, risk_score!A:A, risk_score!B:B, 0)</f>
        <v>Low Risk</v>
      </c>
    </row>
    <row r="101" spans="1:14">
      <c r="A101" s="2">
        <v>0.44374999999999998</v>
      </c>
      <c r="B101" s="3">
        <v>44841</v>
      </c>
      <c r="C101" s="1">
        <v>3605396496</v>
      </c>
      <c r="D101" s="1">
        <v>3253303398</v>
      </c>
      <c r="E101" s="1">
        <v>920.78</v>
      </c>
      <c r="F101" s="1" t="s">
        <v>12</v>
      </c>
      <c r="G101" s="1" t="s">
        <v>12</v>
      </c>
      <c r="H101" s="1" t="s">
        <v>13</v>
      </c>
      <c r="I101" s="1" t="s">
        <v>13</v>
      </c>
      <c r="J101" s="1" t="s">
        <v>27</v>
      </c>
      <c r="K101" s="1">
        <v>0</v>
      </c>
      <c r="L101" s="1" t="s">
        <v>21</v>
      </c>
      <c r="M101" s="1" t="str">
        <f t="shared" si="1"/>
        <v>Consistent</v>
      </c>
      <c r="N101" s="1" t="str">
        <f>_xlfn.XLOOKUP(H101, risk_score!A:A, risk_score!B:B, 0)</f>
        <v>Low Risk</v>
      </c>
    </row>
    <row r="102" spans="1:14">
      <c r="A102" s="2">
        <v>0.44376157407407407</v>
      </c>
      <c r="B102" s="3">
        <v>44841</v>
      </c>
      <c r="C102" s="1">
        <v>9093411280</v>
      </c>
      <c r="D102" s="1">
        <v>6233217293</v>
      </c>
      <c r="E102" s="1">
        <v>1511.01</v>
      </c>
      <c r="F102" s="1" t="s">
        <v>12</v>
      </c>
      <c r="G102" s="1" t="s">
        <v>12</v>
      </c>
      <c r="H102" s="1" t="s">
        <v>13</v>
      </c>
      <c r="I102" s="1" t="s">
        <v>13</v>
      </c>
      <c r="J102" s="1" t="s">
        <v>27</v>
      </c>
      <c r="K102" s="1">
        <v>0</v>
      </c>
      <c r="L102" s="1" t="s">
        <v>24</v>
      </c>
      <c r="M102" s="1" t="str">
        <f t="shared" si="1"/>
        <v>Consistent</v>
      </c>
      <c r="N102" s="1" t="str">
        <f>_xlfn.XLOOKUP(H102, risk_score!A:A, risk_score!B:B, 0)</f>
        <v>Low Risk</v>
      </c>
    </row>
    <row r="103" spans="1:14">
      <c r="A103" s="2">
        <v>0.44377314814814817</v>
      </c>
      <c r="B103" s="3">
        <v>44841</v>
      </c>
      <c r="C103" s="1">
        <v>7978501298</v>
      </c>
      <c r="D103" s="1">
        <v>1518359693</v>
      </c>
      <c r="E103" s="1">
        <v>4907.8999999999996</v>
      </c>
      <c r="F103" s="1" t="s">
        <v>12</v>
      </c>
      <c r="G103" s="1" t="s">
        <v>12</v>
      </c>
      <c r="H103" s="1" t="s">
        <v>13</v>
      </c>
      <c r="I103" s="1" t="s">
        <v>13</v>
      </c>
      <c r="J103" s="1" t="s">
        <v>25</v>
      </c>
      <c r="K103" s="1">
        <v>0</v>
      </c>
      <c r="L103" s="1" t="s">
        <v>21</v>
      </c>
      <c r="M103" s="1" t="str">
        <f t="shared" si="1"/>
        <v>Consistent</v>
      </c>
      <c r="N103" s="1" t="str">
        <f>_xlfn.XLOOKUP(H103, risk_score!A:A, risk_score!B:B, 0)</f>
        <v>Low Risk</v>
      </c>
    </row>
    <row r="104" spans="1:14">
      <c r="A104" s="2">
        <v>0.44377314814814817</v>
      </c>
      <c r="B104" s="3">
        <v>44841</v>
      </c>
      <c r="C104" s="1">
        <v>7207395469</v>
      </c>
      <c r="D104" s="1">
        <v>1316458123</v>
      </c>
      <c r="E104" s="1">
        <v>7592.37</v>
      </c>
      <c r="F104" s="1" t="s">
        <v>12</v>
      </c>
      <c r="G104" s="1" t="s">
        <v>34</v>
      </c>
      <c r="H104" s="1" t="s">
        <v>13</v>
      </c>
      <c r="I104" s="1" t="s">
        <v>35</v>
      </c>
      <c r="J104" s="1" t="s">
        <v>18</v>
      </c>
      <c r="K104" s="1">
        <v>0</v>
      </c>
      <c r="L104" s="1" t="s">
        <v>23</v>
      </c>
      <c r="M104" s="1" t="str">
        <f t="shared" si="1"/>
        <v>Potential Layering</v>
      </c>
      <c r="N104" s="1" t="str">
        <f>_xlfn.XLOOKUP(H104, risk_score!A:A, risk_score!B:B, 0)</f>
        <v>Low Risk</v>
      </c>
    </row>
    <row r="105" spans="1:14">
      <c r="A105" s="2">
        <v>0.44383101851851853</v>
      </c>
      <c r="B105" s="3">
        <v>44841</v>
      </c>
      <c r="C105" s="1">
        <v>8411678470</v>
      </c>
      <c r="D105" s="1">
        <v>3737860098</v>
      </c>
      <c r="E105" s="1">
        <v>195.15</v>
      </c>
      <c r="F105" s="1" t="s">
        <v>12</v>
      </c>
      <c r="G105" s="1" t="s">
        <v>12</v>
      </c>
      <c r="H105" s="1" t="s">
        <v>13</v>
      </c>
      <c r="I105" s="1" t="s">
        <v>13</v>
      </c>
      <c r="J105" s="1" t="s">
        <v>36</v>
      </c>
      <c r="K105" s="1">
        <v>0</v>
      </c>
      <c r="L105" s="1" t="s">
        <v>37</v>
      </c>
      <c r="M105" s="1" t="str">
        <f t="shared" si="1"/>
        <v>Consistent</v>
      </c>
      <c r="N105" s="1" t="str">
        <f>_xlfn.XLOOKUP(H105, risk_score!A:A, risk_score!B:B, 0)</f>
        <v>Low Risk</v>
      </c>
    </row>
    <row r="106" spans="1:14">
      <c r="A106" s="2">
        <v>0.44383101851851853</v>
      </c>
      <c r="B106" s="3">
        <v>44841</v>
      </c>
      <c r="C106" s="1">
        <v>5531320907</v>
      </c>
      <c r="D106" s="1">
        <v>1874873588</v>
      </c>
      <c r="E106" s="1">
        <v>1124.83</v>
      </c>
      <c r="F106" s="1" t="s">
        <v>12</v>
      </c>
      <c r="G106" s="1" t="s">
        <v>12</v>
      </c>
      <c r="H106" s="1" t="s">
        <v>13</v>
      </c>
      <c r="I106" s="1" t="s">
        <v>13</v>
      </c>
      <c r="J106" s="1" t="s">
        <v>27</v>
      </c>
      <c r="K106" s="1">
        <v>0</v>
      </c>
      <c r="L106" s="1" t="s">
        <v>21</v>
      </c>
      <c r="M106" s="1" t="str">
        <f t="shared" si="1"/>
        <v>Consistent</v>
      </c>
      <c r="N106" s="1" t="str">
        <f>_xlfn.XLOOKUP(H106, risk_score!A:A, risk_score!B:B, 0)</f>
        <v>Low Risk</v>
      </c>
    </row>
    <row r="107" spans="1:14">
      <c r="A107" s="2">
        <v>0.44386574074074076</v>
      </c>
      <c r="B107" s="3">
        <v>44841</v>
      </c>
      <c r="C107" s="1">
        <v>715130861</v>
      </c>
      <c r="D107" s="1">
        <v>22101185</v>
      </c>
      <c r="E107" s="1">
        <v>87.71</v>
      </c>
      <c r="F107" s="1" t="s">
        <v>12</v>
      </c>
      <c r="G107" s="1" t="s">
        <v>12</v>
      </c>
      <c r="H107" s="1" t="s">
        <v>13</v>
      </c>
      <c r="I107" s="1" t="s">
        <v>13</v>
      </c>
      <c r="J107" s="1" t="s">
        <v>36</v>
      </c>
      <c r="K107" s="1">
        <v>0</v>
      </c>
      <c r="L107" s="1" t="s">
        <v>37</v>
      </c>
      <c r="M107" s="1" t="str">
        <f t="shared" si="1"/>
        <v>Consistent</v>
      </c>
      <c r="N107" s="1" t="str">
        <f>_xlfn.XLOOKUP(H107, risk_score!A:A, risk_score!B:B, 0)</f>
        <v>Low Risk</v>
      </c>
    </row>
    <row r="108" spans="1:14">
      <c r="A108" s="2">
        <v>0.44388888888888889</v>
      </c>
      <c r="B108" s="3">
        <v>44841</v>
      </c>
      <c r="C108" s="1">
        <v>8820389620</v>
      </c>
      <c r="D108" s="1">
        <v>4336977506</v>
      </c>
      <c r="E108" s="1">
        <v>7372.69</v>
      </c>
      <c r="F108" s="1" t="s">
        <v>12</v>
      </c>
      <c r="G108" s="1" t="s">
        <v>12</v>
      </c>
      <c r="H108" s="1" t="s">
        <v>13</v>
      </c>
      <c r="I108" s="1" t="s">
        <v>13</v>
      </c>
      <c r="J108" s="1" t="s">
        <v>22</v>
      </c>
      <c r="K108" s="1">
        <v>0</v>
      </c>
      <c r="L108" s="1" t="s">
        <v>23</v>
      </c>
      <c r="M108" s="1" t="str">
        <f t="shared" si="1"/>
        <v>Consistent</v>
      </c>
      <c r="N108" s="1" t="str">
        <f>_xlfn.XLOOKUP(H108, risk_score!A:A, risk_score!B:B, 0)</f>
        <v>Low Risk</v>
      </c>
    </row>
    <row r="109" spans="1:14">
      <c r="A109" s="2">
        <v>0.44388888888888889</v>
      </c>
      <c r="B109" s="3">
        <v>44841</v>
      </c>
      <c r="C109" s="1">
        <v>4773187916</v>
      </c>
      <c r="D109" s="1">
        <v>9676051307</v>
      </c>
      <c r="E109" s="1">
        <v>2861.28</v>
      </c>
      <c r="F109" s="1" t="s">
        <v>12</v>
      </c>
      <c r="G109" s="1" t="s">
        <v>12</v>
      </c>
      <c r="H109" s="1" t="s">
        <v>13</v>
      </c>
      <c r="I109" s="1" t="s">
        <v>13</v>
      </c>
      <c r="J109" s="1" t="s">
        <v>25</v>
      </c>
      <c r="K109" s="1">
        <v>0</v>
      </c>
      <c r="L109" s="1" t="s">
        <v>21</v>
      </c>
      <c r="M109" s="1" t="str">
        <f t="shared" si="1"/>
        <v>Consistent</v>
      </c>
      <c r="N109" s="1" t="str">
        <f>_xlfn.XLOOKUP(H109, risk_score!A:A, risk_score!B:B, 0)</f>
        <v>Low Risk</v>
      </c>
    </row>
    <row r="110" spans="1:14">
      <c r="A110" s="2">
        <v>0.44393518518518521</v>
      </c>
      <c r="B110" s="3">
        <v>44841</v>
      </c>
      <c r="C110" s="1">
        <v>9200802467</v>
      </c>
      <c r="D110" s="1">
        <v>1377603863</v>
      </c>
      <c r="E110" s="1">
        <v>5407.95</v>
      </c>
      <c r="F110" s="1" t="s">
        <v>12</v>
      </c>
      <c r="G110" s="1" t="s">
        <v>12</v>
      </c>
      <c r="H110" s="1" t="s">
        <v>13</v>
      </c>
      <c r="I110" s="1" t="s">
        <v>13</v>
      </c>
      <c r="J110" s="1" t="s">
        <v>27</v>
      </c>
      <c r="K110" s="1">
        <v>0</v>
      </c>
      <c r="L110" s="1" t="s">
        <v>23</v>
      </c>
      <c r="M110" s="1" t="str">
        <f t="shared" si="1"/>
        <v>Consistent</v>
      </c>
      <c r="N110" s="1" t="str">
        <f>_xlfn.XLOOKUP(H110, risk_score!A:A, risk_score!B:B, 0)</f>
        <v>Low Risk</v>
      </c>
    </row>
    <row r="111" spans="1:14">
      <c r="A111" s="2">
        <v>0.44403935185185184</v>
      </c>
      <c r="B111" s="3">
        <v>44841</v>
      </c>
      <c r="C111" s="1">
        <v>3582202830</v>
      </c>
      <c r="D111" s="1">
        <v>7930477918</v>
      </c>
      <c r="E111" s="1">
        <v>4421.1099999999997</v>
      </c>
      <c r="F111" s="1" t="s">
        <v>12</v>
      </c>
      <c r="G111" s="1" t="s">
        <v>12</v>
      </c>
      <c r="H111" s="1" t="s">
        <v>13</v>
      </c>
      <c r="I111" s="1" t="s">
        <v>13</v>
      </c>
      <c r="J111" s="1" t="s">
        <v>27</v>
      </c>
      <c r="K111" s="1">
        <v>0</v>
      </c>
      <c r="L111" s="1" t="s">
        <v>21</v>
      </c>
      <c r="M111" s="1" t="str">
        <f t="shared" si="1"/>
        <v>Consistent</v>
      </c>
      <c r="N111" s="1" t="str">
        <f>_xlfn.XLOOKUP(H111, risk_score!A:A, risk_score!B:B, 0)</f>
        <v>Low Risk</v>
      </c>
    </row>
    <row r="112" spans="1:14">
      <c r="A112" s="2">
        <v>0.44405092592592593</v>
      </c>
      <c r="B112" s="3">
        <v>44841</v>
      </c>
      <c r="C112" s="1">
        <v>5704632509</v>
      </c>
      <c r="D112" s="1">
        <v>1800634135</v>
      </c>
      <c r="E112" s="1">
        <v>866.17</v>
      </c>
      <c r="F112" s="1" t="s">
        <v>12</v>
      </c>
      <c r="G112" s="1" t="s">
        <v>12</v>
      </c>
      <c r="H112" s="1" t="s">
        <v>13</v>
      </c>
      <c r="I112" s="1" t="s">
        <v>13</v>
      </c>
      <c r="J112" s="1" t="s">
        <v>14</v>
      </c>
      <c r="K112" s="1">
        <v>0</v>
      </c>
      <c r="L112" s="1" t="s">
        <v>15</v>
      </c>
      <c r="M112" s="1" t="str">
        <f t="shared" si="1"/>
        <v>Consistent</v>
      </c>
      <c r="N112" s="1" t="str">
        <f>_xlfn.XLOOKUP(H112, risk_score!A:A, risk_score!B:B, 0)</f>
        <v>Low Risk</v>
      </c>
    </row>
    <row r="113" spans="1:14">
      <c r="A113" s="2">
        <v>0.44405092592592593</v>
      </c>
      <c r="B113" s="3">
        <v>44841</v>
      </c>
      <c r="C113" s="1">
        <v>4834399445</v>
      </c>
      <c r="D113" s="1">
        <v>426367626</v>
      </c>
      <c r="E113" s="1">
        <v>1317.54</v>
      </c>
      <c r="F113" s="1" t="s">
        <v>12</v>
      </c>
      <c r="G113" s="1" t="s">
        <v>12</v>
      </c>
      <c r="H113" s="1" t="s">
        <v>13</v>
      </c>
      <c r="I113" s="1" t="s">
        <v>13</v>
      </c>
      <c r="J113" s="1" t="s">
        <v>25</v>
      </c>
      <c r="K113" s="1">
        <v>0</v>
      </c>
      <c r="L113" s="1" t="s">
        <v>21</v>
      </c>
      <c r="M113" s="1" t="str">
        <f t="shared" si="1"/>
        <v>Consistent</v>
      </c>
      <c r="N113" s="1" t="str">
        <f>_xlfn.XLOOKUP(H113, risk_score!A:A, risk_score!B:B, 0)</f>
        <v>Low Risk</v>
      </c>
    </row>
    <row r="114" spans="1:14">
      <c r="A114" s="2">
        <v>0.44406250000000003</v>
      </c>
      <c r="B114" s="3">
        <v>44841</v>
      </c>
      <c r="C114" s="1">
        <v>7132630507</v>
      </c>
      <c r="D114" s="1">
        <v>6793730660</v>
      </c>
      <c r="E114" s="1">
        <v>498.11</v>
      </c>
      <c r="F114" s="1" t="s">
        <v>12</v>
      </c>
      <c r="G114" s="1" t="s">
        <v>12</v>
      </c>
      <c r="H114" s="1" t="s">
        <v>13</v>
      </c>
      <c r="I114" s="1" t="s">
        <v>13</v>
      </c>
      <c r="J114" s="1" t="s">
        <v>27</v>
      </c>
      <c r="K114" s="1">
        <v>0</v>
      </c>
      <c r="L114" s="1" t="s">
        <v>21</v>
      </c>
      <c r="M114" s="1" t="str">
        <f t="shared" si="1"/>
        <v>Consistent</v>
      </c>
      <c r="N114" s="1" t="str">
        <f>_xlfn.XLOOKUP(H114, risk_score!A:A, risk_score!B:B, 0)</f>
        <v>Low Risk</v>
      </c>
    </row>
    <row r="115" spans="1:14">
      <c r="A115" s="2">
        <v>0.44413194444444443</v>
      </c>
      <c r="B115" s="3">
        <v>44841</v>
      </c>
      <c r="C115" s="1">
        <v>9734083970</v>
      </c>
      <c r="D115" s="1">
        <v>9232891126</v>
      </c>
      <c r="E115" s="1">
        <v>7167.41</v>
      </c>
      <c r="F115" s="1" t="s">
        <v>12</v>
      </c>
      <c r="G115" s="1" t="s">
        <v>12</v>
      </c>
      <c r="H115" s="1" t="s">
        <v>13</v>
      </c>
      <c r="I115" s="1" t="s">
        <v>13</v>
      </c>
      <c r="J115" s="1" t="s">
        <v>25</v>
      </c>
      <c r="K115" s="1">
        <v>0</v>
      </c>
      <c r="L115" s="1" t="s">
        <v>19</v>
      </c>
      <c r="M115" s="1" t="str">
        <f t="shared" si="1"/>
        <v>Consistent</v>
      </c>
      <c r="N115" s="1" t="str">
        <f>_xlfn.XLOOKUP(H115, risk_score!A:A, risk_score!B:B, 0)</f>
        <v>Low Risk</v>
      </c>
    </row>
    <row r="116" spans="1:14">
      <c r="A116" s="2">
        <v>0.44415509259259262</v>
      </c>
      <c r="B116" s="3">
        <v>44841</v>
      </c>
      <c r="C116" s="1">
        <v>2283755888</v>
      </c>
      <c r="D116" s="1">
        <v>6034997194</v>
      </c>
      <c r="E116" s="1">
        <v>6508.48</v>
      </c>
      <c r="F116" s="1" t="s">
        <v>12</v>
      </c>
      <c r="G116" s="1" t="s">
        <v>12</v>
      </c>
      <c r="H116" s="1" t="s">
        <v>13</v>
      </c>
      <c r="I116" s="1" t="s">
        <v>13</v>
      </c>
      <c r="J116" s="1" t="s">
        <v>22</v>
      </c>
      <c r="K116" s="1">
        <v>0</v>
      </c>
      <c r="L116" s="1" t="s">
        <v>23</v>
      </c>
      <c r="M116" s="1" t="str">
        <f t="shared" si="1"/>
        <v>Consistent</v>
      </c>
      <c r="N116" s="1" t="str">
        <f>_xlfn.XLOOKUP(H116, risk_score!A:A, risk_score!B:B, 0)</f>
        <v>Low Risk</v>
      </c>
    </row>
    <row r="117" spans="1:14">
      <c r="A117" s="2">
        <v>0.44417824074074075</v>
      </c>
      <c r="B117" s="3">
        <v>44841</v>
      </c>
      <c r="C117" s="1">
        <v>7166671719</v>
      </c>
      <c r="D117" s="1">
        <v>4145866625</v>
      </c>
      <c r="E117" s="1">
        <v>7202.85</v>
      </c>
      <c r="F117" s="1" t="s">
        <v>12</v>
      </c>
      <c r="G117" s="1" t="s">
        <v>12</v>
      </c>
      <c r="H117" s="1" t="s">
        <v>13</v>
      </c>
      <c r="I117" s="1" t="s">
        <v>13</v>
      </c>
      <c r="J117" s="1" t="s">
        <v>22</v>
      </c>
      <c r="K117" s="1">
        <v>0</v>
      </c>
      <c r="L117" s="1" t="s">
        <v>21</v>
      </c>
      <c r="M117" s="1" t="str">
        <f t="shared" si="1"/>
        <v>Consistent</v>
      </c>
      <c r="N117" s="1" t="str">
        <f>_xlfn.XLOOKUP(H117, risk_score!A:A, risk_score!B:B, 0)</f>
        <v>Low Risk</v>
      </c>
    </row>
    <row r="118" spans="1:14">
      <c r="A118" s="2">
        <v>0.44421296296296298</v>
      </c>
      <c r="B118" s="3">
        <v>44841</v>
      </c>
      <c r="C118" s="1">
        <v>6577066451</v>
      </c>
      <c r="D118" s="1">
        <v>4143157809</v>
      </c>
      <c r="E118" s="1">
        <v>5452.16</v>
      </c>
      <c r="F118" s="1" t="s">
        <v>12</v>
      </c>
      <c r="G118" s="1" t="s">
        <v>12</v>
      </c>
      <c r="H118" s="1" t="s">
        <v>13</v>
      </c>
      <c r="I118" s="1" t="s">
        <v>13</v>
      </c>
      <c r="J118" s="1" t="s">
        <v>22</v>
      </c>
      <c r="K118" s="1">
        <v>0</v>
      </c>
      <c r="L118" s="1" t="s">
        <v>38</v>
      </c>
      <c r="M118" s="1" t="str">
        <f t="shared" si="1"/>
        <v>Consistent</v>
      </c>
      <c r="N118" s="1" t="str">
        <f>_xlfn.XLOOKUP(H118, risk_score!A:A, risk_score!B:B, 0)</f>
        <v>Low Risk</v>
      </c>
    </row>
    <row r="119" spans="1:14">
      <c r="A119" s="2">
        <v>0.44421296296296298</v>
      </c>
      <c r="B119" s="3">
        <v>44841</v>
      </c>
      <c r="C119" s="1">
        <v>7758268667</v>
      </c>
      <c r="D119" s="1">
        <v>301740914</v>
      </c>
      <c r="E119" s="1">
        <v>8905.98</v>
      </c>
      <c r="F119" s="1" t="s">
        <v>12</v>
      </c>
      <c r="G119" s="1" t="s">
        <v>12</v>
      </c>
      <c r="H119" s="1" t="s">
        <v>13</v>
      </c>
      <c r="I119" s="1" t="s">
        <v>13</v>
      </c>
      <c r="J119" s="1" t="s">
        <v>25</v>
      </c>
      <c r="K119" s="1">
        <v>0</v>
      </c>
      <c r="L119" s="1" t="s">
        <v>19</v>
      </c>
      <c r="M119" s="1" t="str">
        <f t="shared" si="1"/>
        <v>Consistent</v>
      </c>
      <c r="N119" s="1" t="str">
        <f>_xlfn.XLOOKUP(H119, risk_score!A:A, risk_score!B:B, 0)</f>
        <v>Low Risk</v>
      </c>
    </row>
    <row r="120" spans="1:14">
      <c r="A120" s="2">
        <v>0.44430555555555556</v>
      </c>
      <c r="B120" s="3">
        <v>44841</v>
      </c>
      <c r="C120" s="1">
        <v>9334364016</v>
      </c>
      <c r="D120" s="1">
        <v>7892884492</v>
      </c>
      <c r="E120" s="1">
        <v>5230.59</v>
      </c>
      <c r="F120" s="1" t="s">
        <v>12</v>
      </c>
      <c r="G120" s="1" t="s">
        <v>32</v>
      </c>
      <c r="H120" s="1" t="s">
        <v>13</v>
      </c>
      <c r="I120" s="1" t="s">
        <v>33</v>
      </c>
      <c r="J120" s="1" t="s">
        <v>18</v>
      </c>
      <c r="K120" s="1">
        <v>0</v>
      </c>
      <c r="L120" s="1" t="s">
        <v>23</v>
      </c>
      <c r="M120" s="1" t="str">
        <f t="shared" si="1"/>
        <v>Potential Layering</v>
      </c>
      <c r="N120" s="1" t="str">
        <f>_xlfn.XLOOKUP(H120, risk_score!A:A, risk_score!B:B, 0)</f>
        <v>Low Risk</v>
      </c>
    </row>
    <row r="121" spans="1:14">
      <c r="A121" s="2">
        <v>0.44430555555555556</v>
      </c>
      <c r="B121" s="3">
        <v>44841</v>
      </c>
      <c r="C121" s="1">
        <v>5935592628</v>
      </c>
      <c r="D121" s="1">
        <v>1224735825</v>
      </c>
      <c r="E121" s="1">
        <v>3471.41</v>
      </c>
      <c r="F121" s="1" t="s">
        <v>12</v>
      </c>
      <c r="G121" s="1" t="s">
        <v>12</v>
      </c>
      <c r="H121" s="1" t="s">
        <v>13</v>
      </c>
      <c r="I121" s="1" t="s">
        <v>13</v>
      </c>
      <c r="J121" s="1" t="s">
        <v>14</v>
      </c>
      <c r="K121" s="1">
        <v>0</v>
      </c>
      <c r="L121" s="1" t="s">
        <v>15</v>
      </c>
      <c r="M121" s="1" t="str">
        <f t="shared" si="1"/>
        <v>Consistent</v>
      </c>
      <c r="N121" s="1" t="str">
        <f>_xlfn.XLOOKUP(H121, risk_score!A:A, risk_score!B:B, 0)</f>
        <v>Low Risk</v>
      </c>
    </row>
    <row r="122" spans="1:14">
      <c r="A122" s="2">
        <v>0.4443287037037037</v>
      </c>
      <c r="B122" s="3">
        <v>44841</v>
      </c>
      <c r="C122" s="1">
        <v>5931838828</v>
      </c>
      <c r="D122" s="1">
        <v>8407065812</v>
      </c>
      <c r="E122" s="1">
        <v>16594.14</v>
      </c>
      <c r="F122" s="1" t="s">
        <v>12</v>
      </c>
      <c r="G122" s="1" t="s">
        <v>42</v>
      </c>
      <c r="H122" s="1" t="s">
        <v>13</v>
      </c>
      <c r="I122" s="1" t="s">
        <v>43</v>
      </c>
      <c r="J122" s="1" t="s">
        <v>18</v>
      </c>
      <c r="K122" s="1">
        <v>0</v>
      </c>
      <c r="L122" s="1" t="s">
        <v>38</v>
      </c>
      <c r="M122" s="1" t="str">
        <f t="shared" si="1"/>
        <v>Potential Layering</v>
      </c>
      <c r="N122" s="1" t="str">
        <f>_xlfn.XLOOKUP(H122, risk_score!A:A, risk_score!B:B, 0)</f>
        <v>Low Risk</v>
      </c>
    </row>
    <row r="123" spans="1:14">
      <c r="A123" s="2">
        <v>0.44436342592592593</v>
      </c>
      <c r="B123" s="3">
        <v>44841</v>
      </c>
      <c r="C123" s="1">
        <v>6488884693</v>
      </c>
      <c r="D123" s="1">
        <v>4471666696</v>
      </c>
      <c r="E123" s="1">
        <v>20181.46</v>
      </c>
      <c r="F123" s="1" t="s">
        <v>12</v>
      </c>
      <c r="G123" s="1" t="s">
        <v>12</v>
      </c>
      <c r="H123" s="1" t="s">
        <v>13</v>
      </c>
      <c r="I123" s="1" t="s">
        <v>13</v>
      </c>
      <c r="J123" s="1" t="s">
        <v>22</v>
      </c>
      <c r="K123" s="1">
        <v>0</v>
      </c>
      <c r="L123" s="1" t="s">
        <v>24</v>
      </c>
      <c r="M123" s="1" t="str">
        <f t="shared" si="1"/>
        <v>Consistent</v>
      </c>
      <c r="N123" s="1" t="str">
        <f>_xlfn.XLOOKUP(H123, risk_score!A:A, risk_score!B:B, 0)</f>
        <v>Low Risk</v>
      </c>
    </row>
    <row r="124" spans="1:14">
      <c r="A124" s="2">
        <v>0.44443287037037038</v>
      </c>
      <c r="B124" s="3">
        <v>44841</v>
      </c>
      <c r="C124" s="1">
        <v>283212952</v>
      </c>
      <c r="D124" s="1">
        <v>5103043844</v>
      </c>
      <c r="E124" s="1">
        <v>9071.89</v>
      </c>
      <c r="F124" s="1" t="s">
        <v>12</v>
      </c>
      <c r="G124" s="1" t="s">
        <v>44</v>
      </c>
      <c r="H124" s="1" t="s">
        <v>13</v>
      </c>
      <c r="I124" s="1" t="s">
        <v>45</v>
      </c>
      <c r="J124" s="1" t="s">
        <v>18</v>
      </c>
      <c r="K124" s="1">
        <v>0</v>
      </c>
      <c r="L124" s="1" t="s">
        <v>23</v>
      </c>
      <c r="M124" s="1" t="str">
        <f t="shared" si="1"/>
        <v>Potential Layering</v>
      </c>
      <c r="N124" s="1" t="str">
        <f>_xlfn.XLOOKUP(H124, risk_score!A:A, risk_score!B:B, 0)</f>
        <v>Low Risk</v>
      </c>
    </row>
    <row r="125" spans="1:14">
      <c r="A125" s="2">
        <v>0.44443287037037038</v>
      </c>
      <c r="B125" s="3">
        <v>44841</v>
      </c>
      <c r="C125" s="1">
        <v>5102544036</v>
      </c>
      <c r="D125" s="1">
        <v>5109623450</v>
      </c>
      <c r="E125" s="1">
        <v>6903.24</v>
      </c>
      <c r="F125" s="1" t="s">
        <v>12</v>
      </c>
      <c r="G125" s="1" t="s">
        <v>12</v>
      </c>
      <c r="H125" s="1" t="s">
        <v>13</v>
      </c>
      <c r="I125" s="1" t="s">
        <v>13</v>
      </c>
      <c r="J125" s="1" t="s">
        <v>20</v>
      </c>
      <c r="K125" s="1">
        <v>0</v>
      </c>
      <c r="L125" s="1" t="s">
        <v>23</v>
      </c>
      <c r="M125" s="1" t="str">
        <f t="shared" si="1"/>
        <v>Consistent</v>
      </c>
      <c r="N125" s="1" t="str">
        <f>_xlfn.XLOOKUP(H125, risk_score!A:A, risk_score!B:B, 0)</f>
        <v>Low Risk</v>
      </c>
    </row>
    <row r="126" spans="1:14">
      <c r="A126" s="2">
        <v>0.44445601851851851</v>
      </c>
      <c r="B126" s="3">
        <v>44841</v>
      </c>
      <c r="C126" s="1">
        <v>6539698859</v>
      </c>
      <c r="D126" s="1">
        <v>9999156867</v>
      </c>
      <c r="E126" s="1">
        <v>492.45</v>
      </c>
      <c r="F126" s="1" t="s">
        <v>12</v>
      </c>
      <c r="G126" s="1" t="s">
        <v>12</v>
      </c>
      <c r="H126" s="1" t="s">
        <v>13</v>
      </c>
      <c r="I126" s="1" t="s">
        <v>13</v>
      </c>
      <c r="J126" s="1" t="s">
        <v>14</v>
      </c>
      <c r="K126" s="1">
        <v>0</v>
      </c>
      <c r="L126" s="1" t="s">
        <v>15</v>
      </c>
      <c r="M126" s="1" t="str">
        <f t="shared" si="1"/>
        <v>Consistent</v>
      </c>
      <c r="N126" s="1" t="str">
        <f>_xlfn.XLOOKUP(H126, risk_score!A:A, risk_score!B:B, 0)</f>
        <v>Low Risk</v>
      </c>
    </row>
    <row r="127" spans="1:14">
      <c r="A127" s="2">
        <v>0.44446759259259261</v>
      </c>
      <c r="B127" s="3">
        <v>44841</v>
      </c>
      <c r="C127" s="1">
        <v>3033453299</v>
      </c>
      <c r="D127" s="1">
        <v>5858369125</v>
      </c>
      <c r="E127" s="1">
        <v>20756.93</v>
      </c>
      <c r="F127" s="1" t="s">
        <v>12</v>
      </c>
      <c r="G127" s="1" t="s">
        <v>12</v>
      </c>
      <c r="H127" s="1" t="s">
        <v>13</v>
      </c>
      <c r="I127" s="1" t="s">
        <v>13</v>
      </c>
      <c r="J127" s="1" t="s">
        <v>22</v>
      </c>
      <c r="K127" s="1">
        <v>0</v>
      </c>
      <c r="L127" s="1" t="s">
        <v>23</v>
      </c>
      <c r="M127" s="1" t="str">
        <f t="shared" si="1"/>
        <v>Consistent</v>
      </c>
      <c r="N127" s="1" t="str">
        <f>_xlfn.XLOOKUP(H127, risk_score!A:A, risk_score!B:B, 0)</f>
        <v>Low Risk</v>
      </c>
    </row>
    <row r="128" spans="1:14">
      <c r="A128" s="2">
        <v>0.44449074074074074</v>
      </c>
      <c r="B128" s="3">
        <v>44841</v>
      </c>
      <c r="C128" s="1">
        <v>3991935033</v>
      </c>
      <c r="D128" s="1">
        <v>6916537719</v>
      </c>
      <c r="E128" s="1">
        <v>2329.58</v>
      </c>
      <c r="F128" s="1" t="s">
        <v>12</v>
      </c>
      <c r="G128" s="1" t="s">
        <v>12</v>
      </c>
      <c r="H128" s="1" t="s">
        <v>13</v>
      </c>
      <c r="I128" s="1" t="s">
        <v>13</v>
      </c>
      <c r="J128" s="1" t="s">
        <v>25</v>
      </c>
      <c r="K128" s="1">
        <v>0</v>
      </c>
      <c r="L128" s="1" t="s">
        <v>21</v>
      </c>
      <c r="M128" s="1" t="str">
        <f t="shared" si="1"/>
        <v>Consistent</v>
      </c>
      <c r="N128" s="1" t="str">
        <f>_xlfn.XLOOKUP(H128, risk_score!A:A, risk_score!B:B, 0)</f>
        <v>Low Risk</v>
      </c>
    </row>
    <row r="129" spans="1:14">
      <c r="A129" s="2">
        <v>0.44450231481481484</v>
      </c>
      <c r="B129" s="3">
        <v>44841</v>
      </c>
      <c r="C129" s="1">
        <v>2740260267</v>
      </c>
      <c r="D129" s="1">
        <v>674433873</v>
      </c>
      <c r="E129" s="1">
        <v>2747.96</v>
      </c>
      <c r="F129" s="1" t="s">
        <v>12</v>
      </c>
      <c r="G129" s="1" t="s">
        <v>12</v>
      </c>
      <c r="H129" s="1" t="s">
        <v>13</v>
      </c>
      <c r="I129" s="1" t="s">
        <v>13</v>
      </c>
      <c r="J129" s="1" t="s">
        <v>14</v>
      </c>
      <c r="K129" s="1">
        <v>0</v>
      </c>
      <c r="L129" s="1" t="s">
        <v>15</v>
      </c>
      <c r="M129" s="1" t="str">
        <f t="shared" si="1"/>
        <v>Consistent</v>
      </c>
      <c r="N129" s="1" t="str">
        <f>_xlfn.XLOOKUP(H129, risk_score!A:A, risk_score!B:B, 0)</f>
        <v>Low Risk</v>
      </c>
    </row>
    <row r="130" spans="1:14">
      <c r="A130" s="2">
        <v>0.44453703703703706</v>
      </c>
      <c r="B130" s="3">
        <v>44841</v>
      </c>
      <c r="C130" s="1">
        <v>7501327339</v>
      </c>
      <c r="D130" s="1">
        <v>9329185542</v>
      </c>
      <c r="E130" s="1">
        <v>29600.19</v>
      </c>
      <c r="F130" s="1" t="s">
        <v>12</v>
      </c>
      <c r="G130" s="1" t="s">
        <v>12</v>
      </c>
      <c r="H130" s="1" t="s">
        <v>13</v>
      </c>
      <c r="I130" s="1" t="s">
        <v>13</v>
      </c>
      <c r="J130" s="1" t="s">
        <v>25</v>
      </c>
      <c r="K130" s="1">
        <v>0</v>
      </c>
      <c r="L130" s="1" t="s">
        <v>19</v>
      </c>
      <c r="M130" s="1" t="str">
        <f t="shared" si="1"/>
        <v>Consistent</v>
      </c>
      <c r="N130" s="1" t="str">
        <f>_xlfn.XLOOKUP(H130, risk_score!A:A, risk_score!B:B, 0)</f>
        <v>Low Risk</v>
      </c>
    </row>
    <row r="131" spans="1:14">
      <c r="A131" s="2">
        <v>0.4445601851851852</v>
      </c>
      <c r="B131" s="3">
        <v>44841</v>
      </c>
      <c r="C131" s="1">
        <v>6116657264</v>
      </c>
      <c r="D131" s="1">
        <v>7541529999</v>
      </c>
      <c r="E131" s="1">
        <v>5736.78</v>
      </c>
      <c r="F131" s="1" t="s">
        <v>12</v>
      </c>
      <c r="G131" s="1" t="s">
        <v>12</v>
      </c>
      <c r="H131" s="1" t="s">
        <v>13</v>
      </c>
      <c r="I131" s="1" t="s">
        <v>13</v>
      </c>
      <c r="J131" s="1" t="s">
        <v>22</v>
      </c>
      <c r="K131" s="1">
        <v>0</v>
      </c>
      <c r="L131" s="1" t="s">
        <v>19</v>
      </c>
      <c r="M131" s="1" t="str">
        <f t="shared" ref="M131:M194" si="2">IF(F131=G131, "Consistent", "Potential Layering")</f>
        <v>Consistent</v>
      </c>
      <c r="N131" s="1" t="str">
        <f>_xlfn.XLOOKUP(H131, risk_score!A:A, risk_score!B:B, 0)</f>
        <v>Low Risk</v>
      </c>
    </row>
    <row r="132" spans="1:14">
      <c r="A132" s="2">
        <v>0.4445601851851852</v>
      </c>
      <c r="B132" s="3">
        <v>44841</v>
      </c>
      <c r="C132" s="1">
        <v>6904668523</v>
      </c>
      <c r="D132" s="1">
        <v>9408376441</v>
      </c>
      <c r="E132" s="1">
        <v>8096.81</v>
      </c>
      <c r="F132" s="1" t="s">
        <v>12</v>
      </c>
      <c r="G132" s="1" t="s">
        <v>12</v>
      </c>
      <c r="H132" s="1" t="s">
        <v>13</v>
      </c>
      <c r="I132" s="1" t="s">
        <v>13</v>
      </c>
      <c r="J132" s="1" t="s">
        <v>27</v>
      </c>
      <c r="K132" s="1">
        <v>0</v>
      </c>
      <c r="L132" s="1" t="s">
        <v>19</v>
      </c>
      <c r="M132" s="1" t="str">
        <f t="shared" si="2"/>
        <v>Consistent</v>
      </c>
      <c r="N132" s="1" t="str">
        <f>_xlfn.XLOOKUP(H132, risk_score!A:A, risk_score!B:B, 0)</f>
        <v>Low Risk</v>
      </c>
    </row>
    <row r="133" spans="1:14">
      <c r="A133" s="2">
        <v>0.44457175925925924</v>
      </c>
      <c r="B133" s="3">
        <v>44841</v>
      </c>
      <c r="C133" s="1">
        <v>5648718332</v>
      </c>
      <c r="D133" s="1">
        <v>6444220418</v>
      </c>
      <c r="E133" s="1">
        <v>11277.45</v>
      </c>
      <c r="F133" s="1" t="s">
        <v>12</v>
      </c>
      <c r="G133" s="1" t="s">
        <v>12</v>
      </c>
      <c r="H133" s="1" t="s">
        <v>13</v>
      </c>
      <c r="I133" s="1" t="s">
        <v>13</v>
      </c>
      <c r="J133" s="1" t="s">
        <v>22</v>
      </c>
      <c r="K133" s="1">
        <v>0</v>
      </c>
      <c r="L133" s="1" t="s">
        <v>23</v>
      </c>
      <c r="M133" s="1" t="str">
        <f t="shared" si="2"/>
        <v>Consistent</v>
      </c>
      <c r="N133" s="1" t="str">
        <f>_xlfn.XLOOKUP(H133, risk_score!A:A, risk_score!B:B, 0)</f>
        <v>Low Risk</v>
      </c>
    </row>
    <row r="134" spans="1:14">
      <c r="A134" s="2">
        <v>0.44459490740740742</v>
      </c>
      <c r="B134" s="3">
        <v>44841</v>
      </c>
      <c r="C134" s="1">
        <v>3756980894</v>
      </c>
      <c r="D134" s="1">
        <v>3144680752</v>
      </c>
      <c r="E134" s="1">
        <v>1174.69</v>
      </c>
      <c r="F134" s="1" t="s">
        <v>12</v>
      </c>
      <c r="G134" s="1" t="s">
        <v>12</v>
      </c>
      <c r="H134" s="1" t="s">
        <v>13</v>
      </c>
      <c r="I134" s="1" t="s">
        <v>13</v>
      </c>
      <c r="J134" s="1" t="s">
        <v>20</v>
      </c>
      <c r="K134" s="1">
        <v>0</v>
      </c>
      <c r="L134" s="1" t="s">
        <v>21</v>
      </c>
      <c r="M134" s="1" t="str">
        <f t="shared" si="2"/>
        <v>Consistent</v>
      </c>
      <c r="N134" s="1" t="str">
        <f>_xlfn.XLOOKUP(H134, risk_score!A:A, risk_score!B:B, 0)</f>
        <v>Low Risk</v>
      </c>
    </row>
    <row r="135" spans="1:14">
      <c r="A135" s="2">
        <v>0.44459490740740742</v>
      </c>
      <c r="B135" s="3">
        <v>44841</v>
      </c>
      <c r="C135" s="1">
        <v>1817675963</v>
      </c>
      <c r="D135" s="1">
        <v>6646502650</v>
      </c>
      <c r="E135" s="1">
        <v>14554.35</v>
      </c>
      <c r="F135" s="1" t="s">
        <v>12</v>
      </c>
      <c r="G135" s="1" t="s">
        <v>29</v>
      </c>
      <c r="H135" s="1" t="s">
        <v>13</v>
      </c>
      <c r="I135" s="1" t="s">
        <v>31</v>
      </c>
      <c r="J135" s="1" t="s">
        <v>18</v>
      </c>
      <c r="K135" s="1">
        <v>0</v>
      </c>
      <c r="L135" s="1" t="s">
        <v>23</v>
      </c>
      <c r="M135" s="1" t="str">
        <f t="shared" si="2"/>
        <v>Potential Layering</v>
      </c>
      <c r="N135" s="1" t="str">
        <f>_xlfn.XLOOKUP(H135, risk_score!A:A, risk_score!B:B, 0)</f>
        <v>Low Risk</v>
      </c>
    </row>
    <row r="136" spans="1:14">
      <c r="A136" s="2">
        <v>0.44459490740740742</v>
      </c>
      <c r="B136" s="3">
        <v>44841</v>
      </c>
      <c r="C136" s="1">
        <v>8955442183</v>
      </c>
      <c r="D136" s="1">
        <v>5858369125</v>
      </c>
      <c r="E136" s="1">
        <v>5971.82</v>
      </c>
      <c r="F136" s="1" t="s">
        <v>12</v>
      </c>
      <c r="G136" s="1" t="s">
        <v>12</v>
      </c>
      <c r="H136" s="1" t="s">
        <v>13</v>
      </c>
      <c r="I136" s="1" t="s">
        <v>13</v>
      </c>
      <c r="J136" s="1" t="s">
        <v>27</v>
      </c>
      <c r="K136" s="1">
        <v>0</v>
      </c>
      <c r="L136" s="1" t="s">
        <v>23</v>
      </c>
      <c r="M136" s="1" t="str">
        <f t="shared" si="2"/>
        <v>Consistent</v>
      </c>
      <c r="N136" s="1" t="str">
        <f>_xlfn.XLOOKUP(H136, risk_score!A:A, risk_score!B:B, 0)</f>
        <v>Low Risk</v>
      </c>
    </row>
    <row r="137" spans="1:14">
      <c r="A137" s="2">
        <v>0.44461805555555556</v>
      </c>
      <c r="B137" s="3">
        <v>44841</v>
      </c>
      <c r="C137" s="1">
        <v>749315581</v>
      </c>
      <c r="D137" s="1">
        <v>8673917867</v>
      </c>
      <c r="E137" s="1">
        <v>8592.81</v>
      </c>
      <c r="F137" s="1" t="s">
        <v>12</v>
      </c>
      <c r="G137" s="1" t="s">
        <v>12</v>
      </c>
      <c r="H137" s="1" t="s">
        <v>13</v>
      </c>
      <c r="I137" s="1" t="s">
        <v>13</v>
      </c>
      <c r="J137" s="1" t="s">
        <v>25</v>
      </c>
      <c r="K137" s="1">
        <v>0</v>
      </c>
      <c r="L137" s="1" t="s">
        <v>23</v>
      </c>
      <c r="M137" s="1" t="str">
        <f t="shared" si="2"/>
        <v>Consistent</v>
      </c>
      <c r="N137" s="1" t="str">
        <f>_xlfn.XLOOKUP(H137, risk_score!A:A, risk_score!B:B, 0)</f>
        <v>Low Risk</v>
      </c>
    </row>
    <row r="138" spans="1:14">
      <c r="A138" s="2">
        <v>0.44464120370370369</v>
      </c>
      <c r="B138" s="3">
        <v>44841</v>
      </c>
      <c r="C138" s="1">
        <v>4755772092</v>
      </c>
      <c r="D138" s="1">
        <v>7092971860</v>
      </c>
      <c r="E138" s="1">
        <v>5130.2</v>
      </c>
      <c r="F138" s="1" t="s">
        <v>12</v>
      </c>
      <c r="G138" s="1" t="s">
        <v>12</v>
      </c>
      <c r="H138" s="1" t="s">
        <v>13</v>
      </c>
      <c r="I138" s="1" t="s">
        <v>13</v>
      </c>
      <c r="J138" s="1" t="s">
        <v>20</v>
      </c>
      <c r="K138" s="1">
        <v>0</v>
      </c>
      <c r="L138" s="1" t="s">
        <v>24</v>
      </c>
      <c r="M138" s="1" t="str">
        <f t="shared" si="2"/>
        <v>Consistent</v>
      </c>
      <c r="N138" s="1" t="str">
        <f>_xlfn.XLOOKUP(H138, risk_score!A:A, risk_score!B:B, 0)</f>
        <v>Low Risk</v>
      </c>
    </row>
    <row r="139" spans="1:14">
      <c r="A139" s="2">
        <v>0.44466435185185182</v>
      </c>
      <c r="B139" s="3">
        <v>44841</v>
      </c>
      <c r="C139" s="1">
        <v>3811561430</v>
      </c>
      <c r="D139" s="1">
        <v>4336977506</v>
      </c>
      <c r="E139" s="1">
        <v>7895.67</v>
      </c>
      <c r="F139" s="1" t="s">
        <v>12</v>
      </c>
      <c r="G139" s="1" t="s">
        <v>12</v>
      </c>
      <c r="H139" s="1" t="s">
        <v>13</v>
      </c>
      <c r="I139" s="1" t="s">
        <v>13</v>
      </c>
      <c r="J139" s="1" t="s">
        <v>27</v>
      </c>
      <c r="K139" s="1">
        <v>0</v>
      </c>
      <c r="L139" s="1" t="s">
        <v>23</v>
      </c>
      <c r="M139" s="1" t="str">
        <f t="shared" si="2"/>
        <v>Consistent</v>
      </c>
      <c r="N139" s="1" t="str">
        <f>_xlfn.XLOOKUP(H139, risk_score!A:A, risk_score!B:B, 0)</f>
        <v>Low Risk</v>
      </c>
    </row>
    <row r="140" spans="1:14">
      <c r="A140" s="2">
        <v>0.44467592592592592</v>
      </c>
      <c r="B140" s="3">
        <v>44841</v>
      </c>
      <c r="C140" s="1">
        <v>7470940363</v>
      </c>
      <c r="D140" s="1">
        <v>8095203071</v>
      </c>
      <c r="E140" s="1">
        <v>24267.62</v>
      </c>
      <c r="F140" s="1" t="s">
        <v>12</v>
      </c>
      <c r="G140" s="1" t="s">
        <v>12</v>
      </c>
      <c r="H140" s="1" t="s">
        <v>13</v>
      </c>
      <c r="I140" s="1" t="s">
        <v>13</v>
      </c>
      <c r="J140" s="1" t="s">
        <v>22</v>
      </c>
      <c r="K140" s="1">
        <v>0</v>
      </c>
      <c r="L140" s="1" t="s">
        <v>21</v>
      </c>
      <c r="M140" s="1" t="str">
        <f t="shared" si="2"/>
        <v>Consistent</v>
      </c>
      <c r="N140" s="1" t="str">
        <f>_xlfn.XLOOKUP(H140, risk_score!A:A, risk_score!B:B, 0)</f>
        <v>Low Risk</v>
      </c>
    </row>
    <row r="141" spans="1:14">
      <c r="A141" s="2">
        <v>0.44467592592592592</v>
      </c>
      <c r="B141" s="3">
        <v>44841</v>
      </c>
      <c r="C141" s="1">
        <v>1054167985</v>
      </c>
      <c r="D141" s="1">
        <v>324741137</v>
      </c>
      <c r="E141" s="1">
        <v>9684.43</v>
      </c>
      <c r="F141" s="1" t="s">
        <v>12</v>
      </c>
      <c r="G141" s="1" t="s">
        <v>12</v>
      </c>
      <c r="H141" s="1" t="s">
        <v>13</v>
      </c>
      <c r="I141" s="1" t="s">
        <v>13</v>
      </c>
      <c r="J141" s="1" t="s">
        <v>25</v>
      </c>
      <c r="K141" s="1">
        <v>0</v>
      </c>
      <c r="L141" s="1" t="s">
        <v>24</v>
      </c>
      <c r="M141" s="1" t="str">
        <f t="shared" si="2"/>
        <v>Consistent</v>
      </c>
      <c r="N141" s="1" t="str">
        <f>_xlfn.XLOOKUP(H141, risk_score!A:A, risk_score!B:B, 0)</f>
        <v>Low Risk</v>
      </c>
    </row>
    <row r="142" spans="1:14">
      <c r="A142" s="2">
        <v>0.44469907407407405</v>
      </c>
      <c r="B142" s="3">
        <v>44841</v>
      </c>
      <c r="C142" s="1">
        <v>2865517114</v>
      </c>
      <c r="D142" s="1">
        <v>9180546856</v>
      </c>
      <c r="E142" s="1">
        <v>127.23</v>
      </c>
      <c r="F142" s="1" t="s">
        <v>12</v>
      </c>
      <c r="G142" s="1" t="s">
        <v>12</v>
      </c>
      <c r="H142" s="1" t="s">
        <v>13</v>
      </c>
      <c r="I142" s="1" t="s">
        <v>13</v>
      </c>
      <c r="J142" s="1" t="s">
        <v>36</v>
      </c>
      <c r="K142" s="1">
        <v>0</v>
      </c>
      <c r="L142" s="1" t="s">
        <v>37</v>
      </c>
      <c r="M142" s="1" t="str">
        <f t="shared" si="2"/>
        <v>Consistent</v>
      </c>
      <c r="N142" s="1" t="str">
        <f>_xlfn.XLOOKUP(H142, risk_score!A:A, risk_score!B:B, 0)</f>
        <v>Low Risk</v>
      </c>
    </row>
    <row r="143" spans="1:14">
      <c r="A143" s="2">
        <v>0.44472222222222224</v>
      </c>
      <c r="B143" s="3">
        <v>44841</v>
      </c>
      <c r="C143" s="1">
        <v>691501298</v>
      </c>
      <c r="D143" s="1">
        <v>3866748777</v>
      </c>
      <c r="E143" s="1">
        <v>153.54</v>
      </c>
      <c r="F143" s="1" t="s">
        <v>12</v>
      </c>
      <c r="G143" s="1" t="s">
        <v>12</v>
      </c>
      <c r="H143" s="1" t="s">
        <v>13</v>
      </c>
      <c r="I143" s="1" t="s">
        <v>13</v>
      </c>
      <c r="J143" s="1" t="s">
        <v>36</v>
      </c>
      <c r="K143" s="1">
        <v>0</v>
      </c>
      <c r="L143" s="1" t="s">
        <v>37</v>
      </c>
      <c r="M143" s="1" t="str">
        <f t="shared" si="2"/>
        <v>Consistent</v>
      </c>
      <c r="N143" s="1" t="str">
        <f>_xlfn.XLOOKUP(H143, risk_score!A:A, risk_score!B:B, 0)</f>
        <v>Low Risk</v>
      </c>
    </row>
    <row r="144" spans="1:14">
      <c r="A144" s="2">
        <v>0.44472222222222224</v>
      </c>
      <c r="B144" s="3">
        <v>44841</v>
      </c>
      <c r="C144" s="1">
        <v>2797271466</v>
      </c>
      <c r="D144" s="1">
        <v>1856317214</v>
      </c>
      <c r="E144" s="1">
        <v>6052.95</v>
      </c>
      <c r="F144" s="1" t="s">
        <v>12</v>
      </c>
      <c r="G144" s="1" t="s">
        <v>34</v>
      </c>
      <c r="H144" s="1" t="s">
        <v>13</v>
      </c>
      <c r="I144" s="1" t="s">
        <v>13</v>
      </c>
      <c r="J144" s="1" t="s">
        <v>22</v>
      </c>
      <c r="K144" s="1">
        <v>0</v>
      </c>
      <c r="L144" s="1" t="s">
        <v>19</v>
      </c>
      <c r="M144" s="1" t="str">
        <f t="shared" si="2"/>
        <v>Potential Layering</v>
      </c>
      <c r="N144" s="1" t="str">
        <f>_xlfn.XLOOKUP(H144, risk_score!A:A, risk_score!B:B, 0)</f>
        <v>Low Risk</v>
      </c>
    </row>
    <row r="145" spans="1:14">
      <c r="A145" s="2">
        <v>0.44473379629629628</v>
      </c>
      <c r="B145" s="3">
        <v>44841</v>
      </c>
      <c r="C145" s="1">
        <v>9986667984</v>
      </c>
      <c r="D145" s="1">
        <v>8984696396</v>
      </c>
      <c r="E145" s="1">
        <v>3327.21</v>
      </c>
      <c r="F145" s="1" t="s">
        <v>12</v>
      </c>
      <c r="G145" s="1" t="s">
        <v>12</v>
      </c>
      <c r="H145" s="1" t="s">
        <v>13</v>
      </c>
      <c r="I145" s="1" t="s">
        <v>13</v>
      </c>
      <c r="J145" s="1" t="s">
        <v>25</v>
      </c>
      <c r="K145" s="1">
        <v>0</v>
      </c>
      <c r="L145" s="1" t="s">
        <v>21</v>
      </c>
      <c r="M145" s="1" t="str">
        <f t="shared" si="2"/>
        <v>Consistent</v>
      </c>
      <c r="N145" s="1" t="str">
        <f>_xlfn.XLOOKUP(H145, risk_score!A:A, risk_score!B:B, 0)</f>
        <v>Low Risk</v>
      </c>
    </row>
    <row r="146" spans="1:14">
      <c r="A146" s="2">
        <v>0.44474537037037037</v>
      </c>
      <c r="B146" s="3">
        <v>44841</v>
      </c>
      <c r="C146" s="1">
        <v>3776976361</v>
      </c>
      <c r="D146" s="1">
        <v>8774487578</v>
      </c>
      <c r="E146" s="1">
        <v>6713.21</v>
      </c>
      <c r="F146" s="1" t="s">
        <v>12</v>
      </c>
      <c r="G146" s="1" t="s">
        <v>12</v>
      </c>
      <c r="H146" s="1" t="s">
        <v>13</v>
      </c>
      <c r="I146" s="1" t="s">
        <v>13</v>
      </c>
      <c r="J146" s="1" t="s">
        <v>27</v>
      </c>
      <c r="K146" s="1">
        <v>0</v>
      </c>
      <c r="L146" s="1" t="s">
        <v>21</v>
      </c>
      <c r="M146" s="1" t="str">
        <f t="shared" si="2"/>
        <v>Consistent</v>
      </c>
      <c r="N146" s="1" t="str">
        <f>_xlfn.XLOOKUP(H146, risk_score!A:A, risk_score!B:B, 0)</f>
        <v>Low Risk</v>
      </c>
    </row>
    <row r="147" spans="1:14">
      <c r="A147" s="2">
        <v>0.44474537037037037</v>
      </c>
      <c r="B147" s="3">
        <v>44841</v>
      </c>
      <c r="C147" s="1">
        <v>8854146908</v>
      </c>
      <c r="D147" s="1">
        <v>9600420220</v>
      </c>
      <c r="E147" s="1">
        <v>5100.6899999999996</v>
      </c>
      <c r="F147" s="1" t="s">
        <v>12</v>
      </c>
      <c r="G147" s="1" t="s">
        <v>12</v>
      </c>
      <c r="H147" s="1" t="s">
        <v>13</v>
      </c>
      <c r="I147" s="1" t="s">
        <v>13</v>
      </c>
      <c r="J147" s="1" t="s">
        <v>25</v>
      </c>
      <c r="K147" s="1">
        <v>0</v>
      </c>
      <c r="L147" s="1" t="s">
        <v>23</v>
      </c>
      <c r="M147" s="1" t="str">
        <f t="shared" si="2"/>
        <v>Consistent</v>
      </c>
      <c r="N147" s="1" t="str">
        <f>_xlfn.XLOOKUP(H147, risk_score!A:A, risk_score!B:B, 0)</f>
        <v>Low Risk</v>
      </c>
    </row>
    <row r="148" spans="1:14">
      <c r="A148" s="2">
        <v>0.44474537037037037</v>
      </c>
      <c r="B148" s="3">
        <v>44841</v>
      </c>
      <c r="C148" s="1">
        <v>3711169500</v>
      </c>
      <c r="D148" s="1">
        <v>8115468745</v>
      </c>
      <c r="E148" s="1">
        <v>5308.98</v>
      </c>
      <c r="F148" s="1" t="s">
        <v>12</v>
      </c>
      <c r="G148" s="1" t="s">
        <v>12</v>
      </c>
      <c r="H148" s="1" t="s">
        <v>13</v>
      </c>
      <c r="I148" s="1" t="s">
        <v>13</v>
      </c>
      <c r="J148" s="1" t="s">
        <v>27</v>
      </c>
      <c r="K148" s="1">
        <v>0</v>
      </c>
      <c r="L148" s="1" t="s">
        <v>21</v>
      </c>
      <c r="M148" s="1" t="str">
        <f t="shared" si="2"/>
        <v>Consistent</v>
      </c>
      <c r="N148" s="1" t="str">
        <f>_xlfn.XLOOKUP(H148, risk_score!A:A, risk_score!B:B, 0)</f>
        <v>Low Risk</v>
      </c>
    </row>
    <row r="149" spans="1:14">
      <c r="A149" s="2">
        <v>0.44480324074074074</v>
      </c>
      <c r="B149" s="3">
        <v>44841</v>
      </c>
      <c r="C149" s="1">
        <v>6626359609</v>
      </c>
      <c r="D149" s="1">
        <v>9024705045</v>
      </c>
      <c r="E149" s="1">
        <v>547.39</v>
      </c>
      <c r="F149" s="1" t="s">
        <v>12</v>
      </c>
      <c r="G149" s="1" t="s">
        <v>12</v>
      </c>
      <c r="H149" s="1" t="s">
        <v>13</v>
      </c>
      <c r="I149" s="1" t="s">
        <v>13</v>
      </c>
      <c r="J149" s="1" t="s">
        <v>22</v>
      </c>
      <c r="K149" s="1">
        <v>0</v>
      </c>
      <c r="L149" s="1" t="s">
        <v>21</v>
      </c>
      <c r="M149" s="1" t="str">
        <f t="shared" si="2"/>
        <v>Consistent</v>
      </c>
      <c r="N149" s="1" t="str">
        <f>_xlfn.XLOOKUP(H149, risk_score!A:A, risk_score!B:B, 0)</f>
        <v>Low Risk</v>
      </c>
    </row>
    <row r="150" spans="1:14">
      <c r="A150" s="2">
        <v>0.44481481481481483</v>
      </c>
      <c r="B150" s="3">
        <v>44841</v>
      </c>
      <c r="C150" s="1">
        <v>8770181801</v>
      </c>
      <c r="D150" s="1">
        <v>8926941188</v>
      </c>
      <c r="E150" s="1">
        <v>1818.3</v>
      </c>
      <c r="F150" s="1" t="s">
        <v>12</v>
      </c>
      <c r="G150" s="1" t="s">
        <v>12</v>
      </c>
      <c r="H150" s="1" t="s">
        <v>13</v>
      </c>
      <c r="I150" s="1" t="s">
        <v>13</v>
      </c>
      <c r="J150" s="1" t="s">
        <v>20</v>
      </c>
      <c r="K150" s="1">
        <v>0</v>
      </c>
      <c r="L150" s="1" t="s">
        <v>21</v>
      </c>
      <c r="M150" s="1" t="str">
        <f t="shared" si="2"/>
        <v>Consistent</v>
      </c>
      <c r="N150" s="1" t="str">
        <f>_xlfn.XLOOKUP(H150, risk_score!A:A, risk_score!B:B, 0)</f>
        <v>Low Risk</v>
      </c>
    </row>
    <row r="151" spans="1:14">
      <c r="A151" s="2">
        <v>0.44483796296296296</v>
      </c>
      <c r="B151" s="3">
        <v>44841</v>
      </c>
      <c r="C151" s="1">
        <v>5345734817</v>
      </c>
      <c r="D151" s="1">
        <v>4270865741</v>
      </c>
      <c r="E151" s="1">
        <v>7081.8</v>
      </c>
      <c r="F151" s="1" t="s">
        <v>12</v>
      </c>
      <c r="G151" s="1" t="s">
        <v>12</v>
      </c>
      <c r="H151" s="1" t="s">
        <v>13</v>
      </c>
      <c r="I151" s="1" t="s">
        <v>13</v>
      </c>
      <c r="J151" s="1" t="s">
        <v>20</v>
      </c>
      <c r="K151" s="1">
        <v>0</v>
      </c>
      <c r="L151" s="1" t="s">
        <v>23</v>
      </c>
      <c r="M151" s="1" t="str">
        <f t="shared" si="2"/>
        <v>Consistent</v>
      </c>
      <c r="N151" s="1" t="str">
        <f>_xlfn.XLOOKUP(H151, risk_score!A:A, risk_score!B:B, 0)</f>
        <v>Low Risk</v>
      </c>
    </row>
    <row r="152" spans="1:14">
      <c r="A152" s="2">
        <v>0.44484953703703706</v>
      </c>
      <c r="B152" s="3">
        <v>44841</v>
      </c>
      <c r="C152" s="1">
        <v>3373148945</v>
      </c>
      <c r="D152" s="1">
        <v>6034997194</v>
      </c>
      <c r="E152" s="1">
        <v>21465.47</v>
      </c>
      <c r="F152" s="1" t="s">
        <v>12</v>
      </c>
      <c r="G152" s="1" t="s">
        <v>12</v>
      </c>
      <c r="H152" s="1" t="s">
        <v>13</v>
      </c>
      <c r="I152" s="1" t="s">
        <v>13</v>
      </c>
      <c r="J152" s="1" t="s">
        <v>22</v>
      </c>
      <c r="K152" s="1">
        <v>0</v>
      </c>
      <c r="L152" s="1" t="s">
        <v>23</v>
      </c>
      <c r="M152" s="1" t="str">
        <f t="shared" si="2"/>
        <v>Consistent</v>
      </c>
      <c r="N152" s="1" t="str">
        <f>_xlfn.XLOOKUP(H152, risk_score!A:A, risk_score!B:B, 0)</f>
        <v>Low Risk</v>
      </c>
    </row>
    <row r="153" spans="1:14">
      <c r="A153" s="2">
        <v>0.4448611111111111</v>
      </c>
      <c r="B153" s="3">
        <v>44841</v>
      </c>
      <c r="C153" s="1">
        <v>8952177221</v>
      </c>
      <c r="D153" s="1">
        <v>4447848214</v>
      </c>
      <c r="E153" s="1">
        <v>8024.41</v>
      </c>
      <c r="F153" s="1" t="s">
        <v>12</v>
      </c>
      <c r="G153" s="1" t="s">
        <v>12</v>
      </c>
      <c r="H153" s="1" t="s">
        <v>13</v>
      </c>
      <c r="I153" s="1" t="s">
        <v>13</v>
      </c>
      <c r="J153" s="1" t="s">
        <v>22</v>
      </c>
      <c r="K153" s="1">
        <v>0</v>
      </c>
      <c r="L153" s="1" t="s">
        <v>19</v>
      </c>
      <c r="M153" s="1" t="str">
        <f t="shared" si="2"/>
        <v>Consistent</v>
      </c>
      <c r="N153" s="1" t="str">
        <f>_xlfn.XLOOKUP(H153, risk_score!A:A, risk_score!B:B, 0)</f>
        <v>Low Risk</v>
      </c>
    </row>
    <row r="154" spans="1:14">
      <c r="A154" s="2">
        <v>0.44488425925925928</v>
      </c>
      <c r="B154" s="3">
        <v>44841</v>
      </c>
      <c r="C154" s="1">
        <v>6997024826</v>
      </c>
      <c r="D154" s="1">
        <v>5279552599</v>
      </c>
      <c r="E154" s="1">
        <v>2970.67</v>
      </c>
      <c r="F154" s="1" t="s">
        <v>12</v>
      </c>
      <c r="G154" s="1" t="s">
        <v>12</v>
      </c>
      <c r="H154" s="1" t="s">
        <v>13</v>
      </c>
      <c r="I154" s="1" t="s">
        <v>13</v>
      </c>
      <c r="J154" s="1" t="s">
        <v>22</v>
      </c>
      <c r="K154" s="1">
        <v>0</v>
      </c>
      <c r="L154" s="1" t="s">
        <v>21</v>
      </c>
      <c r="M154" s="1" t="str">
        <f t="shared" si="2"/>
        <v>Consistent</v>
      </c>
      <c r="N154" s="1" t="str">
        <f>_xlfn.XLOOKUP(H154, risk_score!A:A, risk_score!B:B, 0)</f>
        <v>Low Risk</v>
      </c>
    </row>
    <row r="155" spans="1:14">
      <c r="A155" s="2">
        <v>0.44493055555555555</v>
      </c>
      <c r="B155" s="3">
        <v>44841</v>
      </c>
      <c r="C155" s="1">
        <v>9402994493</v>
      </c>
      <c r="D155" s="1">
        <v>3112794089</v>
      </c>
      <c r="E155" s="1">
        <v>7748.63</v>
      </c>
      <c r="F155" s="1" t="s">
        <v>12</v>
      </c>
      <c r="G155" s="1" t="s">
        <v>12</v>
      </c>
      <c r="H155" s="1" t="s">
        <v>13</v>
      </c>
      <c r="I155" s="1" t="s">
        <v>13</v>
      </c>
      <c r="J155" s="1" t="s">
        <v>22</v>
      </c>
      <c r="K155" s="1">
        <v>0</v>
      </c>
      <c r="L155" s="1" t="s">
        <v>24</v>
      </c>
      <c r="M155" s="1" t="str">
        <f t="shared" si="2"/>
        <v>Consistent</v>
      </c>
      <c r="N155" s="1" t="str">
        <f>_xlfn.XLOOKUP(H155, risk_score!A:A, risk_score!B:B, 0)</f>
        <v>Low Risk</v>
      </c>
    </row>
    <row r="156" spans="1:14">
      <c r="A156" s="2">
        <v>0.44497685185185187</v>
      </c>
      <c r="B156" s="3">
        <v>44841</v>
      </c>
      <c r="C156" s="1">
        <v>5874369285</v>
      </c>
      <c r="D156" s="1">
        <v>4203316413</v>
      </c>
      <c r="E156" s="1">
        <v>22445.59</v>
      </c>
      <c r="F156" s="1" t="s">
        <v>39</v>
      </c>
      <c r="G156" s="1" t="s">
        <v>12</v>
      </c>
      <c r="H156" s="1" t="s">
        <v>13</v>
      </c>
      <c r="I156" s="1" t="s">
        <v>13</v>
      </c>
      <c r="J156" s="1" t="s">
        <v>22</v>
      </c>
      <c r="K156" s="1">
        <v>0</v>
      </c>
      <c r="L156" s="1" t="s">
        <v>21</v>
      </c>
      <c r="M156" s="1" t="str">
        <f t="shared" si="2"/>
        <v>Potential Layering</v>
      </c>
      <c r="N156" s="1" t="str">
        <f>_xlfn.XLOOKUP(H156, risk_score!A:A, risk_score!B:B, 0)</f>
        <v>Low Risk</v>
      </c>
    </row>
    <row r="157" spans="1:14">
      <c r="A157" s="2">
        <v>0.44500000000000001</v>
      </c>
      <c r="B157" s="3">
        <v>44841</v>
      </c>
      <c r="C157" s="1">
        <v>2644081947</v>
      </c>
      <c r="D157" s="1">
        <v>5274970619</v>
      </c>
      <c r="E157" s="1">
        <v>2010.34</v>
      </c>
      <c r="F157" s="1" t="s">
        <v>12</v>
      </c>
      <c r="G157" s="1" t="s">
        <v>12</v>
      </c>
      <c r="H157" s="1" t="s">
        <v>13</v>
      </c>
      <c r="I157" s="1" t="s">
        <v>13</v>
      </c>
      <c r="J157" s="1" t="s">
        <v>27</v>
      </c>
      <c r="K157" s="1">
        <v>0</v>
      </c>
      <c r="L157" s="1" t="s">
        <v>21</v>
      </c>
      <c r="M157" s="1" t="str">
        <f t="shared" si="2"/>
        <v>Consistent</v>
      </c>
      <c r="N157" s="1" t="str">
        <f>_xlfn.XLOOKUP(H157, risk_score!A:A, risk_score!B:B, 0)</f>
        <v>Low Risk</v>
      </c>
    </row>
    <row r="158" spans="1:14">
      <c r="A158" s="2">
        <v>0.44500000000000001</v>
      </c>
      <c r="B158" s="3">
        <v>44841</v>
      </c>
      <c r="C158" s="1">
        <v>5435316010</v>
      </c>
      <c r="D158" s="1">
        <v>3362765079</v>
      </c>
      <c r="E158" s="1">
        <v>3385.16</v>
      </c>
      <c r="F158" s="1" t="s">
        <v>12</v>
      </c>
      <c r="G158" s="1" t="s">
        <v>12</v>
      </c>
      <c r="H158" s="1" t="s">
        <v>13</v>
      </c>
      <c r="I158" s="1" t="s">
        <v>13</v>
      </c>
      <c r="J158" s="1" t="s">
        <v>22</v>
      </c>
      <c r="K158" s="1">
        <v>0</v>
      </c>
      <c r="L158" s="1" t="s">
        <v>24</v>
      </c>
      <c r="M158" s="1" t="str">
        <f t="shared" si="2"/>
        <v>Consistent</v>
      </c>
      <c r="N158" s="1" t="str">
        <f>_xlfn.XLOOKUP(H158, risk_score!A:A, risk_score!B:B, 0)</f>
        <v>Low Risk</v>
      </c>
    </row>
    <row r="159" spans="1:14">
      <c r="A159" s="2">
        <v>0.4450115740740741</v>
      </c>
      <c r="B159" s="3">
        <v>44841</v>
      </c>
      <c r="C159" s="1">
        <v>6057444675</v>
      </c>
      <c r="D159" s="1">
        <v>8237840407</v>
      </c>
      <c r="E159" s="1">
        <v>7653.44</v>
      </c>
      <c r="F159" s="1" t="s">
        <v>12</v>
      </c>
      <c r="G159" s="1" t="s">
        <v>12</v>
      </c>
      <c r="H159" s="1" t="s">
        <v>13</v>
      </c>
      <c r="I159" s="1" t="s">
        <v>13</v>
      </c>
      <c r="J159" s="1" t="s">
        <v>25</v>
      </c>
      <c r="K159" s="1">
        <v>0</v>
      </c>
      <c r="L159" s="1" t="s">
        <v>19</v>
      </c>
      <c r="M159" s="1" t="str">
        <f t="shared" si="2"/>
        <v>Consistent</v>
      </c>
      <c r="N159" s="1" t="str">
        <f>_xlfn.XLOOKUP(H159, risk_score!A:A, risk_score!B:B, 0)</f>
        <v>Low Risk</v>
      </c>
    </row>
    <row r="160" spans="1:14">
      <c r="A160" s="2">
        <v>0.4450115740740741</v>
      </c>
      <c r="B160" s="3">
        <v>44841</v>
      </c>
      <c r="C160" s="1">
        <v>6541552727</v>
      </c>
      <c r="D160" s="1">
        <v>2284368563</v>
      </c>
      <c r="E160" s="1">
        <v>8978.6299999999992</v>
      </c>
      <c r="F160" s="1" t="s">
        <v>12</v>
      </c>
      <c r="G160" s="1" t="s">
        <v>12</v>
      </c>
      <c r="H160" s="1" t="s">
        <v>13</v>
      </c>
      <c r="I160" s="1" t="s">
        <v>13</v>
      </c>
      <c r="J160" s="1" t="s">
        <v>25</v>
      </c>
      <c r="K160" s="1">
        <v>0</v>
      </c>
      <c r="L160" s="1" t="s">
        <v>19</v>
      </c>
      <c r="M160" s="1" t="str">
        <f t="shared" si="2"/>
        <v>Consistent</v>
      </c>
      <c r="N160" s="1" t="str">
        <f>_xlfn.XLOOKUP(H160, risk_score!A:A, risk_score!B:B, 0)</f>
        <v>Low Risk</v>
      </c>
    </row>
    <row r="161" spans="1:14">
      <c r="A161" s="2">
        <v>0.44506944444444446</v>
      </c>
      <c r="B161" s="3">
        <v>44841</v>
      </c>
      <c r="C161" s="1">
        <v>9125487514</v>
      </c>
      <c r="D161" s="1">
        <v>9309476509</v>
      </c>
      <c r="E161" s="1">
        <v>810.62</v>
      </c>
      <c r="F161" s="1" t="s">
        <v>12</v>
      </c>
      <c r="G161" s="1" t="s">
        <v>12</v>
      </c>
      <c r="H161" s="1" t="s">
        <v>13</v>
      </c>
      <c r="I161" s="1" t="s">
        <v>13</v>
      </c>
      <c r="J161" s="1" t="s">
        <v>22</v>
      </c>
      <c r="K161" s="1">
        <v>0</v>
      </c>
      <c r="L161" s="1" t="s">
        <v>21</v>
      </c>
      <c r="M161" s="1" t="str">
        <f t="shared" si="2"/>
        <v>Consistent</v>
      </c>
      <c r="N161" s="1" t="str">
        <f>_xlfn.XLOOKUP(H161, risk_score!A:A, risk_score!B:B, 0)</f>
        <v>Low Risk</v>
      </c>
    </row>
    <row r="162" spans="1:14">
      <c r="A162" s="2">
        <v>0.4450925925925926</v>
      </c>
      <c r="B162" s="3">
        <v>44841</v>
      </c>
      <c r="C162" s="1">
        <v>7032135509</v>
      </c>
      <c r="D162" s="1">
        <v>6698865290</v>
      </c>
      <c r="E162" s="1">
        <v>1224.27</v>
      </c>
      <c r="F162" s="1" t="s">
        <v>12</v>
      </c>
      <c r="G162" s="1" t="s">
        <v>12</v>
      </c>
      <c r="H162" s="1" t="s">
        <v>13</v>
      </c>
      <c r="I162" s="1" t="s">
        <v>13</v>
      </c>
      <c r="J162" s="1" t="s">
        <v>22</v>
      </c>
      <c r="K162" s="1">
        <v>0</v>
      </c>
      <c r="L162" s="1" t="s">
        <v>24</v>
      </c>
      <c r="M162" s="1" t="str">
        <f t="shared" si="2"/>
        <v>Consistent</v>
      </c>
      <c r="N162" s="1" t="str">
        <f>_xlfn.XLOOKUP(H162, risk_score!A:A, risk_score!B:B, 0)</f>
        <v>Low Risk</v>
      </c>
    </row>
    <row r="163" spans="1:14">
      <c r="A163" s="2">
        <v>0.44510416666666669</v>
      </c>
      <c r="B163" s="3">
        <v>44841</v>
      </c>
      <c r="C163" s="1">
        <v>4431474237</v>
      </c>
      <c r="D163" s="1">
        <v>8881785263</v>
      </c>
      <c r="E163" s="1">
        <v>1448.33</v>
      </c>
      <c r="F163" s="1" t="s">
        <v>12</v>
      </c>
      <c r="G163" s="1" t="s">
        <v>12</v>
      </c>
      <c r="H163" s="1" t="s">
        <v>13</v>
      </c>
      <c r="I163" s="1" t="s">
        <v>13</v>
      </c>
      <c r="J163" s="1" t="s">
        <v>14</v>
      </c>
      <c r="K163" s="1">
        <v>0</v>
      </c>
      <c r="L163" s="1" t="s">
        <v>15</v>
      </c>
      <c r="M163" s="1" t="str">
        <f t="shared" si="2"/>
        <v>Consistent</v>
      </c>
      <c r="N163" s="1" t="str">
        <f>_xlfn.XLOOKUP(H163, risk_score!A:A, risk_score!B:B, 0)</f>
        <v>Low Risk</v>
      </c>
    </row>
    <row r="164" spans="1:14">
      <c r="A164" s="2">
        <v>0.44511574074074073</v>
      </c>
      <c r="B164" s="3">
        <v>44841</v>
      </c>
      <c r="C164" s="1">
        <v>3238526156</v>
      </c>
      <c r="D164" s="1">
        <v>1465487567</v>
      </c>
      <c r="E164" s="1">
        <v>21163.200000000001</v>
      </c>
      <c r="F164" s="1" t="s">
        <v>12</v>
      </c>
      <c r="G164" s="1" t="s">
        <v>12</v>
      </c>
      <c r="H164" s="1" t="s">
        <v>13</v>
      </c>
      <c r="I164" s="1" t="s">
        <v>13</v>
      </c>
      <c r="J164" s="1" t="s">
        <v>25</v>
      </c>
      <c r="K164" s="1">
        <v>0</v>
      </c>
      <c r="L164" s="1" t="s">
        <v>23</v>
      </c>
      <c r="M164" s="1" t="str">
        <f t="shared" si="2"/>
        <v>Consistent</v>
      </c>
      <c r="N164" s="1" t="str">
        <f>_xlfn.XLOOKUP(H164, risk_score!A:A, risk_score!B:B, 0)</f>
        <v>Low Risk</v>
      </c>
    </row>
    <row r="165" spans="1:14">
      <c r="A165" s="2">
        <v>0.44513888888888886</v>
      </c>
      <c r="B165" s="3">
        <v>44841</v>
      </c>
      <c r="C165" s="1">
        <v>9746384104</v>
      </c>
      <c r="D165" s="1">
        <v>389486199</v>
      </c>
      <c r="E165" s="1">
        <v>7049.42</v>
      </c>
      <c r="F165" s="1" t="s">
        <v>12</v>
      </c>
      <c r="G165" s="1" t="s">
        <v>12</v>
      </c>
      <c r="H165" s="1" t="s">
        <v>13</v>
      </c>
      <c r="I165" s="1" t="s">
        <v>13</v>
      </c>
      <c r="J165" s="1" t="s">
        <v>27</v>
      </c>
      <c r="K165" s="1">
        <v>0</v>
      </c>
      <c r="L165" s="1" t="s">
        <v>19</v>
      </c>
      <c r="M165" s="1" t="str">
        <f t="shared" si="2"/>
        <v>Consistent</v>
      </c>
      <c r="N165" s="1" t="str">
        <f>_xlfn.XLOOKUP(H165, risk_score!A:A, risk_score!B:B, 0)</f>
        <v>Low Risk</v>
      </c>
    </row>
    <row r="166" spans="1:14">
      <c r="A166" s="2">
        <v>0.44513888888888886</v>
      </c>
      <c r="B166" s="3">
        <v>44841</v>
      </c>
      <c r="C166" s="1">
        <v>6970509335</v>
      </c>
      <c r="D166" s="1">
        <v>5828577622</v>
      </c>
      <c r="E166" s="1">
        <v>1447.11</v>
      </c>
      <c r="F166" s="1" t="s">
        <v>12</v>
      </c>
      <c r="G166" s="1" t="s">
        <v>12</v>
      </c>
      <c r="H166" s="1" t="s">
        <v>13</v>
      </c>
      <c r="I166" s="1" t="s">
        <v>13</v>
      </c>
      <c r="J166" s="1" t="s">
        <v>27</v>
      </c>
      <c r="K166" s="1">
        <v>0</v>
      </c>
      <c r="L166" s="1" t="s">
        <v>21</v>
      </c>
      <c r="M166" s="1" t="str">
        <f t="shared" si="2"/>
        <v>Consistent</v>
      </c>
      <c r="N166" s="1" t="str">
        <f>_xlfn.XLOOKUP(H166, risk_score!A:A, risk_score!B:B, 0)</f>
        <v>Low Risk</v>
      </c>
    </row>
    <row r="167" spans="1:14">
      <c r="A167" s="2">
        <v>0.44517361111111109</v>
      </c>
      <c r="B167" s="3">
        <v>44841</v>
      </c>
      <c r="C167" s="1">
        <v>1805171806</v>
      </c>
      <c r="D167" s="1">
        <v>1465487567</v>
      </c>
      <c r="E167" s="1">
        <v>5931.99</v>
      </c>
      <c r="F167" s="1" t="s">
        <v>12</v>
      </c>
      <c r="G167" s="1" t="s">
        <v>12</v>
      </c>
      <c r="H167" s="1" t="s">
        <v>13</v>
      </c>
      <c r="I167" s="1" t="s">
        <v>13</v>
      </c>
      <c r="J167" s="1" t="s">
        <v>25</v>
      </c>
      <c r="K167" s="1">
        <v>0</v>
      </c>
      <c r="L167" s="1" t="s">
        <v>23</v>
      </c>
      <c r="M167" s="1" t="str">
        <f t="shared" si="2"/>
        <v>Consistent</v>
      </c>
      <c r="N167" s="1" t="str">
        <f>_xlfn.XLOOKUP(H167, risk_score!A:A, risk_score!B:B, 0)</f>
        <v>Low Risk</v>
      </c>
    </row>
    <row r="168" spans="1:14">
      <c r="A168" s="2">
        <v>0.44517361111111109</v>
      </c>
      <c r="B168" s="3">
        <v>44841</v>
      </c>
      <c r="C168" s="1">
        <v>1382513766</v>
      </c>
      <c r="D168" s="1">
        <v>6444220418</v>
      </c>
      <c r="E168" s="1">
        <v>8515.25</v>
      </c>
      <c r="F168" s="1" t="s">
        <v>12</v>
      </c>
      <c r="G168" s="1" t="s">
        <v>12</v>
      </c>
      <c r="H168" s="1" t="s">
        <v>13</v>
      </c>
      <c r="I168" s="1" t="s">
        <v>13</v>
      </c>
      <c r="J168" s="1" t="s">
        <v>25</v>
      </c>
      <c r="K168" s="1">
        <v>0</v>
      </c>
      <c r="L168" s="1" t="s">
        <v>23</v>
      </c>
      <c r="M168" s="1" t="str">
        <f t="shared" si="2"/>
        <v>Consistent</v>
      </c>
      <c r="N168" s="1" t="str">
        <f>_xlfn.XLOOKUP(H168, risk_score!A:A, risk_score!B:B, 0)</f>
        <v>Low Risk</v>
      </c>
    </row>
    <row r="169" spans="1:14">
      <c r="A169" s="2">
        <v>0.44517361111111109</v>
      </c>
      <c r="B169" s="3">
        <v>44841</v>
      </c>
      <c r="C169" s="1">
        <v>6541552727</v>
      </c>
      <c r="D169" s="1">
        <v>5240847125</v>
      </c>
      <c r="E169" s="1">
        <v>6193.99</v>
      </c>
      <c r="F169" s="1" t="s">
        <v>12</v>
      </c>
      <c r="G169" s="1" t="s">
        <v>12</v>
      </c>
      <c r="H169" s="1" t="s">
        <v>13</v>
      </c>
      <c r="I169" s="1" t="s">
        <v>13</v>
      </c>
      <c r="J169" s="1" t="s">
        <v>22</v>
      </c>
      <c r="K169" s="1">
        <v>0</v>
      </c>
      <c r="L169" s="1" t="s">
        <v>19</v>
      </c>
      <c r="M169" s="1" t="str">
        <f t="shared" si="2"/>
        <v>Consistent</v>
      </c>
      <c r="N169" s="1" t="str">
        <f>_xlfn.XLOOKUP(H169, risk_score!A:A, risk_score!B:B, 0)</f>
        <v>Low Risk</v>
      </c>
    </row>
    <row r="170" spans="1:14">
      <c r="A170" s="2">
        <v>0.44518518518518518</v>
      </c>
      <c r="B170" s="3">
        <v>44841</v>
      </c>
      <c r="C170" s="1">
        <v>3742406978</v>
      </c>
      <c r="D170" s="1">
        <v>2329119204</v>
      </c>
      <c r="E170" s="1">
        <v>10689.25</v>
      </c>
      <c r="F170" s="1" t="s">
        <v>12</v>
      </c>
      <c r="G170" s="1" t="s">
        <v>12</v>
      </c>
      <c r="H170" s="1" t="s">
        <v>13</v>
      </c>
      <c r="I170" s="1" t="s">
        <v>13</v>
      </c>
      <c r="J170" s="1" t="s">
        <v>27</v>
      </c>
      <c r="K170" s="1">
        <v>0</v>
      </c>
      <c r="L170" s="1" t="s">
        <v>21</v>
      </c>
      <c r="M170" s="1" t="str">
        <f t="shared" si="2"/>
        <v>Consistent</v>
      </c>
      <c r="N170" s="1" t="str">
        <f>_xlfn.XLOOKUP(H170, risk_score!A:A, risk_score!B:B, 0)</f>
        <v>Low Risk</v>
      </c>
    </row>
    <row r="171" spans="1:14">
      <c r="A171" s="2">
        <v>0.44518518518518518</v>
      </c>
      <c r="B171" s="3">
        <v>44841</v>
      </c>
      <c r="C171" s="1">
        <v>2797271466</v>
      </c>
      <c r="D171" s="1">
        <v>4525312913</v>
      </c>
      <c r="E171" s="1">
        <v>12942.48</v>
      </c>
      <c r="F171" s="1" t="s">
        <v>12</v>
      </c>
      <c r="G171" s="1" t="s">
        <v>12</v>
      </c>
      <c r="H171" s="1" t="s">
        <v>13</v>
      </c>
      <c r="I171" s="1" t="s">
        <v>13</v>
      </c>
      <c r="J171" s="1" t="s">
        <v>22</v>
      </c>
      <c r="K171" s="1">
        <v>0</v>
      </c>
      <c r="L171" s="1" t="s">
        <v>19</v>
      </c>
      <c r="M171" s="1" t="str">
        <f t="shared" si="2"/>
        <v>Consistent</v>
      </c>
      <c r="N171" s="1" t="str">
        <f>_xlfn.XLOOKUP(H171, risk_score!A:A, risk_score!B:B, 0)</f>
        <v>Low Risk</v>
      </c>
    </row>
    <row r="172" spans="1:14">
      <c r="A172" s="2">
        <v>0.44520833333333332</v>
      </c>
      <c r="B172" s="3">
        <v>44841</v>
      </c>
      <c r="C172" s="1">
        <v>4390278719</v>
      </c>
      <c r="D172" s="1">
        <v>8172080174</v>
      </c>
      <c r="E172" s="1">
        <v>25562.2</v>
      </c>
      <c r="F172" s="1" t="s">
        <v>12</v>
      </c>
      <c r="G172" s="1" t="s">
        <v>12</v>
      </c>
      <c r="H172" s="1" t="s">
        <v>13</v>
      </c>
      <c r="I172" s="1" t="s">
        <v>13</v>
      </c>
      <c r="J172" s="1" t="s">
        <v>22</v>
      </c>
      <c r="K172" s="1">
        <v>0</v>
      </c>
      <c r="L172" s="1" t="s">
        <v>23</v>
      </c>
      <c r="M172" s="1" t="str">
        <f t="shared" si="2"/>
        <v>Consistent</v>
      </c>
      <c r="N172" s="1" t="str">
        <f>_xlfn.XLOOKUP(H172, risk_score!A:A, risk_score!B:B, 0)</f>
        <v>Low Risk</v>
      </c>
    </row>
    <row r="173" spans="1:14">
      <c r="A173" s="2">
        <v>0.4453125</v>
      </c>
      <c r="B173" s="3">
        <v>44841</v>
      </c>
      <c r="C173" s="1">
        <v>5740702951</v>
      </c>
      <c r="D173" s="1">
        <v>4228245786</v>
      </c>
      <c r="E173" s="1">
        <v>12049.23</v>
      </c>
      <c r="F173" s="1" t="s">
        <v>12</v>
      </c>
      <c r="G173" s="1" t="s">
        <v>12</v>
      </c>
      <c r="H173" s="1" t="s">
        <v>13</v>
      </c>
      <c r="I173" s="1" t="s">
        <v>13</v>
      </c>
      <c r="J173" s="1" t="s">
        <v>25</v>
      </c>
      <c r="K173" s="1">
        <v>0</v>
      </c>
      <c r="L173" s="1" t="s">
        <v>21</v>
      </c>
      <c r="M173" s="1" t="str">
        <f t="shared" si="2"/>
        <v>Consistent</v>
      </c>
      <c r="N173" s="1" t="str">
        <f>_xlfn.XLOOKUP(H173, risk_score!A:A, risk_score!B:B, 0)</f>
        <v>Low Risk</v>
      </c>
    </row>
    <row r="174" spans="1:14">
      <c r="A174" s="2">
        <v>0.44532407407407409</v>
      </c>
      <c r="B174" s="3">
        <v>44841</v>
      </c>
      <c r="C174" s="1">
        <v>6904668523</v>
      </c>
      <c r="D174" s="1">
        <v>1140410616</v>
      </c>
      <c r="E174" s="1">
        <v>5021.1000000000004</v>
      </c>
      <c r="F174" s="1" t="s">
        <v>12</v>
      </c>
      <c r="G174" s="1" t="s">
        <v>12</v>
      </c>
      <c r="H174" s="1" t="s">
        <v>13</v>
      </c>
      <c r="I174" s="1" t="s">
        <v>13</v>
      </c>
      <c r="J174" s="1" t="s">
        <v>20</v>
      </c>
      <c r="K174" s="1">
        <v>0</v>
      </c>
      <c r="L174" s="1" t="s">
        <v>19</v>
      </c>
      <c r="M174" s="1" t="str">
        <f t="shared" si="2"/>
        <v>Consistent</v>
      </c>
      <c r="N174" s="1" t="str">
        <f>_xlfn.XLOOKUP(H174, risk_score!A:A, risk_score!B:B, 0)</f>
        <v>Low Risk</v>
      </c>
    </row>
    <row r="175" spans="1:14">
      <c r="A175" s="2">
        <v>0.44533564814814813</v>
      </c>
      <c r="B175" s="3">
        <v>44841</v>
      </c>
      <c r="C175" s="1">
        <v>1378784400</v>
      </c>
      <c r="D175" s="1">
        <v>6533060638</v>
      </c>
      <c r="E175" s="1">
        <v>5110.2</v>
      </c>
      <c r="F175" s="1" t="s">
        <v>12</v>
      </c>
      <c r="G175" s="1" t="s">
        <v>12</v>
      </c>
      <c r="H175" s="1" t="s">
        <v>13</v>
      </c>
      <c r="I175" s="1" t="s">
        <v>13</v>
      </c>
      <c r="J175" s="1" t="s">
        <v>27</v>
      </c>
      <c r="K175" s="1">
        <v>0</v>
      </c>
      <c r="L175" s="1" t="s">
        <v>19</v>
      </c>
      <c r="M175" s="1" t="str">
        <f t="shared" si="2"/>
        <v>Consistent</v>
      </c>
      <c r="N175" s="1" t="str">
        <f>_xlfn.XLOOKUP(H175, risk_score!A:A, risk_score!B:B, 0)</f>
        <v>Low Risk</v>
      </c>
    </row>
    <row r="176" spans="1:14">
      <c r="A176" s="2">
        <v>0.44535879629629632</v>
      </c>
      <c r="B176" s="3">
        <v>44841</v>
      </c>
      <c r="C176" s="1">
        <v>4090925094</v>
      </c>
      <c r="D176" s="1">
        <v>3516473411</v>
      </c>
      <c r="E176" s="1">
        <v>17372.61</v>
      </c>
      <c r="F176" s="1" t="s">
        <v>12</v>
      </c>
      <c r="G176" s="1" t="s">
        <v>12</v>
      </c>
      <c r="H176" s="1" t="s">
        <v>13</v>
      </c>
      <c r="I176" s="1" t="s">
        <v>13</v>
      </c>
      <c r="J176" s="1" t="s">
        <v>25</v>
      </c>
      <c r="K176" s="1">
        <v>0</v>
      </c>
      <c r="L176" s="1" t="s">
        <v>21</v>
      </c>
      <c r="M176" s="1" t="str">
        <f t="shared" si="2"/>
        <v>Consistent</v>
      </c>
      <c r="N176" s="1" t="str">
        <f>_xlfn.XLOOKUP(H176, risk_score!A:A, risk_score!B:B, 0)</f>
        <v>Low Risk</v>
      </c>
    </row>
    <row r="177" spans="1:14">
      <c r="A177" s="2">
        <v>0.44535879629629632</v>
      </c>
      <c r="B177" s="3">
        <v>44841</v>
      </c>
      <c r="C177" s="1">
        <v>2365007895</v>
      </c>
      <c r="D177" s="1">
        <v>835293711</v>
      </c>
      <c r="E177" s="1">
        <v>4702.76</v>
      </c>
      <c r="F177" s="1" t="s">
        <v>12</v>
      </c>
      <c r="G177" s="1" t="s">
        <v>12</v>
      </c>
      <c r="H177" s="1" t="s">
        <v>13</v>
      </c>
      <c r="I177" s="1" t="s">
        <v>13</v>
      </c>
      <c r="J177" s="1" t="s">
        <v>22</v>
      </c>
      <c r="K177" s="1">
        <v>0</v>
      </c>
      <c r="L177" s="1" t="s">
        <v>19</v>
      </c>
      <c r="M177" s="1" t="str">
        <f t="shared" si="2"/>
        <v>Consistent</v>
      </c>
      <c r="N177" s="1" t="str">
        <f>_xlfn.XLOOKUP(H177, risk_score!A:A, risk_score!B:B, 0)</f>
        <v>Low Risk</v>
      </c>
    </row>
    <row r="178" spans="1:14">
      <c r="A178" s="2">
        <v>0.44537037037037036</v>
      </c>
      <c r="B178" s="3">
        <v>44841</v>
      </c>
      <c r="C178" s="1">
        <v>1730350525</v>
      </c>
      <c r="D178" s="1">
        <v>4336977506</v>
      </c>
      <c r="E178" s="1">
        <v>7193.69</v>
      </c>
      <c r="F178" s="1" t="s">
        <v>12</v>
      </c>
      <c r="G178" s="1" t="s">
        <v>12</v>
      </c>
      <c r="H178" s="1" t="s">
        <v>13</v>
      </c>
      <c r="I178" s="1" t="s">
        <v>13</v>
      </c>
      <c r="J178" s="1" t="s">
        <v>22</v>
      </c>
      <c r="K178" s="1">
        <v>0</v>
      </c>
      <c r="L178" s="1" t="s">
        <v>23</v>
      </c>
      <c r="M178" s="1" t="str">
        <f t="shared" si="2"/>
        <v>Consistent</v>
      </c>
      <c r="N178" s="1" t="str">
        <f>_xlfn.XLOOKUP(H178, risk_score!A:A, risk_score!B:B, 0)</f>
        <v>Low Risk</v>
      </c>
    </row>
    <row r="179" spans="1:14">
      <c r="A179" s="2">
        <v>0.44538194444444446</v>
      </c>
      <c r="B179" s="3">
        <v>44841</v>
      </c>
      <c r="C179" s="1">
        <v>9734083970</v>
      </c>
      <c r="D179" s="1">
        <v>4117514495</v>
      </c>
      <c r="E179" s="1">
        <v>4863.13</v>
      </c>
      <c r="F179" s="1" t="s">
        <v>12</v>
      </c>
      <c r="G179" s="1" t="s">
        <v>12</v>
      </c>
      <c r="H179" s="1" t="s">
        <v>13</v>
      </c>
      <c r="I179" s="1" t="s">
        <v>13</v>
      </c>
      <c r="J179" s="1" t="s">
        <v>20</v>
      </c>
      <c r="K179" s="1">
        <v>0</v>
      </c>
      <c r="L179" s="1" t="s">
        <v>19</v>
      </c>
      <c r="M179" s="1" t="str">
        <f t="shared" si="2"/>
        <v>Consistent</v>
      </c>
      <c r="N179" s="1" t="str">
        <f>_xlfn.XLOOKUP(H179, risk_score!A:A, risk_score!B:B, 0)</f>
        <v>Low Risk</v>
      </c>
    </row>
    <row r="180" spans="1:14">
      <c r="A180" s="2">
        <v>0.44540509259259259</v>
      </c>
      <c r="B180" s="3">
        <v>44841</v>
      </c>
      <c r="C180" s="1">
        <v>2199795388</v>
      </c>
      <c r="D180" s="1">
        <v>1377603863</v>
      </c>
      <c r="E180" s="1">
        <v>9485.6</v>
      </c>
      <c r="F180" s="1" t="s">
        <v>12</v>
      </c>
      <c r="G180" s="1" t="s">
        <v>12</v>
      </c>
      <c r="H180" s="1" t="s">
        <v>13</v>
      </c>
      <c r="I180" s="1" t="s">
        <v>13</v>
      </c>
      <c r="J180" s="1" t="s">
        <v>25</v>
      </c>
      <c r="K180" s="1">
        <v>0</v>
      </c>
      <c r="L180" s="1" t="s">
        <v>23</v>
      </c>
      <c r="M180" s="1" t="str">
        <f t="shared" si="2"/>
        <v>Consistent</v>
      </c>
      <c r="N180" s="1" t="str">
        <f>_xlfn.XLOOKUP(H180, risk_score!A:A, risk_score!B:B, 0)</f>
        <v>Low Risk</v>
      </c>
    </row>
    <row r="181" spans="1:14">
      <c r="A181" s="2">
        <v>0.44541666666666668</v>
      </c>
      <c r="B181" s="3">
        <v>44841</v>
      </c>
      <c r="C181" s="1">
        <v>3396853729</v>
      </c>
      <c r="D181" s="1">
        <v>4293580479</v>
      </c>
      <c r="E181" s="1">
        <v>25963.39</v>
      </c>
      <c r="F181" s="1" t="s">
        <v>12</v>
      </c>
      <c r="G181" s="1" t="s">
        <v>12</v>
      </c>
      <c r="H181" s="1" t="s">
        <v>13</v>
      </c>
      <c r="I181" s="1" t="s">
        <v>13</v>
      </c>
      <c r="J181" s="1" t="s">
        <v>27</v>
      </c>
      <c r="K181" s="1">
        <v>0</v>
      </c>
      <c r="L181" s="1" t="s">
        <v>23</v>
      </c>
      <c r="M181" s="1" t="str">
        <f t="shared" si="2"/>
        <v>Consistent</v>
      </c>
      <c r="N181" s="1" t="str">
        <f>_xlfn.XLOOKUP(H181, risk_score!A:A, risk_score!B:B, 0)</f>
        <v>Low Risk</v>
      </c>
    </row>
    <row r="182" spans="1:14">
      <c r="A182" s="2">
        <v>0.44541666666666668</v>
      </c>
      <c r="B182" s="3">
        <v>44841</v>
      </c>
      <c r="C182" s="1">
        <v>9649321106</v>
      </c>
      <c r="D182" s="1">
        <v>5109623450</v>
      </c>
      <c r="E182" s="1">
        <v>7886.78</v>
      </c>
      <c r="F182" s="1" t="s">
        <v>12</v>
      </c>
      <c r="G182" s="1" t="s">
        <v>12</v>
      </c>
      <c r="H182" s="1" t="s">
        <v>13</v>
      </c>
      <c r="I182" s="1" t="s">
        <v>13</v>
      </c>
      <c r="J182" s="1" t="s">
        <v>25</v>
      </c>
      <c r="K182" s="1">
        <v>0</v>
      </c>
      <c r="L182" s="1" t="s">
        <v>23</v>
      </c>
      <c r="M182" s="1" t="str">
        <f t="shared" si="2"/>
        <v>Consistent</v>
      </c>
      <c r="N182" s="1" t="str">
        <f>_xlfn.XLOOKUP(H182, risk_score!A:A, risk_score!B:B, 0)</f>
        <v>Low Risk</v>
      </c>
    </row>
    <row r="183" spans="1:14">
      <c r="A183" s="2">
        <v>0.44543981481481482</v>
      </c>
      <c r="B183" s="3">
        <v>44841</v>
      </c>
      <c r="C183" s="1">
        <v>5188677620</v>
      </c>
      <c r="D183" s="1">
        <v>8172080174</v>
      </c>
      <c r="E183" s="1">
        <v>7839.89</v>
      </c>
      <c r="F183" s="1" t="s">
        <v>12</v>
      </c>
      <c r="G183" s="1" t="s">
        <v>12</v>
      </c>
      <c r="H183" s="1" t="s">
        <v>13</v>
      </c>
      <c r="I183" s="1" t="s">
        <v>13</v>
      </c>
      <c r="J183" s="1" t="s">
        <v>20</v>
      </c>
      <c r="K183" s="1">
        <v>0</v>
      </c>
      <c r="L183" s="1" t="s">
        <v>23</v>
      </c>
      <c r="M183" s="1" t="str">
        <f t="shared" si="2"/>
        <v>Consistent</v>
      </c>
      <c r="N183" s="1" t="str">
        <f>_xlfn.XLOOKUP(H183, risk_score!A:A, risk_score!B:B, 0)</f>
        <v>Low Risk</v>
      </c>
    </row>
    <row r="184" spans="1:14">
      <c r="A184" s="2">
        <v>0.44549768518518518</v>
      </c>
      <c r="B184" s="3">
        <v>44841</v>
      </c>
      <c r="C184" s="1">
        <v>3243896688</v>
      </c>
      <c r="D184" s="1">
        <v>333166301</v>
      </c>
      <c r="E184" s="1">
        <v>2647.06</v>
      </c>
      <c r="F184" s="1" t="s">
        <v>12</v>
      </c>
      <c r="G184" s="1" t="s">
        <v>12</v>
      </c>
      <c r="H184" s="1" t="s">
        <v>13</v>
      </c>
      <c r="I184" s="1" t="s">
        <v>13</v>
      </c>
      <c r="J184" s="1" t="s">
        <v>25</v>
      </c>
      <c r="K184" s="1">
        <v>0</v>
      </c>
      <c r="L184" s="1" t="s">
        <v>21</v>
      </c>
      <c r="M184" s="1" t="str">
        <f t="shared" si="2"/>
        <v>Consistent</v>
      </c>
      <c r="N184" s="1" t="str">
        <f>_xlfn.XLOOKUP(H184, risk_score!A:A, risk_score!B:B, 0)</f>
        <v>Low Risk</v>
      </c>
    </row>
    <row r="185" spans="1:14">
      <c r="A185" s="2">
        <v>0.44549768518518518</v>
      </c>
      <c r="B185" s="3">
        <v>44841</v>
      </c>
      <c r="C185" s="1">
        <v>9390718271</v>
      </c>
      <c r="D185" s="1">
        <v>5933990094</v>
      </c>
      <c r="E185" s="1">
        <v>99.16</v>
      </c>
      <c r="F185" s="1" t="s">
        <v>12</v>
      </c>
      <c r="G185" s="1" t="s">
        <v>46</v>
      </c>
      <c r="H185" s="1" t="s">
        <v>13</v>
      </c>
      <c r="I185" s="1" t="s">
        <v>47</v>
      </c>
      <c r="J185" s="1" t="s">
        <v>18</v>
      </c>
      <c r="K185" s="1">
        <v>0</v>
      </c>
      <c r="L185" s="1" t="s">
        <v>21</v>
      </c>
      <c r="M185" s="1" t="str">
        <f t="shared" si="2"/>
        <v>Potential Layering</v>
      </c>
      <c r="N185" s="1" t="str">
        <f>_xlfn.XLOOKUP(H185, risk_score!A:A, risk_score!B:B, 0)</f>
        <v>Low Risk</v>
      </c>
    </row>
    <row r="186" spans="1:14">
      <c r="A186" s="2">
        <v>0.44549768518518518</v>
      </c>
      <c r="B186" s="3">
        <v>44841</v>
      </c>
      <c r="C186" s="1">
        <v>3808941319</v>
      </c>
      <c r="D186" s="1">
        <v>6283707826</v>
      </c>
      <c r="E186" s="1">
        <v>1400.65</v>
      </c>
      <c r="F186" s="1" t="s">
        <v>12</v>
      </c>
      <c r="G186" s="1" t="s">
        <v>12</v>
      </c>
      <c r="H186" s="1" t="s">
        <v>13</v>
      </c>
      <c r="I186" s="1" t="s">
        <v>13</v>
      </c>
      <c r="J186" s="1" t="s">
        <v>14</v>
      </c>
      <c r="K186" s="1">
        <v>0</v>
      </c>
      <c r="L186" s="1" t="s">
        <v>15</v>
      </c>
      <c r="M186" s="1" t="str">
        <f t="shared" si="2"/>
        <v>Consistent</v>
      </c>
      <c r="N186" s="1" t="str">
        <f>_xlfn.XLOOKUP(H186, risk_score!A:A, risk_score!B:B, 0)</f>
        <v>Low Risk</v>
      </c>
    </row>
    <row r="187" spans="1:14">
      <c r="A187" s="2">
        <v>0.44552083333333331</v>
      </c>
      <c r="B187" s="3">
        <v>44841</v>
      </c>
      <c r="C187" s="1">
        <v>8372035568</v>
      </c>
      <c r="D187" s="1">
        <v>4270865741</v>
      </c>
      <c r="E187" s="1">
        <v>5826.8</v>
      </c>
      <c r="F187" s="1" t="s">
        <v>12</v>
      </c>
      <c r="G187" s="1" t="s">
        <v>12</v>
      </c>
      <c r="H187" s="1" t="s">
        <v>13</v>
      </c>
      <c r="I187" s="1" t="s">
        <v>13</v>
      </c>
      <c r="J187" s="1" t="s">
        <v>25</v>
      </c>
      <c r="K187" s="1">
        <v>0</v>
      </c>
      <c r="L187" s="1" t="s">
        <v>23</v>
      </c>
      <c r="M187" s="1" t="str">
        <f t="shared" si="2"/>
        <v>Consistent</v>
      </c>
      <c r="N187" s="1" t="str">
        <f>_xlfn.XLOOKUP(H187, risk_score!A:A, risk_score!B:B, 0)</f>
        <v>Low Risk</v>
      </c>
    </row>
    <row r="188" spans="1:14">
      <c r="A188" s="2">
        <v>0.44555555555555554</v>
      </c>
      <c r="B188" s="3">
        <v>44841</v>
      </c>
      <c r="C188" s="1">
        <v>4438681315</v>
      </c>
      <c r="D188" s="1">
        <v>882959224</v>
      </c>
      <c r="E188" s="1">
        <v>1401.84</v>
      </c>
      <c r="F188" s="1" t="s">
        <v>12</v>
      </c>
      <c r="G188" s="1" t="s">
        <v>12</v>
      </c>
      <c r="H188" s="1" t="s">
        <v>13</v>
      </c>
      <c r="I188" s="1" t="s">
        <v>13</v>
      </c>
      <c r="J188" s="1" t="s">
        <v>20</v>
      </c>
      <c r="K188" s="1">
        <v>0</v>
      </c>
      <c r="L188" s="1" t="s">
        <v>21</v>
      </c>
      <c r="M188" s="1" t="str">
        <f t="shared" si="2"/>
        <v>Consistent</v>
      </c>
      <c r="N188" s="1" t="str">
        <f>_xlfn.XLOOKUP(H188, risk_score!A:A, risk_score!B:B, 0)</f>
        <v>Low Risk</v>
      </c>
    </row>
    <row r="189" spans="1:14">
      <c r="A189" s="2">
        <v>0.44556712962962963</v>
      </c>
      <c r="B189" s="3">
        <v>44841</v>
      </c>
      <c r="C189" s="1">
        <v>9432190883</v>
      </c>
      <c r="D189" s="1">
        <v>747469164</v>
      </c>
      <c r="E189" s="1">
        <v>557.13</v>
      </c>
      <c r="F189" s="1" t="s">
        <v>12</v>
      </c>
      <c r="G189" s="1" t="s">
        <v>12</v>
      </c>
      <c r="H189" s="1" t="s">
        <v>13</v>
      </c>
      <c r="I189" s="1" t="s">
        <v>13</v>
      </c>
      <c r="J189" s="1" t="s">
        <v>22</v>
      </c>
      <c r="K189" s="1">
        <v>0</v>
      </c>
      <c r="L189" s="1" t="s">
        <v>21</v>
      </c>
      <c r="M189" s="1" t="str">
        <f t="shared" si="2"/>
        <v>Consistent</v>
      </c>
      <c r="N189" s="1" t="str">
        <f>_xlfn.XLOOKUP(H189, risk_score!A:A, risk_score!B:B, 0)</f>
        <v>Low Risk</v>
      </c>
    </row>
    <row r="190" spans="1:14">
      <c r="A190" s="2">
        <v>0.44560185185185186</v>
      </c>
      <c r="B190" s="3">
        <v>44841</v>
      </c>
      <c r="C190" s="1">
        <v>7998453354</v>
      </c>
      <c r="D190" s="1">
        <v>9600841582</v>
      </c>
      <c r="E190" s="1">
        <v>836.76</v>
      </c>
      <c r="F190" s="1" t="s">
        <v>12</v>
      </c>
      <c r="G190" s="1" t="s">
        <v>12</v>
      </c>
      <c r="H190" s="1" t="s">
        <v>13</v>
      </c>
      <c r="I190" s="1" t="s">
        <v>13</v>
      </c>
      <c r="J190" s="1" t="s">
        <v>25</v>
      </c>
      <c r="K190" s="1">
        <v>0</v>
      </c>
      <c r="L190" s="1" t="s">
        <v>21</v>
      </c>
      <c r="M190" s="1" t="str">
        <f t="shared" si="2"/>
        <v>Consistent</v>
      </c>
      <c r="N190" s="1" t="str">
        <f>_xlfn.XLOOKUP(H190, risk_score!A:A, risk_score!B:B, 0)</f>
        <v>Low Risk</v>
      </c>
    </row>
    <row r="191" spans="1:14">
      <c r="A191" s="2">
        <v>0.4456134259259259</v>
      </c>
      <c r="B191" s="3">
        <v>44841</v>
      </c>
      <c r="C191" s="1">
        <v>7258656047</v>
      </c>
      <c r="D191" s="1">
        <v>1377603863</v>
      </c>
      <c r="E191" s="1">
        <v>10264.620000000001</v>
      </c>
      <c r="F191" s="1" t="s">
        <v>12</v>
      </c>
      <c r="G191" s="1" t="s">
        <v>12</v>
      </c>
      <c r="H191" s="1" t="s">
        <v>13</v>
      </c>
      <c r="I191" s="1" t="s">
        <v>13</v>
      </c>
      <c r="J191" s="1" t="s">
        <v>27</v>
      </c>
      <c r="K191" s="1">
        <v>0</v>
      </c>
      <c r="L191" s="1" t="s">
        <v>23</v>
      </c>
      <c r="M191" s="1" t="str">
        <f t="shared" si="2"/>
        <v>Consistent</v>
      </c>
      <c r="N191" s="1" t="str">
        <f>_xlfn.XLOOKUP(H191, risk_score!A:A, risk_score!B:B, 0)</f>
        <v>Low Risk</v>
      </c>
    </row>
    <row r="192" spans="1:14">
      <c r="A192" s="2">
        <v>0.4456134259259259</v>
      </c>
      <c r="B192" s="3">
        <v>44841</v>
      </c>
      <c r="C192" s="1">
        <v>2365007895</v>
      </c>
      <c r="D192" s="1">
        <v>2127570174</v>
      </c>
      <c r="E192" s="1">
        <v>11742.77</v>
      </c>
      <c r="F192" s="1" t="s">
        <v>12</v>
      </c>
      <c r="G192" s="1" t="s">
        <v>12</v>
      </c>
      <c r="H192" s="1" t="s">
        <v>13</v>
      </c>
      <c r="I192" s="1" t="s">
        <v>13</v>
      </c>
      <c r="J192" s="1" t="s">
        <v>20</v>
      </c>
      <c r="K192" s="1">
        <v>0</v>
      </c>
      <c r="L192" s="1" t="s">
        <v>19</v>
      </c>
      <c r="M192" s="1" t="str">
        <f t="shared" si="2"/>
        <v>Consistent</v>
      </c>
      <c r="N192" s="1" t="str">
        <f>_xlfn.XLOOKUP(H192, risk_score!A:A, risk_score!B:B, 0)</f>
        <v>Low Risk</v>
      </c>
    </row>
    <row r="193" spans="1:14">
      <c r="A193" s="2">
        <v>0.44562499999999999</v>
      </c>
      <c r="B193" s="3">
        <v>44841</v>
      </c>
      <c r="C193" s="1">
        <v>6592322340</v>
      </c>
      <c r="D193" s="1">
        <v>2115081579</v>
      </c>
      <c r="E193" s="1">
        <v>2702.26</v>
      </c>
      <c r="F193" s="1" t="s">
        <v>46</v>
      </c>
      <c r="G193" s="1" t="s">
        <v>12</v>
      </c>
      <c r="H193" s="1" t="s">
        <v>13</v>
      </c>
      <c r="I193" s="1" t="s">
        <v>13</v>
      </c>
      <c r="J193" s="1" t="s">
        <v>27</v>
      </c>
      <c r="K193" s="1">
        <v>0</v>
      </c>
      <c r="L193" s="1" t="s">
        <v>21</v>
      </c>
      <c r="M193" s="1" t="str">
        <f t="shared" si="2"/>
        <v>Potential Layering</v>
      </c>
      <c r="N193" s="1" t="str">
        <f>_xlfn.XLOOKUP(H193, risk_score!A:A, risk_score!B:B, 0)</f>
        <v>Low Risk</v>
      </c>
    </row>
    <row r="194" spans="1:14">
      <c r="A194" s="2">
        <v>0.44563657407407409</v>
      </c>
      <c r="B194" s="3">
        <v>44841</v>
      </c>
      <c r="C194" s="1">
        <v>9239631224</v>
      </c>
      <c r="D194" s="1">
        <v>9700169638</v>
      </c>
      <c r="E194" s="1">
        <v>6386.85</v>
      </c>
      <c r="F194" s="1" t="s">
        <v>12</v>
      </c>
      <c r="G194" s="1" t="s">
        <v>12</v>
      </c>
      <c r="H194" s="1" t="s">
        <v>13</v>
      </c>
      <c r="I194" s="1" t="s">
        <v>13</v>
      </c>
      <c r="J194" s="1" t="s">
        <v>25</v>
      </c>
      <c r="K194" s="1">
        <v>0</v>
      </c>
      <c r="L194" s="1" t="s">
        <v>21</v>
      </c>
      <c r="M194" s="1" t="str">
        <f t="shared" si="2"/>
        <v>Consistent</v>
      </c>
      <c r="N194" s="1" t="str">
        <f>_xlfn.XLOOKUP(H194, risk_score!A:A, risk_score!B:B, 0)</f>
        <v>Low Risk</v>
      </c>
    </row>
    <row r="195" spans="1:14">
      <c r="A195" s="2">
        <v>0.44565972222222222</v>
      </c>
      <c r="B195" s="3">
        <v>44841</v>
      </c>
      <c r="C195" s="1">
        <v>4874746643</v>
      </c>
      <c r="D195" s="1">
        <v>1869412992</v>
      </c>
      <c r="E195" s="1">
        <v>4387.99</v>
      </c>
      <c r="F195" s="1" t="s">
        <v>12</v>
      </c>
      <c r="G195" s="1" t="s">
        <v>12</v>
      </c>
      <c r="H195" s="1" t="s">
        <v>13</v>
      </c>
      <c r="I195" s="1" t="s">
        <v>13</v>
      </c>
      <c r="J195" s="1" t="s">
        <v>25</v>
      </c>
      <c r="K195" s="1">
        <v>0</v>
      </c>
      <c r="L195" s="1" t="s">
        <v>21</v>
      </c>
      <c r="M195" s="1" t="str">
        <f t="shared" ref="M195:M258" si="3">IF(F195=G195, "Consistent", "Potential Layering")</f>
        <v>Consistent</v>
      </c>
      <c r="N195" s="1" t="str">
        <f>_xlfn.XLOOKUP(H195, risk_score!A:A, risk_score!B:B, 0)</f>
        <v>Low Risk</v>
      </c>
    </row>
    <row r="196" spans="1:14">
      <c r="A196" s="2">
        <v>0.44569444444444445</v>
      </c>
      <c r="B196" s="3">
        <v>44841</v>
      </c>
      <c r="C196" s="1">
        <v>3712660061</v>
      </c>
      <c r="D196" s="1">
        <v>2534644942</v>
      </c>
      <c r="E196" s="1">
        <v>23161.439999999999</v>
      </c>
      <c r="F196" s="1" t="s">
        <v>12</v>
      </c>
      <c r="G196" s="1" t="s">
        <v>29</v>
      </c>
      <c r="H196" s="1" t="s">
        <v>13</v>
      </c>
      <c r="I196" s="1" t="s">
        <v>31</v>
      </c>
      <c r="J196" s="1" t="s">
        <v>18</v>
      </c>
      <c r="K196" s="1">
        <v>0</v>
      </c>
      <c r="L196" s="1" t="s">
        <v>23</v>
      </c>
      <c r="M196" s="1" t="str">
        <f t="shared" si="3"/>
        <v>Potential Layering</v>
      </c>
      <c r="N196" s="1" t="str">
        <f>_xlfn.XLOOKUP(H196, risk_score!A:A, risk_score!B:B, 0)</f>
        <v>Low Risk</v>
      </c>
    </row>
    <row r="197" spans="1:14">
      <c r="A197" s="2">
        <v>0.44571759259259258</v>
      </c>
      <c r="B197" s="3">
        <v>44841</v>
      </c>
      <c r="C197" s="1">
        <v>7877782689</v>
      </c>
      <c r="D197" s="1">
        <v>1726009446</v>
      </c>
      <c r="E197" s="1">
        <v>6614.91</v>
      </c>
      <c r="F197" s="1" t="s">
        <v>12</v>
      </c>
      <c r="G197" s="1" t="s">
        <v>12</v>
      </c>
      <c r="H197" s="1" t="s">
        <v>13</v>
      </c>
      <c r="I197" s="1" t="s">
        <v>13</v>
      </c>
      <c r="J197" s="1" t="s">
        <v>22</v>
      </c>
      <c r="K197" s="1">
        <v>0</v>
      </c>
      <c r="L197" s="1" t="s">
        <v>21</v>
      </c>
      <c r="M197" s="1" t="str">
        <f t="shared" si="3"/>
        <v>Consistent</v>
      </c>
      <c r="N197" s="1" t="str">
        <f>_xlfn.XLOOKUP(H197, risk_score!A:A, risk_score!B:B, 0)</f>
        <v>Low Risk</v>
      </c>
    </row>
    <row r="198" spans="1:14">
      <c r="A198" s="2">
        <v>0.44575231481481481</v>
      </c>
      <c r="B198" s="3">
        <v>44841</v>
      </c>
      <c r="C198" s="1">
        <v>1491989064</v>
      </c>
      <c r="D198" s="1">
        <v>9460624653</v>
      </c>
      <c r="E198" s="1">
        <v>12782.41</v>
      </c>
      <c r="F198" s="1" t="s">
        <v>12</v>
      </c>
      <c r="G198" s="1" t="s">
        <v>29</v>
      </c>
      <c r="H198" s="1" t="s">
        <v>13</v>
      </c>
      <c r="I198" s="1" t="s">
        <v>30</v>
      </c>
      <c r="J198" s="1" t="s">
        <v>18</v>
      </c>
      <c r="K198" s="1">
        <v>0</v>
      </c>
      <c r="L198" s="1" t="s">
        <v>19</v>
      </c>
      <c r="M198" s="1" t="str">
        <f t="shared" si="3"/>
        <v>Potential Layering</v>
      </c>
      <c r="N198" s="1" t="str">
        <f>_xlfn.XLOOKUP(H198, risk_score!A:A, risk_score!B:B, 0)</f>
        <v>Low Risk</v>
      </c>
    </row>
    <row r="199" spans="1:14">
      <c r="A199" s="2">
        <v>0.44577546296296294</v>
      </c>
      <c r="B199" s="3">
        <v>44841</v>
      </c>
      <c r="C199" s="1">
        <v>6596655355</v>
      </c>
      <c r="D199" s="1">
        <v>5542800888</v>
      </c>
      <c r="E199" s="1">
        <v>444.73</v>
      </c>
      <c r="F199" s="1" t="s">
        <v>12</v>
      </c>
      <c r="G199" s="1" t="s">
        <v>29</v>
      </c>
      <c r="H199" s="1" t="s">
        <v>13</v>
      </c>
      <c r="I199" s="1" t="s">
        <v>48</v>
      </c>
      <c r="J199" s="1" t="s">
        <v>18</v>
      </c>
      <c r="K199" s="1">
        <v>0</v>
      </c>
      <c r="L199" s="1" t="s">
        <v>21</v>
      </c>
      <c r="M199" s="1" t="str">
        <f t="shared" si="3"/>
        <v>Potential Layering</v>
      </c>
      <c r="N199" s="1" t="str">
        <f>_xlfn.XLOOKUP(H199, risk_score!A:A, risk_score!B:B, 0)</f>
        <v>Low Risk</v>
      </c>
    </row>
    <row r="200" spans="1:14">
      <c r="A200" s="2">
        <v>0.44581018518518517</v>
      </c>
      <c r="B200" s="3">
        <v>44841</v>
      </c>
      <c r="C200" s="1">
        <v>5404023576</v>
      </c>
      <c r="D200" s="1">
        <v>3036452508</v>
      </c>
      <c r="E200" s="1">
        <v>582.28</v>
      </c>
      <c r="F200" s="1" t="s">
        <v>12</v>
      </c>
      <c r="G200" s="1" t="s">
        <v>12</v>
      </c>
      <c r="H200" s="1" t="s">
        <v>13</v>
      </c>
      <c r="I200" s="1" t="s">
        <v>13</v>
      </c>
      <c r="J200" s="1" t="s">
        <v>22</v>
      </c>
      <c r="K200" s="1">
        <v>0</v>
      </c>
      <c r="L200" s="1" t="s">
        <v>21</v>
      </c>
      <c r="M200" s="1" t="str">
        <f t="shared" si="3"/>
        <v>Consistent</v>
      </c>
      <c r="N200" s="1" t="str">
        <f>_xlfn.XLOOKUP(H200, risk_score!A:A, risk_score!B:B, 0)</f>
        <v>Low Risk</v>
      </c>
    </row>
    <row r="201" spans="1:14">
      <c r="A201" s="2">
        <v>0.44583333333333336</v>
      </c>
      <c r="B201" s="3">
        <v>44841</v>
      </c>
      <c r="C201" s="1">
        <v>9098323112</v>
      </c>
      <c r="D201" s="1">
        <v>2121295948</v>
      </c>
      <c r="E201" s="1">
        <v>18284.95</v>
      </c>
      <c r="F201" s="1" t="s">
        <v>12</v>
      </c>
      <c r="G201" s="1" t="s">
        <v>12</v>
      </c>
      <c r="H201" s="1" t="s">
        <v>13</v>
      </c>
      <c r="I201" s="1" t="s">
        <v>13</v>
      </c>
      <c r="J201" s="1" t="s">
        <v>20</v>
      </c>
      <c r="K201" s="1">
        <v>0</v>
      </c>
      <c r="L201" s="1" t="s">
        <v>21</v>
      </c>
      <c r="M201" s="1" t="str">
        <f t="shared" si="3"/>
        <v>Consistent</v>
      </c>
      <c r="N201" s="1" t="str">
        <f>_xlfn.XLOOKUP(H201, risk_score!A:A, risk_score!B:B, 0)</f>
        <v>Low Risk</v>
      </c>
    </row>
    <row r="202" spans="1:14">
      <c r="A202" s="2">
        <v>0.4458449074074074</v>
      </c>
      <c r="B202" s="3">
        <v>44841</v>
      </c>
      <c r="C202" s="1">
        <v>4358383639</v>
      </c>
      <c r="D202" s="1">
        <v>6953672776</v>
      </c>
      <c r="E202" s="1">
        <v>7696.15</v>
      </c>
      <c r="F202" s="1" t="s">
        <v>12</v>
      </c>
      <c r="G202" s="1" t="s">
        <v>34</v>
      </c>
      <c r="H202" s="1" t="s">
        <v>13</v>
      </c>
      <c r="I202" s="1" t="s">
        <v>35</v>
      </c>
      <c r="J202" s="1" t="s">
        <v>18</v>
      </c>
      <c r="K202" s="1">
        <v>0</v>
      </c>
      <c r="L202" s="1" t="s">
        <v>23</v>
      </c>
      <c r="M202" s="1" t="str">
        <f t="shared" si="3"/>
        <v>Potential Layering</v>
      </c>
      <c r="N202" s="1" t="str">
        <f>_xlfn.XLOOKUP(H202, risk_score!A:A, risk_score!B:B, 0)</f>
        <v>Low Risk</v>
      </c>
    </row>
    <row r="203" spans="1:14">
      <c r="A203" s="2">
        <v>0.44586805555555553</v>
      </c>
      <c r="B203" s="3">
        <v>44841</v>
      </c>
      <c r="C203" s="1">
        <v>4548607254</v>
      </c>
      <c r="D203" s="1">
        <v>1060451637</v>
      </c>
      <c r="E203" s="1">
        <v>1209.21</v>
      </c>
      <c r="F203" s="1" t="s">
        <v>12</v>
      </c>
      <c r="G203" s="1" t="s">
        <v>12</v>
      </c>
      <c r="H203" s="1" t="s">
        <v>13</v>
      </c>
      <c r="I203" s="1" t="s">
        <v>13</v>
      </c>
      <c r="J203" s="1" t="s">
        <v>20</v>
      </c>
      <c r="K203" s="1">
        <v>0</v>
      </c>
      <c r="L203" s="1" t="s">
        <v>21</v>
      </c>
      <c r="M203" s="1" t="str">
        <f t="shared" si="3"/>
        <v>Consistent</v>
      </c>
      <c r="N203" s="1" t="str">
        <f>_xlfn.XLOOKUP(H203, risk_score!A:A, risk_score!B:B, 0)</f>
        <v>Low Risk</v>
      </c>
    </row>
    <row r="204" spans="1:14">
      <c r="A204" s="2">
        <v>0.44587962962962963</v>
      </c>
      <c r="B204" s="3">
        <v>44841</v>
      </c>
      <c r="C204" s="1">
        <v>7330940854</v>
      </c>
      <c r="D204" s="1">
        <v>1320927231</v>
      </c>
      <c r="E204" s="1">
        <v>4625.74</v>
      </c>
      <c r="F204" s="1" t="s">
        <v>12</v>
      </c>
      <c r="G204" s="1" t="s">
        <v>12</v>
      </c>
      <c r="H204" s="1" t="s">
        <v>13</v>
      </c>
      <c r="I204" s="1" t="s">
        <v>13</v>
      </c>
      <c r="J204" s="1" t="s">
        <v>27</v>
      </c>
      <c r="K204" s="1">
        <v>0</v>
      </c>
      <c r="L204" s="1" t="s">
        <v>23</v>
      </c>
      <c r="M204" s="1" t="str">
        <f t="shared" si="3"/>
        <v>Consistent</v>
      </c>
      <c r="N204" s="1" t="str">
        <f>_xlfn.XLOOKUP(H204, risk_score!A:A, risk_score!B:B, 0)</f>
        <v>Low Risk</v>
      </c>
    </row>
    <row r="205" spans="1:14">
      <c r="A205" s="2">
        <v>0.44590277777777776</v>
      </c>
      <c r="B205" s="3">
        <v>44841</v>
      </c>
      <c r="C205" s="1">
        <v>6904668523</v>
      </c>
      <c r="D205" s="1">
        <v>2361327503</v>
      </c>
      <c r="E205" s="1">
        <v>7526.19</v>
      </c>
      <c r="F205" s="1" t="s">
        <v>12</v>
      </c>
      <c r="G205" s="1" t="s">
        <v>12</v>
      </c>
      <c r="H205" s="1" t="s">
        <v>13</v>
      </c>
      <c r="I205" s="1" t="s">
        <v>13</v>
      </c>
      <c r="J205" s="1" t="s">
        <v>25</v>
      </c>
      <c r="K205" s="1">
        <v>0</v>
      </c>
      <c r="L205" s="1" t="s">
        <v>19</v>
      </c>
      <c r="M205" s="1" t="str">
        <f t="shared" si="3"/>
        <v>Consistent</v>
      </c>
      <c r="N205" s="1" t="str">
        <f>_xlfn.XLOOKUP(H205, risk_score!A:A, risk_score!B:B, 0)</f>
        <v>Low Risk</v>
      </c>
    </row>
    <row r="206" spans="1:14">
      <c r="A206" s="2">
        <v>0.44592592592592595</v>
      </c>
      <c r="B206" s="3">
        <v>44841</v>
      </c>
      <c r="C206" s="1">
        <v>1491989064</v>
      </c>
      <c r="D206" s="1">
        <v>2482957386</v>
      </c>
      <c r="E206" s="1">
        <v>26553.78</v>
      </c>
      <c r="F206" s="1" t="s">
        <v>28</v>
      </c>
      <c r="G206" s="1" t="s">
        <v>12</v>
      </c>
      <c r="H206" s="1" t="s">
        <v>13</v>
      </c>
      <c r="I206" s="1" t="s">
        <v>13</v>
      </c>
      <c r="J206" s="1" t="s">
        <v>25</v>
      </c>
      <c r="K206" s="1">
        <v>0</v>
      </c>
      <c r="L206" s="1" t="s">
        <v>19</v>
      </c>
      <c r="M206" s="1" t="str">
        <f t="shared" si="3"/>
        <v>Potential Layering</v>
      </c>
      <c r="N206" s="1" t="str">
        <f>_xlfn.XLOOKUP(H206, risk_score!A:A, risk_score!B:B, 0)</f>
        <v>Low Risk</v>
      </c>
    </row>
    <row r="207" spans="1:14">
      <c r="A207" s="2">
        <v>0.44592592592592595</v>
      </c>
      <c r="B207" s="3">
        <v>44841</v>
      </c>
      <c r="C207" s="1">
        <v>128336607</v>
      </c>
      <c r="D207" s="1">
        <v>6953672776</v>
      </c>
      <c r="E207" s="1">
        <v>9544.33</v>
      </c>
      <c r="F207" s="1" t="s">
        <v>12</v>
      </c>
      <c r="G207" s="1" t="s">
        <v>34</v>
      </c>
      <c r="H207" s="1" t="s">
        <v>13</v>
      </c>
      <c r="I207" s="1" t="s">
        <v>35</v>
      </c>
      <c r="J207" s="1" t="s">
        <v>18</v>
      </c>
      <c r="K207" s="1">
        <v>0</v>
      </c>
      <c r="L207" s="1" t="s">
        <v>23</v>
      </c>
      <c r="M207" s="1" t="str">
        <f t="shared" si="3"/>
        <v>Potential Layering</v>
      </c>
      <c r="N207" s="1" t="str">
        <f>_xlfn.XLOOKUP(H207, risk_score!A:A, risk_score!B:B, 0)</f>
        <v>Low Risk</v>
      </c>
    </row>
    <row r="208" spans="1:14">
      <c r="A208" s="2">
        <v>0.44594907407407408</v>
      </c>
      <c r="B208" s="3">
        <v>44841</v>
      </c>
      <c r="C208" s="1">
        <v>2466056232</v>
      </c>
      <c r="D208" s="1">
        <v>8352571580</v>
      </c>
      <c r="E208" s="1">
        <v>14689.65</v>
      </c>
      <c r="F208" s="1" t="s">
        <v>12</v>
      </c>
      <c r="G208" s="1" t="s">
        <v>12</v>
      </c>
      <c r="H208" s="1" t="s">
        <v>13</v>
      </c>
      <c r="I208" s="1" t="s">
        <v>13</v>
      </c>
      <c r="J208" s="1" t="s">
        <v>20</v>
      </c>
      <c r="K208" s="1">
        <v>0</v>
      </c>
      <c r="L208" s="1" t="s">
        <v>23</v>
      </c>
      <c r="M208" s="1" t="str">
        <f t="shared" si="3"/>
        <v>Consistent</v>
      </c>
      <c r="N208" s="1" t="str">
        <f>_xlfn.XLOOKUP(H208, risk_score!A:A, risk_score!B:B, 0)</f>
        <v>Low Risk</v>
      </c>
    </row>
    <row r="209" spans="1:14">
      <c r="A209" s="2">
        <v>0.44598379629629631</v>
      </c>
      <c r="B209" s="3">
        <v>44841</v>
      </c>
      <c r="C209" s="1">
        <v>4988967549</v>
      </c>
      <c r="D209" s="1">
        <v>6715341584</v>
      </c>
      <c r="E209" s="1">
        <v>732.68</v>
      </c>
      <c r="F209" s="1" t="s">
        <v>39</v>
      </c>
      <c r="G209" s="1" t="s">
        <v>39</v>
      </c>
      <c r="H209" s="1" t="s">
        <v>40</v>
      </c>
      <c r="I209" s="1" t="s">
        <v>40</v>
      </c>
      <c r="J209" s="1" t="s">
        <v>27</v>
      </c>
      <c r="K209" s="1">
        <v>0</v>
      </c>
      <c r="L209" s="1" t="s">
        <v>21</v>
      </c>
      <c r="M209" s="1" t="str">
        <f t="shared" si="3"/>
        <v>Consistent</v>
      </c>
      <c r="N209" s="1" t="str">
        <f>_xlfn.XLOOKUP(H209, risk_score!A:A, risk_score!B:B, 0)</f>
        <v>High Risk</v>
      </c>
    </row>
    <row r="210" spans="1:14">
      <c r="A210" s="2">
        <v>0.44599537037037035</v>
      </c>
      <c r="B210" s="3">
        <v>44841</v>
      </c>
      <c r="C210" s="1">
        <v>1319704443</v>
      </c>
      <c r="D210" s="1">
        <v>6839247924</v>
      </c>
      <c r="E210" s="1">
        <v>536.23</v>
      </c>
      <c r="F210" s="1" t="s">
        <v>12</v>
      </c>
      <c r="G210" s="1" t="s">
        <v>12</v>
      </c>
      <c r="H210" s="1" t="s">
        <v>13</v>
      </c>
      <c r="I210" s="1" t="s">
        <v>13</v>
      </c>
      <c r="J210" s="1" t="s">
        <v>22</v>
      </c>
      <c r="K210" s="1">
        <v>0</v>
      </c>
      <c r="L210" s="1" t="s">
        <v>21</v>
      </c>
      <c r="M210" s="1" t="str">
        <f t="shared" si="3"/>
        <v>Consistent</v>
      </c>
      <c r="N210" s="1" t="str">
        <f>_xlfn.XLOOKUP(H210, risk_score!A:A, risk_score!B:B, 0)</f>
        <v>Low Risk</v>
      </c>
    </row>
    <row r="211" spans="1:14">
      <c r="A211" s="2">
        <v>0.44599537037037035</v>
      </c>
      <c r="B211" s="3">
        <v>44841</v>
      </c>
      <c r="C211" s="1">
        <v>5982914936</v>
      </c>
      <c r="D211" s="1">
        <v>1509557999</v>
      </c>
      <c r="E211" s="1">
        <v>15793.52</v>
      </c>
      <c r="F211" s="1" t="s">
        <v>12</v>
      </c>
      <c r="G211" s="1" t="s">
        <v>12</v>
      </c>
      <c r="H211" s="1" t="s">
        <v>13</v>
      </c>
      <c r="I211" s="1" t="s">
        <v>13</v>
      </c>
      <c r="J211" s="1" t="s">
        <v>20</v>
      </c>
      <c r="K211" s="1">
        <v>0</v>
      </c>
      <c r="L211" s="1" t="s">
        <v>19</v>
      </c>
      <c r="M211" s="1" t="str">
        <f t="shared" si="3"/>
        <v>Consistent</v>
      </c>
      <c r="N211" s="1" t="str">
        <f>_xlfn.XLOOKUP(H211, risk_score!A:A, risk_score!B:B, 0)</f>
        <v>Low Risk</v>
      </c>
    </row>
    <row r="212" spans="1:14">
      <c r="A212" s="2">
        <v>0.44601851851851854</v>
      </c>
      <c r="B212" s="3">
        <v>44841</v>
      </c>
      <c r="C212" s="1">
        <v>1448960940</v>
      </c>
      <c r="D212" s="1">
        <v>2939719836</v>
      </c>
      <c r="E212" s="1">
        <v>4502.75</v>
      </c>
      <c r="F212" s="1" t="s">
        <v>12</v>
      </c>
      <c r="G212" s="1" t="s">
        <v>12</v>
      </c>
      <c r="H212" s="1" t="s">
        <v>13</v>
      </c>
      <c r="I212" s="1" t="s">
        <v>13</v>
      </c>
      <c r="J212" s="1" t="s">
        <v>27</v>
      </c>
      <c r="K212" s="1">
        <v>0</v>
      </c>
      <c r="L212" s="1" t="s">
        <v>21</v>
      </c>
      <c r="M212" s="1" t="str">
        <f t="shared" si="3"/>
        <v>Consistent</v>
      </c>
      <c r="N212" s="1" t="str">
        <f>_xlfn.XLOOKUP(H212, risk_score!A:A, risk_score!B:B, 0)</f>
        <v>Low Risk</v>
      </c>
    </row>
    <row r="213" spans="1:14">
      <c r="A213" s="2">
        <v>0.44601851851851854</v>
      </c>
      <c r="B213" s="3">
        <v>44841</v>
      </c>
      <c r="C213" s="1">
        <v>7837354873</v>
      </c>
      <c r="D213" s="1">
        <v>2534644942</v>
      </c>
      <c r="E213" s="1">
        <v>7944.21</v>
      </c>
      <c r="F213" s="1" t="s">
        <v>12</v>
      </c>
      <c r="G213" s="1" t="s">
        <v>29</v>
      </c>
      <c r="H213" s="1" t="s">
        <v>13</v>
      </c>
      <c r="I213" s="1" t="s">
        <v>31</v>
      </c>
      <c r="J213" s="1" t="s">
        <v>18</v>
      </c>
      <c r="K213" s="1">
        <v>0</v>
      </c>
      <c r="L213" s="1" t="s">
        <v>23</v>
      </c>
      <c r="M213" s="1" t="str">
        <f t="shared" si="3"/>
        <v>Potential Layering</v>
      </c>
      <c r="N213" s="1" t="str">
        <f>_xlfn.XLOOKUP(H213, risk_score!A:A, risk_score!B:B, 0)</f>
        <v>Low Risk</v>
      </c>
    </row>
    <row r="214" spans="1:14">
      <c r="A214" s="2">
        <v>0.44603009259259258</v>
      </c>
      <c r="B214" s="3">
        <v>44841</v>
      </c>
      <c r="C214" s="1">
        <v>6904169843</v>
      </c>
      <c r="D214" s="1">
        <v>4270865741</v>
      </c>
      <c r="E214" s="1">
        <v>6124.4</v>
      </c>
      <c r="F214" s="1" t="s">
        <v>12</v>
      </c>
      <c r="G214" s="1" t="s">
        <v>12</v>
      </c>
      <c r="H214" s="1" t="s">
        <v>13</v>
      </c>
      <c r="I214" s="1" t="s">
        <v>13</v>
      </c>
      <c r="J214" s="1" t="s">
        <v>20</v>
      </c>
      <c r="K214" s="1">
        <v>0</v>
      </c>
      <c r="L214" s="1" t="s">
        <v>23</v>
      </c>
      <c r="M214" s="1" t="str">
        <f t="shared" si="3"/>
        <v>Consistent</v>
      </c>
      <c r="N214" s="1" t="str">
        <f>_xlfn.XLOOKUP(H214, risk_score!A:A, risk_score!B:B, 0)</f>
        <v>Low Risk</v>
      </c>
    </row>
    <row r="215" spans="1:14">
      <c r="A215" s="2">
        <v>0.44603009259259258</v>
      </c>
      <c r="B215" s="3">
        <v>44841</v>
      </c>
      <c r="C215" s="1">
        <v>2225924818</v>
      </c>
      <c r="D215" s="1">
        <v>7939232128</v>
      </c>
      <c r="E215" s="1">
        <v>7642.78</v>
      </c>
      <c r="F215" s="1" t="s">
        <v>12</v>
      </c>
      <c r="G215" s="1" t="s">
        <v>12</v>
      </c>
      <c r="H215" s="1" t="s">
        <v>13</v>
      </c>
      <c r="I215" s="1" t="s">
        <v>13</v>
      </c>
      <c r="J215" s="1" t="s">
        <v>27</v>
      </c>
      <c r="K215" s="1">
        <v>0</v>
      </c>
      <c r="L215" s="1" t="s">
        <v>21</v>
      </c>
      <c r="M215" s="1" t="str">
        <f t="shared" si="3"/>
        <v>Consistent</v>
      </c>
      <c r="N215" s="1" t="str">
        <f>_xlfn.XLOOKUP(H215, risk_score!A:A, risk_score!B:B, 0)</f>
        <v>Low Risk</v>
      </c>
    </row>
    <row r="216" spans="1:14">
      <c r="A216" s="2">
        <v>0.44604166666666667</v>
      </c>
      <c r="B216" s="3">
        <v>44841</v>
      </c>
      <c r="C216" s="1">
        <v>2365007895</v>
      </c>
      <c r="D216" s="1">
        <v>6763420838</v>
      </c>
      <c r="E216" s="1">
        <v>28098.16</v>
      </c>
      <c r="F216" s="1" t="s">
        <v>12</v>
      </c>
      <c r="G216" s="1" t="s">
        <v>12</v>
      </c>
      <c r="H216" s="1" t="s">
        <v>13</v>
      </c>
      <c r="I216" s="1" t="s">
        <v>13</v>
      </c>
      <c r="J216" s="1" t="s">
        <v>25</v>
      </c>
      <c r="K216" s="1">
        <v>0</v>
      </c>
      <c r="L216" s="1" t="s">
        <v>49</v>
      </c>
      <c r="M216" s="1" t="str">
        <f t="shared" si="3"/>
        <v>Consistent</v>
      </c>
      <c r="N216" s="1" t="str">
        <f>_xlfn.XLOOKUP(H216, risk_score!A:A, risk_score!B:B, 0)</f>
        <v>Low Risk</v>
      </c>
    </row>
    <row r="217" spans="1:14">
      <c r="A217" s="2">
        <v>0.4460763888888889</v>
      </c>
      <c r="B217" s="3">
        <v>44841</v>
      </c>
      <c r="C217" s="1">
        <v>1915450576</v>
      </c>
      <c r="D217" s="1">
        <v>4701651456</v>
      </c>
      <c r="E217" s="1">
        <v>9233.24</v>
      </c>
      <c r="F217" s="1" t="s">
        <v>12</v>
      </c>
      <c r="G217" s="1" t="s">
        <v>12</v>
      </c>
      <c r="H217" s="1" t="s">
        <v>13</v>
      </c>
      <c r="I217" s="1" t="s">
        <v>13</v>
      </c>
      <c r="J217" s="1" t="s">
        <v>22</v>
      </c>
      <c r="K217" s="1">
        <v>0</v>
      </c>
      <c r="L217" s="1" t="s">
        <v>19</v>
      </c>
      <c r="M217" s="1" t="str">
        <f t="shared" si="3"/>
        <v>Consistent</v>
      </c>
      <c r="N217" s="1" t="str">
        <f>_xlfn.XLOOKUP(H217, risk_score!A:A, risk_score!B:B, 0)</f>
        <v>Low Risk</v>
      </c>
    </row>
    <row r="218" spans="1:14">
      <c r="A218" s="2">
        <v>0.44609953703703703</v>
      </c>
      <c r="B218" s="3">
        <v>44841</v>
      </c>
      <c r="C218" s="1">
        <v>8047909179</v>
      </c>
      <c r="D218" s="1">
        <v>2584568182</v>
      </c>
      <c r="E218" s="1">
        <v>2833.91</v>
      </c>
      <c r="F218" s="1" t="s">
        <v>12</v>
      </c>
      <c r="G218" s="1" t="s">
        <v>12</v>
      </c>
      <c r="H218" s="1" t="s">
        <v>13</v>
      </c>
      <c r="I218" s="1" t="s">
        <v>13</v>
      </c>
      <c r="J218" s="1" t="s">
        <v>22</v>
      </c>
      <c r="K218" s="1">
        <v>0</v>
      </c>
      <c r="L218" s="1" t="s">
        <v>38</v>
      </c>
      <c r="M218" s="1" t="str">
        <f t="shared" si="3"/>
        <v>Consistent</v>
      </c>
      <c r="N218" s="1" t="str">
        <f>_xlfn.XLOOKUP(H218, risk_score!A:A, risk_score!B:B, 0)</f>
        <v>Low Risk</v>
      </c>
    </row>
    <row r="219" spans="1:14">
      <c r="A219" s="2">
        <v>0.44609953703703703</v>
      </c>
      <c r="B219" s="3">
        <v>44841</v>
      </c>
      <c r="C219" s="1">
        <v>7326442087</v>
      </c>
      <c r="D219" s="1">
        <v>1493436023</v>
      </c>
      <c r="E219" s="1">
        <v>7586.7</v>
      </c>
      <c r="F219" s="1" t="s">
        <v>12</v>
      </c>
      <c r="G219" s="1" t="s">
        <v>12</v>
      </c>
      <c r="H219" s="1" t="s">
        <v>13</v>
      </c>
      <c r="I219" s="1" t="s">
        <v>13</v>
      </c>
      <c r="J219" s="1" t="s">
        <v>27</v>
      </c>
      <c r="K219" s="1">
        <v>0</v>
      </c>
      <c r="L219" s="1" t="s">
        <v>23</v>
      </c>
      <c r="M219" s="1" t="str">
        <f t="shared" si="3"/>
        <v>Consistent</v>
      </c>
      <c r="N219" s="1" t="str">
        <f>_xlfn.XLOOKUP(H219, risk_score!A:A, risk_score!B:B, 0)</f>
        <v>Low Risk</v>
      </c>
    </row>
    <row r="220" spans="1:14">
      <c r="A220" s="2">
        <v>0.44613425925925926</v>
      </c>
      <c r="B220" s="3">
        <v>44841</v>
      </c>
      <c r="C220" s="1">
        <v>7018140784</v>
      </c>
      <c r="D220" s="1">
        <v>5919128024</v>
      </c>
      <c r="E220" s="1">
        <v>2356.7800000000002</v>
      </c>
      <c r="F220" s="1" t="s">
        <v>12</v>
      </c>
      <c r="G220" s="1" t="s">
        <v>12</v>
      </c>
      <c r="H220" s="1" t="s">
        <v>13</v>
      </c>
      <c r="I220" s="1" t="s">
        <v>13</v>
      </c>
      <c r="J220" s="1" t="s">
        <v>22</v>
      </c>
      <c r="K220" s="1">
        <v>0</v>
      </c>
      <c r="L220" s="1" t="s">
        <v>21</v>
      </c>
      <c r="M220" s="1" t="str">
        <f t="shared" si="3"/>
        <v>Consistent</v>
      </c>
      <c r="N220" s="1" t="str">
        <f>_xlfn.XLOOKUP(H220, risk_score!A:A, risk_score!B:B, 0)</f>
        <v>Low Risk</v>
      </c>
    </row>
    <row r="221" spans="1:14">
      <c r="A221" s="2">
        <v>0.44616898148148149</v>
      </c>
      <c r="B221" s="3">
        <v>44841</v>
      </c>
      <c r="C221" s="1">
        <v>7141448090</v>
      </c>
      <c r="D221" s="1">
        <v>4900871305</v>
      </c>
      <c r="E221" s="1">
        <v>78.53</v>
      </c>
      <c r="F221" s="1" t="s">
        <v>12</v>
      </c>
      <c r="G221" s="1" t="s">
        <v>12</v>
      </c>
      <c r="H221" s="1" t="s">
        <v>13</v>
      </c>
      <c r="I221" s="1" t="s">
        <v>13</v>
      </c>
      <c r="J221" s="1" t="s">
        <v>36</v>
      </c>
      <c r="K221" s="1">
        <v>0</v>
      </c>
      <c r="L221" s="1" t="s">
        <v>37</v>
      </c>
      <c r="M221" s="1" t="str">
        <f t="shared" si="3"/>
        <v>Consistent</v>
      </c>
      <c r="N221" s="1" t="str">
        <f>_xlfn.XLOOKUP(H221, risk_score!A:A, risk_score!B:B, 0)</f>
        <v>Low Risk</v>
      </c>
    </row>
    <row r="222" spans="1:14">
      <c r="A222" s="2">
        <v>0.44620370370370371</v>
      </c>
      <c r="B222" s="3">
        <v>44841</v>
      </c>
      <c r="C222" s="1">
        <v>3386219618</v>
      </c>
      <c r="D222" s="1">
        <v>7223756670</v>
      </c>
      <c r="E222" s="1">
        <v>154.71</v>
      </c>
      <c r="F222" s="1" t="s">
        <v>12</v>
      </c>
      <c r="G222" s="1" t="s">
        <v>12</v>
      </c>
      <c r="H222" s="1" t="s">
        <v>13</v>
      </c>
      <c r="I222" s="1" t="s">
        <v>13</v>
      </c>
      <c r="J222" s="1" t="s">
        <v>36</v>
      </c>
      <c r="K222" s="1">
        <v>0</v>
      </c>
      <c r="L222" s="1" t="s">
        <v>37</v>
      </c>
      <c r="M222" s="1" t="str">
        <f t="shared" si="3"/>
        <v>Consistent</v>
      </c>
      <c r="N222" s="1" t="str">
        <f>_xlfn.XLOOKUP(H222, risk_score!A:A, risk_score!B:B, 0)</f>
        <v>Low Risk</v>
      </c>
    </row>
    <row r="223" spans="1:14">
      <c r="A223" s="2">
        <v>0.44620370370370371</v>
      </c>
      <c r="B223" s="3">
        <v>44841</v>
      </c>
      <c r="C223" s="1">
        <v>6961460093</v>
      </c>
      <c r="D223" s="1">
        <v>7080357663</v>
      </c>
      <c r="E223" s="1">
        <v>30535.439999999999</v>
      </c>
      <c r="F223" s="1" t="s">
        <v>12</v>
      </c>
      <c r="G223" s="1" t="s">
        <v>12</v>
      </c>
      <c r="H223" s="1" t="s">
        <v>13</v>
      </c>
      <c r="I223" s="1" t="s">
        <v>13</v>
      </c>
      <c r="J223" s="1" t="s">
        <v>25</v>
      </c>
      <c r="K223" s="1">
        <v>0</v>
      </c>
      <c r="L223" s="1" t="s">
        <v>23</v>
      </c>
      <c r="M223" s="1" t="str">
        <f t="shared" si="3"/>
        <v>Consistent</v>
      </c>
      <c r="N223" s="1" t="str">
        <f>_xlfn.XLOOKUP(H223, risk_score!A:A, risk_score!B:B, 0)</f>
        <v>Low Risk</v>
      </c>
    </row>
    <row r="224" spans="1:14">
      <c r="A224" s="2">
        <v>0.44621527777777775</v>
      </c>
      <c r="B224" s="3">
        <v>44841</v>
      </c>
      <c r="C224" s="1">
        <v>8341412096</v>
      </c>
      <c r="D224" s="1">
        <v>5109623450</v>
      </c>
      <c r="E224" s="1">
        <v>7826.42</v>
      </c>
      <c r="F224" s="1" t="s">
        <v>12</v>
      </c>
      <c r="G224" s="1" t="s">
        <v>12</v>
      </c>
      <c r="H224" s="1" t="s">
        <v>13</v>
      </c>
      <c r="I224" s="1" t="s">
        <v>13</v>
      </c>
      <c r="J224" s="1" t="s">
        <v>25</v>
      </c>
      <c r="K224" s="1">
        <v>0</v>
      </c>
      <c r="L224" s="1" t="s">
        <v>23</v>
      </c>
      <c r="M224" s="1" t="str">
        <f t="shared" si="3"/>
        <v>Consistent</v>
      </c>
      <c r="N224" s="1" t="str">
        <f>_xlfn.XLOOKUP(H224, risk_score!A:A, risk_score!B:B, 0)</f>
        <v>Low Risk</v>
      </c>
    </row>
    <row r="225" spans="1:14">
      <c r="A225" s="2">
        <v>0.44622685185185185</v>
      </c>
      <c r="B225" s="3">
        <v>44841</v>
      </c>
      <c r="C225" s="1">
        <v>4038415588</v>
      </c>
      <c r="D225" s="1">
        <v>1526868567</v>
      </c>
      <c r="E225" s="1">
        <v>1915.77</v>
      </c>
      <c r="F225" s="1" t="s">
        <v>12</v>
      </c>
      <c r="G225" s="1" t="s">
        <v>12</v>
      </c>
      <c r="H225" s="1" t="s">
        <v>13</v>
      </c>
      <c r="I225" s="1" t="s">
        <v>13</v>
      </c>
      <c r="J225" s="1" t="s">
        <v>25</v>
      </c>
      <c r="K225" s="1">
        <v>0</v>
      </c>
      <c r="L225" s="1" t="s">
        <v>21</v>
      </c>
      <c r="M225" s="1" t="str">
        <f t="shared" si="3"/>
        <v>Consistent</v>
      </c>
      <c r="N225" s="1" t="str">
        <f>_xlfn.XLOOKUP(H225, risk_score!A:A, risk_score!B:B, 0)</f>
        <v>Low Risk</v>
      </c>
    </row>
    <row r="226" spans="1:14">
      <c r="A226" s="2">
        <v>0.44624999999999998</v>
      </c>
      <c r="B226" s="3">
        <v>44841</v>
      </c>
      <c r="C226" s="1">
        <v>8957461886</v>
      </c>
      <c r="D226" s="1">
        <v>589468112</v>
      </c>
      <c r="E226" s="1">
        <v>3622.36</v>
      </c>
      <c r="F226" s="1" t="s">
        <v>12</v>
      </c>
      <c r="G226" s="1" t="s">
        <v>12</v>
      </c>
      <c r="H226" s="1" t="s">
        <v>13</v>
      </c>
      <c r="I226" s="1" t="s">
        <v>13</v>
      </c>
      <c r="J226" s="1" t="s">
        <v>25</v>
      </c>
      <c r="K226" s="1">
        <v>0</v>
      </c>
      <c r="L226" s="1" t="s">
        <v>38</v>
      </c>
      <c r="M226" s="1" t="str">
        <f t="shared" si="3"/>
        <v>Consistent</v>
      </c>
      <c r="N226" s="1" t="str">
        <f>_xlfn.XLOOKUP(H226, risk_score!A:A, risk_score!B:B, 0)</f>
        <v>Low Risk</v>
      </c>
    </row>
    <row r="227" spans="1:14">
      <c r="A227" s="2">
        <v>0.44624999999999998</v>
      </c>
      <c r="B227" s="3">
        <v>44841</v>
      </c>
      <c r="C227" s="1">
        <v>367406203</v>
      </c>
      <c r="D227" s="1">
        <v>4481201444</v>
      </c>
      <c r="E227" s="1">
        <v>2440.77</v>
      </c>
      <c r="F227" s="1" t="s">
        <v>12</v>
      </c>
      <c r="G227" s="1" t="s">
        <v>12</v>
      </c>
      <c r="H227" s="1" t="s">
        <v>13</v>
      </c>
      <c r="I227" s="1" t="s">
        <v>13</v>
      </c>
      <c r="J227" s="1" t="s">
        <v>20</v>
      </c>
      <c r="K227" s="1">
        <v>0</v>
      </c>
      <c r="L227" s="1" t="s">
        <v>24</v>
      </c>
      <c r="M227" s="1" t="str">
        <f t="shared" si="3"/>
        <v>Consistent</v>
      </c>
      <c r="N227" s="1" t="str">
        <f>_xlfn.XLOOKUP(H227, risk_score!A:A, risk_score!B:B, 0)</f>
        <v>Low Risk</v>
      </c>
    </row>
    <row r="228" spans="1:14">
      <c r="A228" s="2">
        <v>0.44626157407407407</v>
      </c>
      <c r="B228" s="3">
        <v>44841</v>
      </c>
      <c r="C228" s="1">
        <v>2196677893</v>
      </c>
      <c r="D228" s="1">
        <v>911722658</v>
      </c>
      <c r="E228" s="1">
        <v>11320.86</v>
      </c>
      <c r="F228" s="1" t="s">
        <v>44</v>
      </c>
      <c r="G228" s="1" t="s">
        <v>12</v>
      </c>
      <c r="H228" s="1" t="s">
        <v>45</v>
      </c>
      <c r="I228" s="1" t="s">
        <v>13</v>
      </c>
      <c r="J228" s="1" t="s">
        <v>18</v>
      </c>
      <c r="K228" s="1">
        <v>0</v>
      </c>
      <c r="L228" s="1" t="s">
        <v>38</v>
      </c>
      <c r="M228" s="1" t="str">
        <f t="shared" si="3"/>
        <v>Potential Layering</v>
      </c>
      <c r="N228" s="1" t="str">
        <f>_xlfn.XLOOKUP(H228, risk_score!A:A, risk_score!B:B, 0)</f>
        <v>High Risk</v>
      </c>
    </row>
    <row r="229" spans="1:14">
      <c r="A229" s="2">
        <v>0.4463078703703704</v>
      </c>
      <c r="B229" s="3">
        <v>44841</v>
      </c>
      <c r="C229" s="1">
        <v>4577188719</v>
      </c>
      <c r="D229" s="1">
        <v>3232526590</v>
      </c>
      <c r="E229" s="1">
        <v>875.08</v>
      </c>
      <c r="F229" s="1" t="s">
        <v>12</v>
      </c>
      <c r="G229" s="1" t="s">
        <v>12</v>
      </c>
      <c r="H229" s="1" t="s">
        <v>13</v>
      </c>
      <c r="I229" s="1" t="s">
        <v>13</v>
      </c>
      <c r="J229" s="1" t="s">
        <v>14</v>
      </c>
      <c r="K229" s="1">
        <v>0</v>
      </c>
      <c r="L229" s="1" t="s">
        <v>15</v>
      </c>
      <c r="M229" s="1" t="str">
        <f t="shared" si="3"/>
        <v>Consistent</v>
      </c>
      <c r="N229" s="1" t="str">
        <f>_xlfn.XLOOKUP(H229, risk_score!A:A, risk_score!B:B, 0)</f>
        <v>Low Risk</v>
      </c>
    </row>
    <row r="230" spans="1:14">
      <c r="A230" s="2">
        <v>0.44634259259259257</v>
      </c>
      <c r="B230" s="3">
        <v>44841</v>
      </c>
      <c r="C230" s="1">
        <v>7924551009</v>
      </c>
      <c r="D230" s="1">
        <v>7199625988</v>
      </c>
      <c r="E230" s="1">
        <v>15882.98</v>
      </c>
      <c r="F230" s="1" t="s">
        <v>12</v>
      </c>
      <c r="G230" s="1" t="s">
        <v>12</v>
      </c>
      <c r="H230" s="1" t="s">
        <v>13</v>
      </c>
      <c r="I230" s="1" t="s">
        <v>13</v>
      </c>
      <c r="J230" s="1" t="s">
        <v>20</v>
      </c>
      <c r="K230" s="1">
        <v>0</v>
      </c>
      <c r="L230" s="1" t="s">
        <v>23</v>
      </c>
      <c r="M230" s="1" t="str">
        <f t="shared" si="3"/>
        <v>Consistent</v>
      </c>
      <c r="N230" s="1" t="str">
        <f>_xlfn.XLOOKUP(H230, risk_score!A:A, risk_score!B:B, 0)</f>
        <v>Low Risk</v>
      </c>
    </row>
    <row r="231" spans="1:14">
      <c r="A231" s="2">
        <v>0.44635416666666666</v>
      </c>
      <c r="B231" s="3">
        <v>44841</v>
      </c>
      <c r="C231" s="1">
        <v>6404844146</v>
      </c>
      <c r="D231" s="1">
        <v>5628674969</v>
      </c>
      <c r="E231" s="1">
        <v>6731.23</v>
      </c>
      <c r="F231" s="1" t="s">
        <v>12</v>
      </c>
      <c r="G231" s="1" t="s">
        <v>12</v>
      </c>
      <c r="H231" s="1" t="s">
        <v>13</v>
      </c>
      <c r="I231" s="1" t="s">
        <v>13</v>
      </c>
      <c r="J231" s="1" t="s">
        <v>20</v>
      </c>
      <c r="K231" s="1">
        <v>0</v>
      </c>
      <c r="L231" s="1" t="s">
        <v>23</v>
      </c>
      <c r="M231" s="1" t="str">
        <f t="shared" si="3"/>
        <v>Consistent</v>
      </c>
      <c r="N231" s="1" t="str">
        <f>_xlfn.XLOOKUP(H231, risk_score!A:A, risk_score!B:B, 0)</f>
        <v>Low Risk</v>
      </c>
    </row>
    <row r="232" spans="1:14">
      <c r="A232" s="2">
        <v>0.44635416666666666</v>
      </c>
      <c r="B232" s="3">
        <v>44841</v>
      </c>
      <c r="C232" s="1">
        <v>6086421020</v>
      </c>
      <c r="D232" s="1">
        <v>7141835964</v>
      </c>
      <c r="E232" s="1">
        <v>8089.18</v>
      </c>
      <c r="F232" s="1" t="s">
        <v>12</v>
      </c>
      <c r="G232" s="1" t="s">
        <v>12</v>
      </c>
      <c r="H232" s="1" t="s">
        <v>13</v>
      </c>
      <c r="I232" s="1" t="s">
        <v>13</v>
      </c>
      <c r="J232" s="1" t="s">
        <v>20</v>
      </c>
      <c r="K232" s="1">
        <v>0</v>
      </c>
      <c r="L232" s="1" t="s">
        <v>19</v>
      </c>
      <c r="M232" s="1" t="str">
        <f t="shared" si="3"/>
        <v>Consistent</v>
      </c>
      <c r="N232" s="1" t="str">
        <f>_xlfn.XLOOKUP(H232, risk_score!A:A, risk_score!B:B, 0)</f>
        <v>Low Risk</v>
      </c>
    </row>
    <row r="233" spans="1:14">
      <c r="A233" s="2">
        <v>0.4463773148148148</v>
      </c>
      <c r="B233" s="3">
        <v>44841</v>
      </c>
      <c r="C233" s="1">
        <v>6742623852</v>
      </c>
      <c r="D233" s="1">
        <v>551907699</v>
      </c>
      <c r="E233" s="1">
        <v>8849.16</v>
      </c>
      <c r="F233" s="1" t="s">
        <v>12</v>
      </c>
      <c r="G233" s="1" t="s">
        <v>12</v>
      </c>
      <c r="H233" s="1" t="s">
        <v>13</v>
      </c>
      <c r="I233" s="1" t="s">
        <v>13</v>
      </c>
      <c r="J233" s="1" t="s">
        <v>27</v>
      </c>
      <c r="K233" s="1">
        <v>0</v>
      </c>
      <c r="L233" s="1" t="s">
        <v>38</v>
      </c>
      <c r="M233" s="1" t="str">
        <f t="shared" si="3"/>
        <v>Consistent</v>
      </c>
      <c r="N233" s="1" t="str">
        <f>_xlfn.XLOOKUP(H233, risk_score!A:A, risk_score!B:B, 0)</f>
        <v>Low Risk</v>
      </c>
    </row>
    <row r="234" spans="1:14">
      <c r="A234" s="2">
        <v>0.44642361111111112</v>
      </c>
      <c r="B234" s="3">
        <v>44841</v>
      </c>
      <c r="C234" s="1">
        <v>8389148416</v>
      </c>
      <c r="D234" s="1">
        <v>7417876118</v>
      </c>
      <c r="E234" s="1">
        <v>5908.02</v>
      </c>
      <c r="F234" s="1" t="s">
        <v>12</v>
      </c>
      <c r="G234" s="1" t="s">
        <v>12</v>
      </c>
      <c r="H234" s="1" t="s">
        <v>13</v>
      </c>
      <c r="I234" s="1" t="s">
        <v>13</v>
      </c>
      <c r="J234" s="1" t="s">
        <v>20</v>
      </c>
      <c r="K234" s="1">
        <v>0</v>
      </c>
      <c r="L234" s="1" t="s">
        <v>19</v>
      </c>
      <c r="M234" s="1" t="str">
        <f t="shared" si="3"/>
        <v>Consistent</v>
      </c>
      <c r="N234" s="1" t="str">
        <f>_xlfn.XLOOKUP(H234, risk_score!A:A, risk_score!B:B, 0)</f>
        <v>Low Risk</v>
      </c>
    </row>
    <row r="235" spans="1:14">
      <c r="A235" s="2">
        <v>0.44642361111111112</v>
      </c>
      <c r="B235" s="3">
        <v>44841</v>
      </c>
      <c r="C235" s="1">
        <v>9901680164</v>
      </c>
      <c r="D235" s="1">
        <v>1465487567</v>
      </c>
      <c r="E235" s="1">
        <v>9602.2000000000007</v>
      </c>
      <c r="F235" s="1" t="s">
        <v>12</v>
      </c>
      <c r="G235" s="1" t="s">
        <v>12</v>
      </c>
      <c r="H235" s="1" t="s">
        <v>13</v>
      </c>
      <c r="I235" s="1" t="s">
        <v>13</v>
      </c>
      <c r="J235" s="1" t="s">
        <v>20</v>
      </c>
      <c r="K235" s="1">
        <v>0</v>
      </c>
      <c r="L235" s="1" t="s">
        <v>23</v>
      </c>
      <c r="M235" s="1" t="str">
        <f t="shared" si="3"/>
        <v>Consistent</v>
      </c>
      <c r="N235" s="1" t="str">
        <f>_xlfn.XLOOKUP(H235, risk_score!A:A, risk_score!B:B, 0)</f>
        <v>Low Risk</v>
      </c>
    </row>
    <row r="236" spans="1:14">
      <c r="A236" s="2">
        <v>0.44642361111111112</v>
      </c>
      <c r="B236" s="3">
        <v>44841</v>
      </c>
      <c r="C236" s="1">
        <v>2365007895</v>
      </c>
      <c r="D236" s="1">
        <v>5866348729</v>
      </c>
      <c r="E236" s="1">
        <v>16299.03</v>
      </c>
      <c r="F236" s="1" t="s">
        <v>12</v>
      </c>
      <c r="G236" s="1" t="s">
        <v>12</v>
      </c>
      <c r="H236" s="1" t="s">
        <v>13</v>
      </c>
      <c r="I236" s="1" t="s">
        <v>13</v>
      </c>
      <c r="J236" s="1" t="s">
        <v>27</v>
      </c>
      <c r="K236" s="1">
        <v>0</v>
      </c>
      <c r="L236" s="1" t="s">
        <v>19</v>
      </c>
      <c r="M236" s="1" t="str">
        <f t="shared" si="3"/>
        <v>Consistent</v>
      </c>
      <c r="N236" s="1" t="str">
        <f>_xlfn.XLOOKUP(H236, risk_score!A:A, risk_score!B:B, 0)</f>
        <v>Low Risk</v>
      </c>
    </row>
    <row r="237" spans="1:14">
      <c r="A237" s="2">
        <v>0.44646990740740738</v>
      </c>
      <c r="B237" s="3">
        <v>44841</v>
      </c>
      <c r="C237" s="1">
        <v>8494878354</v>
      </c>
      <c r="D237" s="1">
        <v>3695545812</v>
      </c>
      <c r="E237" s="1">
        <v>5565.92</v>
      </c>
      <c r="F237" s="1" t="s">
        <v>12</v>
      </c>
      <c r="G237" s="1" t="s">
        <v>12</v>
      </c>
      <c r="H237" s="1" t="s">
        <v>13</v>
      </c>
      <c r="I237" s="1" t="s">
        <v>13</v>
      </c>
      <c r="J237" s="1" t="s">
        <v>27</v>
      </c>
      <c r="K237" s="1">
        <v>0</v>
      </c>
      <c r="L237" s="1" t="s">
        <v>23</v>
      </c>
      <c r="M237" s="1" t="str">
        <f t="shared" si="3"/>
        <v>Consistent</v>
      </c>
      <c r="N237" s="1" t="str">
        <f>_xlfn.XLOOKUP(H237, risk_score!A:A, risk_score!B:B, 0)</f>
        <v>Low Risk</v>
      </c>
    </row>
    <row r="238" spans="1:14">
      <c r="A238" s="2">
        <v>0.44653935185185184</v>
      </c>
      <c r="B238" s="3">
        <v>44841</v>
      </c>
      <c r="C238" s="1">
        <v>4010009393</v>
      </c>
      <c r="D238" s="1">
        <v>5528340432</v>
      </c>
      <c r="E238" s="1">
        <v>2484.8000000000002</v>
      </c>
      <c r="F238" s="1" t="s">
        <v>12</v>
      </c>
      <c r="G238" s="1" t="s">
        <v>12</v>
      </c>
      <c r="H238" s="1" t="s">
        <v>13</v>
      </c>
      <c r="I238" s="1" t="s">
        <v>13</v>
      </c>
      <c r="J238" s="1" t="s">
        <v>20</v>
      </c>
      <c r="K238" s="1">
        <v>0</v>
      </c>
      <c r="L238" s="1" t="s">
        <v>21</v>
      </c>
      <c r="M238" s="1" t="str">
        <f t="shared" si="3"/>
        <v>Consistent</v>
      </c>
      <c r="N238" s="1" t="str">
        <f>_xlfn.XLOOKUP(H238, risk_score!A:A, risk_score!B:B, 0)</f>
        <v>Low Risk</v>
      </c>
    </row>
    <row r="239" spans="1:14">
      <c r="A239" s="2">
        <v>0.44657407407407407</v>
      </c>
      <c r="B239" s="3">
        <v>44841</v>
      </c>
      <c r="C239" s="1">
        <v>7394937898</v>
      </c>
      <c r="D239" s="1">
        <v>4144650873</v>
      </c>
      <c r="E239" s="1">
        <v>403.92</v>
      </c>
      <c r="F239" s="1" t="s">
        <v>12</v>
      </c>
      <c r="G239" s="1" t="s">
        <v>12</v>
      </c>
      <c r="H239" s="1" t="s">
        <v>13</v>
      </c>
      <c r="I239" s="1" t="s">
        <v>13</v>
      </c>
      <c r="J239" s="1" t="s">
        <v>27</v>
      </c>
      <c r="K239" s="1">
        <v>0</v>
      </c>
      <c r="L239" s="1" t="s">
        <v>21</v>
      </c>
      <c r="M239" s="1" t="str">
        <f t="shared" si="3"/>
        <v>Consistent</v>
      </c>
      <c r="N239" s="1" t="str">
        <f>_xlfn.XLOOKUP(H239, risk_score!A:A, risk_score!B:B, 0)</f>
        <v>Low Risk</v>
      </c>
    </row>
    <row r="240" spans="1:14">
      <c r="A240" s="2">
        <v>0.4466087962962963</v>
      </c>
      <c r="B240" s="3">
        <v>44841</v>
      </c>
      <c r="C240" s="1">
        <v>4024921053</v>
      </c>
      <c r="D240" s="1">
        <v>1431561040</v>
      </c>
      <c r="E240" s="1">
        <v>6893.67</v>
      </c>
      <c r="F240" s="1" t="s">
        <v>12</v>
      </c>
      <c r="G240" s="1" t="s">
        <v>12</v>
      </c>
      <c r="H240" s="1" t="s">
        <v>13</v>
      </c>
      <c r="I240" s="1" t="s">
        <v>13</v>
      </c>
      <c r="J240" s="1" t="s">
        <v>27</v>
      </c>
      <c r="K240" s="1">
        <v>0</v>
      </c>
      <c r="L240" s="1" t="s">
        <v>23</v>
      </c>
      <c r="M240" s="1" t="str">
        <f t="shared" si="3"/>
        <v>Consistent</v>
      </c>
      <c r="N240" s="1" t="str">
        <f>_xlfn.XLOOKUP(H240, risk_score!A:A, risk_score!B:B, 0)</f>
        <v>Low Risk</v>
      </c>
    </row>
    <row r="241" spans="1:14">
      <c r="A241" s="2">
        <v>0.44663194444444443</v>
      </c>
      <c r="B241" s="3">
        <v>44841</v>
      </c>
      <c r="C241" s="1">
        <v>2595670415</v>
      </c>
      <c r="D241" s="1">
        <v>6223365730</v>
      </c>
      <c r="E241" s="1">
        <v>15135.99</v>
      </c>
      <c r="F241" s="1" t="s">
        <v>12</v>
      </c>
      <c r="G241" s="1" t="s">
        <v>12</v>
      </c>
      <c r="H241" s="1" t="s">
        <v>13</v>
      </c>
      <c r="I241" s="1" t="s">
        <v>13</v>
      </c>
      <c r="J241" s="1" t="s">
        <v>20</v>
      </c>
      <c r="K241" s="1">
        <v>0</v>
      </c>
      <c r="L241" s="1" t="s">
        <v>23</v>
      </c>
      <c r="M241" s="1" t="str">
        <f t="shared" si="3"/>
        <v>Consistent</v>
      </c>
      <c r="N241" s="1" t="str">
        <f>_xlfn.XLOOKUP(H241, risk_score!A:A, risk_score!B:B, 0)</f>
        <v>Low Risk</v>
      </c>
    </row>
    <row r="242" spans="1:14">
      <c r="A242" s="2">
        <v>0.44665509259259262</v>
      </c>
      <c r="B242" s="3">
        <v>44841</v>
      </c>
      <c r="C242" s="1">
        <v>8405472205</v>
      </c>
      <c r="D242" s="1">
        <v>8184833329</v>
      </c>
      <c r="E242" s="1">
        <v>4294.42</v>
      </c>
      <c r="F242" s="1" t="s">
        <v>12</v>
      </c>
      <c r="G242" s="1" t="s">
        <v>12</v>
      </c>
      <c r="H242" s="1" t="s">
        <v>13</v>
      </c>
      <c r="I242" s="1" t="s">
        <v>13</v>
      </c>
      <c r="J242" s="1" t="s">
        <v>22</v>
      </c>
      <c r="K242" s="1">
        <v>0</v>
      </c>
      <c r="L242" s="1" t="s">
        <v>21</v>
      </c>
      <c r="M242" s="1" t="str">
        <f t="shared" si="3"/>
        <v>Consistent</v>
      </c>
      <c r="N242" s="1" t="str">
        <f>_xlfn.XLOOKUP(H242, risk_score!A:A, risk_score!B:B, 0)</f>
        <v>Low Risk</v>
      </c>
    </row>
    <row r="243" spans="1:14">
      <c r="A243" s="2">
        <v>0.44666666666666666</v>
      </c>
      <c r="B243" s="3">
        <v>44841</v>
      </c>
      <c r="C243" s="1">
        <v>1092702536</v>
      </c>
      <c r="D243" s="1">
        <v>3220735304</v>
      </c>
      <c r="E243" s="1">
        <v>19546.05</v>
      </c>
      <c r="F243" s="1" t="s">
        <v>12</v>
      </c>
      <c r="G243" s="1" t="s">
        <v>12</v>
      </c>
      <c r="H243" s="1" t="s">
        <v>13</v>
      </c>
      <c r="I243" s="1" t="s">
        <v>13</v>
      </c>
      <c r="J243" s="1" t="s">
        <v>25</v>
      </c>
      <c r="K243" s="1">
        <v>0</v>
      </c>
      <c r="L243" s="1" t="s">
        <v>23</v>
      </c>
      <c r="M243" s="1" t="str">
        <f t="shared" si="3"/>
        <v>Consistent</v>
      </c>
      <c r="N243" s="1" t="str">
        <f>_xlfn.XLOOKUP(H243, risk_score!A:A, risk_score!B:B, 0)</f>
        <v>Low Risk</v>
      </c>
    </row>
    <row r="244" spans="1:14">
      <c r="A244" s="2">
        <v>0.44670138888888888</v>
      </c>
      <c r="B244" s="3">
        <v>44841</v>
      </c>
      <c r="C244" s="1">
        <v>8066286852</v>
      </c>
      <c r="D244" s="1">
        <v>2367741630</v>
      </c>
      <c r="E244" s="1">
        <v>4889.84</v>
      </c>
      <c r="F244" s="1" t="s">
        <v>12</v>
      </c>
      <c r="G244" s="1" t="s">
        <v>12</v>
      </c>
      <c r="H244" s="1" t="s">
        <v>13</v>
      </c>
      <c r="I244" s="1" t="s">
        <v>13</v>
      </c>
      <c r="J244" s="1" t="s">
        <v>25</v>
      </c>
      <c r="K244" s="1">
        <v>0</v>
      </c>
      <c r="L244" s="1" t="s">
        <v>24</v>
      </c>
      <c r="M244" s="1" t="str">
        <f t="shared" si="3"/>
        <v>Consistent</v>
      </c>
      <c r="N244" s="1" t="str">
        <f>_xlfn.XLOOKUP(H244, risk_score!A:A, risk_score!B:B, 0)</f>
        <v>Low Risk</v>
      </c>
    </row>
    <row r="245" spans="1:14">
      <c r="A245" s="2">
        <v>0.44672453703703702</v>
      </c>
      <c r="B245" s="3">
        <v>44841</v>
      </c>
      <c r="C245" s="1">
        <v>482255721</v>
      </c>
      <c r="D245" s="1">
        <v>5896180453</v>
      </c>
      <c r="E245" s="1">
        <v>6266.01</v>
      </c>
      <c r="F245" s="1" t="s">
        <v>12</v>
      </c>
      <c r="G245" s="1" t="s">
        <v>12</v>
      </c>
      <c r="H245" s="1" t="s">
        <v>13</v>
      </c>
      <c r="I245" s="1" t="s">
        <v>13</v>
      </c>
      <c r="J245" s="1" t="s">
        <v>20</v>
      </c>
      <c r="K245" s="1">
        <v>0</v>
      </c>
      <c r="L245" s="1" t="s">
        <v>23</v>
      </c>
      <c r="M245" s="1" t="str">
        <f t="shared" si="3"/>
        <v>Consistent</v>
      </c>
      <c r="N245" s="1" t="str">
        <f>_xlfn.XLOOKUP(H245, risk_score!A:A, risk_score!B:B, 0)</f>
        <v>Low Risk</v>
      </c>
    </row>
    <row r="246" spans="1:14">
      <c r="A246" s="2">
        <v>0.4468287037037037</v>
      </c>
      <c r="B246" s="3">
        <v>44841</v>
      </c>
      <c r="C246" s="1">
        <v>4680252319</v>
      </c>
      <c r="D246" s="1">
        <v>7728251413</v>
      </c>
      <c r="E246" s="1">
        <v>14195.1</v>
      </c>
      <c r="F246" s="1" t="s">
        <v>12</v>
      </c>
      <c r="G246" s="1" t="s">
        <v>12</v>
      </c>
      <c r="H246" s="1" t="s">
        <v>13</v>
      </c>
      <c r="I246" s="1" t="s">
        <v>13</v>
      </c>
      <c r="J246" s="1" t="s">
        <v>20</v>
      </c>
      <c r="K246" s="1">
        <v>0</v>
      </c>
      <c r="L246" s="1" t="s">
        <v>21</v>
      </c>
      <c r="M246" s="1" t="str">
        <f t="shared" si="3"/>
        <v>Consistent</v>
      </c>
      <c r="N246" s="1" t="str">
        <f>_xlfn.XLOOKUP(H246, risk_score!A:A, risk_score!B:B, 0)</f>
        <v>Low Risk</v>
      </c>
    </row>
    <row r="247" spans="1:14">
      <c r="A247" s="2">
        <v>0.44688657407407406</v>
      </c>
      <c r="B247" s="3">
        <v>44841</v>
      </c>
      <c r="C247" s="1">
        <v>1378784400</v>
      </c>
      <c r="D247" s="1">
        <v>7897279705</v>
      </c>
      <c r="E247" s="1">
        <v>5289.08</v>
      </c>
      <c r="F247" s="1" t="s">
        <v>12</v>
      </c>
      <c r="G247" s="1" t="s">
        <v>12</v>
      </c>
      <c r="H247" s="1" t="s">
        <v>13</v>
      </c>
      <c r="I247" s="1" t="s">
        <v>13</v>
      </c>
      <c r="J247" s="1" t="s">
        <v>25</v>
      </c>
      <c r="K247" s="1">
        <v>0</v>
      </c>
      <c r="L247" s="1" t="s">
        <v>19</v>
      </c>
      <c r="M247" s="1" t="str">
        <f t="shared" si="3"/>
        <v>Consistent</v>
      </c>
      <c r="N247" s="1" t="str">
        <f>_xlfn.XLOOKUP(H247, risk_score!A:A, risk_score!B:B, 0)</f>
        <v>Low Risk</v>
      </c>
    </row>
    <row r="248" spans="1:14">
      <c r="A248" s="2">
        <v>0.44692129629629629</v>
      </c>
      <c r="B248" s="3">
        <v>44841</v>
      </c>
      <c r="C248" s="1">
        <v>7501327339</v>
      </c>
      <c r="D248" s="1">
        <v>8617863283</v>
      </c>
      <c r="E248" s="1">
        <v>5863.12</v>
      </c>
      <c r="F248" s="1" t="s">
        <v>12</v>
      </c>
      <c r="G248" s="1" t="s">
        <v>12</v>
      </c>
      <c r="H248" s="1" t="s">
        <v>13</v>
      </c>
      <c r="I248" s="1" t="s">
        <v>13</v>
      </c>
      <c r="J248" s="1" t="s">
        <v>25</v>
      </c>
      <c r="K248" s="1">
        <v>0</v>
      </c>
      <c r="L248" s="1" t="s">
        <v>19</v>
      </c>
      <c r="M248" s="1" t="str">
        <f t="shared" si="3"/>
        <v>Consistent</v>
      </c>
      <c r="N248" s="1" t="str">
        <f>_xlfn.XLOOKUP(H248, risk_score!A:A, risk_score!B:B, 0)</f>
        <v>Low Risk</v>
      </c>
    </row>
    <row r="249" spans="1:14">
      <c r="A249" s="2">
        <v>0.44693287037037038</v>
      </c>
      <c r="B249" s="3">
        <v>44841</v>
      </c>
      <c r="C249" s="1">
        <v>9069885740</v>
      </c>
      <c r="D249" s="1">
        <v>8352571580</v>
      </c>
      <c r="E249" s="1">
        <v>10941.94</v>
      </c>
      <c r="F249" s="1" t="s">
        <v>12</v>
      </c>
      <c r="G249" s="1" t="s">
        <v>12</v>
      </c>
      <c r="H249" s="1" t="s">
        <v>13</v>
      </c>
      <c r="I249" s="1" t="s">
        <v>13</v>
      </c>
      <c r="J249" s="1" t="s">
        <v>22</v>
      </c>
      <c r="K249" s="1">
        <v>0</v>
      </c>
      <c r="L249" s="1" t="s">
        <v>23</v>
      </c>
      <c r="M249" s="1" t="str">
        <f t="shared" si="3"/>
        <v>Consistent</v>
      </c>
      <c r="N249" s="1" t="str">
        <f>_xlfn.XLOOKUP(H249, risk_score!A:A, risk_score!B:B, 0)</f>
        <v>Low Risk</v>
      </c>
    </row>
    <row r="250" spans="1:14">
      <c r="A250" s="2">
        <v>0.44694444444444442</v>
      </c>
      <c r="B250" s="3">
        <v>44841</v>
      </c>
      <c r="C250" s="1">
        <v>9629713976</v>
      </c>
      <c r="D250" s="1">
        <v>8172080174</v>
      </c>
      <c r="E250" s="1">
        <v>4847.6400000000003</v>
      </c>
      <c r="F250" s="1" t="s">
        <v>12</v>
      </c>
      <c r="G250" s="1" t="s">
        <v>12</v>
      </c>
      <c r="H250" s="1" t="s">
        <v>13</v>
      </c>
      <c r="I250" s="1" t="s">
        <v>13</v>
      </c>
      <c r="J250" s="1" t="s">
        <v>22</v>
      </c>
      <c r="K250" s="1">
        <v>0</v>
      </c>
      <c r="L250" s="1" t="s">
        <v>23</v>
      </c>
      <c r="M250" s="1" t="str">
        <f t="shared" si="3"/>
        <v>Consistent</v>
      </c>
      <c r="N250" s="1" t="str">
        <f>_xlfn.XLOOKUP(H250, risk_score!A:A, risk_score!B:B, 0)</f>
        <v>Low Risk</v>
      </c>
    </row>
    <row r="251" spans="1:14">
      <c r="A251" s="2">
        <v>0.44694444444444442</v>
      </c>
      <c r="B251" s="3">
        <v>44841</v>
      </c>
      <c r="C251" s="1">
        <v>1119631775</v>
      </c>
      <c r="D251" s="1">
        <v>8897329050</v>
      </c>
      <c r="E251" s="1">
        <v>19365.46</v>
      </c>
      <c r="F251" s="1" t="s">
        <v>12</v>
      </c>
      <c r="G251" s="1" t="s">
        <v>12</v>
      </c>
      <c r="H251" s="1" t="s">
        <v>13</v>
      </c>
      <c r="I251" s="1" t="s">
        <v>13</v>
      </c>
      <c r="J251" s="1" t="s">
        <v>27</v>
      </c>
      <c r="K251" s="1">
        <v>0</v>
      </c>
      <c r="L251" s="1" t="s">
        <v>21</v>
      </c>
      <c r="M251" s="1" t="str">
        <f t="shared" si="3"/>
        <v>Consistent</v>
      </c>
      <c r="N251" s="1" t="str">
        <f>_xlfn.XLOOKUP(H251, risk_score!A:A, risk_score!B:B, 0)</f>
        <v>Low Risk</v>
      </c>
    </row>
    <row r="252" spans="1:14">
      <c r="A252" s="2">
        <v>0.44697916666666665</v>
      </c>
      <c r="B252" s="3">
        <v>44841</v>
      </c>
      <c r="C252" s="1">
        <v>7669236826</v>
      </c>
      <c r="D252" s="1">
        <v>375015805</v>
      </c>
      <c r="E252" s="1">
        <v>4451.6400000000003</v>
      </c>
      <c r="F252" s="1" t="s">
        <v>12</v>
      </c>
      <c r="G252" s="1" t="s">
        <v>12</v>
      </c>
      <c r="H252" s="1" t="s">
        <v>13</v>
      </c>
      <c r="I252" s="1" t="s">
        <v>13</v>
      </c>
      <c r="J252" s="1" t="s">
        <v>22</v>
      </c>
      <c r="K252" s="1">
        <v>0</v>
      </c>
      <c r="L252" s="1" t="s">
        <v>19</v>
      </c>
      <c r="M252" s="1" t="str">
        <f t="shared" si="3"/>
        <v>Consistent</v>
      </c>
      <c r="N252" s="1" t="str">
        <f>_xlfn.XLOOKUP(H252, risk_score!A:A, risk_score!B:B, 0)</f>
        <v>Low Risk</v>
      </c>
    </row>
    <row r="253" spans="1:14">
      <c r="A253" s="2">
        <v>0.44699074074074074</v>
      </c>
      <c r="B253" s="3">
        <v>44841</v>
      </c>
      <c r="C253" s="1">
        <v>60718926</v>
      </c>
      <c r="D253" s="1">
        <v>5631378382</v>
      </c>
      <c r="E253" s="1">
        <v>3152.7</v>
      </c>
      <c r="F253" s="1" t="s">
        <v>12</v>
      </c>
      <c r="G253" s="1" t="s">
        <v>12</v>
      </c>
      <c r="H253" s="1" t="s">
        <v>13</v>
      </c>
      <c r="I253" s="1" t="s">
        <v>13</v>
      </c>
      <c r="J253" s="1" t="s">
        <v>20</v>
      </c>
      <c r="K253" s="1">
        <v>0</v>
      </c>
      <c r="L253" s="1" t="s">
        <v>21</v>
      </c>
      <c r="M253" s="1" t="str">
        <f t="shared" si="3"/>
        <v>Consistent</v>
      </c>
      <c r="N253" s="1" t="str">
        <f>_xlfn.XLOOKUP(H253, risk_score!A:A, risk_score!B:B, 0)</f>
        <v>Low Risk</v>
      </c>
    </row>
    <row r="254" spans="1:14">
      <c r="A254" s="2">
        <v>0.44701388888888888</v>
      </c>
      <c r="B254" s="3">
        <v>44841</v>
      </c>
      <c r="C254" s="1">
        <v>6476585772</v>
      </c>
      <c r="D254" s="1">
        <v>3810300721</v>
      </c>
      <c r="E254" s="1">
        <v>10659.94</v>
      </c>
      <c r="F254" s="1" t="s">
        <v>12</v>
      </c>
      <c r="G254" s="1" t="s">
        <v>12</v>
      </c>
      <c r="H254" s="1" t="s">
        <v>13</v>
      </c>
      <c r="I254" s="1" t="s">
        <v>13</v>
      </c>
      <c r="J254" s="1" t="s">
        <v>20</v>
      </c>
      <c r="K254" s="1">
        <v>0</v>
      </c>
      <c r="L254" s="1" t="s">
        <v>21</v>
      </c>
      <c r="M254" s="1" t="str">
        <f t="shared" si="3"/>
        <v>Consistent</v>
      </c>
      <c r="N254" s="1" t="str">
        <f>_xlfn.XLOOKUP(H254, risk_score!A:A, risk_score!B:B, 0)</f>
        <v>Low Risk</v>
      </c>
    </row>
    <row r="255" spans="1:14">
      <c r="A255" s="2">
        <v>0.44703703703703701</v>
      </c>
      <c r="B255" s="3">
        <v>44841</v>
      </c>
      <c r="C255" s="1">
        <v>9081133856</v>
      </c>
      <c r="D255" s="1">
        <v>6444220418</v>
      </c>
      <c r="E255" s="1">
        <v>9378.83</v>
      </c>
      <c r="F255" s="1" t="s">
        <v>12</v>
      </c>
      <c r="G255" s="1" t="s">
        <v>12</v>
      </c>
      <c r="H255" s="1" t="s">
        <v>13</v>
      </c>
      <c r="I255" s="1" t="s">
        <v>13</v>
      </c>
      <c r="J255" s="1" t="s">
        <v>20</v>
      </c>
      <c r="K255" s="1">
        <v>0</v>
      </c>
      <c r="L255" s="1" t="s">
        <v>23</v>
      </c>
      <c r="M255" s="1" t="str">
        <f t="shared" si="3"/>
        <v>Consistent</v>
      </c>
      <c r="N255" s="1" t="str">
        <f>_xlfn.XLOOKUP(H255, risk_score!A:A, risk_score!B:B, 0)</f>
        <v>Low Risk</v>
      </c>
    </row>
    <row r="256" spans="1:14">
      <c r="A256" s="2">
        <v>0.44712962962962965</v>
      </c>
      <c r="B256" s="3">
        <v>44841</v>
      </c>
      <c r="C256" s="1">
        <v>2659616433</v>
      </c>
      <c r="D256" s="1">
        <v>9343850846</v>
      </c>
      <c r="E256" s="1">
        <v>19093.03</v>
      </c>
      <c r="F256" s="1" t="s">
        <v>12</v>
      </c>
      <c r="G256" s="1" t="s">
        <v>12</v>
      </c>
      <c r="H256" s="1" t="s">
        <v>13</v>
      </c>
      <c r="I256" s="1" t="s">
        <v>13</v>
      </c>
      <c r="J256" s="1" t="s">
        <v>22</v>
      </c>
      <c r="K256" s="1">
        <v>0</v>
      </c>
      <c r="L256" s="1" t="s">
        <v>21</v>
      </c>
      <c r="M256" s="1" t="str">
        <f t="shared" si="3"/>
        <v>Consistent</v>
      </c>
      <c r="N256" s="1" t="str">
        <f>_xlfn.XLOOKUP(H256, risk_score!A:A, risk_score!B:B, 0)</f>
        <v>Low Risk</v>
      </c>
    </row>
    <row r="257" spans="1:14">
      <c r="A257" s="2">
        <v>0.44714120370370369</v>
      </c>
      <c r="B257" s="3">
        <v>44841</v>
      </c>
      <c r="C257" s="1">
        <v>9893340528</v>
      </c>
      <c r="D257" s="1">
        <v>5628674969</v>
      </c>
      <c r="E257" s="1">
        <v>6576.56</v>
      </c>
      <c r="F257" s="1" t="s">
        <v>12</v>
      </c>
      <c r="G257" s="1" t="s">
        <v>12</v>
      </c>
      <c r="H257" s="1" t="s">
        <v>13</v>
      </c>
      <c r="I257" s="1" t="s">
        <v>13</v>
      </c>
      <c r="J257" s="1" t="s">
        <v>25</v>
      </c>
      <c r="K257" s="1">
        <v>0</v>
      </c>
      <c r="L257" s="1" t="s">
        <v>23</v>
      </c>
      <c r="M257" s="1" t="str">
        <f t="shared" si="3"/>
        <v>Consistent</v>
      </c>
      <c r="N257" s="1" t="str">
        <f>_xlfn.XLOOKUP(H257, risk_score!A:A, risk_score!B:B, 0)</f>
        <v>Low Risk</v>
      </c>
    </row>
    <row r="258" spans="1:14">
      <c r="A258" s="2">
        <v>0.44719907407407405</v>
      </c>
      <c r="B258" s="3">
        <v>44841</v>
      </c>
      <c r="C258" s="1">
        <v>2131820112</v>
      </c>
      <c r="D258" s="1">
        <v>7841784544</v>
      </c>
      <c r="E258" s="1">
        <v>199.6</v>
      </c>
      <c r="F258" s="1" t="s">
        <v>12</v>
      </c>
      <c r="G258" s="1" t="s">
        <v>12</v>
      </c>
      <c r="H258" s="1" t="s">
        <v>13</v>
      </c>
      <c r="I258" s="1" t="s">
        <v>13</v>
      </c>
      <c r="J258" s="1" t="s">
        <v>36</v>
      </c>
      <c r="K258" s="1">
        <v>0</v>
      </c>
      <c r="L258" s="1" t="s">
        <v>37</v>
      </c>
      <c r="M258" s="1" t="str">
        <f t="shared" si="3"/>
        <v>Consistent</v>
      </c>
      <c r="N258" s="1" t="str">
        <f>_xlfn.XLOOKUP(H258, risk_score!A:A, risk_score!B:B, 0)</f>
        <v>Low Risk</v>
      </c>
    </row>
    <row r="259" spans="1:14">
      <c r="A259" s="2">
        <v>0.44721064814814815</v>
      </c>
      <c r="B259" s="3">
        <v>44841</v>
      </c>
      <c r="C259" s="1">
        <v>4564291666</v>
      </c>
      <c r="D259" s="1">
        <v>9141433772</v>
      </c>
      <c r="E259" s="1">
        <v>2761.31</v>
      </c>
      <c r="F259" s="1" t="s">
        <v>12</v>
      </c>
      <c r="G259" s="1" t="s">
        <v>12</v>
      </c>
      <c r="H259" s="1" t="s">
        <v>13</v>
      </c>
      <c r="I259" s="1" t="s">
        <v>13</v>
      </c>
      <c r="J259" s="1" t="s">
        <v>14</v>
      </c>
      <c r="K259" s="1">
        <v>0</v>
      </c>
      <c r="L259" s="1" t="s">
        <v>15</v>
      </c>
      <c r="M259" s="1" t="str">
        <f t="shared" ref="M259:M322" si="4">IF(F259=G259, "Consistent", "Potential Layering")</f>
        <v>Consistent</v>
      </c>
      <c r="N259" s="1" t="str">
        <f>_xlfn.XLOOKUP(H259, risk_score!A:A, risk_score!B:B, 0)</f>
        <v>Low Risk</v>
      </c>
    </row>
    <row r="260" spans="1:14">
      <c r="A260" s="2">
        <v>0.44723379629629628</v>
      </c>
      <c r="B260" s="3">
        <v>44841</v>
      </c>
      <c r="C260" s="1">
        <v>1915450576</v>
      </c>
      <c r="D260" s="1">
        <v>5510366236</v>
      </c>
      <c r="E260" s="1">
        <v>6179.05</v>
      </c>
      <c r="F260" s="1" t="s">
        <v>12</v>
      </c>
      <c r="G260" s="1" t="s">
        <v>12</v>
      </c>
      <c r="H260" s="1" t="s">
        <v>13</v>
      </c>
      <c r="I260" s="1" t="s">
        <v>13</v>
      </c>
      <c r="J260" s="1" t="s">
        <v>20</v>
      </c>
      <c r="K260" s="1">
        <v>0</v>
      </c>
      <c r="L260" s="1" t="s">
        <v>19</v>
      </c>
      <c r="M260" s="1" t="str">
        <f t="shared" si="4"/>
        <v>Consistent</v>
      </c>
      <c r="N260" s="1" t="str">
        <f>_xlfn.XLOOKUP(H260, risk_score!A:A, risk_score!B:B, 0)</f>
        <v>Low Risk</v>
      </c>
    </row>
    <row r="261" spans="1:14">
      <c r="A261" s="2">
        <v>0.44725694444444447</v>
      </c>
      <c r="B261" s="3">
        <v>44841</v>
      </c>
      <c r="C261" s="1">
        <v>6116657264</v>
      </c>
      <c r="D261" s="1">
        <v>7749320382</v>
      </c>
      <c r="E261" s="1">
        <v>10544.36</v>
      </c>
      <c r="F261" s="1" t="s">
        <v>12</v>
      </c>
      <c r="G261" s="1" t="s">
        <v>12</v>
      </c>
      <c r="H261" s="1" t="s">
        <v>13</v>
      </c>
      <c r="I261" s="1" t="s">
        <v>13</v>
      </c>
      <c r="J261" s="1" t="s">
        <v>27</v>
      </c>
      <c r="K261" s="1">
        <v>0</v>
      </c>
      <c r="L261" s="1" t="s">
        <v>19</v>
      </c>
      <c r="M261" s="1" t="str">
        <f t="shared" si="4"/>
        <v>Consistent</v>
      </c>
      <c r="N261" s="1" t="str">
        <f>_xlfn.XLOOKUP(H261, risk_score!A:A, risk_score!B:B, 0)</f>
        <v>Low Risk</v>
      </c>
    </row>
    <row r="262" spans="1:14">
      <c r="A262" s="2">
        <v>0.44725694444444447</v>
      </c>
      <c r="B262" s="3">
        <v>44841</v>
      </c>
      <c r="C262" s="1">
        <v>7501327339</v>
      </c>
      <c r="D262" s="1">
        <v>3546968911</v>
      </c>
      <c r="E262" s="1">
        <v>5060.59</v>
      </c>
      <c r="F262" s="1" t="s">
        <v>12</v>
      </c>
      <c r="G262" s="1" t="s">
        <v>29</v>
      </c>
      <c r="H262" s="1" t="s">
        <v>13</v>
      </c>
      <c r="I262" s="1" t="s">
        <v>50</v>
      </c>
      <c r="J262" s="1" t="s">
        <v>18</v>
      </c>
      <c r="K262" s="1">
        <v>0</v>
      </c>
      <c r="L262" s="1" t="s">
        <v>19</v>
      </c>
      <c r="M262" s="1" t="str">
        <f t="shared" si="4"/>
        <v>Potential Layering</v>
      </c>
      <c r="N262" s="1" t="str">
        <f>_xlfn.XLOOKUP(H262, risk_score!A:A, risk_score!B:B, 0)</f>
        <v>Low Risk</v>
      </c>
    </row>
    <row r="263" spans="1:14">
      <c r="A263" s="2">
        <v>0.44725694444444447</v>
      </c>
      <c r="B263" s="3">
        <v>44841</v>
      </c>
      <c r="C263" s="1">
        <v>3709430533</v>
      </c>
      <c r="D263" s="1">
        <v>7543250720</v>
      </c>
      <c r="E263" s="1">
        <v>6866.28</v>
      </c>
      <c r="F263" s="1" t="s">
        <v>12</v>
      </c>
      <c r="G263" s="1" t="s">
        <v>12</v>
      </c>
      <c r="H263" s="1" t="s">
        <v>13</v>
      </c>
      <c r="I263" s="1" t="s">
        <v>13</v>
      </c>
      <c r="J263" s="1" t="s">
        <v>27</v>
      </c>
      <c r="K263" s="1">
        <v>0</v>
      </c>
      <c r="L263" s="1" t="s">
        <v>19</v>
      </c>
      <c r="M263" s="1" t="str">
        <f t="shared" si="4"/>
        <v>Consistent</v>
      </c>
      <c r="N263" s="1" t="str">
        <f>_xlfn.XLOOKUP(H263, risk_score!A:A, risk_score!B:B, 0)</f>
        <v>Low Risk</v>
      </c>
    </row>
    <row r="264" spans="1:14">
      <c r="A264" s="2">
        <v>0.44731481481481483</v>
      </c>
      <c r="B264" s="3">
        <v>44841</v>
      </c>
      <c r="C264" s="1">
        <v>7143169330</v>
      </c>
      <c r="D264" s="1">
        <v>7509313232</v>
      </c>
      <c r="E264" s="1">
        <v>2736.89</v>
      </c>
      <c r="F264" s="1" t="s">
        <v>12</v>
      </c>
      <c r="G264" s="1" t="s">
        <v>12</v>
      </c>
      <c r="H264" s="1" t="s">
        <v>13</v>
      </c>
      <c r="I264" s="1" t="s">
        <v>13</v>
      </c>
      <c r="J264" s="1" t="s">
        <v>27</v>
      </c>
      <c r="K264" s="1">
        <v>0</v>
      </c>
      <c r="L264" s="1" t="s">
        <v>21</v>
      </c>
      <c r="M264" s="1" t="str">
        <f t="shared" si="4"/>
        <v>Consistent</v>
      </c>
      <c r="N264" s="1" t="str">
        <f>_xlfn.XLOOKUP(H264, risk_score!A:A, risk_score!B:B, 0)</f>
        <v>Low Risk</v>
      </c>
    </row>
    <row r="265" spans="1:14">
      <c r="A265" s="2">
        <v>0.44734953703703706</v>
      </c>
      <c r="B265" s="3">
        <v>44841</v>
      </c>
      <c r="C265" s="1">
        <v>9825818308</v>
      </c>
      <c r="D265" s="1">
        <v>1965521445</v>
      </c>
      <c r="E265" s="1">
        <v>7707.06</v>
      </c>
      <c r="F265" s="1" t="s">
        <v>12</v>
      </c>
      <c r="G265" s="1" t="s">
        <v>12</v>
      </c>
      <c r="H265" s="1" t="s">
        <v>13</v>
      </c>
      <c r="I265" s="1" t="s">
        <v>13</v>
      </c>
      <c r="J265" s="1" t="s">
        <v>20</v>
      </c>
      <c r="K265" s="1">
        <v>0</v>
      </c>
      <c r="L265" s="1" t="s">
        <v>21</v>
      </c>
      <c r="M265" s="1" t="str">
        <f t="shared" si="4"/>
        <v>Consistent</v>
      </c>
      <c r="N265" s="1" t="str">
        <f>_xlfn.XLOOKUP(H265, risk_score!A:A, risk_score!B:B, 0)</f>
        <v>Low Risk</v>
      </c>
    </row>
    <row r="266" spans="1:14">
      <c r="A266" s="2">
        <v>0.44740740740740742</v>
      </c>
      <c r="B266" s="3">
        <v>44841</v>
      </c>
      <c r="C266" s="1">
        <v>1915450576</v>
      </c>
      <c r="D266" s="1">
        <v>2088570270</v>
      </c>
      <c r="E266" s="1">
        <v>18259.91</v>
      </c>
      <c r="F266" s="1" t="s">
        <v>12</v>
      </c>
      <c r="G266" s="1" t="s">
        <v>12</v>
      </c>
      <c r="H266" s="1" t="s">
        <v>13</v>
      </c>
      <c r="I266" s="1" t="s">
        <v>13</v>
      </c>
      <c r="J266" s="1" t="s">
        <v>25</v>
      </c>
      <c r="K266" s="1">
        <v>0</v>
      </c>
      <c r="L266" s="1" t="s">
        <v>19</v>
      </c>
      <c r="M266" s="1" t="str">
        <f t="shared" si="4"/>
        <v>Consistent</v>
      </c>
      <c r="N266" s="1" t="str">
        <f>_xlfn.XLOOKUP(H266, risk_score!A:A, risk_score!B:B, 0)</f>
        <v>Low Risk</v>
      </c>
    </row>
    <row r="267" spans="1:14">
      <c r="A267" s="2">
        <v>0.44740740740740742</v>
      </c>
      <c r="B267" s="3">
        <v>44841</v>
      </c>
      <c r="C267" s="1">
        <v>3168051873</v>
      </c>
      <c r="D267" s="1">
        <v>5677353991</v>
      </c>
      <c r="E267" s="1">
        <v>4875.1000000000004</v>
      </c>
      <c r="F267" s="1" t="s">
        <v>12</v>
      </c>
      <c r="G267" s="1" t="s">
        <v>12</v>
      </c>
      <c r="H267" s="1" t="s">
        <v>13</v>
      </c>
      <c r="I267" s="1" t="s">
        <v>13</v>
      </c>
      <c r="J267" s="1" t="s">
        <v>20</v>
      </c>
      <c r="K267" s="1">
        <v>0</v>
      </c>
      <c r="L267" s="1" t="s">
        <v>19</v>
      </c>
      <c r="M267" s="1" t="str">
        <f t="shared" si="4"/>
        <v>Consistent</v>
      </c>
      <c r="N267" s="1" t="str">
        <f>_xlfn.XLOOKUP(H267, risk_score!A:A, risk_score!B:B, 0)</f>
        <v>Low Risk</v>
      </c>
    </row>
    <row r="268" spans="1:14">
      <c r="A268" s="2">
        <v>0.44741898148148146</v>
      </c>
      <c r="B268" s="3">
        <v>44841</v>
      </c>
      <c r="C268" s="1">
        <v>3646682811</v>
      </c>
      <c r="D268" s="1">
        <v>6278770348</v>
      </c>
      <c r="E268" s="1">
        <v>8036.15</v>
      </c>
      <c r="F268" s="1" t="s">
        <v>12</v>
      </c>
      <c r="G268" s="1" t="s">
        <v>12</v>
      </c>
      <c r="H268" s="1" t="s">
        <v>13</v>
      </c>
      <c r="I268" s="1" t="s">
        <v>13</v>
      </c>
      <c r="J268" s="1" t="s">
        <v>22</v>
      </c>
      <c r="K268" s="1">
        <v>0</v>
      </c>
      <c r="L268" s="1" t="s">
        <v>21</v>
      </c>
      <c r="M268" s="1" t="str">
        <f t="shared" si="4"/>
        <v>Consistent</v>
      </c>
      <c r="N268" s="1" t="str">
        <f>_xlfn.XLOOKUP(H268, risk_score!A:A, risk_score!B:B, 0)</f>
        <v>Low Risk</v>
      </c>
    </row>
    <row r="269" spans="1:14">
      <c r="A269" s="2">
        <v>0.44748842592592591</v>
      </c>
      <c r="B269" s="3">
        <v>44841</v>
      </c>
      <c r="C269" s="1">
        <v>5263982631</v>
      </c>
      <c r="D269" s="1">
        <v>7080357663</v>
      </c>
      <c r="E269" s="1">
        <v>27479.439999999999</v>
      </c>
      <c r="F269" s="1" t="s">
        <v>51</v>
      </c>
      <c r="G269" s="1" t="s">
        <v>12</v>
      </c>
      <c r="H269" s="1" t="s">
        <v>52</v>
      </c>
      <c r="I269" s="1" t="s">
        <v>13</v>
      </c>
      <c r="J269" s="1" t="s">
        <v>18</v>
      </c>
      <c r="K269" s="1">
        <v>0</v>
      </c>
      <c r="L269" s="1" t="s">
        <v>23</v>
      </c>
      <c r="M269" s="1" t="str">
        <f t="shared" si="4"/>
        <v>Potential Layering</v>
      </c>
      <c r="N269" s="1" t="str">
        <f>_xlfn.XLOOKUP(H269, risk_score!A:A, risk_score!B:B, 0)</f>
        <v>Medium Risk</v>
      </c>
    </row>
    <row r="270" spans="1:14">
      <c r="A270" s="2">
        <v>0.44750000000000001</v>
      </c>
      <c r="B270" s="3">
        <v>44841</v>
      </c>
      <c r="C270" s="1">
        <v>1358482520</v>
      </c>
      <c r="D270" s="1">
        <v>1939681909</v>
      </c>
      <c r="E270" s="1">
        <v>7869.67</v>
      </c>
      <c r="F270" s="1" t="s">
        <v>12</v>
      </c>
      <c r="G270" s="1" t="s">
        <v>12</v>
      </c>
      <c r="H270" s="1" t="s">
        <v>13</v>
      </c>
      <c r="I270" s="1" t="s">
        <v>13</v>
      </c>
      <c r="J270" s="1" t="s">
        <v>27</v>
      </c>
      <c r="K270" s="1">
        <v>0</v>
      </c>
      <c r="L270" s="1" t="s">
        <v>21</v>
      </c>
      <c r="M270" s="1" t="str">
        <f t="shared" si="4"/>
        <v>Consistent</v>
      </c>
      <c r="N270" s="1" t="str">
        <f>_xlfn.XLOOKUP(H270, risk_score!A:A, risk_score!B:B, 0)</f>
        <v>Low Risk</v>
      </c>
    </row>
    <row r="271" spans="1:14">
      <c r="A271" s="2">
        <v>0.44751157407407405</v>
      </c>
      <c r="B271" s="3">
        <v>44841</v>
      </c>
      <c r="C271" s="1">
        <v>3614082527</v>
      </c>
      <c r="D271" s="1">
        <v>1732858296</v>
      </c>
      <c r="E271" s="1">
        <v>9412.0400000000009</v>
      </c>
      <c r="F271" s="1" t="s">
        <v>12</v>
      </c>
      <c r="G271" s="1" t="s">
        <v>12</v>
      </c>
      <c r="H271" s="1" t="s">
        <v>13</v>
      </c>
      <c r="I271" s="1" t="s">
        <v>13</v>
      </c>
      <c r="J271" s="1" t="s">
        <v>27</v>
      </c>
      <c r="K271" s="1">
        <v>0</v>
      </c>
      <c r="L271" s="1" t="s">
        <v>19</v>
      </c>
      <c r="M271" s="1" t="str">
        <f t="shared" si="4"/>
        <v>Consistent</v>
      </c>
      <c r="N271" s="1" t="str">
        <f>_xlfn.XLOOKUP(H271, risk_score!A:A, risk_score!B:B, 0)</f>
        <v>Low Risk</v>
      </c>
    </row>
    <row r="272" spans="1:14">
      <c r="A272" s="2">
        <v>0.44751157407407405</v>
      </c>
      <c r="B272" s="3">
        <v>44841</v>
      </c>
      <c r="C272" s="1">
        <v>3741000234</v>
      </c>
      <c r="D272" s="1">
        <v>1377603863</v>
      </c>
      <c r="E272" s="1">
        <v>21950.61</v>
      </c>
      <c r="F272" s="1" t="s">
        <v>12</v>
      </c>
      <c r="G272" s="1" t="s">
        <v>12</v>
      </c>
      <c r="H272" s="1" t="s">
        <v>13</v>
      </c>
      <c r="I272" s="1" t="s">
        <v>13</v>
      </c>
      <c r="J272" s="1" t="s">
        <v>22</v>
      </c>
      <c r="K272" s="1">
        <v>0</v>
      </c>
      <c r="L272" s="1" t="s">
        <v>23</v>
      </c>
      <c r="M272" s="1" t="str">
        <f t="shared" si="4"/>
        <v>Consistent</v>
      </c>
      <c r="N272" s="1" t="str">
        <f>_xlfn.XLOOKUP(H272, risk_score!A:A, risk_score!B:B, 0)</f>
        <v>Low Risk</v>
      </c>
    </row>
    <row r="273" spans="1:14">
      <c r="A273" s="2">
        <v>0.44753472222222224</v>
      </c>
      <c r="B273" s="3">
        <v>44841</v>
      </c>
      <c r="C273" s="1">
        <v>1935297468</v>
      </c>
      <c r="D273" s="1">
        <v>2714320850</v>
      </c>
      <c r="E273" s="1">
        <v>305.05</v>
      </c>
      <c r="F273" s="1" t="s">
        <v>12</v>
      </c>
      <c r="G273" s="1" t="s">
        <v>12</v>
      </c>
      <c r="H273" s="1" t="s">
        <v>13</v>
      </c>
      <c r="I273" s="1" t="s">
        <v>13</v>
      </c>
      <c r="J273" s="1" t="s">
        <v>36</v>
      </c>
      <c r="K273" s="1">
        <v>0</v>
      </c>
      <c r="L273" s="1" t="s">
        <v>37</v>
      </c>
      <c r="M273" s="1" t="str">
        <f t="shared" si="4"/>
        <v>Consistent</v>
      </c>
      <c r="N273" s="1" t="str">
        <f>_xlfn.XLOOKUP(H273, risk_score!A:A, risk_score!B:B, 0)</f>
        <v>Low Risk</v>
      </c>
    </row>
    <row r="274" spans="1:14">
      <c r="A274" s="2">
        <v>0.44761574074074073</v>
      </c>
      <c r="B274" s="3">
        <v>44841</v>
      </c>
      <c r="C274" s="1">
        <v>385482166</v>
      </c>
      <c r="D274" s="1">
        <v>8852169475</v>
      </c>
      <c r="E274" s="1">
        <v>36.69</v>
      </c>
      <c r="F274" s="1" t="s">
        <v>12</v>
      </c>
      <c r="G274" s="1" t="s">
        <v>12</v>
      </c>
      <c r="H274" s="1" t="s">
        <v>13</v>
      </c>
      <c r="I274" s="1" t="s">
        <v>13</v>
      </c>
      <c r="J274" s="1" t="s">
        <v>36</v>
      </c>
      <c r="K274" s="1">
        <v>0</v>
      </c>
      <c r="L274" s="1" t="s">
        <v>37</v>
      </c>
      <c r="M274" s="1" t="str">
        <f t="shared" si="4"/>
        <v>Consistent</v>
      </c>
      <c r="N274" s="1" t="str">
        <f>_xlfn.XLOOKUP(H274, risk_score!A:A, risk_score!B:B, 0)</f>
        <v>Low Risk</v>
      </c>
    </row>
    <row r="275" spans="1:14">
      <c r="A275" s="2">
        <v>0.44766203703703705</v>
      </c>
      <c r="B275" s="3">
        <v>44841</v>
      </c>
      <c r="C275" s="1">
        <v>2597738775</v>
      </c>
      <c r="D275" s="1">
        <v>9752658168</v>
      </c>
      <c r="E275" s="1">
        <v>503.83</v>
      </c>
      <c r="F275" s="1" t="s">
        <v>12</v>
      </c>
      <c r="G275" s="1" t="s">
        <v>12</v>
      </c>
      <c r="H275" s="1" t="s">
        <v>13</v>
      </c>
      <c r="I275" s="1" t="s">
        <v>13</v>
      </c>
      <c r="J275" s="1" t="s">
        <v>25</v>
      </c>
      <c r="K275" s="1">
        <v>0</v>
      </c>
      <c r="L275" s="1" t="s">
        <v>21</v>
      </c>
      <c r="M275" s="1" t="str">
        <f t="shared" si="4"/>
        <v>Consistent</v>
      </c>
      <c r="N275" s="1" t="str">
        <f>_xlfn.XLOOKUP(H275, risk_score!A:A, risk_score!B:B, 0)</f>
        <v>Low Risk</v>
      </c>
    </row>
    <row r="276" spans="1:14">
      <c r="A276" s="2">
        <v>0.44767361111111109</v>
      </c>
      <c r="B276" s="3">
        <v>44841</v>
      </c>
      <c r="C276" s="1">
        <v>3510078932</v>
      </c>
      <c r="D276" s="1">
        <v>3923530563</v>
      </c>
      <c r="E276" s="1">
        <v>11526.89</v>
      </c>
      <c r="F276" s="1" t="s">
        <v>12</v>
      </c>
      <c r="G276" s="1" t="s">
        <v>12</v>
      </c>
      <c r="H276" s="1" t="s">
        <v>13</v>
      </c>
      <c r="I276" s="1" t="s">
        <v>13</v>
      </c>
      <c r="J276" s="1" t="s">
        <v>25</v>
      </c>
      <c r="K276" s="1">
        <v>0</v>
      </c>
      <c r="L276" s="1" t="s">
        <v>19</v>
      </c>
      <c r="M276" s="1" t="str">
        <f t="shared" si="4"/>
        <v>Consistent</v>
      </c>
      <c r="N276" s="1" t="str">
        <f>_xlfn.XLOOKUP(H276, risk_score!A:A, risk_score!B:B, 0)</f>
        <v>Low Risk</v>
      </c>
    </row>
    <row r="277" spans="1:14">
      <c r="A277" s="2">
        <v>0.44769675925925928</v>
      </c>
      <c r="B277" s="3">
        <v>44841</v>
      </c>
      <c r="C277" s="1">
        <v>4121324384</v>
      </c>
      <c r="D277" s="1">
        <v>148220861</v>
      </c>
      <c r="E277" s="1">
        <v>4619.17</v>
      </c>
      <c r="F277" s="1" t="s">
        <v>29</v>
      </c>
      <c r="G277" s="1" t="s">
        <v>29</v>
      </c>
      <c r="H277" s="1" t="s">
        <v>30</v>
      </c>
      <c r="I277" s="1" t="s">
        <v>31</v>
      </c>
      <c r="J277" s="1" t="s">
        <v>18</v>
      </c>
      <c r="K277" s="1">
        <v>0</v>
      </c>
      <c r="L277" s="1" t="s">
        <v>19</v>
      </c>
      <c r="M277" s="1" t="str">
        <f t="shared" si="4"/>
        <v>Consistent</v>
      </c>
      <c r="N277" s="1" t="str">
        <f>_xlfn.XLOOKUP(H277, risk_score!A:A, risk_score!B:B, 0)</f>
        <v>Low Risk</v>
      </c>
    </row>
    <row r="278" spans="1:14">
      <c r="A278" s="2">
        <v>0.44775462962962964</v>
      </c>
      <c r="B278" s="3">
        <v>44841</v>
      </c>
      <c r="C278" s="1">
        <v>8456279067</v>
      </c>
      <c r="D278" s="1">
        <v>3681770380</v>
      </c>
      <c r="E278" s="1">
        <v>22363.42</v>
      </c>
      <c r="F278" s="1" t="s">
        <v>12</v>
      </c>
      <c r="G278" s="1" t="s">
        <v>12</v>
      </c>
      <c r="H278" s="1" t="s">
        <v>13</v>
      </c>
      <c r="I278" s="1" t="s">
        <v>13</v>
      </c>
      <c r="J278" s="1" t="s">
        <v>22</v>
      </c>
      <c r="K278" s="1">
        <v>0</v>
      </c>
      <c r="L278" s="1" t="s">
        <v>19</v>
      </c>
      <c r="M278" s="1" t="str">
        <f t="shared" si="4"/>
        <v>Consistent</v>
      </c>
      <c r="N278" s="1" t="str">
        <f>_xlfn.XLOOKUP(H278, risk_score!A:A, risk_score!B:B, 0)</f>
        <v>Low Risk</v>
      </c>
    </row>
    <row r="279" spans="1:14">
      <c r="A279" s="2">
        <v>0.44776620370370368</v>
      </c>
      <c r="B279" s="3">
        <v>44841</v>
      </c>
      <c r="C279" s="1">
        <v>2852936829</v>
      </c>
      <c r="D279" s="1">
        <v>5087385149</v>
      </c>
      <c r="E279" s="1">
        <v>3535.52</v>
      </c>
      <c r="F279" s="1" t="s">
        <v>12</v>
      </c>
      <c r="G279" s="1" t="s">
        <v>12</v>
      </c>
      <c r="H279" s="1" t="s">
        <v>13</v>
      </c>
      <c r="I279" s="1" t="s">
        <v>13</v>
      </c>
      <c r="J279" s="1" t="s">
        <v>14</v>
      </c>
      <c r="K279" s="1">
        <v>0</v>
      </c>
      <c r="L279" s="1" t="s">
        <v>15</v>
      </c>
      <c r="M279" s="1" t="str">
        <f t="shared" si="4"/>
        <v>Consistent</v>
      </c>
      <c r="N279" s="1" t="str">
        <f>_xlfn.XLOOKUP(H279, risk_score!A:A, risk_score!B:B, 0)</f>
        <v>Low Risk</v>
      </c>
    </row>
    <row r="280" spans="1:14">
      <c r="A280" s="2">
        <v>0.44777777777777777</v>
      </c>
      <c r="B280" s="3">
        <v>44841</v>
      </c>
      <c r="C280" s="1">
        <v>5984193868</v>
      </c>
      <c r="D280" s="1">
        <v>4594125641</v>
      </c>
      <c r="E280" s="1">
        <v>2293.21</v>
      </c>
      <c r="F280" s="1" t="s">
        <v>12</v>
      </c>
      <c r="G280" s="1" t="s">
        <v>12</v>
      </c>
      <c r="H280" s="1" t="s">
        <v>13</v>
      </c>
      <c r="I280" s="1" t="s">
        <v>13</v>
      </c>
      <c r="J280" s="1" t="s">
        <v>22</v>
      </c>
      <c r="K280" s="1">
        <v>0</v>
      </c>
      <c r="L280" s="1" t="s">
        <v>24</v>
      </c>
      <c r="M280" s="1" t="str">
        <f t="shared" si="4"/>
        <v>Consistent</v>
      </c>
      <c r="N280" s="1" t="str">
        <f>_xlfn.XLOOKUP(H280, risk_score!A:A, risk_score!B:B, 0)</f>
        <v>Low Risk</v>
      </c>
    </row>
    <row r="281" spans="1:14">
      <c r="A281" s="2">
        <v>0.44785879629629627</v>
      </c>
      <c r="B281" s="3">
        <v>44841</v>
      </c>
      <c r="C281" s="1">
        <v>3658714253</v>
      </c>
      <c r="D281" s="1">
        <v>5297691</v>
      </c>
      <c r="E281" s="1">
        <v>1694.43</v>
      </c>
      <c r="F281" s="1" t="s">
        <v>12</v>
      </c>
      <c r="G281" s="1" t="s">
        <v>12</v>
      </c>
      <c r="H281" s="1" t="s">
        <v>13</v>
      </c>
      <c r="I281" s="1" t="s">
        <v>13</v>
      </c>
      <c r="J281" s="1" t="s">
        <v>22</v>
      </c>
      <c r="K281" s="1">
        <v>0</v>
      </c>
      <c r="L281" s="1" t="s">
        <v>21</v>
      </c>
      <c r="M281" s="1" t="str">
        <f t="shared" si="4"/>
        <v>Consistent</v>
      </c>
      <c r="N281" s="1" t="str">
        <f>_xlfn.XLOOKUP(H281, risk_score!A:A, risk_score!B:B, 0)</f>
        <v>Low Risk</v>
      </c>
    </row>
    <row r="282" spans="1:14">
      <c r="A282" s="2">
        <v>0.44785879629629627</v>
      </c>
      <c r="B282" s="3">
        <v>44841</v>
      </c>
      <c r="C282" s="1">
        <v>6116657264</v>
      </c>
      <c r="D282" s="1">
        <v>224176497</v>
      </c>
      <c r="E282" s="1">
        <v>4598.3599999999997</v>
      </c>
      <c r="F282" s="1" t="s">
        <v>12</v>
      </c>
      <c r="G282" s="1" t="s">
        <v>12</v>
      </c>
      <c r="H282" s="1" t="s">
        <v>13</v>
      </c>
      <c r="I282" s="1" t="s">
        <v>13</v>
      </c>
      <c r="J282" s="1" t="s">
        <v>20</v>
      </c>
      <c r="K282" s="1">
        <v>0</v>
      </c>
      <c r="L282" s="1" t="s">
        <v>19</v>
      </c>
      <c r="M282" s="1" t="str">
        <f t="shared" si="4"/>
        <v>Consistent</v>
      </c>
      <c r="N282" s="1" t="str">
        <f>_xlfn.XLOOKUP(H282, risk_score!A:A, risk_score!B:B, 0)</f>
        <v>Low Risk</v>
      </c>
    </row>
    <row r="283" spans="1:14">
      <c r="A283" s="2">
        <v>0.44785879629629627</v>
      </c>
      <c r="B283" s="3">
        <v>44841</v>
      </c>
      <c r="C283" s="1">
        <v>3644256410</v>
      </c>
      <c r="D283" s="1">
        <v>3066321263</v>
      </c>
      <c r="E283" s="1">
        <v>6048.62</v>
      </c>
      <c r="F283" s="1" t="s">
        <v>12</v>
      </c>
      <c r="G283" s="1" t="s">
        <v>12</v>
      </c>
      <c r="H283" s="1" t="s">
        <v>13</v>
      </c>
      <c r="I283" s="1" t="s">
        <v>13</v>
      </c>
      <c r="J283" s="1" t="s">
        <v>27</v>
      </c>
      <c r="K283" s="1">
        <v>0</v>
      </c>
      <c r="L283" s="1" t="s">
        <v>23</v>
      </c>
      <c r="M283" s="1" t="str">
        <f t="shared" si="4"/>
        <v>Consistent</v>
      </c>
      <c r="N283" s="1" t="str">
        <f>_xlfn.XLOOKUP(H283, risk_score!A:A, risk_score!B:B, 0)</f>
        <v>Low Risk</v>
      </c>
    </row>
    <row r="284" spans="1:14">
      <c r="A284" s="2">
        <v>0.44787037037037036</v>
      </c>
      <c r="B284" s="3">
        <v>44841</v>
      </c>
      <c r="C284" s="1">
        <v>675669049</v>
      </c>
      <c r="D284" s="1">
        <v>8956282059</v>
      </c>
      <c r="E284" s="1">
        <v>4573.57</v>
      </c>
      <c r="F284" s="1" t="s">
        <v>12</v>
      </c>
      <c r="G284" s="1" t="s">
        <v>12</v>
      </c>
      <c r="H284" s="1" t="s">
        <v>13</v>
      </c>
      <c r="I284" s="1" t="s">
        <v>13</v>
      </c>
      <c r="J284" s="1" t="s">
        <v>22</v>
      </c>
      <c r="K284" s="1">
        <v>0</v>
      </c>
      <c r="L284" s="1" t="s">
        <v>19</v>
      </c>
      <c r="M284" s="1" t="str">
        <f t="shared" si="4"/>
        <v>Consistent</v>
      </c>
      <c r="N284" s="1" t="str">
        <f>_xlfn.XLOOKUP(H284, risk_score!A:A, risk_score!B:B, 0)</f>
        <v>Low Risk</v>
      </c>
    </row>
    <row r="285" spans="1:14">
      <c r="A285" s="2">
        <v>0.44788194444444446</v>
      </c>
      <c r="B285" s="3">
        <v>44841</v>
      </c>
      <c r="C285" s="1">
        <v>1713426884</v>
      </c>
      <c r="D285" s="1">
        <v>956337257</v>
      </c>
      <c r="E285" s="1">
        <v>3041.58</v>
      </c>
      <c r="F285" s="1" t="s">
        <v>12</v>
      </c>
      <c r="G285" s="1" t="s">
        <v>12</v>
      </c>
      <c r="H285" s="1" t="s">
        <v>13</v>
      </c>
      <c r="I285" s="1" t="s">
        <v>13</v>
      </c>
      <c r="J285" s="1" t="s">
        <v>20</v>
      </c>
      <c r="K285" s="1">
        <v>0</v>
      </c>
      <c r="L285" s="1" t="s">
        <v>21</v>
      </c>
      <c r="M285" s="1" t="str">
        <f t="shared" si="4"/>
        <v>Consistent</v>
      </c>
      <c r="N285" s="1" t="str">
        <f>_xlfn.XLOOKUP(H285, risk_score!A:A, risk_score!B:B, 0)</f>
        <v>Low Risk</v>
      </c>
    </row>
    <row r="286" spans="1:14">
      <c r="A286" s="2">
        <v>0.4478935185185185</v>
      </c>
      <c r="B286" s="3">
        <v>44841</v>
      </c>
      <c r="C286" s="1">
        <v>2797271466</v>
      </c>
      <c r="D286" s="1">
        <v>9982628328</v>
      </c>
      <c r="E286" s="1">
        <v>7228.49</v>
      </c>
      <c r="F286" s="1" t="s">
        <v>12</v>
      </c>
      <c r="G286" s="1" t="s">
        <v>12</v>
      </c>
      <c r="H286" s="1" t="s">
        <v>13</v>
      </c>
      <c r="I286" s="1" t="s">
        <v>13</v>
      </c>
      <c r="J286" s="1" t="s">
        <v>27</v>
      </c>
      <c r="K286" s="1">
        <v>0</v>
      </c>
      <c r="L286" s="1" t="s">
        <v>19</v>
      </c>
      <c r="M286" s="1" t="str">
        <f t="shared" si="4"/>
        <v>Consistent</v>
      </c>
      <c r="N286" s="1" t="str">
        <f>_xlfn.XLOOKUP(H286, risk_score!A:A, risk_score!B:B, 0)</f>
        <v>Low Risk</v>
      </c>
    </row>
    <row r="287" spans="1:14">
      <c r="A287" s="2">
        <v>0.44795138888888891</v>
      </c>
      <c r="B287" s="3">
        <v>44841</v>
      </c>
      <c r="C287" s="1">
        <v>3697901122</v>
      </c>
      <c r="D287" s="1">
        <v>3141372444</v>
      </c>
      <c r="E287" s="1">
        <v>2491.9299999999998</v>
      </c>
      <c r="F287" s="1" t="s">
        <v>12</v>
      </c>
      <c r="G287" s="1" t="s">
        <v>12</v>
      </c>
      <c r="H287" s="1" t="s">
        <v>13</v>
      </c>
      <c r="I287" s="1" t="s">
        <v>13</v>
      </c>
      <c r="J287" s="1" t="s">
        <v>27</v>
      </c>
      <c r="K287" s="1">
        <v>0</v>
      </c>
      <c r="L287" s="1" t="s">
        <v>21</v>
      </c>
      <c r="M287" s="1" t="str">
        <f t="shared" si="4"/>
        <v>Consistent</v>
      </c>
      <c r="N287" s="1" t="str">
        <f>_xlfn.XLOOKUP(H287, risk_score!A:A, risk_score!B:B, 0)</f>
        <v>Low Risk</v>
      </c>
    </row>
    <row r="288" spans="1:14">
      <c r="A288" s="2">
        <v>0.44795138888888891</v>
      </c>
      <c r="B288" s="3">
        <v>44841</v>
      </c>
      <c r="C288" s="1">
        <v>9226756684</v>
      </c>
      <c r="D288" s="1">
        <v>5858369125</v>
      </c>
      <c r="E288" s="1">
        <v>17411.77</v>
      </c>
      <c r="F288" s="1" t="s">
        <v>12</v>
      </c>
      <c r="G288" s="1" t="s">
        <v>12</v>
      </c>
      <c r="H288" s="1" t="s">
        <v>13</v>
      </c>
      <c r="I288" s="1" t="s">
        <v>13</v>
      </c>
      <c r="J288" s="1" t="s">
        <v>25</v>
      </c>
      <c r="K288" s="1">
        <v>0</v>
      </c>
      <c r="L288" s="1" t="s">
        <v>23</v>
      </c>
      <c r="M288" s="1" t="str">
        <f t="shared" si="4"/>
        <v>Consistent</v>
      </c>
      <c r="N288" s="1" t="str">
        <f>_xlfn.XLOOKUP(H288, risk_score!A:A, risk_score!B:B, 0)</f>
        <v>Low Risk</v>
      </c>
    </row>
    <row r="289" spans="1:14">
      <c r="A289" s="2">
        <v>0.44797453703703705</v>
      </c>
      <c r="B289" s="3">
        <v>44841</v>
      </c>
      <c r="C289" s="1">
        <v>1915450576</v>
      </c>
      <c r="D289" s="1">
        <v>5162401694</v>
      </c>
      <c r="E289" s="1">
        <v>10541.65</v>
      </c>
      <c r="F289" s="1" t="s">
        <v>12</v>
      </c>
      <c r="G289" s="1" t="s">
        <v>12</v>
      </c>
      <c r="H289" s="1" t="s">
        <v>13</v>
      </c>
      <c r="I289" s="1" t="s">
        <v>13</v>
      </c>
      <c r="J289" s="1" t="s">
        <v>22</v>
      </c>
      <c r="K289" s="1">
        <v>0</v>
      </c>
      <c r="L289" s="1" t="s">
        <v>19</v>
      </c>
      <c r="M289" s="1" t="str">
        <f t="shared" si="4"/>
        <v>Consistent</v>
      </c>
      <c r="N289" s="1" t="str">
        <f>_xlfn.XLOOKUP(H289, risk_score!A:A, risk_score!B:B, 0)</f>
        <v>Low Risk</v>
      </c>
    </row>
    <row r="290" spans="1:14">
      <c r="A290" s="2">
        <v>0.44802083333333331</v>
      </c>
      <c r="B290" s="3">
        <v>44841</v>
      </c>
      <c r="C290" s="1">
        <v>4231385822</v>
      </c>
      <c r="D290" s="1">
        <v>6244231175</v>
      </c>
      <c r="E290" s="1">
        <v>1485.42</v>
      </c>
      <c r="F290" s="1" t="s">
        <v>12</v>
      </c>
      <c r="G290" s="1" t="s">
        <v>34</v>
      </c>
      <c r="H290" s="1" t="s">
        <v>13</v>
      </c>
      <c r="I290" s="1" t="s">
        <v>35</v>
      </c>
      <c r="J290" s="1" t="s">
        <v>18</v>
      </c>
      <c r="K290" s="1">
        <v>0</v>
      </c>
      <c r="L290" s="1" t="s">
        <v>24</v>
      </c>
      <c r="M290" s="1" t="str">
        <f t="shared" si="4"/>
        <v>Potential Layering</v>
      </c>
      <c r="N290" s="1" t="str">
        <f>_xlfn.XLOOKUP(H290, risk_score!A:A, risk_score!B:B, 0)</f>
        <v>Low Risk</v>
      </c>
    </row>
    <row r="291" spans="1:14">
      <c r="A291" s="2">
        <v>0.44818287037037036</v>
      </c>
      <c r="B291" s="3">
        <v>44841</v>
      </c>
      <c r="C291" s="1">
        <v>7027106126</v>
      </c>
      <c r="D291" s="1">
        <v>4540259703</v>
      </c>
      <c r="E291" s="1">
        <v>147.41999999999999</v>
      </c>
      <c r="F291" s="1" t="s">
        <v>12</v>
      </c>
      <c r="G291" s="1" t="s">
        <v>12</v>
      </c>
      <c r="H291" s="1" t="s">
        <v>13</v>
      </c>
      <c r="I291" s="1" t="s">
        <v>13</v>
      </c>
      <c r="J291" s="1" t="s">
        <v>36</v>
      </c>
      <c r="K291" s="1">
        <v>0</v>
      </c>
      <c r="L291" s="1" t="s">
        <v>37</v>
      </c>
      <c r="M291" s="1" t="str">
        <f t="shared" si="4"/>
        <v>Consistent</v>
      </c>
      <c r="N291" s="1" t="str">
        <f>_xlfn.XLOOKUP(H291, risk_score!A:A, risk_score!B:B, 0)</f>
        <v>Low Risk</v>
      </c>
    </row>
    <row r="292" spans="1:14">
      <c r="A292" s="2">
        <v>0.44818287037037036</v>
      </c>
      <c r="B292" s="3">
        <v>44841</v>
      </c>
      <c r="C292" s="1">
        <v>1378784400</v>
      </c>
      <c r="D292" s="1">
        <v>7780773895</v>
      </c>
      <c r="E292" s="1">
        <v>5208.21</v>
      </c>
      <c r="F292" s="1" t="s">
        <v>12</v>
      </c>
      <c r="G292" s="1" t="s">
        <v>12</v>
      </c>
      <c r="H292" s="1" t="s">
        <v>13</v>
      </c>
      <c r="I292" s="1" t="s">
        <v>13</v>
      </c>
      <c r="J292" s="1" t="s">
        <v>22</v>
      </c>
      <c r="K292" s="1">
        <v>0</v>
      </c>
      <c r="L292" s="1" t="s">
        <v>19</v>
      </c>
      <c r="M292" s="1" t="str">
        <f t="shared" si="4"/>
        <v>Consistent</v>
      </c>
      <c r="N292" s="1" t="str">
        <f>_xlfn.XLOOKUP(H292, risk_score!A:A, risk_score!B:B, 0)</f>
        <v>Low Risk</v>
      </c>
    </row>
    <row r="293" spans="1:14">
      <c r="A293" s="2">
        <v>0.44819444444444445</v>
      </c>
      <c r="B293" s="3">
        <v>44841</v>
      </c>
      <c r="C293" s="1">
        <v>2635590075</v>
      </c>
      <c r="D293" s="1">
        <v>409707192</v>
      </c>
      <c r="E293" s="1">
        <v>11935.87</v>
      </c>
      <c r="F293" s="1" t="s">
        <v>12</v>
      </c>
      <c r="G293" s="1" t="s">
        <v>12</v>
      </c>
      <c r="H293" s="1" t="s">
        <v>13</v>
      </c>
      <c r="I293" s="1" t="s">
        <v>13</v>
      </c>
      <c r="J293" s="1" t="s">
        <v>20</v>
      </c>
      <c r="K293" s="1">
        <v>0</v>
      </c>
      <c r="L293" s="1" t="s">
        <v>23</v>
      </c>
      <c r="M293" s="1" t="str">
        <f t="shared" si="4"/>
        <v>Consistent</v>
      </c>
      <c r="N293" s="1" t="str">
        <f>_xlfn.XLOOKUP(H293, risk_score!A:A, risk_score!B:B, 0)</f>
        <v>Low Risk</v>
      </c>
    </row>
    <row r="294" spans="1:14">
      <c r="A294" s="2">
        <v>0.44822916666666668</v>
      </c>
      <c r="B294" s="3">
        <v>44841</v>
      </c>
      <c r="C294" s="1">
        <v>9534729015</v>
      </c>
      <c r="D294" s="1">
        <v>4787209426</v>
      </c>
      <c r="E294" s="1">
        <v>12097.07</v>
      </c>
      <c r="F294" s="1" t="s">
        <v>12</v>
      </c>
      <c r="G294" s="1" t="s">
        <v>12</v>
      </c>
      <c r="H294" s="1" t="s">
        <v>13</v>
      </c>
      <c r="I294" s="1" t="s">
        <v>13</v>
      </c>
      <c r="J294" s="1" t="s">
        <v>25</v>
      </c>
      <c r="K294" s="1">
        <v>0</v>
      </c>
      <c r="L294" s="1" t="s">
        <v>19</v>
      </c>
      <c r="M294" s="1" t="str">
        <f t="shared" si="4"/>
        <v>Consistent</v>
      </c>
      <c r="N294" s="1" t="str">
        <f>_xlfn.XLOOKUP(H294, risk_score!A:A, risk_score!B:B, 0)</f>
        <v>Low Risk</v>
      </c>
    </row>
    <row r="295" spans="1:14">
      <c r="A295" s="2">
        <v>0.44822916666666668</v>
      </c>
      <c r="B295" s="3">
        <v>44841</v>
      </c>
      <c r="C295" s="1">
        <v>2318701432</v>
      </c>
      <c r="D295" s="1">
        <v>6818474150</v>
      </c>
      <c r="E295" s="1">
        <v>881.71</v>
      </c>
      <c r="F295" s="1" t="s">
        <v>12</v>
      </c>
      <c r="G295" s="1" t="s">
        <v>12</v>
      </c>
      <c r="H295" s="1" t="s">
        <v>13</v>
      </c>
      <c r="I295" s="1" t="s">
        <v>13</v>
      </c>
      <c r="J295" s="1" t="s">
        <v>27</v>
      </c>
      <c r="K295" s="1">
        <v>0</v>
      </c>
      <c r="L295" s="1" t="s">
        <v>21</v>
      </c>
      <c r="M295" s="1" t="str">
        <f t="shared" si="4"/>
        <v>Consistent</v>
      </c>
      <c r="N295" s="1" t="str">
        <f>_xlfn.XLOOKUP(H295, risk_score!A:A, risk_score!B:B, 0)</f>
        <v>Low Risk</v>
      </c>
    </row>
    <row r="296" spans="1:14">
      <c r="A296" s="2">
        <v>0.44825231481481481</v>
      </c>
      <c r="B296" s="3">
        <v>44841</v>
      </c>
      <c r="C296" s="1">
        <v>1378784400</v>
      </c>
      <c r="D296" s="1">
        <v>9278521151</v>
      </c>
      <c r="E296" s="1">
        <v>6935.79</v>
      </c>
      <c r="F296" s="1" t="s">
        <v>12</v>
      </c>
      <c r="G296" s="1" t="s">
        <v>29</v>
      </c>
      <c r="H296" s="1" t="s">
        <v>13</v>
      </c>
      <c r="I296" s="1" t="s">
        <v>13</v>
      </c>
      <c r="J296" s="1" t="s">
        <v>25</v>
      </c>
      <c r="K296" s="1">
        <v>0</v>
      </c>
      <c r="L296" s="1" t="s">
        <v>19</v>
      </c>
      <c r="M296" s="1" t="str">
        <f t="shared" si="4"/>
        <v>Potential Layering</v>
      </c>
      <c r="N296" s="1" t="str">
        <f>_xlfn.XLOOKUP(H296, risk_score!A:A, risk_score!B:B, 0)</f>
        <v>Low Risk</v>
      </c>
    </row>
    <row r="297" spans="1:14">
      <c r="A297" s="2">
        <v>0.44826388888888891</v>
      </c>
      <c r="B297" s="3">
        <v>44841</v>
      </c>
      <c r="C297" s="1">
        <v>5869654043</v>
      </c>
      <c r="D297" s="1">
        <v>6558968510</v>
      </c>
      <c r="E297" s="1">
        <v>17198.77</v>
      </c>
      <c r="F297" s="1" t="s">
        <v>12</v>
      </c>
      <c r="G297" s="1" t="s">
        <v>12</v>
      </c>
      <c r="H297" s="1" t="s">
        <v>13</v>
      </c>
      <c r="I297" s="1" t="s">
        <v>13</v>
      </c>
      <c r="J297" s="1" t="s">
        <v>20</v>
      </c>
      <c r="K297" s="1">
        <v>0</v>
      </c>
      <c r="L297" s="1" t="s">
        <v>21</v>
      </c>
      <c r="M297" s="1" t="str">
        <f t="shared" si="4"/>
        <v>Consistent</v>
      </c>
      <c r="N297" s="1" t="str">
        <f>_xlfn.XLOOKUP(H297, risk_score!A:A, risk_score!B:B, 0)</f>
        <v>Low Risk</v>
      </c>
    </row>
    <row r="298" spans="1:14">
      <c r="A298" s="2">
        <v>0.44831018518518517</v>
      </c>
      <c r="B298" s="3">
        <v>44841</v>
      </c>
      <c r="C298" s="1">
        <v>8793643150</v>
      </c>
      <c r="D298" s="1">
        <v>2570862071</v>
      </c>
      <c r="E298" s="1">
        <v>8552.4</v>
      </c>
      <c r="F298" s="1" t="s">
        <v>12</v>
      </c>
      <c r="G298" s="1" t="s">
        <v>12</v>
      </c>
      <c r="H298" s="1" t="s">
        <v>13</v>
      </c>
      <c r="I298" s="1" t="s">
        <v>13</v>
      </c>
      <c r="J298" s="1" t="s">
        <v>27</v>
      </c>
      <c r="K298" s="1">
        <v>0</v>
      </c>
      <c r="L298" s="1" t="s">
        <v>38</v>
      </c>
      <c r="M298" s="1" t="str">
        <f t="shared" si="4"/>
        <v>Consistent</v>
      </c>
      <c r="N298" s="1" t="str">
        <f>_xlfn.XLOOKUP(H298, risk_score!A:A, risk_score!B:B, 0)</f>
        <v>Low Risk</v>
      </c>
    </row>
    <row r="299" spans="1:14">
      <c r="A299" s="2">
        <v>0.44839120370370372</v>
      </c>
      <c r="B299" s="3">
        <v>44841</v>
      </c>
      <c r="C299" s="1">
        <v>4345338937</v>
      </c>
      <c r="D299" s="1">
        <v>1389390664</v>
      </c>
      <c r="E299" s="1">
        <v>1484.62</v>
      </c>
      <c r="F299" s="1" t="s">
        <v>12</v>
      </c>
      <c r="G299" s="1" t="s">
        <v>12</v>
      </c>
      <c r="H299" s="1" t="s">
        <v>13</v>
      </c>
      <c r="I299" s="1" t="s">
        <v>13</v>
      </c>
      <c r="J299" s="1" t="s">
        <v>27</v>
      </c>
      <c r="K299" s="1">
        <v>0</v>
      </c>
      <c r="L299" s="1" t="s">
        <v>21</v>
      </c>
      <c r="M299" s="1" t="str">
        <f t="shared" si="4"/>
        <v>Consistent</v>
      </c>
      <c r="N299" s="1" t="str">
        <f>_xlfn.XLOOKUP(H299, risk_score!A:A, risk_score!B:B, 0)</f>
        <v>Low Risk</v>
      </c>
    </row>
    <row r="300" spans="1:14">
      <c r="A300" s="2">
        <v>0.44843749999999999</v>
      </c>
      <c r="B300" s="3">
        <v>44841</v>
      </c>
      <c r="C300" s="1">
        <v>9636503689</v>
      </c>
      <c r="D300" s="1">
        <v>1386678822</v>
      </c>
      <c r="E300" s="1">
        <v>610.24</v>
      </c>
      <c r="F300" s="1" t="s">
        <v>12</v>
      </c>
      <c r="G300" s="1" t="s">
        <v>12</v>
      </c>
      <c r="H300" s="1" t="s">
        <v>13</v>
      </c>
      <c r="I300" s="1" t="s">
        <v>13</v>
      </c>
      <c r="J300" s="1" t="s">
        <v>27</v>
      </c>
      <c r="K300" s="1">
        <v>0</v>
      </c>
      <c r="L300" s="1" t="s">
        <v>21</v>
      </c>
      <c r="M300" s="1" t="str">
        <f t="shared" si="4"/>
        <v>Consistent</v>
      </c>
      <c r="N300" s="1" t="str">
        <f>_xlfn.XLOOKUP(H300, risk_score!A:A, risk_score!B:B, 0)</f>
        <v>Low Risk</v>
      </c>
    </row>
    <row r="301" spans="1:14">
      <c r="A301" s="2">
        <v>0.44844907407407408</v>
      </c>
      <c r="B301" s="3">
        <v>44841</v>
      </c>
      <c r="C301" s="1">
        <v>2797271466</v>
      </c>
      <c r="D301" s="1">
        <v>4525312913</v>
      </c>
      <c r="E301" s="1">
        <v>12678</v>
      </c>
      <c r="F301" s="1" t="s">
        <v>12</v>
      </c>
      <c r="G301" s="1" t="s">
        <v>12</v>
      </c>
      <c r="H301" s="1" t="s">
        <v>13</v>
      </c>
      <c r="I301" s="1" t="s">
        <v>13</v>
      </c>
      <c r="J301" s="1" t="s">
        <v>20</v>
      </c>
      <c r="K301" s="1">
        <v>0</v>
      </c>
      <c r="L301" s="1" t="s">
        <v>19</v>
      </c>
      <c r="M301" s="1" t="str">
        <f t="shared" si="4"/>
        <v>Consistent</v>
      </c>
      <c r="N301" s="1" t="str">
        <f>_xlfn.XLOOKUP(H301, risk_score!A:A, risk_score!B:B, 0)</f>
        <v>Low Risk</v>
      </c>
    </row>
    <row r="302" spans="1:14">
      <c r="A302" s="2">
        <v>0.44844907407407408</v>
      </c>
      <c r="B302" s="3">
        <v>44841</v>
      </c>
      <c r="C302" s="1">
        <v>6020722321</v>
      </c>
      <c r="D302" s="1">
        <v>4195838974</v>
      </c>
      <c r="E302" s="1">
        <v>1073.3</v>
      </c>
      <c r="F302" s="1" t="s">
        <v>12</v>
      </c>
      <c r="G302" s="1" t="s">
        <v>12</v>
      </c>
      <c r="H302" s="1" t="s">
        <v>13</v>
      </c>
      <c r="I302" s="1" t="s">
        <v>13</v>
      </c>
      <c r="J302" s="1" t="s">
        <v>22</v>
      </c>
      <c r="K302" s="1">
        <v>0</v>
      </c>
      <c r="L302" s="1" t="s">
        <v>21</v>
      </c>
      <c r="M302" s="1" t="str">
        <f t="shared" si="4"/>
        <v>Consistent</v>
      </c>
      <c r="N302" s="1" t="str">
        <f>_xlfn.XLOOKUP(H302, risk_score!A:A, risk_score!B:B, 0)</f>
        <v>Low Risk</v>
      </c>
    </row>
    <row r="303" spans="1:14">
      <c r="A303" s="2">
        <v>0.44848379629629631</v>
      </c>
      <c r="B303" s="3">
        <v>44841</v>
      </c>
      <c r="C303" s="1">
        <v>4344759414</v>
      </c>
      <c r="D303" s="1">
        <v>2138505015</v>
      </c>
      <c r="E303" s="1">
        <v>10105.530000000001</v>
      </c>
      <c r="F303" s="1" t="s">
        <v>12</v>
      </c>
      <c r="G303" s="1" t="s">
        <v>16</v>
      </c>
      <c r="H303" s="1" t="s">
        <v>13</v>
      </c>
      <c r="I303" s="1" t="s">
        <v>17</v>
      </c>
      <c r="J303" s="1" t="s">
        <v>18</v>
      </c>
      <c r="K303" s="1">
        <v>0</v>
      </c>
      <c r="L303" s="1" t="s">
        <v>23</v>
      </c>
      <c r="M303" s="1" t="str">
        <f t="shared" si="4"/>
        <v>Potential Layering</v>
      </c>
      <c r="N303" s="1" t="str">
        <f>_xlfn.XLOOKUP(H303, risk_score!A:A, risk_score!B:B, 0)</f>
        <v>Low Risk</v>
      </c>
    </row>
    <row r="304" spans="1:14">
      <c r="A304" s="2">
        <v>0.44851851851851854</v>
      </c>
      <c r="B304" s="3">
        <v>44841</v>
      </c>
      <c r="C304" s="1">
        <v>9895324562</v>
      </c>
      <c r="D304" s="1">
        <v>1818872805</v>
      </c>
      <c r="E304" s="1">
        <v>6663.66</v>
      </c>
      <c r="F304" s="1" t="s">
        <v>12</v>
      </c>
      <c r="G304" s="1" t="s">
        <v>12</v>
      </c>
      <c r="H304" s="1" t="s">
        <v>13</v>
      </c>
      <c r="I304" s="1" t="s">
        <v>13</v>
      </c>
      <c r="J304" s="1" t="s">
        <v>22</v>
      </c>
      <c r="K304" s="1">
        <v>0</v>
      </c>
      <c r="L304" s="1" t="s">
        <v>21</v>
      </c>
      <c r="M304" s="1" t="str">
        <f t="shared" si="4"/>
        <v>Consistent</v>
      </c>
      <c r="N304" s="1" t="str">
        <f>_xlfn.XLOOKUP(H304, risk_score!A:A, risk_score!B:B, 0)</f>
        <v>Low Risk</v>
      </c>
    </row>
    <row r="305" spans="1:14">
      <c r="A305" s="2">
        <v>0.44856481481481481</v>
      </c>
      <c r="B305" s="3">
        <v>44841</v>
      </c>
      <c r="C305" s="1">
        <v>4109732596</v>
      </c>
      <c r="D305" s="1">
        <v>5708936901</v>
      </c>
      <c r="E305" s="1">
        <v>17738.509999999998</v>
      </c>
      <c r="F305" s="1" t="s">
        <v>12</v>
      </c>
      <c r="G305" s="1" t="s">
        <v>12</v>
      </c>
      <c r="H305" s="1" t="s">
        <v>13</v>
      </c>
      <c r="I305" s="1" t="s">
        <v>13</v>
      </c>
      <c r="J305" s="1" t="s">
        <v>22</v>
      </c>
      <c r="K305" s="1">
        <v>0</v>
      </c>
      <c r="L305" s="1" t="s">
        <v>23</v>
      </c>
      <c r="M305" s="1" t="str">
        <f t="shared" si="4"/>
        <v>Consistent</v>
      </c>
      <c r="N305" s="1" t="str">
        <f>_xlfn.XLOOKUP(H305, risk_score!A:A, risk_score!B:B, 0)</f>
        <v>Low Risk</v>
      </c>
    </row>
    <row r="306" spans="1:14">
      <c r="A306" s="2">
        <v>0.44858796296296294</v>
      </c>
      <c r="B306" s="3">
        <v>44841</v>
      </c>
      <c r="C306" s="1">
        <v>6116657264</v>
      </c>
      <c r="D306" s="1">
        <v>656192169</v>
      </c>
      <c r="E306" s="1">
        <v>4742.1499999999996</v>
      </c>
      <c r="F306" s="1" t="s">
        <v>12</v>
      </c>
      <c r="G306" s="1" t="s">
        <v>12</v>
      </c>
      <c r="H306" s="1" t="s">
        <v>13</v>
      </c>
      <c r="I306" s="1" t="s">
        <v>13</v>
      </c>
      <c r="J306" s="1" t="s">
        <v>22</v>
      </c>
      <c r="K306" s="1">
        <v>0</v>
      </c>
      <c r="L306" s="1" t="s">
        <v>19</v>
      </c>
      <c r="M306" s="1" t="str">
        <f t="shared" si="4"/>
        <v>Consistent</v>
      </c>
      <c r="N306" s="1" t="str">
        <f>_xlfn.XLOOKUP(H306, risk_score!A:A, risk_score!B:B, 0)</f>
        <v>Low Risk</v>
      </c>
    </row>
    <row r="307" spans="1:14">
      <c r="A307" s="2">
        <v>0.44872685185185185</v>
      </c>
      <c r="B307" s="3">
        <v>44841</v>
      </c>
      <c r="C307" s="1">
        <v>4307611300</v>
      </c>
      <c r="D307" s="1">
        <v>606064149</v>
      </c>
      <c r="E307" s="1">
        <v>556.79999999999995</v>
      </c>
      <c r="F307" s="1" t="s">
        <v>12</v>
      </c>
      <c r="G307" s="1" t="s">
        <v>12</v>
      </c>
      <c r="H307" s="1" t="s">
        <v>13</v>
      </c>
      <c r="I307" s="1" t="s">
        <v>13</v>
      </c>
      <c r="J307" s="1" t="s">
        <v>20</v>
      </c>
      <c r="K307" s="1">
        <v>0</v>
      </c>
      <c r="L307" s="1" t="s">
        <v>24</v>
      </c>
      <c r="M307" s="1" t="str">
        <f t="shared" si="4"/>
        <v>Consistent</v>
      </c>
      <c r="N307" s="1" t="str">
        <f>_xlfn.XLOOKUP(H307, risk_score!A:A, risk_score!B:B, 0)</f>
        <v>Low Risk</v>
      </c>
    </row>
    <row r="308" spans="1:14">
      <c r="A308" s="2">
        <v>0.44876157407407408</v>
      </c>
      <c r="B308" s="3">
        <v>44841</v>
      </c>
      <c r="C308" s="1">
        <v>8410434333</v>
      </c>
      <c r="D308" s="1">
        <v>8518184956</v>
      </c>
      <c r="E308" s="1">
        <v>10786.55</v>
      </c>
      <c r="F308" s="1" t="s">
        <v>12</v>
      </c>
      <c r="G308" s="1" t="s">
        <v>12</v>
      </c>
      <c r="H308" s="1" t="s">
        <v>13</v>
      </c>
      <c r="I308" s="1" t="s">
        <v>13</v>
      </c>
      <c r="J308" s="1" t="s">
        <v>27</v>
      </c>
      <c r="K308" s="1">
        <v>0</v>
      </c>
      <c r="L308" s="1" t="s">
        <v>23</v>
      </c>
      <c r="M308" s="1" t="str">
        <f t="shared" si="4"/>
        <v>Consistent</v>
      </c>
      <c r="N308" s="1" t="str">
        <f>_xlfn.XLOOKUP(H308, risk_score!A:A, risk_score!B:B, 0)</f>
        <v>Low Risk</v>
      </c>
    </row>
    <row r="309" spans="1:14">
      <c r="A309" s="2">
        <v>0.44880787037037034</v>
      </c>
      <c r="B309" s="3">
        <v>44841</v>
      </c>
      <c r="C309" s="1">
        <v>9125822762</v>
      </c>
      <c r="D309" s="1">
        <v>4976475749</v>
      </c>
      <c r="E309" s="1">
        <v>3127.69</v>
      </c>
      <c r="F309" s="1" t="s">
        <v>12</v>
      </c>
      <c r="G309" s="1" t="s">
        <v>12</v>
      </c>
      <c r="H309" s="1" t="s">
        <v>13</v>
      </c>
      <c r="I309" s="1" t="s">
        <v>13</v>
      </c>
      <c r="J309" s="1" t="s">
        <v>25</v>
      </c>
      <c r="K309" s="1">
        <v>0</v>
      </c>
      <c r="L309" s="1" t="s">
        <v>21</v>
      </c>
      <c r="M309" s="1" t="str">
        <f t="shared" si="4"/>
        <v>Consistent</v>
      </c>
      <c r="N309" s="1" t="str">
        <f>_xlfn.XLOOKUP(H309, risk_score!A:A, risk_score!B:B, 0)</f>
        <v>Low Risk</v>
      </c>
    </row>
    <row r="310" spans="1:14">
      <c r="A310" s="2">
        <v>0.44880787037037034</v>
      </c>
      <c r="B310" s="3">
        <v>44841</v>
      </c>
      <c r="C310" s="1">
        <v>7659097346</v>
      </c>
      <c r="D310" s="1">
        <v>5469723863</v>
      </c>
      <c r="E310" s="1">
        <v>10350.629999999999</v>
      </c>
      <c r="F310" s="1" t="s">
        <v>12</v>
      </c>
      <c r="G310" s="1" t="s">
        <v>12</v>
      </c>
      <c r="H310" s="1" t="s">
        <v>13</v>
      </c>
      <c r="I310" s="1" t="s">
        <v>13</v>
      </c>
      <c r="J310" s="1" t="s">
        <v>20</v>
      </c>
      <c r="K310" s="1">
        <v>0</v>
      </c>
      <c r="L310" s="1" t="s">
        <v>24</v>
      </c>
      <c r="M310" s="1" t="str">
        <f t="shared" si="4"/>
        <v>Consistent</v>
      </c>
      <c r="N310" s="1" t="str">
        <f>_xlfn.XLOOKUP(H310, risk_score!A:A, risk_score!B:B, 0)</f>
        <v>Low Risk</v>
      </c>
    </row>
    <row r="311" spans="1:14">
      <c r="A311" s="2">
        <v>0.44883101851851853</v>
      </c>
      <c r="B311" s="3">
        <v>44841</v>
      </c>
      <c r="C311" s="1">
        <v>6411045530</v>
      </c>
      <c r="D311" s="1">
        <v>1476842177</v>
      </c>
      <c r="E311" s="1">
        <v>1504.51</v>
      </c>
      <c r="F311" s="1" t="s">
        <v>12</v>
      </c>
      <c r="G311" s="1" t="s">
        <v>12</v>
      </c>
      <c r="H311" s="1" t="s">
        <v>13</v>
      </c>
      <c r="I311" s="1" t="s">
        <v>13</v>
      </c>
      <c r="J311" s="1" t="s">
        <v>22</v>
      </c>
      <c r="K311" s="1">
        <v>0</v>
      </c>
      <c r="L311" s="1" t="s">
        <v>21</v>
      </c>
      <c r="M311" s="1" t="str">
        <f t="shared" si="4"/>
        <v>Consistent</v>
      </c>
      <c r="N311" s="1" t="str">
        <f>_xlfn.XLOOKUP(H311, risk_score!A:A, risk_score!B:B, 0)</f>
        <v>Low Risk</v>
      </c>
    </row>
    <row r="312" spans="1:14">
      <c r="A312" s="2">
        <v>0.44888888888888889</v>
      </c>
      <c r="B312" s="3">
        <v>44841</v>
      </c>
      <c r="C312" s="1">
        <v>3709430533</v>
      </c>
      <c r="D312" s="1">
        <v>2273742965</v>
      </c>
      <c r="E312" s="1">
        <v>17872.259999999998</v>
      </c>
      <c r="F312" s="1" t="s">
        <v>12</v>
      </c>
      <c r="G312" s="1" t="s">
        <v>12</v>
      </c>
      <c r="H312" s="1" t="s">
        <v>13</v>
      </c>
      <c r="I312" s="1" t="s">
        <v>13</v>
      </c>
      <c r="J312" s="1" t="s">
        <v>20</v>
      </c>
      <c r="K312" s="1">
        <v>0</v>
      </c>
      <c r="L312" s="1" t="s">
        <v>19</v>
      </c>
      <c r="M312" s="1" t="str">
        <f t="shared" si="4"/>
        <v>Consistent</v>
      </c>
      <c r="N312" s="1" t="str">
        <f>_xlfn.XLOOKUP(H312, risk_score!A:A, risk_score!B:B, 0)</f>
        <v>Low Risk</v>
      </c>
    </row>
    <row r="313" spans="1:14">
      <c r="A313" s="2">
        <v>0.44891203703703703</v>
      </c>
      <c r="B313" s="3">
        <v>44841</v>
      </c>
      <c r="C313" s="1">
        <v>2325150545</v>
      </c>
      <c r="D313" s="1">
        <v>1789035002</v>
      </c>
      <c r="E313" s="1">
        <v>1013.41</v>
      </c>
      <c r="F313" s="1" t="s">
        <v>12</v>
      </c>
      <c r="G313" s="1" t="s">
        <v>12</v>
      </c>
      <c r="H313" s="1" t="s">
        <v>13</v>
      </c>
      <c r="I313" s="1" t="s">
        <v>13</v>
      </c>
      <c r="J313" s="1" t="s">
        <v>20</v>
      </c>
      <c r="K313" s="1">
        <v>0</v>
      </c>
      <c r="L313" s="1" t="s">
        <v>21</v>
      </c>
      <c r="M313" s="1" t="str">
        <f t="shared" si="4"/>
        <v>Consistent</v>
      </c>
      <c r="N313" s="1" t="str">
        <f>_xlfn.XLOOKUP(H313, risk_score!A:A, risk_score!B:B, 0)</f>
        <v>Low Risk</v>
      </c>
    </row>
    <row r="314" spans="1:14">
      <c r="A314" s="2">
        <v>0.44893518518518516</v>
      </c>
      <c r="B314" s="3">
        <v>44841</v>
      </c>
      <c r="C314" s="1">
        <v>96933227</v>
      </c>
      <c r="D314" s="1">
        <v>8172080174</v>
      </c>
      <c r="E314" s="1">
        <v>4869.0600000000004</v>
      </c>
      <c r="F314" s="1" t="s">
        <v>12</v>
      </c>
      <c r="G314" s="1" t="s">
        <v>12</v>
      </c>
      <c r="H314" s="1" t="s">
        <v>13</v>
      </c>
      <c r="I314" s="1" t="s">
        <v>13</v>
      </c>
      <c r="J314" s="1" t="s">
        <v>20</v>
      </c>
      <c r="K314" s="1">
        <v>0</v>
      </c>
      <c r="L314" s="1" t="s">
        <v>23</v>
      </c>
      <c r="M314" s="1" t="str">
        <f t="shared" si="4"/>
        <v>Consistent</v>
      </c>
      <c r="N314" s="1" t="str">
        <f>_xlfn.XLOOKUP(H314, risk_score!A:A, risk_score!B:B, 0)</f>
        <v>Low Risk</v>
      </c>
    </row>
    <row r="315" spans="1:14">
      <c r="A315" s="2">
        <v>0.44896990740740739</v>
      </c>
      <c r="B315" s="3">
        <v>44841</v>
      </c>
      <c r="C315" s="1">
        <v>7147226223</v>
      </c>
      <c r="D315" s="1">
        <v>5858369125</v>
      </c>
      <c r="E315" s="1">
        <v>6548.26</v>
      </c>
      <c r="F315" s="1" t="s">
        <v>12</v>
      </c>
      <c r="G315" s="1" t="s">
        <v>12</v>
      </c>
      <c r="H315" s="1" t="s">
        <v>13</v>
      </c>
      <c r="I315" s="1" t="s">
        <v>13</v>
      </c>
      <c r="J315" s="1" t="s">
        <v>22</v>
      </c>
      <c r="K315" s="1">
        <v>0</v>
      </c>
      <c r="L315" s="1" t="s">
        <v>23</v>
      </c>
      <c r="M315" s="1" t="str">
        <f t="shared" si="4"/>
        <v>Consistent</v>
      </c>
      <c r="N315" s="1" t="str">
        <f>_xlfn.XLOOKUP(H315, risk_score!A:A, risk_score!B:B, 0)</f>
        <v>Low Risk</v>
      </c>
    </row>
    <row r="316" spans="1:14">
      <c r="A316" s="2">
        <v>0.44899305555555558</v>
      </c>
      <c r="B316" s="3">
        <v>44841</v>
      </c>
      <c r="C316" s="1">
        <v>8456279067</v>
      </c>
      <c r="D316" s="1">
        <v>330109509</v>
      </c>
      <c r="E316" s="1">
        <v>11174.79</v>
      </c>
      <c r="F316" s="1" t="s">
        <v>12</v>
      </c>
      <c r="G316" s="1" t="s">
        <v>12</v>
      </c>
      <c r="H316" s="1" t="s">
        <v>13</v>
      </c>
      <c r="I316" s="1" t="s">
        <v>13</v>
      </c>
      <c r="J316" s="1" t="s">
        <v>25</v>
      </c>
      <c r="K316" s="1">
        <v>0</v>
      </c>
      <c r="L316" s="1" t="s">
        <v>19</v>
      </c>
      <c r="M316" s="1" t="str">
        <f t="shared" si="4"/>
        <v>Consistent</v>
      </c>
      <c r="N316" s="1" t="str">
        <f>_xlfn.XLOOKUP(H316, risk_score!A:A, risk_score!B:B, 0)</f>
        <v>Low Risk</v>
      </c>
    </row>
    <row r="317" spans="1:14">
      <c r="A317" s="2">
        <v>0.44899305555555558</v>
      </c>
      <c r="B317" s="3">
        <v>44841</v>
      </c>
      <c r="C317" s="1">
        <v>8854146908</v>
      </c>
      <c r="D317" s="1">
        <v>9600420220</v>
      </c>
      <c r="E317" s="1">
        <v>5059.03</v>
      </c>
      <c r="F317" s="1" t="s">
        <v>12</v>
      </c>
      <c r="G317" s="1" t="s">
        <v>12</v>
      </c>
      <c r="H317" s="1" t="s">
        <v>13</v>
      </c>
      <c r="I317" s="1" t="s">
        <v>13</v>
      </c>
      <c r="J317" s="1" t="s">
        <v>22</v>
      </c>
      <c r="K317" s="1">
        <v>0</v>
      </c>
      <c r="L317" s="1" t="s">
        <v>23</v>
      </c>
      <c r="M317" s="1" t="str">
        <f t="shared" si="4"/>
        <v>Consistent</v>
      </c>
      <c r="N317" s="1" t="str">
        <f>_xlfn.XLOOKUP(H317, risk_score!A:A, risk_score!B:B, 0)</f>
        <v>Low Risk</v>
      </c>
    </row>
    <row r="318" spans="1:14">
      <c r="A318" s="2">
        <v>0.44900462962962961</v>
      </c>
      <c r="B318" s="3">
        <v>44841</v>
      </c>
      <c r="C318" s="1">
        <v>4773187916</v>
      </c>
      <c r="D318" s="1">
        <v>5906130213</v>
      </c>
      <c r="E318" s="1">
        <v>1645.96</v>
      </c>
      <c r="F318" s="1" t="s">
        <v>12</v>
      </c>
      <c r="G318" s="1" t="s">
        <v>12</v>
      </c>
      <c r="H318" s="1" t="s">
        <v>13</v>
      </c>
      <c r="I318" s="1" t="s">
        <v>13</v>
      </c>
      <c r="J318" s="1" t="s">
        <v>22</v>
      </c>
      <c r="K318" s="1">
        <v>0</v>
      </c>
      <c r="L318" s="1" t="s">
        <v>21</v>
      </c>
      <c r="M318" s="1" t="str">
        <f t="shared" si="4"/>
        <v>Consistent</v>
      </c>
      <c r="N318" s="1" t="str">
        <f>_xlfn.XLOOKUP(H318, risk_score!A:A, risk_score!B:B, 0)</f>
        <v>Low Risk</v>
      </c>
    </row>
    <row r="319" spans="1:14">
      <c r="A319" s="2">
        <v>0.44903935185185184</v>
      </c>
      <c r="B319" s="3">
        <v>44841</v>
      </c>
      <c r="C319" s="1">
        <v>7401327478</v>
      </c>
      <c r="D319" s="1">
        <v>4336451277</v>
      </c>
      <c r="E319" s="1">
        <v>2603.3000000000002</v>
      </c>
      <c r="F319" s="1" t="s">
        <v>12</v>
      </c>
      <c r="G319" s="1" t="s">
        <v>12</v>
      </c>
      <c r="H319" s="1" t="s">
        <v>13</v>
      </c>
      <c r="I319" s="1" t="s">
        <v>13</v>
      </c>
      <c r="J319" s="1" t="s">
        <v>14</v>
      </c>
      <c r="K319" s="4">
        <v>1</v>
      </c>
      <c r="L319" s="1" t="s">
        <v>53</v>
      </c>
      <c r="M319" s="1" t="str">
        <f t="shared" si="4"/>
        <v>Consistent</v>
      </c>
      <c r="N319" s="1" t="str">
        <f>_xlfn.XLOOKUP(H319, risk_score!A:A, risk_score!B:B, 0)</f>
        <v>Low Risk</v>
      </c>
    </row>
    <row r="320" spans="1:14">
      <c r="A320" s="2">
        <v>0.44906249999999998</v>
      </c>
      <c r="B320" s="3">
        <v>44841</v>
      </c>
      <c r="C320" s="1">
        <v>6116657264</v>
      </c>
      <c r="D320" s="1">
        <v>1672288255</v>
      </c>
      <c r="E320" s="1">
        <v>7279.91</v>
      </c>
      <c r="F320" s="1" t="s">
        <v>12</v>
      </c>
      <c r="G320" s="1" t="s">
        <v>12</v>
      </c>
      <c r="H320" s="1" t="s">
        <v>13</v>
      </c>
      <c r="I320" s="1" t="s">
        <v>13</v>
      </c>
      <c r="J320" s="1" t="s">
        <v>25</v>
      </c>
      <c r="K320" s="1">
        <v>0</v>
      </c>
      <c r="L320" s="1" t="s">
        <v>19</v>
      </c>
      <c r="M320" s="1" t="str">
        <f t="shared" si="4"/>
        <v>Consistent</v>
      </c>
      <c r="N320" s="1" t="str">
        <f>_xlfn.XLOOKUP(H320, risk_score!A:A, risk_score!B:B, 0)</f>
        <v>Low Risk</v>
      </c>
    </row>
    <row r="321" spans="1:14">
      <c r="A321" s="2">
        <v>0.44907407407407407</v>
      </c>
      <c r="B321" s="3">
        <v>44841</v>
      </c>
      <c r="C321" s="1">
        <v>8389148416</v>
      </c>
      <c r="D321" s="1">
        <v>1363901484</v>
      </c>
      <c r="E321" s="1">
        <v>10272.73</v>
      </c>
      <c r="F321" s="1" t="s">
        <v>12</v>
      </c>
      <c r="G321" s="1" t="s">
        <v>12</v>
      </c>
      <c r="H321" s="1" t="s">
        <v>13</v>
      </c>
      <c r="I321" s="1" t="s">
        <v>13</v>
      </c>
      <c r="J321" s="1" t="s">
        <v>22</v>
      </c>
      <c r="K321" s="1">
        <v>0</v>
      </c>
      <c r="L321" s="1" t="s">
        <v>19</v>
      </c>
      <c r="M321" s="1" t="str">
        <f t="shared" si="4"/>
        <v>Consistent</v>
      </c>
      <c r="N321" s="1" t="str">
        <f>_xlfn.XLOOKUP(H321, risk_score!A:A, risk_score!B:B, 0)</f>
        <v>Low Risk</v>
      </c>
    </row>
    <row r="322" spans="1:14">
      <c r="A322" s="2">
        <v>0.44913194444444443</v>
      </c>
      <c r="B322" s="3">
        <v>44841</v>
      </c>
      <c r="C322" s="1">
        <v>4512711928</v>
      </c>
      <c r="D322" s="1">
        <v>3122616876</v>
      </c>
      <c r="E322" s="1">
        <v>780.19</v>
      </c>
      <c r="F322" s="1" t="s">
        <v>12</v>
      </c>
      <c r="G322" s="1" t="s">
        <v>12</v>
      </c>
      <c r="H322" s="1" t="s">
        <v>13</v>
      </c>
      <c r="I322" s="1" t="s">
        <v>13</v>
      </c>
      <c r="J322" s="1" t="s">
        <v>20</v>
      </c>
      <c r="K322" s="1">
        <v>0</v>
      </c>
      <c r="L322" s="1" t="s">
        <v>21</v>
      </c>
      <c r="M322" s="1" t="str">
        <f t="shared" si="4"/>
        <v>Consistent</v>
      </c>
      <c r="N322" s="1" t="str">
        <f>_xlfn.XLOOKUP(H322, risk_score!A:A, risk_score!B:B, 0)</f>
        <v>Low Risk</v>
      </c>
    </row>
    <row r="323" spans="1:14">
      <c r="A323" s="2">
        <v>0.44916666666666666</v>
      </c>
      <c r="B323" s="3">
        <v>44841</v>
      </c>
      <c r="C323" s="1">
        <v>1378784400</v>
      </c>
      <c r="D323" s="1">
        <v>7780773895</v>
      </c>
      <c r="E323" s="1">
        <v>5183.3500000000004</v>
      </c>
      <c r="F323" s="1" t="s">
        <v>12</v>
      </c>
      <c r="G323" s="1" t="s">
        <v>12</v>
      </c>
      <c r="H323" s="1" t="s">
        <v>13</v>
      </c>
      <c r="I323" s="1" t="s">
        <v>13</v>
      </c>
      <c r="J323" s="1" t="s">
        <v>27</v>
      </c>
      <c r="K323" s="1">
        <v>0</v>
      </c>
      <c r="L323" s="1" t="s">
        <v>19</v>
      </c>
      <c r="M323" s="1" t="str">
        <f t="shared" ref="M323:M386" si="5">IF(F323=G323, "Consistent", "Potential Layering")</f>
        <v>Consistent</v>
      </c>
      <c r="N323" s="1" t="str">
        <f>_xlfn.XLOOKUP(H323, risk_score!A:A, risk_score!B:B, 0)</f>
        <v>Low Risk</v>
      </c>
    </row>
    <row r="324" spans="1:14">
      <c r="A324" s="2">
        <v>0.44921296296296298</v>
      </c>
      <c r="B324" s="3">
        <v>44841</v>
      </c>
      <c r="C324" s="1">
        <v>4045011140</v>
      </c>
      <c r="D324" s="1">
        <v>5628674969</v>
      </c>
      <c r="E324" s="1">
        <v>6849.23</v>
      </c>
      <c r="F324" s="1" t="s">
        <v>12</v>
      </c>
      <c r="G324" s="1" t="s">
        <v>12</v>
      </c>
      <c r="H324" s="1" t="s">
        <v>13</v>
      </c>
      <c r="I324" s="1" t="s">
        <v>13</v>
      </c>
      <c r="J324" s="1" t="s">
        <v>25</v>
      </c>
      <c r="K324" s="1">
        <v>0</v>
      </c>
      <c r="L324" s="1" t="s">
        <v>23</v>
      </c>
      <c r="M324" s="1" t="str">
        <f t="shared" si="5"/>
        <v>Consistent</v>
      </c>
      <c r="N324" s="1" t="str">
        <f>_xlfn.XLOOKUP(H324, risk_score!A:A, risk_score!B:B, 0)</f>
        <v>Low Risk</v>
      </c>
    </row>
    <row r="325" spans="1:14">
      <c r="A325" s="2">
        <v>0.44922453703703702</v>
      </c>
      <c r="B325" s="3">
        <v>44841</v>
      </c>
      <c r="C325" s="1">
        <v>5042064131</v>
      </c>
      <c r="D325" s="1">
        <v>5628674969</v>
      </c>
      <c r="E325" s="1">
        <v>5513.71</v>
      </c>
      <c r="F325" s="1" t="s">
        <v>12</v>
      </c>
      <c r="G325" s="1" t="s">
        <v>12</v>
      </c>
      <c r="H325" s="1" t="s">
        <v>13</v>
      </c>
      <c r="I325" s="1" t="s">
        <v>13</v>
      </c>
      <c r="J325" s="1" t="s">
        <v>27</v>
      </c>
      <c r="K325" s="1">
        <v>0</v>
      </c>
      <c r="L325" s="1" t="s">
        <v>23</v>
      </c>
      <c r="M325" s="1" t="str">
        <f t="shared" si="5"/>
        <v>Consistent</v>
      </c>
      <c r="N325" s="1" t="str">
        <f>_xlfn.XLOOKUP(H325, risk_score!A:A, risk_score!B:B, 0)</f>
        <v>Low Risk</v>
      </c>
    </row>
    <row r="326" spans="1:14">
      <c r="A326" s="2">
        <v>0.44923611111111111</v>
      </c>
      <c r="B326" s="3">
        <v>44841</v>
      </c>
      <c r="C326" s="1">
        <v>9665547827</v>
      </c>
      <c r="D326" s="1">
        <v>2218074303</v>
      </c>
      <c r="E326" s="1">
        <v>410.63</v>
      </c>
      <c r="F326" s="1" t="s">
        <v>12</v>
      </c>
      <c r="G326" s="1" t="s">
        <v>12</v>
      </c>
      <c r="H326" s="1" t="s">
        <v>13</v>
      </c>
      <c r="I326" s="1" t="s">
        <v>13</v>
      </c>
      <c r="J326" s="1" t="s">
        <v>27</v>
      </c>
      <c r="K326" s="1">
        <v>0</v>
      </c>
      <c r="L326" s="1" t="s">
        <v>21</v>
      </c>
      <c r="M326" s="1" t="str">
        <f t="shared" si="5"/>
        <v>Consistent</v>
      </c>
      <c r="N326" s="1" t="str">
        <f>_xlfn.XLOOKUP(H326, risk_score!A:A, risk_score!B:B, 0)</f>
        <v>Low Risk</v>
      </c>
    </row>
    <row r="327" spans="1:14">
      <c r="A327" s="2">
        <v>0.44925925925925925</v>
      </c>
      <c r="B327" s="3">
        <v>44841</v>
      </c>
      <c r="C327" s="1">
        <v>4383404858</v>
      </c>
      <c r="D327" s="1">
        <v>8366649068</v>
      </c>
      <c r="E327" s="1">
        <v>11559.06</v>
      </c>
      <c r="F327" s="1" t="s">
        <v>12</v>
      </c>
      <c r="G327" s="1" t="s">
        <v>12</v>
      </c>
      <c r="H327" s="1" t="s">
        <v>13</v>
      </c>
      <c r="I327" s="1" t="s">
        <v>13</v>
      </c>
      <c r="J327" s="1" t="s">
        <v>20</v>
      </c>
      <c r="K327" s="1">
        <v>0</v>
      </c>
      <c r="L327" s="1" t="s">
        <v>21</v>
      </c>
      <c r="M327" s="1" t="str">
        <f t="shared" si="5"/>
        <v>Consistent</v>
      </c>
      <c r="N327" s="1" t="str">
        <f>_xlfn.XLOOKUP(H327, risk_score!A:A, risk_score!B:B, 0)</f>
        <v>Low Risk</v>
      </c>
    </row>
    <row r="328" spans="1:14">
      <c r="A328" s="2">
        <v>0.44927083333333334</v>
      </c>
      <c r="B328" s="3">
        <v>44841</v>
      </c>
      <c r="C328" s="1">
        <v>5021785800</v>
      </c>
      <c r="D328" s="1">
        <v>4065028145</v>
      </c>
      <c r="E328" s="1">
        <v>4376.53</v>
      </c>
      <c r="F328" s="1" t="s">
        <v>12</v>
      </c>
      <c r="G328" s="1" t="s">
        <v>29</v>
      </c>
      <c r="H328" s="1" t="s">
        <v>13</v>
      </c>
      <c r="I328" s="1" t="s">
        <v>54</v>
      </c>
      <c r="J328" s="1" t="s">
        <v>18</v>
      </c>
      <c r="K328" s="1">
        <v>0</v>
      </c>
      <c r="L328" s="1" t="s">
        <v>19</v>
      </c>
      <c r="M328" s="1" t="str">
        <f t="shared" si="5"/>
        <v>Potential Layering</v>
      </c>
      <c r="N328" s="1" t="str">
        <f>_xlfn.XLOOKUP(H328, risk_score!A:A, risk_score!B:B, 0)</f>
        <v>Low Risk</v>
      </c>
    </row>
    <row r="329" spans="1:14">
      <c r="A329" s="2">
        <v>0.44928240740740738</v>
      </c>
      <c r="B329" s="3">
        <v>44841</v>
      </c>
      <c r="C329" s="1">
        <v>5959325606</v>
      </c>
      <c r="D329" s="1">
        <v>4054367503</v>
      </c>
      <c r="E329" s="1">
        <v>546.33000000000004</v>
      </c>
      <c r="F329" s="1" t="s">
        <v>12</v>
      </c>
      <c r="G329" s="1" t="s">
        <v>12</v>
      </c>
      <c r="H329" s="1" t="s">
        <v>13</v>
      </c>
      <c r="I329" s="1" t="s">
        <v>13</v>
      </c>
      <c r="J329" s="1" t="s">
        <v>22</v>
      </c>
      <c r="K329" s="1">
        <v>0</v>
      </c>
      <c r="L329" s="1" t="s">
        <v>21</v>
      </c>
      <c r="M329" s="1" t="str">
        <f t="shared" si="5"/>
        <v>Consistent</v>
      </c>
      <c r="N329" s="1" t="str">
        <f>_xlfn.XLOOKUP(H329, risk_score!A:A, risk_score!B:B, 0)</f>
        <v>Low Risk</v>
      </c>
    </row>
    <row r="330" spans="1:14">
      <c r="A330" s="2">
        <v>0.44936342592592593</v>
      </c>
      <c r="B330" s="3">
        <v>44841</v>
      </c>
      <c r="C330" s="1">
        <v>4696164729</v>
      </c>
      <c r="D330" s="1">
        <v>7882637641</v>
      </c>
      <c r="E330" s="1">
        <v>1673.7</v>
      </c>
      <c r="F330" s="1" t="s">
        <v>12</v>
      </c>
      <c r="G330" s="1" t="s">
        <v>29</v>
      </c>
      <c r="H330" s="1" t="s">
        <v>13</v>
      </c>
      <c r="I330" s="1" t="s">
        <v>31</v>
      </c>
      <c r="J330" s="1" t="s">
        <v>18</v>
      </c>
      <c r="K330" s="1">
        <v>0</v>
      </c>
      <c r="L330" s="1" t="s">
        <v>21</v>
      </c>
      <c r="M330" s="1" t="str">
        <f t="shared" si="5"/>
        <v>Potential Layering</v>
      </c>
      <c r="N330" s="1" t="str">
        <f>_xlfn.XLOOKUP(H330, risk_score!A:A, risk_score!B:B, 0)</f>
        <v>Low Risk</v>
      </c>
    </row>
    <row r="331" spans="1:14">
      <c r="A331" s="2">
        <v>0.44938657407407406</v>
      </c>
      <c r="B331" s="3">
        <v>44841</v>
      </c>
      <c r="C331" s="1">
        <v>6679205752</v>
      </c>
      <c r="D331" s="1">
        <v>5109623450</v>
      </c>
      <c r="E331" s="1">
        <v>12072.85</v>
      </c>
      <c r="F331" s="1" t="s">
        <v>12</v>
      </c>
      <c r="G331" s="1" t="s">
        <v>12</v>
      </c>
      <c r="H331" s="1" t="s">
        <v>13</v>
      </c>
      <c r="I331" s="1" t="s">
        <v>13</v>
      </c>
      <c r="J331" s="1" t="s">
        <v>22</v>
      </c>
      <c r="K331" s="1">
        <v>0</v>
      </c>
      <c r="L331" s="1" t="s">
        <v>23</v>
      </c>
      <c r="M331" s="1" t="str">
        <f t="shared" si="5"/>
        <v>Consistent</v>
      </c>
      <c r="N331" s="1" t="str">
        <f>_xlfn.XLOOKUP(H331, risk_score!A:A, risk_score!B:B, 0)</f>
        <v>Low Risk</v>
      </c>
    </row>
    <row r="332" spans="1:14">
      <c r="A332" s="2">
        <v>0.44939814814814816</v>
      </c>
      <c r="B332" s="3">
        <v>44841</v>
      </c>
      <c r="C332" s="1">
        <v>8965293680</v>
      </c>
      <c r="D332" s="1">
        <v>835593757</v>
      </c>
      <c r="E332" s="1">
        <v>2092.7399999999998</v>
      </c>
      <c r="F332" s="1" t="s">
        <v>12</v>
      </c>
      <c r="G332" s="1" t="s">
        <v>12</v>
      </c>
      <c r="H332" s="1" t="s">
        <v>13</v>
      </c>
      <c r="I332" s="1" t="s">
        <v>13</v>
      </c>
      <c r="J332" s="1" t="s">
        <v>27</v>
      </c>
      <c r="K332" s="1">
        <v>0</v>
      </c>
      <c r="L332" s="1" t="s">
        <v>21</v>
      </c>
      <c r="M332" s="1" t="str">
        <f t="shared" si="5"/>
        <v>Consistent</v>
      </c>
      <c r="N332" s="1" t="str">
        <f>_xlfn.XLOOKUP(H332, risk_score!A:A, risk_score!B:B, 0)</f>
        <v>Low Risk</v>
      </c>
    </row>
    <row r="333" spans="1:14">
      <c r="A333" s="2">
        <v>0.44939814814814816</v>
      </c>
      <c r="B333" s="3">
        <v>44841</v>
      </c>
      <c r="C333" s="1">
        <v>7155736136</v>
      </c>
      <c r="D333" s="1">
        <v>1316458123</v>
      </c>
      <c r="E333" s="1">
        <v>5731.77</v>
      </c>
      <c r="F333" s="1" t="s">
        <v>12</v>
      </c>
      <c r="G333" s="1" t="s">
        <v>34</v>
      </c>
      <c r="H333" s="1" t="s">
        <v>13</v>
      </c>
      <c r="I333" s="1" t="s">
        <v>35</v>
      </c>
      <c r="J333" s="1" t="s">
        <v>18</v>
      </c>
      <c r="K333" s="1">
        <v>0</v>
      </c>
      <c r="L333" s="1" t="s">
        <v>23</v>
      </c>
      <c r="M333" s="1" t="str">
        <f t="shared" si="5"/>
        <v>Potential Layering</v>
      </c>
      <c r="N333" s="1" t="str">
        <f>_xlfn.XLOOKUP(H333, risk_score!A:A, risk_score!B:B, 0)</f>
        <v>Low Risk</v>
      </c>
    </row>
    <row r="334" spans="1:14">
      <c r="A334" s="2">
        <v>0.44942129629629629</v>
      </c>
      <c r="B334" s="3">
        <v>44841</v>
      </c>
      <c r="C334" s="1">
        <v>1738940565</v>
      </c>
      <c r="D334" s="1">
        <v>409707192</v>
      </c>
      <c r="E334" s="1">
        <v>21084</v>
      </c>
      <c r="F334" s="1" t="s">
        <v>12</v>
      </c>
      <c r="G334" s="1" t="s">
        <v>12</v>
      </c>
      <c r="H334" s="1" t="s">
        <v>13</v>
      </c>
      <c r="I334" s="1" t="s">
        <v>13</v>
      </c>
      <c r="J334" s="1" t="s">
        <v>22</v>
      </c>
      <c r="K334" s="1">
        <v>0</v>
      </c>
      <c r="L334" s="1" t="s">
        <v>23</v>
      </c>
      <c r="M334" s="1" t="str">
        <f t="shared" si="5"/>
        <v>Consistent</v>
      </c>
      <c r="N334" s="1" t="str">
        <f>_xlfn.XLOOKUP(H334, risk_score!A:A, risk_score!B:B, 0)</f>
        <v>Low Risk</v>
      </c>
    </row>
    <row r="335" spans="1:14">
      <c r="A335" s="2">
        <v>0.44945601851851852</v>
      </c>
      <c r="B335" s="3">
        <v>44841</v>
      </c>
      <c r="C335" s="1">
        <v>569955345</v>
      </c>
      <c r="D335" s="1">
        <v>3695545812</v>
      </c>
      <c r="E335" s="1">
        <v>6063.77</v>
      </c>
      <c r="F335" s="1" t="s">
        <v>12</v>
      </c>
      <c r="G335" s="1" t="s">
        <v>12</v>
      </c>
      <c r="H335" s="1" t="s">
        <v>13</v>
      </c>
      <c r="I335" s="1" t="s">
        <v>13</v>
      </c>
      <c r="J335" s="1" t="s">
        <v>20</v>
      </c>
      <c r="K335" s="1">
        <v>0</v>
      </c>
      <c r="L335" s="1" t="s">
        <v>23</v>
      </c>
      <c r="M335" s="1" t="str">
        <f t="shared" si="5"/>
        <v>Consistent</v>
      </c>
      <c r="N335" s="1" t="str">
        <f>_xlfn.XLOOKUP(H335, risk_score!A:A, risk_score!B:B, 0)</f>
        <v>Low Risk</v>
      </c>
    </row>
    <row r="336" spans="1:14">
      <c r="A336" s="2">
        <v>0.44946759259259261</v>
      </c>
      <c r="B336" s="3">
        <v>44841</v>
      </c>
      <c r="C336" s="1">
        <v>3510078932</v>
      </c>
      <c r="D336" s="1">
        <v>823626823</v>
      </c>
      <c r="E336" s="1">
        <v>5906.31</v>
      </c>
      <c r="F336" s="1" t="s">
        <v>12</v>
      </c>
      <c r="G336" s="1" t="s">
        <v>29</v>
      </c>
      <c r="H336" s="1" t="s">
        <v>13</v>
      </c>
      <c r="I336" s="1" t="s">
        <v>55</v>
      </c>
      <c r="J336" s="1" t="s">
        <v>18</v>
      </c>
      <c r="K336" s="1">
        <v>0</v>
      </c>
      <c r="L336" s="1" t="s">
        <v>19</v>
      </c>
      <c r="M336" s="1" t="str">
        <f t="shared" si="5"/>
        <v>Potential Layering</v>
      </c>
      <c r="N336" s="1" t="str">
        <f>_xlfn.XLOOKUP(H336, risk_score!A:A, risk_score!B:B, 0)</f>
        <v>Low Risk</v>
      </c>
    </row>
    <row r="337" spans="1:14">
      <c r="A337" s="2">
        <v>0.44950231481481484</v>
      </c>
      <c r="B337" s="3">
        <v>44841</v>
      </c>
      <c r="C337" s="1">
        <v>8503465200</v>
      </c>
      <c r="D337" s="1">
        <v>6003839788</v>
      </c>
      <c r="E337" s="1">
        <v>789.64</v>
      </c>
      <c r="F337" s="1" t="s">
        <v>12</v>
      </c>
      <c r="G337" s="1" t="s">
        <v>12</v>
      </c>
      <c r="H337" s="1" t="s">
        <v>13</v>
      </c>
      <c r="I337" s="1" t="s">
        <v>13</v>
      </c>
      <c r="J337" s="1" t="s">
        <v>25</v>
      </c>
      <c r="K337" s="1">
        <v>0</v>
      </c>
      <c r="L337" s="1" t="s">
        <v>21</v>
      </c>
      <c r="M337" s="1" t="str">
        <f t="shared" si="5"/>
        <v>Consistent</v>
      </c>
      <c r="N337" s="1" t="str">
        <f>_xlfn.XLOOKUP(H337, risk_score!A:A, risk_score!B:B, 0)</f>
        <v>Low Risk</v>
      </c>
    </row>
    <row r="338" spans="1:14">
      <c r="A338" s="2">
        <v>0.44959490740740743</v>
      </c>
      <c r="B338" s="3">
        <v>44841</v>
      </c>
      <c r="C338" s="1">
        <v>799188600</v>
      </c>
      <c r="D338" s="1">
        <v>3872606344</v>
      </c>
      <c r="E338" s="1">
        <v>3734.82</v>
      </c>
      <c r="F338" s="1" t="s">
        <v>12</v>
      </c>
      <c r="G338" s="1" t="s">
        <v>12</v>
      </c>
      <c r="H338" s="1" t="s">
        <v>13</v>
      </c>
      <c r="I338" s="1" t="s">
        <v>13</v>
      </c>
      <c r="J338" s="1" t="s">
        <v>22</v>
      </c>
      <c r="K338" s="1">
        <v>0</v>
      </c>
      <c r="L338" s="1" t="s">
        <v>21</v>
      </c>
      <c r="M338" s="1" t="str">
        <f t="shared" si="5"/>
        <v>Consistent</v>
      </c>
      <c r="N338" s="1" t="str">
        <f>_xlfn.XLOOKUP(H338, risk_score!A:A, risk_score!B:B, 0)</f>
        <v>Low Risk</v>
      </c>
    </row>
    <row r="339" spans="1:14">
      <c r="A339" s="2">
        <v>0.44961805555555556</v>
      </c>
      <c r="B339" s="3">
        <v>44841</v>
      </c>
      <c r="C339" s="1">
        <v>4015906272</v>
      </c>
      <c r="D339" s="1">
        <v>8465856972</v>
      </c>
      <c r="E339" s="1">
        <v>483.13</v>
      </c>
      <c r="F339" s="1" t="s">
        <v>12</v>
      </c>
      <c r="G339" s="1" t="s">
        <v>12</v>
      </c>
      <c r="H339" s="1" t="s">
        <v>13</v>
      </c>
      <c r="I339" s="1" t="s">
        <v>13</v>
      </c>
      <c r="J339" s="1" t="s">
        <v>27</v>
      </c>
      <c r="K339" s="1">
        <v>0</v>
      </c>
      <c r="L339" s="1" t="s">
        <v>21</v>
      </c>
      <c r="M339" s="1" t="str">
        <f t="shared" si="5"/>
        <v>Consistent</v>
      </c>
      <c r="N339" s="1" t="str">
        <f>_xlfn.XLOOKUP(H339, risk_score!A:A, risk_score!B:B, 0)</f>
        <v>Low Risk</v>
      </c>
    </row>
    <row r="340" spans="1:14">
      <c r="A340" s="2">
        <v>0.4496412037037037</v>
      </c>
      <c r="B340" s="3">
        <v>44841</v>
      </c>
      <c r="C340" s="1">
        <v>4543595075</v>
      </c>
      <c r="D340" s="1">
        <v>6034997194</v>
      </c>
      <c r="E340" s="1">
        <v>15469.48</v>
      </c>
      <c r="F340" s="1" t="s">
        <v>12</v>
      </c>
      <c r="G340" s="1" t="s">
        <v>12</v>
      </c>
      <c r="H340" s="1" t="s">
        <v>13</v>
      </c>
      <c r="I340" s="1" t="s">
        <v>13</v>
      </c>
      <c r="J340" s="1" t="s">
        <v>20</v>
      </c>
      <c r="K340" s="1">
        <v>0</v>
      </c>
      <c r="L340" s="1" t="s">
        <v>23</v>
      </c>
      <c r="M340" s="1" t="str">
        <f t="shared" si="5"/>
        <v>Consistent</v>
      </c>
      <c r="N340" s="1" t="str">
        <f>_xlfn.XLOOKUP(H340, risk_score!A:A, risk_score!B:B, 0)</f>
        <v>Low Risk</v>
      </c>
    </row>
    <row r="341" spans="1:14">
      <c r="A341" s="2">
        <v>0.44968750000000002</v>
      </c>
      <c r="B341" s="3">
        <v>44841</v>
      </c>
      <c r="C341" s="1">
        <v>8389148416</v>
      </c>
      <c r="D341" s="1">
        <v>7489694854</v>
      </c>
      <c r="E341" s="1">
        <v>23582.14</v>
      </c>
      <c r="F341" s="1" t="s">
        <v>12</v>
      </c>
      <c r="G341" s="1" t="s">
        <v>29</v>
      </c>
      <c r="H341" s="1" t="s">
        <v>13</v>
      </c>
      <c r="I341" s="1" t="s">
        <v>48</v>
      </c>
      <c r="J341" s="1" t="s">
        <v>18</v>
      </c>
      <c r="K341" s="1">
        <v>0</v>
      </c>
      <c r="L341" s="1" t="s">
        <v>19</v>
      </c>
      <c r="M341" s="1" t="str">
        <f t="shared" si="5"/>
        <v>Potential Layering</v>
      </c>
      <c r="N341" s="1" t="str">
        <f>_xlfn.XLOOKUP(H341, risk_score!A:A, risk_score!B:B, 0)</f>
        <v>Low Risk</v>
      </c>
    </row>
    <row r="342" spans="1:14">
      <c r="A342" s="2">
        <v>0.44969907407407406</v>
      </c>
      <c r="B342" s="3">
        <v>44841</v>
      </c>
      <c r="C342" s="1">
        <v>4121324384</v>
      </c>
      <c r="D342" s="1">
        <v>9281561360</v>
      </c>
      <c r="E342" s="1">
        <v>22158.31</v>
      </c>
      <c r="F342" s="1" t="s">
        <v>29</v>
      </c>
      <c r="G342" s="1" t="s">
        <v>12</v>
      </c>
      <c r="H342" s="1" t="s">
        <v>30</v>
      </c>
      <c r="I342" s="1" t="s">
        <v>13</v>
      </c>
      <c r="J342" s="1" t="s">
        <v>18</v>
      </c>
      <c r="K342" s="1">
        <v>0</v>
      </c>
      <c r="L342" s="1" t="s">
        <v>19</v>
      </c>
      <c r="M342" s="1" t="str">
        <f t="shared" si="5"/>
        <v>Potential Layering</v>
      </c>
      <c r="N342" s="1" t="str">
        <f>_xlfn.XLOOKUP(H342, risk_score!A:A, risk_score!B:B, 0)</f>
        <v>Low Risk</v>
      </c>
    </row>
    <row r="343" spans="1:14">
      <c r="A343" s="2">
        <v>0.44971064814814815</v>
      </c>
      <c r="B343" s="3">
        <v>44841</v>
      </c>
      <c r="C343" s="1">
        <v>8960679541</v>
      </c>
      <c r="D343" s="1">
        <v>505070381</v>
      </c>
      <c r="E343" s="1">
        <v>3194.47</v>
      </c>
      <c r="F343" s="1" t="s">
        <v>12</v>
      </c>
      <c r="G343" s="1" t="s">
        <v>12</v>
      </c>
      <c r="H343" s="1" t="s">
        <v>13</v>
      </c>
      <c r="I343" s="1" t="s">
        <v>13</v>
      </c>
      <c r="J343" s="1" t="s">
        <v>22</v>
      </c>
      <c r="K343" s="1">
        <v>0</v>
      </c>
      <c r="L343" s="1" t="s">
        <v>24</v>
      </c>
      <c r="M343" s="1" t="str">
        <f t="shared" si="5"/>
        <v>Consistent</v>
      </c>
      <c r="N343" s="1" t="str">
        <f>_xlfn.XLOOKUP(H343, risk_score!A:A, risk_score!B:B, 0)</f>
        <v>Low Risk</v>
      </c>
    </row>
    <row r="344" spans="1:14">
      <c r="A344" s="2">
        <v>0.44972222222222225</v>
      </c>
      <c r="B344" s="3">
        <v>44841</v>
      </c>
      <c r="C344" s="1">
        <v>6534163745</v>
      </c>
      <c r="D344" s="1">
        <v>5355456602</v>
      </c>
      <c r="E344" s="1">
        <v>406.1</v>
      </c>
      <c r="F344" s="1" t="s">
        <v>12</v>
      </c>
      <c r="G344" s="1" t="s">
        <v>12</v>
      </c>
      <c r="H344" s="1" t="s">
        <v>13</v>
      </c>
      <c r="I344" s="1" t="s">
        <v>13</v>
      </c>
      <c r="J344" s="1" t="s">
        <v>22</v>
      </c>
      <c r="K344" s="1">
        <v>0</v>
      </c>
      <c r="L344" s="1" t="s">
        <v>21</v>
      </c>
      <c r="M344" s="1" t="str">
        <f t="shared" si="5"/>
        <v>Consistent</v>
      </c>
      <c r="N344" s="1" t="str">
        <f>_xlfn.XLOOKUP(H344, risk_score!A:A, risk_score!B:B, 0)</f>
        <v>Low Risk</v>
      </c>
    </row>
    <row r="345" spans="1:14">
      <c r="A345" s="2">
        <v>0.44972222222222225</v>
      </c>
      <c r="B345" s="3">
        <v>44841</v>
      </c>
      <c r="C345" s="1">
        <v>6156339187</v>
      </c>
      <c r="D345" s="1">
        <v>9414721240</v>
      </c>
      <c r="E345" s="1">
        <v>194.09</v>
      </c>
      <c r="F345" s="1" t="s">
        <v>12</v>
      </c>
      <c r="G345" s="1" t="s">
        <v>12</v>
      </c>
      <c r="H345" s="1" t="s">
        <v>13</v>
      </c>
      <c r="I345" s="1" t="s">
        <v>13</v>
      </c>
      <c r="J345" s="1" t="s">
        <v>22</v>
      </c>
      <c r="K345" s="1">
        <v>0</v>
      </c>
      <c r="L345" s="1" t="s">
        <v>21</v>
      </c>
      <c r="M345" s="1" t="str">
        <f t="shared" si="5"/>
        <v>Consistent</v>
      </c>
      <c r="N345" s="1" t="str">
        <f>_xlfn.XLOOKUP(H345, risk_score!A:A, risk_score!B:B, 0)</f>
        <v>Low Risk</v>
      </c>
    </row>
    <row r="346" spans="1:14">
      <c r="A346" s="2">
        <v>0.44973379629629628</v>
      </c>
      <c r="B346" s="3">
        <v>44841</v>
      </c>
      <c r="C346" s="1">
        <v>5185442451</v>
      </c>
      <c r="D346" s="1">
        <v>3442659263</v>
      </c>
      <c r="E346" s="1">
        <v>331.96</v>
      </c>
      <c r="F346" s="1" t="s">
        <v>46</v>
      </c>
      <c r="G346" s="1" t="s">
        <v>12</v>
      </c>
      <c r="H346" s="1" t="s">
        <v>47</v>
      </c>
      <c r="I346" s="1" t="s">
        <v>13</v>
      </c>
      <c r="J346" s="1" t="s">
        <v>18</v>
      </c>
      <c r="K346" s="1">
        <v>0</v>
      </c>
      <c r="L346" s="1" t="s">
        <v>21</v>
      </c>
      <c r="M346" s="1" t="str">
        <f t="shared" si="5"/>
        <v>Potential Layering</v>
      </c>
      <c r="N346" s="1" t="str">
        <f>_xlfn.XLOOKUP(H346, risk_score!A:A, risk_score!B:B, 0)</f>
        <v>Low Risk</v>
      </c>
    </row>
    <row r="347" spans="1:14">
      <c r="A347" s="2">
        <v>0.44974537037037038</v>
      </c>
      <c r="B347" s="3">
        <v>44841</v>
      </c>
      <c r="C347" s="1">
        <v>7421451752</v>
      </c>
      <c r="D347" s="1">
        <v>9906229651</v>
      </c>
      <c r="E347" s="1">
        <v>12708.12</v>
      </c>
      <c r="F347" s="1" t="s">
        <v>12</v>
      </c>
      <c r="G347" s="1" t="s">
        <v>12</v>
      </c>
      <c r="H347" s="1" t="s">
        <v>13</v>
      </c>
      <c r="I347" s="1" t="s">
        <v>13</v>
      </c>
      <c r="J347" s="1" t="s">
        <v>27</v>
      </c>
      <c r="K347" s="1">
        <v>0</v>
      </c>
      <c r="L347" s="1" t="s">
        <v>19</v>
      </c>
      <c r="M347" s="1" t="str">
        <f t="shared" si="5"/>
        <v>Consistent</v>
      </c>
      <c r="N347" s="1" t="str">
        <f>_xlfn.XLOOKUP(H347, risk_score!A:A, risk_score!B:B, 0)</f>
        <v>Low Risk</v>
      </c>
    </row>
    <row r="348" spans="1:14">
      <c r="A348" s="2">
        <v>0.44974537037037038</v>
      </c>
      <c r="B348" s="3">
        <v>44841</v>
      </c>
      <c r="C348" s="1">
        <v>665026751</v>
      </c>
      <c r="D348" s="1">
        <v>8556332513</v>
      </c>
      <c r="E348" s="1">
        <v>1400.75</v>
      </c>
      <c r="F348" s="1" t="s">
        <v>12</v>
      </c>
      <c r="G348" s="1" t="s">
        <v>12</v>
      </c>
      <c r="H348" s="1" t="s">
        <v>13</v>
      </c>
      <c r="I348" s="1" t="s">
        <v>13</v>
      </c>
      <c r="J348" s="1" t="s">
        <v>22</v>
      </c>
      <c r="K348" s="1">
        <v>0</v>
      </c>
      <c r="L348" s="1" t="s">
        <v>21</v>
      </c>
      <c r="M348" s="1" t="str">
        <f t="shared" si="5"/>
        <v>Consistent</v>
      </c>
      <c r="N348" s="1" t="str">
        <f>_xlfn.XLOOKUP(H348, risk_score!A:A, risk_score!B:B, 0)</f>
        <v>Low Risk</v>
      </c>
    </row>
    <row r="349" spans="1:14">
      <c r="A349" s="2">
        <v>0.44974537037037038</v>
      </c>
      <c r="B349" s="3">
        <v>44841</v>
      </c>
      <c r="C349" s="1">
        <v>1391897700</v>
      </c>
      <c r="D349" s="1">
        <v>4180682278</v>
      </c>
      <c r="E349" s="1">
        <v>3919.76</v>
      </c>
      <c r="F349" s="1" t="s">
        <v>12</v>
      </c>
      <c r="G349" s="1" t="s">
        <v>12</v>
      </c>
      <c r="H349" s="1" t="s">
        <v>13</v>
      </c>
      <c r="I349" s="1" t="s">
        <v>13</v>
      </c>
      <c r="J349" s="1" t="s">
        <v>14</v>
      </c>
      <c r="K349" s="1">
        <v>0</v>
      </c>
      <c r="L349" s="1" t="s">
        <v>15</v>
      </c>
      <c r="M349" s="1" t="str">
        <f t="shared" si="5"/>
        <v>Consistent</v>
      </c>
      <c r="N349" s="1" t="str">
        <f>_xlfn.XLOOKUP(H349, risk_score!A:A, risk_score!B:B, 0)</f>
        <v>Low Risk</v>
      </c>
    </row>
    <row r="350" spans="1:14">
      <c r="A350" s="2">
        <v>0.44978009259259261</v>
      </c>
      <c r="B350" s="3">
        <v>44841</v>
      </c>
      <c r="C350" s="1">
        <v>5577457719</v>
      </c>
      <c r="D350" s="1">
        <v>9504555515</v>
      </c>
      <c r="E350" s="1">
        <v>4522.2700000000004</v>
      </c>
      <c r="F350" s="1" t="s">
        <v>12</v>
      </c>
      <c r="G350" s="1" t="s">
        <v>12</v>
      </c>
      <c r="H350" s="1" t="s">
        <v>13</v>
      </c>
      <c r="I350" s="1" t="s">
        <v>13</v>
      </c>
      <c r="J350" s="1" t="s">
        <v>25</v>
      </c>
      <c r="K350" s="1">
        <v>0</v>
      </c>
      <c r="L350" s="1" t="s">
        <v>21</v>
      </c>
      <c r="M350" s="1" t="str">
        <f t="shared" si="5"/>
        <v>Consistent</v>
      </c>
      <c r="N350" s="1" t="str">
        <f>_xlfn.XLOOKUP(H350, risk_score!A:A, risk_score!B:B, 0)</f>
        <v>Low Risk</v>
      </c>
    </row>
    <row r="351" spans="1:14">
      <c r="A351" s="2">
        <v>0.44979166666666665</v>
      </c>
      <c r="B351" s="3">
        <v>44841</v>
      </c>
      <c r="C351" s="1">
        <v>1915450576</v>
      </c>
      <c r="D351" s="1">
        <v>9424448642</v>
      </c>
      <c r="E351" s="1">
        <v>6258.99</v>
      </c>
      <c r="F351" s="1" t="s">
        <v>12</v>
      </c>
      <c r="G351" s="1" t="s">
        <v>12</v>
      </c>
      <c r="H351" s="1" t="s">
        <v>13</v>
      </c>
      <c r="I351" s="1" t="s">
        <v>13</v>
      </c>
      <c r="J351" s="1" t="s">
        <v>25</v>
      </c>
      <c r="K351" s="1">
        <v>0</v>
      </c>
      <c r="L351" s="1" t="s">
        <v>19</v>
      </c>
      <c r="M351" s="1" t="str">
        <f t="shared" si="5"/>
        <v>Consistent</v>
      </c>
      <c r="N351" s="1" t="str">
        <f>_xlfn.XLOOKUP(H351, risk_score!A:A, risk_score!B:B, 0)</f>
        <v>Low Risk</v>
      </c>
    </row>
    <row r="352" spans="1:14">
      <c r="A352" s="2">
        <v>0.44979166666666665</v>
      </c>
      <c r="B352" s="3">
        <v>44841</v>
      </c>
      <c r="C352" s="1">
        <v>9658628699</v>
      </c>
      <c r="D352" s="1">
        <v>3695545812</v>
      </c>
      <c r="E352" s="1">
        <v>12075.77</v>
      </c>
      <c r="F352" s="1" t="s">
        <v>12</v>
      </c>
      <c r="G352" s="1" t="s">
        <v>12</v>
      </c>
      <c r="H352" s="1" t="s">
        <v>13</v>
      </c>
      <c r="I352" s="1" t="s">
        <v>13</v>
      </c>
      <c r="J352" s="1" t="s">
        <v>22</v>
      </c>
      <c r="K352" s="1">
        <v>0</v>
      </c>
      <c r="L352" s="1" t="s">
        <v>23</v>
      </c>
      <c r="M352" s="1" t="str">
        <f t="shared" si="5"/>
        <v>Consistent</v>
      </c>
      <c r="N352" s="1" t="str">
        <f>_xlfn.XLOOKUP(H352, risk_score!A:A, risk_score!B:B, 0)</f>
        <v>Low Risk</v>
      </c>
    </row>
    <row r="353" spans="1:14">
      <c r="A353" s="2">
        <v>0.44981481481481483</v>
      </c>
      <c r="B353" s="3">
        <v>44841</v>
      </c>
      <c r="C353" s="1">
        <v>8677774943</v>
      </c>
      <c r="D353" s="1">
        <v>9398516249</v>
      </c>
      <c r="E353" s="1">
        <v>4823.24</v>
      </c>
      <c r="F353" s="1" t="s">
        <v>12</v>
      </c>
      <c r="G353" s="1" t="s">
        <v>12</v>
      </c>
      <c r="H353" s="1" t="s">
        <v>13</v>
      </c>
      <c r="I353" s="1" t="s">
        <v>13</v>
      </c>
      <c r="J353" s="1" t="s">
        <v>22</v>
      </c>
      <c r="K353" s="1">
        <v>0</v>
      </c>
      <c r="L353" s="1" t="s">
        <v>21</v>
      </c>
      <c r="M353" s="1" t="str">
        <f t="shared" si="5"/>
        <v>Consistent</v>
      </c>
      <c r="N353" s="1" t="str">
        <f>_xlfn.XLOOKUP(H353, risk_score!A:A, risk_score!B:B, 0)</f>
        <v>Low Risk</v>
      </c>
    </row>
    <row r="354" spans="1:14">
      <c r="A354" s="2">
        <v>0.44981481481481483</v>
      </c>
      <c r="B354" s="3">
        <v>44841</v>
      </c>
      <c r="C354" s="1">
        <v>3538111472</v>
      </c>
      <c r="D354" s="1">
        <v>7482668456</v>
      </c>
      <c r="E354" s="1">
        <v>2014.62</v>
      </c>
      <c r="F354" s="1" t="s">
        <v>12</v>
      </c>
      <c r="G354" s="1" t="s">
        <v>12</v>
      </c>
      <c r="H354" s="1" t="s">
        <v>13</v>
      </c>
      <c r="I354" s="1" t="s">
        <v>13</v>
      </c>
      <c r="J354" s="1" t="s">
        <v>25</v>
      </c>
      <c r="K354" s="1">
        <v>0</v>
      </c>
      <c r="L354" s="1" t="s">
        <v>24</v>
      </c>
      <c r="M354" s="1" t="str">
        <f t="shared" si="5"/>
        <v>Consistent</v>
      </c>
      <c r="N354" s="1" t="str">
        <f>_xlfn.XLOOKUP(H354, risk_score!A:A, risk_score!B:B, 0)</f>
        <v>Low Risk</v>
      </c>
    </row>
    <row r="355" spans="1:14">
      <c r="A355" s="2">
        <v>0.4498611111111111</v>
      </c>
      <c r="B355" s="3">
        <v>44841</v>
      </c>
      <c r="C355" s="1">
        <v>9734083970</v>
      </c>
      <c r="D355" s="1">
        <v>2792106785</v>
      </c>
      <c r="E355" s="1">
        <v>7985.99</v>
      </c>
      <c r="F355" s="1" t="s">
        <v>12</v>
      </c>
      <c r="G355" s="1" t="s">
        <v>12</v>
      </c>
      <c r="H355" s="1" t="s">
        <v>13</v>
      </c>
      <c r="I355" s="1" t="s">
        <v>13</v>
      </c>
      <c r="J355" s="1" t="s">
        <v>25</v>
      </c>
      <c r="K355" s="1">
        <v>0</v>
      </c>
      <c r="L355" s="1" t="s">
        <v>19</v>
      </c>
      <c r="M355" s="1" t="str">
        <f t="shared" si="5"/>
        <v>Consistent</v>
      </c>
      <c r="N355" s="1" t="str">
        <f>_xlfn.XLOOKUP(H355, risk_score!A:A, risk_score!B:B, 0)</f>
        <v>Low Risk</v>
      </c>
    </row>
    <row r="356" spans="1:14">
      <c r="A356" s="2">
        <v>0.44987268518518519</v>
      </c>
      <c r="B356" s="3">
        <v>44841</v>
      </c>
      <c r="C356" s="1">
        <v>2261720358</v>
      </c>
      <c r="D356" s="1">
        <v>1503409481</v>
      </c>
      <c r="E356" s="1">
        <v>397.87</v>
      </c>
      <c r="F356" s="1" t="s">
        <v>12</v>
      </c>
      <c r="G356" s="1" t="s">
        <v>12</v>
      </c>
      <c r="H356" s="1" t="s">
        <v>13</v>
      </c>
      <c r="I356" s="1" t="s">
        <v>13</v>
      </c>
      <c r="J356" s="1" t="s">
        <v>22</v>
      </c>
      <c r="K356" s="1">
        <v>0</v>
      </c>
      <c r="L356" s="1" t="s">
        <v>21</v>
      </c>
      <c r="M356" s="1" t="str">
        <f t="shared" si="5"/>
        <v>Consistent</v>
      </c>
      <c r="N356" s="1" t="str">
        <f>_xlfn.XLOOKUP(H356, risk_score!A:A, risk_score!B:B, 0)</f>
        <v>Low Risk</v>
      </c>
    </row>
    <row r="357" spans="1:14">
      <c r="A357" s="2">
        <v>0.44988425925925923</v>
      </c>
      <c r="B357" s="3">
        <v>44841</v>
      </c>
      <c r="C357" s="1">
        <v>2004133484</v>
      </c>
      <c r="D357" s="1">
        <v>3079818547</v>
      </c>
      <c r="E357" s="1">
        <v>8089.76</v>
      </c>
      <c r="F357" s="1" t="s">
        <v>12</v>
      </c>
      <c r="G357" s="1" t="s">
        <v>12</v>
      </c>
      <c r="H357" s="1" t="s">
        <v>13</v>
      </c>
      <c r="I357" s="1" t="s">
        <v>13</v>
      </c>
      <c r="J357" s="1" t="s">
        <v>25</v>
      </c>
      <c r="K357" s="1">
        <v>0</v>
      </c>
      <c r="L357" s="1" t="s">
        <v>23</v>
      </c>
      <c r="M357" s="1" t="str">
        <f t="shared" si="5"/>
        <v>Consistent</v>
      </c>
      <c r="N357" s="1" t="str">
        <f>_xlfn.XLOOKUP(H357, risk_score!A:A, risk_score!B:B, 0)</f>
        <v>Low Risk</v>
      </c>
    </row>
    <row r="358" spans="1:14">
      <c r="A358" s="2">
        <v>0.44991898148148146</v>
      </c>
      <c r="B358" s="3">
        <v>44841</v>
      </c>
      <c r="C358" s="1">
        <v>846554893</v>
      </c>
      <c r="D358" s="1">
        <v>9143778831</v>
      </c>
      <c r="E358" s="1">
        <v>1039.74</v>
      </c>
      <c r="F358" s="1" t="s">
        <v>12</v>
      </c>
      <c r="G358" s="1" t="s">
        <v>42</v>
      </c>
      <c r="H358" s="1" t="s">
        <v>13</v>
      </c>
      <c r="I358" s="1" t="s">
        <v>43</v>
      </c>
      <c r="J358" s="1" t="s">
        <v>18</v>
      </c>
      <c r="K358" s="1">
        <v>0</v>
      </c>
      <c r="L358" s="1" t="s">
        <v>21</v>
      </c>
      <c r="M358" s="1" t="str">
        <f t="shared" si="5"/>
        <v>Potential Layering</v>
      </c>
      <c r="N358" s="1" t="str">
        <f>_xlfn.XLOOKUP(H358, risk_score!A:A, risk_score!B:B, 0)</f>
        <v>Low Risk</v>
      </c>
    </row>
    <row r="359" spans="1:14">
      <c r="A359" s="2">
        <v>0.44996527777777778</v>
      </c>
      <c r="B359" s="3">
        <v>44841</v>
      </c>
      <c r="C359" s="1">
        <v>2832385272</v>
      </c>
      <c r="D359" s="1">
        <v>2138505015</v>
      </c>
      <c r="E359" s="1">
        <v>9139.94</v>
      </c>
      <c r="F359" s="1" t="s">
        <v>12</v>
      </c>
      <c r="G359" s="1" t="s">
        <v>16</v>
      </c>
      <c r="H359" s="1" t="s">
        <v>13</v>
      </c>
      <c r="I359" s="1" t="s">
        <v>17</v>
      </c>
      <c r="J359" s="1" t="s">
        <v>18</v>
      </c>
      <c r="K359" s="1">
        <v>0</v>
      </c>
      <c r="L359" s="1" t="s">
        <v>23</v>
      </c>
      <c r="M359" s="1" t="str">
        <f t="shared" si="5"/>
        <v>Potential Layering</v>
      </c>
      <c r="N359" s="1" t="str">
        <f>_xlfn.XLOOKUP(H359, risk_score!A:A, risk_score!B:B, 0)</f>
        <v>Low Risk</v>
      </c>
    </row>
    <row r="360" spans="1:14">
      <c r="A360" s="2">
        <v>0.44996527777777778</v>
      </c>
      <c r="B360" s="3">
        <v>44841</v>
      </c>
      <c r="C360" s="1">
        <v>2058693095</v>
      </c>
      <c r="D360" s="1">
        <v>2001216089</v>
      </c>
      <c r="E360" s="1">
        <v>1367.57</v>
      </c>
      <c r="F360" s="1" t="s">
        <v>12</v>
      </c>
      <c r="G360" s="1" t="s">
        <v>12</v>
      </c>
      <c r="H360" s="1" t="s">
        <v>13</v>
      </c>
      <c r="I360" s="1" t="s">
        <v>13</v>
      </c>
      <c r="J360" s="1" t="s">
        <v>27</v>
      </c>
      <c r="K360" s="1">
        <v>0</v>
      </c>
      <c r="L360" s="1" t="s">
        <v>21</v>
      </c>
      <c r="M360" s="1" t="str">
        <f t="shared" si="5"/>
        <v>Consistent</v>
      </c>
      <c r="N360" s="1" t="str">
        <f>_xlfn.XLOOKUP(H360, risk_score!A:A, risk_score!B:B, 0)</f>
        <v>Low Risk</v>
      </c>
    </row>
    <row r="361" spans="1:14">
      <c r="A361" s="2">
        <v>0.45001157407407405</v>
      </c>
      <c r="B361" s="3">
        <v>44841</v>
      </c>
      <c r="C361" s="1">
        <v>8244937262</v>
      </c>
      <c r="D361" s="1">
        <v>6034997194</v>
      </c>
      <c r="E361" s="1">
        <v>6368.62</v>
      </c>
      <c r="F361" s="1" t="s">
        <v>12</v>
      </c>
      <c r="G361" s="1" t="s">
        <v>12</v>
      </c>
      <c r="H361" s="1" t="s">
        <v>13</v>
      </c>
      <c r="I361" s="1" t="s">
        <v>13</v>
      </c>
      <c r="J361" s="1" t="s">
        <v>25</v>
      </c>
      <c r="K361" s="1">
        <v>0</v>
      </c>
      <c r="L361" s="1" t="s">
        <v>23</v>
      </c>
      <c r="M361" s="1" t="str">
        <f t="shared" si="5"/>
        <v>Consistent</v>
      </c>
      <c r="N361" s="1" t="str">
        <f>_xlfn.XLOOKUP(H361, risk_score!A:A, risk_score!B:B, 0)</f>
        <v>Low Risk</v>
      </c>
    </row>
    <row r="362" spans="1:14">
      <c r="A362" s="2">
        <v>0.45002314814814814</v>
      </c>
      <c r="B362" s="3">
        <v>44841</v>
      </c>
      <c r="C362" s="1">
        <v>6508263183</v>
      </c>
      <c r="D362" s="1">
        <v>8591643375</v>
      </c>
      <c r="E362" s="1">
        <v>10647.89</v>
      </c>
      <c r="F362" s="1" t="s">
        <v>12</v>
      </c>
      <c r="G362" s="1" t="s">
        <v>12</v>
      </c>
      <c r="H362" s="1" t="s">
        <v>13</v>
      </c>
      <c r="I362" s="1" t="s">
        <v>13</v>
      </c>
      <c r="J362" s="1" t="s">
        <v>25</v>
      </c>
      <c r="K362" s="1">
        <v>0</v>
      </c>
      <c r="L362" s="1" t="s">
        <v>21</v>
      </c>
      <c r="M362" s="1" t="str">
        <f t="shared" si="5"/>
        <v>Consistent</v>
      </c>
      <c r="N362" s="1" t="str">
        <f>_xlfn.XLOOKUP(H362, risk_score!A:A, risk_score!B:B, 0)</f>
        <v>Low Risk</v>
      </c>
    </row>
    <row r="363" spans="1:14">
      <c r="A363" s="2">
        <v>0.4500925925925926</v>
      </c>
      <c r="B363" s="3">
        <v>44841</v>
      </c>
      <c r="C363" s="1">
        <v>561572520</v>
      </c>
      <c r="D363" s="1">
        <v>9560811094</v>
      </c>
      <c r="E363" s="1">
        <v>1187.33</v>
      </c>
      <c r="F363" s="1" t="s">
        <v>12</v>
      </c>
      <c r="G363" s="1" t="s">
        <v>12</v>
      </c>
      <c r="H363" s="1" t="s">
        <v>13</v>
      </c>
      <c r="I363" s="1" t="s">
        <v>13</v>
      </c>
      <c r="J363" s="1" t="s">
        <v>27</v>
      </c>
      <c r="K363" s="1">
        <v>0</v>
      </c>
      <c r="L363" s="1" t="s">
        <v>21</v>
      </c>
      <c r="M363" s="1" t="str">
        <f t="shared" si="5"/>
        <v>Consistent</v>
      </c>
      <c r="N363" s="1" t="str">
        <f>_xlfn.XLOOKUP(H363, risk_score!A:A, risk_score!B:B, 0)</f>
        <v>Low Risk</v>
      </c>
    </row>
    <row r="364" spans="1:14">
      <c r="A364" s="2">
        <v>0.45017361111111109</v>
      </c>
      <c r="B364" s="3">
        <v>44841</v>
      </c>
      <c r="C364" s="1">
        <v>6840221462</v>
      </c>
      <c r="D364" s="1">
        <v>6394914061</v>
      </c>
      <c r="E364" s="1">
        <v>3114.26</v>
      </c>
      <c r="F364" s="1" t="s">
        <v>12</v>
      </c>
      <c r="G364" s="1" t="s">
        <v>12</v>
      </c>
      <c r="H364" s="1" t="s">
        <v>13</v>
      </c>
      <c r="I364" s="1" t="s">
        <v>13</v>
      </c>
      <c r="J364" s="1" t="s">
        <v>25</v>
      </c>
      <c r="K364" s="1">
        <v>0</v>
      </c>
      <c r="L364" s="1" t="s">
        <v>21</v>
      </c>
      <c r="M364" s="1" t="str">
        <f t="shared" si="5"/>
        <v>Consistent</v>
      </c>
      <c r="N364" s="1" t="str">
        <f>_xlfn.XLOOKUP(H364, risk_score!A:A, risk_score!B:B, 0)</f>
        <v>Low Risk</v>
      </c>
    </row>
    <row r="365" spans="1:14">
      <c r="A365" s="2">
        <v>0.45020833333333332</v>
      </c>
      <c r="B365" s="3">
        <v>44841</v>
      </c>
      <c r="C365" s="1">
        <v>33346270</v>
      </c>
      <c r="D365" s="1">
        <v>5109623450</v>
      </c>
      <c r="E365" s="1">
        <v>11433.35</v>
      </c>
      <c r="F365" s="1" t="s">
        <v>12</v>
      </c>
      <c r="G365" s="1" t="s">
        <v>12</v>
      </c>
      <c r="H365" s="1" t="s">
        <v>13</v>
      </c>
      <c r="I365" s="1" t="s">
        <v>13</v>
      </c>
      <c r="J365" s="1" t="s">
        <v>22</v>
      </c>
      <c r="K365" s="1">
        <v>0</v>
      </c>
      <c r="L365" s="1" t="s">
        <v>23</v>
      </c>
      <c r="M365" s="1" t="str">
        <f t="shared" si="5"/>
        <v>Consistent</v>
      </c>
      <c r="N365" s="1" t="str">
        <f>_xlfn.XLOOKUP(H365, risk_score!A:A, risk_score!B:B, 0)</f>
        <v>Low Risk</v>
      </c>
    </row>
    <row r="366" spans="1:14">
      <c r="A366" s="2">
        <v>0.45020833333333332</v>
      </c>
      <c r="B366" s="3">
        <v>44841</v>
      </c>
      <c r="C366" s="1">
        <v>6086421020</v>
      </c>
      <c r="D366" s="1">
        <v>6624920676</v>
      </c>
      <c r="E366" s="1">
        <v>6187.93</v>
      </c>
      <c r="F366" s="1" t="s">
        <v>12</v>
      </c>
      <c r="G366" s="1" t="s">
        <v>12</v>
      </c>
      <c r="H366" s="1" t="s">
        <v>13</v>
      </c>
      <c r="I366" s="1" t="s">
        <v>13</v>
      </c>
      <c r="J366" s="1" t="s">
        <v>27</v>
      </c>
      <c r="K366" s="1">
        <v>0</v>
      </c>
      <c r="L366" s="1" t="s">
        <v>19</v>
      </c>
      <c r="M366" s="1" t="str">
        <f t="shared" si="5"/>
        <v>Consistent</v>
      </c>
      <c r="N366" s="1" t="str">
        <f>_xlfn.XLOOKUP(H366, risk_score!A:A, risk_score!B:B, 0)</f>
        <v>Low Risk</v>
      </c>
    </row>
    <row r="367" spans="1:14">
      <c r="A367" s="2">
        <v>0.45020833333333332</v>
      </c>
      <c r="B367" s="3">
        <v>44841</v>
      </c>
      <c r="C367" s="1">
        <v>2978655617</v>
      </c>
      <c r="D367" s="1">
        <v>4989319535</v>
      </c>
      <c r="E367" s="1">
        <v>1226.43</v>
      </c>
      <c r="F367" s="1" t="s">
        <v>12</v>
      </c>
      <c r="G367" s="1" t="s">
        <v>12</v>
      </c>
      <c r="H367" s="1" t="s">
        <v>13</v>
      </c>
      <c r="I367" s="1" t="s">
        <v>13</v>
      </c>
      <c r="J367" s="1" t="s">
        <v>25</v>
      </c>
      <c r="K367" s="1">
        <v>0</v>
      </c>
      <c r="L367" s="1" t="s">
        <v>21</v>
      </c>
      <c r="M367" s="1" t="str">
        <f t="shared" si="5"/>
        <v>Consistent</v>
      </c>
      <c r="N367" s="1" t="str">
        <f>_xlfn.XLOOKUP(H367, risk_score!A:A, risk_score!B:B, 0)</f>
        <v>Low Risk</v>
      </c>
    </row>
    <row r="368" spans="1:14">
      <c r="A368" s="2">
        <v>0.45024305555555555</v>
      </c>
      <c r="B368" s="3">
        <v>44841</v>
      </c>
      <c r="C368" s="1">
        <v>6811975048</v>
      </c>
      <c r="D368" s="1">
        <v>2755114190</v>
      </c>
      <c r="E368" s="1">
        <v>949.43</v>
      </c>
      <c r="F368" s="1" t="s">
        <v>12</v>
      </c>
      <c r="G368" s="1" t="s">
        <v>12</v>
      </c>
      <c r="H368" s="1" t="s">
        <v>13</v>
      </c>
      <c r="I368" s="1" t="s">
        <v>13</v>
      </c>
      <c r="J368" s="1" t="s">
        <v>25</v>
      </c>
      <c r="K368" s="1">
        <v>0</v>
      </c>
      <c r="L368" s="1" t="s">
        <v>24</v>
      </c>
      <c r="M368" s="1" t="str">
        <f t="shared" si="5"/>
        <v>Consistent</v>
      </c>
      <c r="N368" s="1" t="str">
        <f>_xlfn.XLOOKUP(H368, risk_score!A:A, risk_score!B:B, 0)</f>
        <v>Low Risk</v>
      </c>
    </row>
    <row r="369" spans="1:14">
      <c r="A369" s="2">
        <v>0.45025462962962964</v>
      </c>
      <c r="B369" s="3">
        <v>44841</v>
      </c>
      <c r="C369" s="1">
        <v>7738921363</v>
      </c>
      <c r="D369" s="1">
        <v>1885604875</v>
      </c>
      <c r="E369" s="1">
        <v>263.95999999999998</v>
      </c>
      <c r="F369" s="1" t="s">
        <v>12</v>
      </c>
      <c r="G369" s="1" t="s">
        <v>12</v>
      </c>
      <c r="H369" s="1" t="s">
        <v>13</v>
      </c>
      <c r="I369" s="1" t="s">
        <v>13</v>
      </c>
      <c r="J369" s="1" t="s">
        <v>27</v>
      </c>
      <c r="K369" s="1">
        <v>0</v>
      </c>
      <c r="L369" s="1" t="s">
        <v>21</v>
      </c>
      <c r="M369" s="1" t="str">
        <f t="shared" si="5"/>
        <v>Consistent</v>
      </c>
      <c r="N369" s="1" t="str">
        <f>_xlfn.XLOOKUP(H369, risk_score!A:A, risk_score!B:B, 0)</f>
        <v>Low Risk</v>
      </c>
    </row>
    <row r="370" spans="1:14">
      <c r="A370" s="2">
        <v>0.45026620370370368</v>
      </c>
      <c r="B370" s="3">
        <v>44841</v>
      </c>
      <c r="C370" s="1">
        <v>9572437179</v>
      </c>
      <c r="D370" s="1">
        <v>7199625988</v>
      </c>
      <c r="E370" s="1">
        <v>6662.71</v>
      </c>
      <c r="F370" s="1" t="s">
        <v>12</v>
      </c>
      <c r="G370" s="1" t="s">
        <v>12</v>
      </c>
      <c r="H370" s="1" t="s">
        <v>13</v>
      </c>
      <c r="I370" s="1" t="s">
        <v>13</v>
      </c>
      <c r="J370" s="1" t="s">
        <v>27</v>
      </c>
      <c r="K370" s="1">
        <v>0</v>
      </c>
      <c r="L370" s="1" t="s">
        <v>23</v>
      </c>
      <c r="M370" s="1" t="str">
        <f t="shared" si="5"/>
        <v>Consistent</v>
      </c>
      <c r="N370" s="1" t="str">
        <f>_xlfn.XLOOKUP(H370, risk_score!A:A, risk_score!B:B, 0)</f>
        <v>Low Risk</v>
      </c>
    </row>
    <row r="371" spans="1:14">
      <c r="A371" s="2">
        <v>0.45028935185185187</v>
      </c>
      <c r="B371" s="3">
        <v>44841</v>
      </c>
      <c r="C371" s="1">
        <v>6653699393</v>
      </c>
      <c r="D371" s="1">
        <v>9771156850</v>
      </c>
      <c r="E371" s="1">
        <v>522.82000000000005</v>
      </c>
      <c r="F371" s="1" t="s">
        <v>16</v>
      </c>
      <c r="G371" s="1" t="s">
        <v>26</v>
      </c>
      <c r="H371" s="1" t="s">
        <v>17</v>
      </c>
      <c r="I371" s="1" t="s">
        <v>56</v>
      </c>
      <c r="J371" s="1" t="s">
        <v>18</v>
      </c>
      <c r="K371" s="1">
        <v>0</v>
      </c>
      <c r="L371" s="1" t="s">
        <v>21</v>
      </c>
      <c r="M371" s="1" t="str">
        <f t="shared" si="5"/>
        <v>Potential Layering</v>
      </c>
      <c r="N371" s="1" t="str">
        <f>_xlfn.XLOOKUP(H371, risk_score!A:A, risk_score!B:B, 0)</f>
        <v>Medium Risk</v>
      </c>
    </row>
    <row r="372" spans="1:14">
      <c r="A372" s="2">
        <v>0.45037037037037037</v>
      </c>
      <c r="B372" s="3">
        <v>44841</v>
      </c>
      <c r="C372" s="1">
        <v>3394889318</v>
      </c>
      <c r="D372" s="1">
        <v>5414896414</v>
      </c>
      <c r="E372" s="1">
        <v>7868.97</v>
      </c>
      <c r="F372" s="1" t="s">
        <v>12</v>
      </c>
      <c r="G372" s="1" t="s">
        <v>16</v>
      </c>
      <c r="H372" s="1" t="s">
        <v>13</v>
      </c>
      <c r="I372" s="1" t="s">
        <v>17</v>
      </c>
      <c r="J372" s="1" t="s">
        <v>18</v>
      </c>
      <c r="K372" s="1">
        <v>0</v>
      </c>
      <c r="L372" s="1" t="s">
        <v>21</v>
      </c>
      <c r="M372" s="1" t="str">
        <f t="shared" si="5"/>
        <v>Potential Layering</v>
      </c>
      <c r="N372" s="1" t="str">
        <f>_xlfn.XLOOKUP(H372, risk_score!A:A, risk_score!B:B, 0)</f>
        <v>Low Risk</v>
      </c>
    </row>
    <row r="373" spans="1:14">
      <c r="A373" s="2">
        <v>0.45038194444444446</v>
      </c>
      <c r="B373" s="3">
        <v>44841</v>
      </c>
      <c r="C373" s="1">
        <v>2045644966</v>
      </c>
      <c r="D373" s="1">
        <v>621060264</v>
      </c>
      <c r="E373" s="1">
        <v>7015.35</v>
      </c>
      <c r="F373" s="1" t="s">
        <v>12</v>
      </c>
      <c r="G373" s="1" t="s">
        <v>12</v>
      </c>
      <c r="H373" s="1" t="s">
        <v>13</v>
      </c>
      <c r="I373" s="1" t="s">
        <v>13</v>
      </c>
      <c r="J373" s="1" t="s">
        <v>27</v>
      </c>
      <c r="K373" s="1">
        <v>0</v>
      </c>
      <c r="L373" s="1" t="s">
        <v>23</v>
      </c>
      <c r="M373" s="1" t="str">
        <f t="shared" si="5"/>
        <v>Consistent</v>
      </c>
      <c r="N373" s="1" t="str">
        <f>_xlfn.XLOOKUP(H373, risk_score!A:A, risk_score!B:B, 0)</f>
        <v>Low Risk</v>
      </c>
    </row>
    <row r="374" spans="1:14">
      <c r="A374" s="2">
        <v>0.45040509259259259</v>
      </c>
      <c r="B374" s="3">
        <v>44841</v>
      </c>
      <c r="C374" s="1">
        <v>2266586338</v>
      </c>
      <c r="D374" s="1">
        <v>7869013888</v>
      </c>
      <c r="E374" s="1">
        <v>105.58</v>
      </c>
      <c r="F374" s="1" t="s">
        <v>12</v>
      </c>
      <c r="G374" s="1" t="s">
        <v>12</v>
      </c>
      <c r="H374" s="1" t="s">
        <v>13</v>
      </c>
      <c r="I374" s="1" t="s">
        <v>13</v>
      </c>
      <c r="J374" s="1" t="s">
        <v>20</v>
      </c>
      <c r="K374" s="1">
        <v>0</v>
      </c>
      <c r="L374" s="1" t="s">
        <v>21</v>
      </c>
      <c r="M374" s="1" t="str">
        <f t="shared" si="5"/>
        <v>Consistent</v>
      </c>
      <c r="N374" s="1" t="str">
        <f>_xlfn.XLOOKUP(H374, risk_score!A:A, risk_score!B:B, 0)</f>
        <v>Low Risk</v>
      </c>
    </row>
    <row r="375" spans="1:14">
      <c r="A375" s="2">
        <v>0.45040509259259259</v>
      </c>
      <c r="B375" s="3">
        <v>44841</v>
      </c>
      <c r="C375" s="1">
        <v>7408330845</v>
      </c>
      <c r="D375" s="1">
        <v>1218244200</v>
      </c>
      <c r="E375" s="1">
        <v>19863.71</v>
      </c>
      <c r="F375" s="1" t="s">
        <v>12</v>
      </c>
      <c r="G375" s="1" t="s">
        <v>12</v>
      </c>
      <c r="H375" s="1" t="s">
        <v>13</v>
      </c>
      <c r="I375" s="1" t="s">
        <v>13</v>
      </c>
      <c r="J375" s="1" t="s">
        <v>25</v>
      </c>
      <c r="K375" s="1">
        <v>0</v>
      </c>
      <c r="L375" s="1" t="s">
        <v>21</v>
      </c>
      <c r="M375" s="1" t="str">
        <f t="shared" si="5"/>
        <v>Consistent</v>
      </c>
      <c r="N375" s="1" t="str">
        <f>_xlfn.XLOOKUP(H375, risk_score!A:A, risk_score!B:B, 0)</f>
        <v>Low Risk</v>
      </c>
    </row>
    <row r="376" spans="1:14">
      <c r="A376" s="2">
        <v>0.45042824074074073</v>
      </c>
      <c r="B376" s="3">
        <v>44841</v>
      </c>
      <c r="C376" s="1">
        <v>6216316627</v>
      </c>
      <c r="D376" s="1">
        <v>5466123934</v>
      </c>
      <c r="E376" s="1">
        <v>7955.92</v>
      </c>
      <c r="F376" s="1" t="s">
        <v>12</v>
      </c>
      <c r="G376" s="1" t="s">
        <v>12</v>
      </c>
      <c r="H376" s="1" t="s">
        <v>13</v>
      </c>
      <c r="I376" s="1" t="s">
        <v>13</v>
      </c>
      <c r="J376" s="1" t="s">
        <v>27</v>
      </c>
      <c r="K376" s="1">
        <v>0</v>
      </c>
      <c r="L376" s="1" t="s">
        <v>23</v>
      </c>
      <c r="M376" s="1" t="str">
        <f t="shared" si="5"/>
        <v>Consistent</v>
      </c>
      <c r="N376" s="1" t="str">
        <f>_xlfn.XLOOKUP(H376, risk_score!A:A, risk_score!B:B, 0)</f>
        <v>Low Risk</v>
      </c>
    </row>
    <row r="377" spans="1:14">
      <c r="A377" s="2">
        <v>0.45043981481481482</v>
      </c>
      <c r="B377" s="3">
        <v>44841</v>
      </c>
      <c r="C377" s="1">
        <v>8250843541</v>
      </c>
      <c r="D377" s="1">
        <v>199988062</v>
      </c>
      <c r="E377" s="1">
        <v>513.08000000000004</v>
      </c>
      <c r="F377" s="1" t="s">
        <v>12</v>
      </c>
      <c r="G377" s="1" t="s">
        <v>12</v>
      </c>
      <c r="H377" s="1" t="s">
        <v>13</v>
      </c>
      <c r="I377" s="1" t="s">
        <v>13</v>
      </c>
      <c r="J377" s="1" t="s">
        <v>27</v>
      </c>
      <c r="K377" s="1">
        <v>0</v>
      </c>
      <c r="L377" s="1" t="s">
        <v>21</v>
      </c>
      <c r="M377" s="1" t="str">
        <f t="shared" si="5"/>
        <v>Consistent</v>
      </c>
      <c r="N377" s="1" t="str">
        <f>_xlfn.XLOOKUP(H377, risk_score!A:A, risk_score!B:B, 0)</f>
        <v>Low Risk</v>
      </c>
    </row>
    <row r="378" spans="1:14">
      <c r="A378" s="2">
        <v>0.45045138888888892</v>
      </c>
      <c r="B378" s="3">
        <v>44841</v>
      </c>
      <c r="C378" s="1">
        <v>3709430533</v>
      </c>
      <c r="D378" s="1">
        <v>7543250720</v>
      </c>
      <c r="E378" s="1">
        <v>6891.55</v>
      </c>
      <c r="F378" s="1" t="s">
        <v>12</v>
      </c>
      <c r="G378" s="1" t="s">
        <v>12</v>
      </c>
      <c r="H378" s="1" t="s">
        <v>13</v>
      </c>
      <c r="I378" s="1" t="s">
        <v>13</v>
      </c>
      <c r="J378" s="1" t="s">
        <v>27</v>
      </c>
      <c r="K378" s="1">
        <v>0</v>
      </c>
      <c r="L378" s="1" t="s">
        <v>19</v>
      </c>
      <c r="M378" s="1" t="str">
        <f t="shared" si="5"/>
        <v>Consistent</v>
      </c>
      <c r="N378" s="1" t="str">
        <f>_xlfn.XLOOKUP(H378, risk_score!A:A, risk_score!B:B, 0)</f>
        <v>Low Risk</v>
      </c>
    </row>
    <row r="379" spans="1:14">
      <c r="A379" s="2">
        <v>0.45048611111111109</v>
      </c>
      <c r="B379" s="3">
        <v>44841</v>
      </c>
      <c r="C379" s="1">
        <v>6402393774</v>
      </c>
      <c r="D379" s="1">
        <v>277019651</v>
      </c>
      <c r="E379" s="1">
        <v>7251.24</v>
      </c>
      <c r="F379" s="1" t="s">
        <v>12</v>
      </c>
      <c r="G379" s="1" t="s">
        <v>12</v>
      </c>
      <c r="H379" s="1" t="s">
        <v>13</v>
      </c>
      <c r="I379" s="1" t="s">
        <v>13</v>
      </c>
      <c r="J379" s="1" t="s">
        <v>22</v>
      </c>
      <c r="K379" s="1">
        <v>0</v>
      </c>
      <c r="L379" s="1" t="s">
        <v>21</v>
      </c>
      <c r="M379" s="1" t="str">
        <f t="shared" si="5"/>
        <v>Consistent</v>
      </c>
      <c r="N379" s="1" t="str">
        <f>_xlfn.XLOOKUP(H379, risk_score!A:A, risk_score!B:B, 0)</f>
        <v>Low Risk</v>
      </c>
    </row>
    <row r="380" spans="1:14">
      <c r="A380" s="2">
        <v>0.45050925925925928</v>
      </c>
      <c r="B380" s="3">
        <v>44841</v>
      </c>
      <c r="C380" s="1">
        <v>25762606</v>
      </c>
      <c r="D380" s="1">
        <v>909072420</v>
      </c>
      <c r="E380" s="1">
        <v>2880.73</v>
      </c>
      <c r="F380" s="1" t="s">
        <v>12</v>
      </c>
      <c r="G380" s="1" t="s">
        <v>12</v>
      </c>
      <c r="H380" s="1" t="s">
        <v>13</v>
      </c>
      <c r="I380" s="1" t="s">
        <v>13</v>
      </c>
      <c r="J380" s="1" t="s">
        <v>14</v>
      </c>
      <c r="K380" s="1">
        <v>0</v>
      </c>
      <c r="L380" s="1" t="s">
        <v>15</v>
      </c>
      <c r="M380" s="1" t="str">
        <f t="shared" si="5"/>
        <v>Consistent</v>
      </c>
      <c r="N380" s="1" t="str">
        <f>_xlfn.XLOOKUP(H380, risk_score!A:A, risk_score!B:B, 0)</f>
        <v>Low Risk</v>
      </c>
    </row>
    <row r="381" spans="1:14">
      <c r="A381" s="2">
        <v>0.45052083333333331</v>
      </c>
      <c r="B381" s="3">
        <v>44841</v>
      </c>
      <c r="C381" s="1">
        <v>4512671582</v>
      </c>
      <c r="D381" s="1">
        <v>5256445929</v>
      </c>
      <c r="E381" s="1">
        <v>24141.25</v>
      </c>
      <c r="F381" s="1" t="s">
        <v>12</v>
      </c>
      <c r="G381" s="1" t="s">
        <v>12</v>
      </c>
      <c r="H381" s="1" t="s">
        <v>13</v>
      </c>
      <c r="I381" s="1" t="s">
        <v>13</v>
      </c>
      <c r="J381" s="1" t="s">
        <v>22</v>
      </c>
      <c r="K381" s="1">
        <v>0</v>
      </c>
      <c r="L381" s="1" t="s">
        <v>24</v>
      </c>
      <c r="M381" s="1" t="str">
        <f t="shared" si="5"/>
        <v>Consistent</v>
      </c>
      <c r="N381" s="1" t="str">
        <f>_xlfn.XLOOKUP(H381, risk_score!A:A, risk_score!B:B, 0)</f>
        <v>Low Risk</v>
      </c>
    </row>
    <row r="382" spans="1:14">
      <c r="A382" s="2">
        <v>0.45056712962962964</v>
      </c>
      <c r="B382" s="3">
        <v>44841</v>
      </c>
      <c r="C382" s="1">
        <v>4708741032</v>
      </c>
      <c r="D382" s="1">
        <v>952050825</v>
      </c>
      <c r="E382" s="1">
        <v>1426.28</v>
      </c>
      <c r="F382" s="1" t="s">
        <v>12</v>
      </c>
      <c r="G382" s="1" t="s">
        <v>12</v>
      </c>
      <c r="H382" s="1" t="s">
        <v>13</v>
      </c>
      <c r="I382" s="1" t="s">
        <v>13</v>
      </c>
      <c r="J382" s="1" t="s">
        <v>20</v>
      </c>
      <c r="K382" s="1">
        <v>0</v>
      </c>
      <c r="L382" s="1" t="s">
        <v>21</v>
      </c>
      <c r="M382" s="1" t="str">
        <f t="shared" si="5"/>
        <v>Consistent</v>
      </c>
      <c r="N382" s="1" t="str">
        <f>_xlfn.XLOOKUP(H382, risk_score!A:A, risk_score!B:B, 0)</f>
        <v>Low Risk</v>
      </c>
    </row>
    <row r="383" spans="1:14">
      <c r="A383" s="2">
        <v>0.450625</v>
      </c>
      <c r="B383" s="3">
        <v>44841</v>
      </c>
      <c r="C383" s="1">
        <v>1754308893</v>
      </c>
      <c r="D383" s="1">
        <v>2653244195</v>
      </c>
      <c r="E383" s="1">
        <v>2681.07</v>
      </c>
      <c r="F383" s="1" t="s">
        <v>12</v>
      </c>
      <c r="G383" s="1" t="s">
        <v>12</v>
      </c>
      <c r="H383" s="1" t="s">
        <v>13</v>
      </c>
      <c r="I383" s="1" t="s">
        <v>13</v>
      </c>
      <c r="J383" s="1" t="s">
        <v>25</v>
      </c>
      <c r="K383" s="1">
        <v>0</v>
      </c>
      <c r="L383" s="1" t="s">
        <v>21</v>
      </c>
      <c r="M383" s="1" t="str">
        <f t="shared" si="5"/>
        <v>Consistent</v>
      </c>
      <c r="N383" s="1" t="str">
        <f>_xlfn.XLOOKUP(H383, risk_score!A:A, risk_score!B:B, 0)</f>
        <v>Low Risk</v>
      </c>
    </row>
    <row r="384" spans="1:14">
      <c r="A384" s="2">
        <v>0.450625</v>
      </c>
      <c r="B384" s="3">
        <v>44841</v>
      </c>
      <c r="C384" s="1">
        <v>1724782685</v>
      </c>
      <c r="D384" s="1">
        <v>2505275986</v>
      </c>
      <c r="E384" s="1">
        <v>807.03</v>
      </c>
      <c r="F384" s="1" t="s">
        <v>12</v>
      </c>
      <c r="G384" s="1" t="s">
        <v>12</v>
      </c>
      <c r="H384" s="1" t="s">
        <v>13</v>
      </c>
      <c r="I384" s="1" t="s">
        <v>13</v>
      </c>
      <c r="J384" s="1" t="s">
        <v>14</v>
      </c>
      <c r="K384" s="1">
        <v>0</v>
      </c>
      <c r="L384" s="1" t="s">
        <v>15</v>
      </c>
      <c r="M384" s="1" t="str">
        <f t="shared" si="5"/>
        <v>Consistent</v>
      </c>
      <c r="N384" s="1" t="str">
        <f>_xlfn.XLOOKUP(H384, risk_score!A:A, risk_score!B:B, 0)</f>
        <v>Low Risk</v>
      </c>
    </row>
    <row r="385" spans="1:14">
      <c r="A385" s="2">
        <v>0.45067129629629632</v>
      </c>
      <c r="B385" s="3">
        <v>44841</v>
      </c>
      <c r="C385" s="1">
        <v>6726011110</v>
      </c>
      <c r="D385" s="1">
        <v>9509095598</v>
      </c>
      <c r="E385" s="1">
        <v>2998.96</v>
      </c>
      <c r="F385" s="1" t="s">
        <v>12</v>
      </c>
      <c r="G385" s="1" t="s">
        <v>12</v>
      </c>
      <c r="H385" s="1" t="s">
        <v>13</v>
      </c>
      <c r="I385" s="1" t="s">
        <v>13</v>
      </c>
      <c r="J385" s="1" t="s">
        <v>25</v>
      </c>
      <c r="K385" s="1">
        <v>0</v>
      </c>
      <c r="L385" s="1" t="s">
        <v>21</v>
      </c>
      <c r="M385" s="1" t="str">
        <f t="shared" si="5"/>
        <v>Consistent</v>
      </c>
      <c r="N385" s="1" t="str">
        <f>_xlfn.XLOOKUP(H385, risk_score!A:A, risk_score!B:B, 0)</f>
        <v>Low Risk</v>
      </c>
    </row>
    <row r="386" spans="1:14">
      <c r="A386" s="2">
        <v>0.45068287037037036</v>
      </c>
      <c r="B386" s="3">
        <v>44841</v>
      </c>
      <c r="C386" s="1">
        <v>7758268667</v>
      </c>
      <c r="D386" s="1">
        <v>3325153054</v>
      </c>
      <c r="E386" s="1">
        <v>10030.19</v>
      </c>
      <c r="F386" s="1" t="s">
        <v>12</v>
      </c>
      <c r="G386" s="1" t="s">
        <v>12</v>
      </c>
      <c r="H386" s="1" t="s">
        <v>13</v>
      </c>
      <c r="I386" s="1" t="s">
        <v>13</v>
      </c>
      <c r="J386" s="1" t="s">
        <v>22</v>
      </c>
      <c r="K386" s="1">
        <v>0</v>
      </c>
      <c r="L386" s="1" t="s">
        <v>19</v>
      </c>
      <c r="M386" s="1" t="str">
        <f t="shared" si="5"/>
        <v>Consistent</v>
      </c>
      <c r="N386" s="1" t="str">
        <f>_xlfn.XLOOKUP(H386, risk_score!A:A, risk_score!B:B, 0)</f>
        <v>Low Risk</v>
      </c>
    </row>
    <row r="387" spans="1:14">
      <c r="A387" s="2">
        <v>0.45069444444444445</v>
      </c>
      <c r="B387" s="3">
        <v>44841</v>
      </c>
      <c r="C387" s="1">
        <v>822128135</v>
      </c>
      <c r="D387" s="1">
        <v>324464903</v>
      </c>
      <c r="E387" s="1">
        <v>13269.07</v>
      </c>
      <c r="F387" s="1" t="s">
        <v>12</v>
      </c>
      <c r="G387" s="1" t="s">
        <v>12</v>
      </c>
      <c r="H387" s="1" t="s">
        <v>13</v>
      </c>
      <c r="I387" s="1" t="s">
        <v>13</v>
      </c>
      <c r="J387" s="1" t="s">
        <v>22</v>
      </c>
      <c r="K387" s="1">
        <v>0</v>
      </c>
      <c r="L387" s="1" t="s">
        <v>41</v>
      </c>
      <c r="M387" s="1" t="str">
        <f t="shared" ref="M387:M450" si="6">IF(F387=G387, "Consistent", "Potential Layering")</f>
        <v>Consistent</v>
      </c>
      <c r="N387" s="1" t="str">
        <f>_xlfn.XLOOKUP(H387, risk_score!A:A, risk_score!B:B, 0)</f>
        <v>Low Risk</v>
      </c>
    </row>
    <row r="388" spans="1:14">
      <c r="A388" s="2">
        <v>0.45070601851851849</v>
      </c>
      <c r="B388" s="3">
        <v>44841</v>
      </c>
      <c r="C388" s="1">
        <v>642436468</v>
      </c>
      <c r="D388" s="1">
        <v>5718348761</v>
      </c>
      <c r="E388" s="1">
        <v>41.27</v>
      </c>
      <c r="F388" s="1" t="s">
        <v>12</v>
      </c>
      <c r="G388" s="1" t="s">
        <v>12</v>
      </c>
      <c r="H388" s="1" t="s">
        <v>13</v>
      </c>
      <c r="I388" s="1" t="s">
        <v>13</v>
      </c>
      <c r="J388" s="1" t="s">
        <v>27</v>
      </c>
      <c r="K388" s="1">
        <v>0</v>
      </c>
      <c r="L388" s="1" t="s">
        <v>21</v>
      </c>
      <c r="M388" s="1" t="str">
        <f t="shared" si="6"/>
        <v>Consistent</v>
      </c>
      <c r="N388" s="1" t="str">
        <f>_xlfn.XLOOKUP(H388, risk_score!A:A, risk_score!B:B, 0)</f>
        <v>Low Risk</v>
      </c>
    </row>
    <row r="389" spans="1:14">
      <c r="A389" s="2">
        <v>0.45071759259259259</v>
      </c>
      <c r="B389" s="3">
        <v>44841</v>
      </c>
      <c r="C389" s="1">
        <v>9124329020</v>
      </c>
      <c r="D389" s="1">
        <v>1276357468</v>
      </c>
      <c r="E389" s="1">
        <v>2114.2800000000002</v>
      </c>
      <c r="F389" s="1" t="s">
        <v>12</v>
      </c>
      <c r="G389" s="1" t="s">
        <v>12</v>
      </c>
      <c r="H389" s="1" t="s">
        <v>13</v>
      </c>
      <c r="I389" s="1" t="s">
        <v>13</v>
      </c>
      <c r="J389" s="1" t="s">
        <v>14</v>
      </c>
      <c r="K389" s="1">
        <v>0</v>
      </c>
      <c r="L389" s="1" t="s">
        <v>15</v>
      </c>
      <c r="M389" s="1" t="str">
        <f t="shared" si="6"/>
        <v>Consistent</v>
      </c>
      <c r="N389" s="1" t="str">
        <f>_xlfn.XLOOKUP(H389, risk_score!A:A, risk_score!B:B, 0)</f>
        <v>Low Risk</v>
      </c>
    </row>
    <row r="390" spans="1:14">
      <c r="A390" s="2">
        <v>0.45074074074074072</v>
      </c>
      <c r="B390" s="3">
        <v>44841</v>
      </c>
      <c r="C390" s="1">
        <v>7986479831</v>
      </c>
      <c r="D390" s="1">
        <v>5124301835</v>
      </c>
      <c r="E390" s="1">
        <v>12358.01</v>
      </c>
      <c r="F390" s="1" t="s">
        <v>12</v>
      </c>
      <c r="G390" s="1" t="s">
        <v>12</v>
      </c>
      <c r="H390" s="1" t="s">
        <v>13</v>
      </c>
      <c r="I390" s="1" t="s">
        <v>13</v>
      </c>
      <c r="J390" s="1" t="s">
        <v>25</v>
      </c>
      <c r="K390" s="1">
        <v>0</v>
      </c>
      <c r="L390" s="1" t="s">
        <v>21</v>
      </c>
      <c r="M390" s="1" t="str">
        <f t="shared" si="6"/>
        <v>Consistent</v>
      </c>
      <c r="N390" s="1" t="str">
        <f>_xlfn.XLOOKUP(H390, risk_score!A:A, risk_score!B:B, 0)</f>
        <v>Low Risk</v>
      </c>
    </row>
    <row r="391" spans="1:14">
      <c r="A391" s="2">
        <v>0.45078703703703704</v>
      </c>
      <c r="B391" s="3">
        <v>44841</v>
      </c>
      <c r="C391" s="1">
        <v>1992777224</v>
      </c>
      <c r="D391" s="1">
        <v>303044546</v>
      </c>
      <c r="E391" s="1">
        <v>2191.66</v>
      </c>
      <c r="F391" s="1" t="s">
        <v>12</v>
      </c>
      <c r="G391" s="1" t="s">
        <v>12</v>
      </c>
      <c r="H391" s="1" t="s">
        <v>13</v>
      </c>
      <c r="I391" s="1" t="s">
        <v>13</v>
      </c>
      <c r="J391" s="1" t="s">
        <v>25</v>
      </c>
      <c r="K391" s="1">
        <v>0</v>
      </c>
      <c r="L391" s="1" t="s">
        <v>21</v>
      </c>
      <c r="M391" s="1" t="str">
        <f t="shared" si="6"/>
        <v>Consistent</v>
      </c>
      <c r="N391" s="1" t="str">
        <f>_xlfn.XLOOKUP(H391, risk_score!A:A, risk_score!B:B, 0)</f>
        <v>Low Risk</v>
      </c>
    </row>
    <row r="392" spans="1:14">
      <c r="A392" s="2">
        <v>0.45078703703703704</v>
      </c>
      <c r="B392" s="3">
        <v>44841</v>
      </c>
      <c r="C392" s="1">
        <v>4915664814</v>
      </c>
      <c r="D392" s="1">
        <v>5466123934</v>
      </c>
      <c r="E392" s="1">
        <v>7368.69</v>
      </c>
      <c r="F392" s="1" t="s">
        <v>12</v>
      </c>
      <c r="G392" s="1" t="s">
        <v>12</v>
      </c>
      <c r="H392" s="1" t="s">
        <v>13</v>
      </c>
      <c r="I392" s="1" t="s">
        <v>13</v>
      </c>
      <c r="J392" s="1" t="s">
        <v>27</v>
      </c>
      <c r="K392" s="1">
        <v>0</v>
      </c>
      <c r="L392" s="1" t="s">
        <v>23</v>
      </c>
      <c r="M392" s="1" t="str">
        <f t="shared" si="6"/>
        <v>Consistent</v>
      </c>
      <c r="N392" s="1" t="str">
        <f>_xlfn.XLOOKUP(H392, risk_score!A:A, risk_score!B:B, 0)</f>
        <v>Low Risk</v>
      </c>
    </row>
    <row r="393" spans="1:14">
      <c r="A393" s="2">
        <v>0.45079861111111114</v>
      </c>
      <c r="B393" s="3">
        <v>44841</v>
      </c>
      <c r="C393" s="1">
        <v>264095857</v>
      </c>
      <c r="D393" s="1">
        <v>1316458123</v>
      </c>
      <c r="E393" s="1">
        <v>13447.86</v>
      </c>
      <c r="F393" s="1" t="s">
        <v>12</v>
      </c>
      <c r="G393" s="1" t="s">
        <v>34</v>
      </c>
      <c r="H393" s="1" t="s">
        <v>13</v>
      </c>
      <c r="I393" s="1" t="s">
        <v>35</v>
      </c>
      <c r="J393" s="1" t="s">
        <v>18</v>
      </c>
      <c r="K393" s="1">
        <v>0</v>
      </c>
      <c r="L393" s="1" t="s">
        <v>23</v>
      </c>
      <c r="M393" s="1" t="str">
        <f t="shared" si="6"/>
        <v>Potential Layering</v>
      </c>
      <c r="N393" s="1" t="str">
        <f>_xlfn.XLOOKUP(H393, risk_score!A:A, risk_score!B:B, 0)</f>
        <v>Low Risk</v>
      </c>
    </row>
    <row r="394" spans="1:14">
      <c r="A394" s="2">
        <v>0.45086805555555554</v>
      </c>
      <c r="B394" s="3">
        <v>44841</v>
      </c>
      <c r="C394" s="1">
        <v>2267057254</v>
      </c>
      <c r="D394" s="1">
        <v>3353913084</v>
      </c>
      <c r="E394" s="1">
        <v>1373.06</v>
      </c>
      <c r="F394" s="1" t="s">
        <v>12</v>
      </c>
      <c r="G394" s="1" t="s">
        <v>12</v>
      </c>
      <c r="H394" s="1" t="s">
        <v>13</v>
      </c>
      <c r="I394" s="1" t="s">
        <v>13</v>
      </c>
      <c r="J394" s="1" t="s">
        <v>20</v>
      </c>
      <c r="K394" s="1">
        <v>0</v>
      </c>
      <c r="L394" s="1" t="s">
        <v>38</v>
      </c>
      <c r="M394" s="1" t="str">
        <f t="shared" si="6"/>
        <v>Consistent</v>
      </c>
      <c r="N394" s="1" t="str">
        <f>_xlfn.XLOOKUP(H394, risk_score!A:A, risk_score!B:B, 0)</f>
        <v>Low Risk</v>
      </c>
    </row>
    <row r="395" spans="1:14">
      <c r="A395" s="2">
        <v>0.45090277777777776</v>
      </c>
      <c r="B395" s="3">
        <v>44841</v>
      </c>
      <c r="C395" s="1">
        <v>1378784400</v>
      </c>
      <c r="D395" s="1">
        <v>7780773895</v>
      </c>
      <c r="E395" s="1">
        <v>5173.01</v>
      </c>
      <c r="F395" s="1" t="s">
        <v>12</v>
      </c>
      <c r="G395" s="1" t="s">
        <v>12</v>
      </c>
      <c r="H395" s="1" t="s">
        <v>13</v>
      </c>
      <c r="I395" s="1" t="s">
        <v>13</v>
      </c>
      <c r="J395" s="1" t="s">
        <v>25</v>
      </c>
      <c r="K395" s="1">
        <v>0</v>
      </c>
      <c r="L395" s="1" t="s">
        <v>19</v>
      </c>
      <c r="M395" s="1" t="str">
        <f t="shared" si="6"/>
        <v>Consistent</v>
      </c>
      <c r="N395" s="1" t="str">
        <f>_xlfn.XLOOKUP(H395, risk_score!A:A, risk_score!B:B, 0)</f>
        <v>Low Risk</v>
      </c>
    </row>
    <row r="396" spans="1:14">
      <c r="A396" s="2">
        <v>0.45090277777777776</v>
      </c>
      <c r="B396" s="3">
        <v>44841</v>
      </c>
      <c r="C396" s="1">
        <v>5021785800</v>
      </c>
      <c r="D396" s="1">
        <v>4065028145</v>
      </c>
      <c r="E396" s="1">
        <v>4377.04</v>
      </c>
      <c r="F396" s="1" t="s">
        <v>12</v>
      </c>
      <c r="G396" s="1" t="s">
        <v>29</v>
      </c>
      <c r="H396" s="1" t="s">
        <v>13</v>
      </c>
      <c r="I396" s="1" t="s">
        <v>54</v>
      </c>
      <c r="J396" s="1" t="s">
        <v>18</v>
      </c>
      <c r="K396" s="1">
        <v>0</v>
      </c>
      <c r="L396" s="1" t="s">
        <v>19</v>
      </c>
      <c r="M396" s="1" t="str">
        <f t="shared" si="6"/>
        <v>Potential Layering</v>
      </c>
      <c r="N396" s="1" t="str">
        <f>_xlfn.XLOOKUP(H396, risk_score!A:A, risk_score!B:B, 0)</f>
        <v>Low Risk</v>
      </c>
    </row>
    <row r="397" spans="1:14">
      <c r="A397" s="2">
        <v>0.45091435185185186</v>
      </c>
      <c r="B397" s="3">
        <v>44841</v>
      </c>
      <c r="C397" s="1">
        <v>4277910354</v>
      </c>
      <c r="D397" s="1">
        <v>7517403696</v>
      </c>
      <c r="E397" s="1">
        <v>1389.2</v>
      </c>
      <c r="F397" s="1" t="s">
        <v>12</v>
      </c>
      <c r="G397" s="1" t="s">
        <v>12</v>
      </c>
      <c r="H397" s="1" t="s">
        <v>13</v>
      </c>
      <c r="I397" s="1" t="s">
        <v>13</v>
      </c>
      <c r="J397" s="1" t="s">
        <v>20</v>
      </c>
      <c r="K397" s="1">
        <v>0</v>
      </c>
      <c r="L397" s="1" t="s">
        <v>21</v>
      </c>
      <c r="M397" s="1" t="str">
        <f t="shared" si="6"/>
        <v>Consistent</v>
      </c>
      <c r="N397" s="1" t="str">
        <f>_xlfn.XLOOKUP(H397, risk_score!A:A, risk_score!B:B, 0)</f>
        <v>Low Risk</v>
      </c>
    </row>
    <row r="398" spans="1:14">
      <c r="A398" s="2">
        <v>0.45092592592592595</v>
      </c>
      <c r="B398" s="3">
        <v>44841</v>
      </c>
      <c r="C398" s="1">
        <v>3275257189</v>
      </c>
      <c r="D398" s="1">
        <v>4428953627</v>
      </c>
      <c r="E398" s="1">
        <v>421.56</v>
      </c>
      <c r="F398" s="1" t="s">
        <v>12</v>
      </c>
      <c r="G398" s="1" t="s">
        <v>12</v>
      </c>
      <c r="H398" s="1" t="s">
        <v>13</v>
      </c>
      <c r="I398" s="1" t="s">
        <v>13</v>
      </c>
      <c r="J398" s="1" t="s">
        <v>14</v>
      </c>
      <c r="K398" s="1">
        <v>0</v>
      </c>
      <c r="L398" s="1" t="s">
        <v>15</v>
      </c>
      <c r="M398" s="1" t="str">
        <f t="shared" si="6"/>
        <v>Consistent</v>
      </c>
      <c r="N398" s="1" t="str">
        <f>_xlfn.XLOOKUP(H398, risk_score!A:A, risk_score!B:B, 0)</f>
        <v>Low Risk</v>
      </c>
    </row>
    <row r="399" spans="1:14">
      <c r="A399" s="2">
        <v>0.45093749999999999</v>
      </c>
      <c r="B399" s="3">
        <v>44841</v>
      </c>
      <c r="C399" s="1">
        <v>6743376113</v>
      </c>
      <c r="D399" s="1">
        <v>621060264</v>
      </c>
      <c r="E399" s="1">
        <v>25793.94</v>
      </c>
      <c r="F399" s="1" t="s">
        <v>12</v>
      </c>
      <c r="G399" s="1" t="s">
        <v>12</v>
      </c>
      <c r="H399" s="1" t="s">
        <v>13</v>
      </c>
      <c r="I399" s="1" t="s">
        <v>13</v>
      </c>
      <c r="J399" s="1" t="s">
        <v>20</v>
      </c>
      <c r="K399" s="1">
        <v>0</v>
      </c>
      <c r="L399" s="1" t="s">
        <v>23</v>
      </c>
      <c r="M399" s="1" t="str">
        <f t="shared" si="6"/>
        <v>Consistent</v>
      </c>
      <c r="N399" s="1" t="str">
        <f>_xlfn.XLOOKUP(H399, risk_score!A:A, risk_score!B:B, 0)</f>
        <v>Low Risk</v>
      </c>
    </row>
    <row r="400" spans="1:14">
      <c r="A400" s="2">
        <v>0.45096064814814812</v>
      </c>
      <c r="B400" s="3">
        <v>44841</v>
      </c>
      <c r="C400" s="1">
        <v>6677092537</v>
      </c>
      <c r="D400" s="1">
        <v>8794766352</v>
      </c>
      <c r="E400" s="1">
        <v>733.05</v>
      </c>
      <c r="F400" s="1" t="s">
        <v>12</v>
      </c>
      <c r="G400" s="1" t="s">
        <v>12</v>
      </c>
      <c r="H400" s="1" t="s">
        <v>13</v>
      </c>
      <c r="I400" s="1" t="s">
        <v>13</v>
      </c>
      <c r="J400" s="1" t="s">
        <v>20</v>
      </c>
      <c r="K400" s="1">
        <v>0</v>
      </c>
      <c r="L400" s="1" t="s">
        <v>24</v>
      </c>
      <c r="M400" s="1" t="str">
        <f t="shared" si="6"/>
        <v>Consistent</v>
      </c>
      <c r="N400" s="1" t="str">
        <f>_xlfn.XLOOKUP(H400, risk_score!A:A, risk_score!B:B, 0)</f>
        <v>Low Risk</v>
      </c>
    </row>
    <row r="401" spans="1:14">
      <c r="A401" s="2">
        <v>0.45097222222222222</v>
      </c>
      <c r="B401" s="3">
        <v>44841</v>
      </c>
      <c r="C401" s="1">
        <v>1830078831</v>
      </c>
      <c r="D401" s="1">
        <v>7160736915</v>
      </c>
      <c r="E401" s="1">
        <v>10172.19</v>
      </c>
      <c r="F401" s="1" t="s">
        <v>12</v>
      </c>
      <c r="G401" s="1" t="s">
        <v>12</v>
      </c>
      <c r="H401" s="1" t="s">
        <v>13</v>
      </c>
      <c r="I401" s="1" t="s">
        <v>13</v>
      </c>
      <c r="J401" s="1" t="s">
        <v>27</v>
      </c>
      <c r="K401" s="1">
        <v>0</v>
      </c>
      <c r="L401" s="1" t="s">
        <v>23</v>
      </c>
      <c r="M401" s="1" t="str">
        <f t="shared" si="6"/>
        <v>Consistent</v>
      </c>
      <c r="N401" s="1" t="str">
        <f>_xlfn.XLOOKUP(H401, risk_score!A:A, risk_score!B:B, 0)</f>
        <v>Low Risk</v>
      </c>
    </row>
    <row r="402" spans="1:14">
      <c r="A402" s="2">
        <v>0.45097222222222222</v>
      </c>
      <c r="B402" s="3">
        <v>44841</v>
      </c>
      <c r="C402" s="1">
        <v>8203229522</v>
      </c>
      <c r="D402" s="1">
        <v>8519194353</v>
      </c>
      <c r="E402" s="1">
        <v>11347.74</v>
      </c>
      <c r="F402" s="1" t="s">
        <v>12</v>
      </c>
      <c r="G402" s="1" t="s">
        <v>28</v>
      </c>
      <c r="H402" s="1" t="s">
        <v>13</v>
      </c>
      <c r="I402" s="1" t="s">
        <v>57</v>
      </c>
      <c r="J402" s="1" t="s">
        <v>18</v>
      </c>
      <c r="K402" s="1">
        <v>0</v>
      </c>
      <c r="L402" s="1" t="s">
        <v>19</v>
      </c>
      <c r="M402" s="1" t="str">
        <f t="shared" si="6"/>
        <v>Potential Layering</v>
      </c>
      <c r="N402" s="1" t="str">
        <f>_xlfn.XLOOKUP(H402, risk_score!A:A, risk_score!B:B, 0)</f>
        <v>Low Risk</v>
      </c>
    </row>
    <row r="403" spans="1:14">
      <c r="A403" s="2">
        <v>0.45099537037037035</v>
      </c>
      <c r="B403" s="3">
        <v>44841</v>
      </c>
      <c r="C403" s="1">
        <v>9987846938</v>
      </c>
      <c r="D403" s="1">
        <v>3678607748</v>
      </c>
      <c r="E403" s="1">
        <v>1738.31</v>
      </c>
      <c r="F403" s="1" t="s">
        <v>12</v>
      </c>
      <c r="G403" s="1" t="s">
        <v>12</v>
      </c>
      <c r="H403" s="1" t="s">
        <v>13</v>
      </c>
      <c r="I403" s="1" t="s">
        <v>13</v>
      </c>
      <c r="J403" s="1" t="s">
        <v>25</v>
      </c>
      <c r="K403" s="1">
        <v>0</v>
      </c>
      <c r="L403" s="1" t="s">
        <v>21</v>
      </c>
      <c r="M403" s="1" t="str">
        <f t="shared" si="6"/>
        <v>Consistent</v>
      </c>
      <c r="N403" s="1" t="str">
        <f>_xlfn.XLOOKUP(H403, risk_score!A:A, risk_score!B:B, 0)</f>
        <v>Low Risk</v>
      </c>
    </row>
    <row r="404" spans="1:14">
      <c r="A404" s="2">
        <v>0.45109953703703703</v>
      </c>
      <c r="B404" s="3">
        <v>44841</v>
      </c>
      <c r="C404" s="1">
        <v>2047410771</v>
      </c>
      <c r="D404" s="1">
        <v>6646502650</v>
      </c>
      <c r="E404" s="1">
        <v>8045.75</v>
      </c>
      <c r="F404" s="1" t="s">
        <v>12</v>
      </c>
      <c r="G404" s="1" t="s">
        <v>29</v>
      </c>
      <c r="H404" s="1" t="s">
        <v>13</v>
      </c>
      <c r="I404" s="1" t="s">
        <v>31</v>
      </c>
      <c r="J404" s="1" t="s">
        <v>18</v>
      </c>
      <c r="K404" s="1">
        <v>0</v>
      </c>
      <c r="L404" s="1" t="s">
        <v>23</v>
      </c>
      <c r="M404" s="1" t="str">
        <f t="shared" si="6"/>
        <v>Potential Layering</v>
      </c>
      <c r="N404" s="1" t="str">
        <f>_xlfn.XLOOKUP(H404, risk_score!A:A, risk_score!B:B, 0)</f>
        <v>Low Risk</v>
      </c>
    </row>
    <row r="405" spans="1:14">
      <c r="A405" s="2">
        <v>0.45109953703703703</v>
      </c>
      <c r="B405" s="3">
        <v>44841</v>
      </c>
      <c r="C405" s="1">
        <v>6116657264</v>
      </c>
      <c r="D405" s="1">
        <v>2883324502</v>
      </c>
      <c r="E405" s="1">
        <v>9572.0499999999993</v>
      </c>
      <c r="F405" s="1" t="s">
        <v>12</v>
      </c>
      <c r="G405" s="1" t="s">
        <v>12</v>
      </c>
      <c r="H405" s="1" t="s">
        <v>13</v>
      </c>
      <c r="I405" s="1" t="s">
        <v>13</v>
      </c>
      <c r="J405" s="1" t="s">
        <v>25</v>
      </c>
      <c r="K405" s="1">
        <v>0</v>
      </c>
      <c r="L405" s="1" t="s">
        <v>19</v>
      </c>
      <c r="M405" s="1" t="str">
        <f t="shared" si="6"/>
        <v>Consistent</v>
      </c>
      <c r="N405" s="1" t="str">
        <f>_xlfn.XLOOKUP(H405, risk_score!A:A, risk_score!B:B, 0)</f>
        <v>Low Risk</v>
      </c>
    </row>
    <row r="406" spans="1:14">
      <c r="A406" s="2">
        <v>0.45114583333333336</v>
      </c>
      <c r="B406" s="3">
        <v>44841</v>
      </c>
      <c r="C406" s="1">
        <v>8653336420</v>
      </c>
      <c r="D406" s="1">
        <v>8752943153</v>
      </c>
      <c r="E406" s="1">
        <v>3451.49</v>
      </c>
      <c r="F406" s="1" t="s">
        <v>12</v>
      </c>
      <c r="G406" s="1" t="s">
        <v>12</v>
      </c>
      <c r="H406" s="1" t="s">
        <v>13</v>
      </c>
      <c r="I406" s="1" t="s">
        <v>13</v>
      </c>
      <c r="J406" s="1" t="s">
        <v>22</v>
      </c>
      <c r="K406" s="1">
        <v>0</v>
      </c>
      <c r="L406" s="1" t="s">
        <v>24</v>
      </c>
      <c r="M406" s="1" t="str">
        <f t="shared" si="6"/>
        <v>Consistent</v>
      </c>
      <c r="N406" s="1" t="str">
        <f>_xlfn.XLOOKUP(H406, risk_score!A:A, risk_score!B:B, 0)</f>
        <v>Low Risk</v>
      </c>
    </row>
    <row r="407" spans="1:14">
      <c r="A407" s="2">
        <v>0.45119212962962962</v>
      </c>
      <c r="B407" s="3">
        <v>44841</v>
      </c>
      <c r="C407" s="1">
        <v>2350608357</v>
      </c>
      <c r="D407" s="1">
        <v>7116272472</v>
      </c>
      <c r="E407" s="1">
        <v>800.43</v>
      </c>
      <c r="F407" s="1" t="s">
        <v>12</v>
      </c>
      <c r="G407" s="1" t="s">
        <v>12</v>
      </c>
      <c r="H407" s="1" t="s">
        <v>13</v>
      </c>
      <c r="I407" s="1" t="s">
        <v>13</v>
      </c>
      <c r="J407" s="1" t="s">
        <v>20</v>
      </c>
      <c r="K407" s="1">
        <v>0</v>
      </c>
      <c r="L407" s="1" t="s">
        <v>21</v>
      </c>
      <c r="M407" s="1" t="str">
        <f t="shared" si="6"/>
        <v>Consistent</v>
      </c>
      <c r="N407" s="1" t="str">
        <f>_xlfn.XLOOKUP(H407, risk_score!A:A, risk_score!B:B, 0)</f>
        <v>Low Risk</v>
      </c>
    </row>
    <row r="408" spans="1:14">
      <c r="A408" s="2">
        <v>0.45120370370370372</v>
      </c>
      <c r="B408" s="3">
        <v>44841</v>
      </c>
      <c r="C408" s="1">
        <v>6385147013</v>
      </c>
      <c r="D408" s="1">
        <v>56519020</v>
      </c>
      <c r="E408" s="1">
        <v>4664.87</v>
      </c>
      <c r="F408" s="1" t="s">
        <v>12</v>
      </c>
      <c r="G408" s="1" t="s">
        <v>12</v>
      </c>
      <c r="H408" s="1" t="s">
        <v>13</v>
      </c>
      <c r="I408" s="1" t="s">
        <v>13</v>
      </c>
      <c r="J408" s="1" t="s">
        <v>25</v>
      </c>
      <c r="K408" s="1">
        <v>0</v>
      </c>
      <c r="L408" s="1" t="s">
        <v>21</v>
      </c>
      <c r="M408" s="1" t="str">
        <f t="shared" si="6"/>
        <v>Consistent</v>
      </c>
      <c r="N408" s="1" t="str">
        <f>_xlfn.XLOOKUP(H408, risk_score!A:A, risk_score!B:B, 0)</f>
        <v>Low Risk</v>
      </c>
    </row>
    <row r="409" spans="1:14">
      <c r="A409" s="2">
        <v>0.45123842592592595</v>
      </c>
      <c r="B409" s="3">
        <v>44841</v>
      </c>
      <c r="C409" s="1">
        <v>1304411851</v>
      </c>
      <c r="D409" s="1">
        <v>5708936901</v>
      </c>
      <c r="E409" s="1">
        <v>10517.33</v>
      </c>
      <c r="F409" s="1" t="s">
        <v>12</v>
      </c>
      <c r="G409" s="1" t="s">
        <v>12</v>
      </c>
      <c r="H409" s="1" t="s">
        <v>13</v>
      </c>
      <c r="I409" s="1" t="s">
        <v>13</v>
      </c>
      <c r="J409" s="1" t="s">
        <v>27</v>
      </c>
      <c r="K409" s="1">
        <v>0</v>
      </c>
      <c r="L409" s="1" t="s">
        <v>23</v>
      </c>
      <c r="M409" s="1" t="str">
        <f t="shared" si="6"/>
        <v>Consistent</v>
      </c>
      <c r="N409" s="1" t="str">
        <f>_xlfn.XLOOKUP(H409, risk_score!A:A, risk_score!B:B, 0)</f>
        <v>Low Risk</v>
      </c>
    </row>
    <row r="410" spans="1:14">
      <c r="A410" s="2">
        <v>0.45126157407407408</v>
      </c>
      <c r="B410" s="3">
        <v>44841</v>
      </c>
      <c r="C410" s="1">
        <v>578839168</v>
      </c>
      <c r="D410" s="1">
        <v>1377603863</v>
      </c>
      <c r="E410" s="1">
        <v>5425.57</v>
      </c>
      <c r="F410" s="1" t="s">
        <v>12</v>
      </c>
      <c r="G410" s="1" t="s">
        <v>12</v>
      </c>
      <c r="H410" s="1" t="s">
        <v>13</v>
      </c>
      <c r="I410" s="1" t="s">
        <v>13</v>
      </c>
      <c r="J410" s="1" t="s">
        <v>25</v>
      </c>
      <c r="K410" s="1">
        <v>0</v>
      </c>
      <c r="L410" s="1" t="s">
        <v>23</v>
      </c>
      <c r="M410" s="1" t="str">
        <f t="shared" si="6"/>
        <v>Consistent</v>
      </c>
      <c r="N410" s="1" t="str">
        <f>_xlfn.XLOOKUP(H410, risk_score!A:A, risk_score!B:B, 0)</f>
        <v>Low Risk</v>
      </c>
    </row>
    <row r="411" spans="1:14">
      <c r="A411" s="2">
        <v>0.45129629629629631</v>
      </c>
      <c r="B411" s="3">
        <v>44841</v>
      </c>
      <c r="C411" s="1">
        <v>5376652437</v>
      </c>
      <c r="D411" s="1">
        <v>9600420220</v>
      </c>
      <c r="E411" s="1">
        <v>11858.26</v>
      </c>
      <c r="F411" s="1" t="s">
        <v>12</v>
      </c>
      <c r="G411" s="1" t="s">
        <v>12</v>
      </c>
      <c r="H411" s="1" t="s">
        <v>13</v>
      </c>
      <c r="I411" s="1" t="s">
        <v>13</v>
      </c>
      <c r="J411" s="1" t="s">
        <v>25</v>
      </c>
      <c r="K411" s="1">
        <v>0</v>
      </c>
      <c r="L411" s="1" t="s">
        <v>23</v>
      </c>
      <c r="M411" s="1" t="str">
        <f t="shared" si="6"/>
        <v>Consistent</v>
      </c>
      <c r="N411" s="1" t="str">
        <f>_xlfn.XLOOKUP(H411, risk_score!A:A, risk_score!B:B, 0)</f>
        <v>Low Risk</v>
      </c>
    </row>
    <row r="412" spans="1:14">
      <c r="A412" s="2">
        <v>0.45130787037037035</v>
      </c>
      <c r="B412" s="3">
        <v>44841</v>
      </c>
      <c r="C412" s="1">
        <v>4121324384</v>
      </c>
      <c r="D412" s="1">
        <v>7417210636</v>
      </c>
      <c r="E412" s="1">
        <v>11152.4</v>
      </c>
      <c r="F412" s="1" t="s">
        <v>29</v>
      </c>
      <c r="G412" s="1" t="s">
        <v>12</v>
      </c>
      <c r="H412" s="1" t="s">
        <v>30</v>
      </c>
      <c r="I412" s="1" t="s">
        <v>13</v>
      </c>
      <c r="J412" s="1" t="s">
        <v>18</v>
      </c>
      <c r="K412" s="1">
        <v>0</v>
      </c>
      <c r="L412" s="1" t="s">
        <v>19</v>
      </c>
      <c r="M412" s="1" t="str">
        <f t="shared" si="6"/>
        <v>Potential Layering</v>
      </c>
      <c r="N412" s="1" t="str">
        <f>_xlfn.XLOOKUP(H412, risk_score!A:A, risk_score!B:B, 0)</f>
        <v>Low Risk</v>
      </c>
    </row>
    <row r="413" spans="1:14">
      <c r="A413" s="2">
        <v>0.45134259259259257</v>
      </c>
      <c r="B413" s="3">
        <v>44841</v>
      </c>
      <c r="C413" s="1">
        <v>8201605808</v>
      </c>
      <c r="D413" s="1">
        <v>9600420220</v>
      </c>
      <c r="E413" s="1">
        <v>7169.7</v>
      </c>
      <c r="F413" s="1" t="s">
        <v>12</v>
      </c>
      <c r="G413" s="1" t="s">
        <v>12</v>
      </c>
      <c r="H413" s="1" t="s">
        <v>13</v>
      </c>
      <c r="I413" s="1" t="s">
        <v>13</v>
      </c>
      <c r="J413" s="1" t="s">
        <v>27</v>
      </c>
      <c r="K413" s="1">
        <v>0</v>
      </c>
      <c r="L413" s="1" t="s">
        <v>23</v>
      </c>
      <c r="M413" s="1" t="str">
        <f t="shared" si="6"/>
        <v>Consistent</v>
      </c>
      <c r="N413" s="1" t="str">
        <f>_xlfn.XLOOKUP(H413, risk_score!A:A, risk_score!B:B, 0)</f>
        <v>Low Risk</v>
      </c>
    </row>
    <row r="414" spans="1:14">
      <c r="A414" s="2">
        <v>0.45140046296296299</v>
      </c>
      <c r="B414" s="3">
        <v>44841</v>
      </c>
      <c r="C414" s="1">
        <v>5006270568</v>
      </c>
      <c r="D414" s="1">
        <v>6125659636</v>
      </c>
      <c r="E414" s="1">
        <v>2670.4</v>
      </c>
      <c r="F414" s="1" t="s">
        <v>12</v>
      </c>
      <c r="G414" s="1" t="s">
        <v>12</v>
      </c>
      <c r="H414" s="1" t="s">
        <v>13</v>
      </c>
      <c r="I414" s="1" t="s">
        <v>13</v>
      </c>
      <c r="J414" s="1" t="s">
        <v>25</v>
      </c>
      <c r="K414" s="1">
        <v>0</v>
      </c>
      <c r="L414" s="1" t="s">
        <v>21</v>
      </c>
      <c r="M414" s="1" t="str">
        <f t="shared" si="6"/>
        <v>Consistent</v>
      </c>
      <c r="N414" s="1" t="str">
        <f>_xlfn.XLOOKUP(H414, risk_score!A:A, risk_score!B:B, 0)</f>
        <v>Low Risk</v>
      </c>
    </row>
    <row r="415" spans="1:14">
      <c r="A415" s="2">
        <v>0.45143518518518516</v>
      </c>
      <c r="B415" s="3">
        <v>44841</v>
      </c>
      <c r="C415" s="1">
        <v>5840073198</v>
      </c>
      <c r="D415" s="1">
        <v>7672640853</v>
      </c>
      <c r="E415" s="1">
        <v>466.61</v>
      </c>
      <c r="F415" s="1" t="s">
        <v>12</v>
      </c>
      <c r="G415" s="1" t="s">
        <v>12</v>
      </c>
      <c r="H415" s="1" t="s">
        <v>13</v>
      </c>
      <c r="I415" s="1" t="s">
        <v>13</v>
      </c>
      <c r="J415" s="1" t="s">
        <v>20</v>
      </c>
      <c r="K415" s="1">
        <v>0</v>
      </c>
      <c r="L415" s="1" t="s">
        <v>21</v>
      </c>
      <c r="M415" s="1" t="str">
        <f t="shared" si="6"/>
        <v>Consistent</v>
      </c>
      <c r="N415" s="1" t="str">
        <f>_xlfn.XLOOKUP(H415, risk_score!A:A, risk_score!B:B, 0)</f>
        <v>Low Risk</v>
      </c>
    </row>
    <row r="416" spans="1:14">
      <c r="A416" s="2">
        <v>0.45153935185185184</v>
      </c>
      <c r="B416" s="3">
        <v>44841</v>
      </c>
      <c r="C416" s="1">
        <v>1498828609</v>
      </c>
      <c r="D416" s="1">
        <v>5895407809</v>
      </c>
      <c r="E416" s="1">
        <v>875.38</v>
      </c>
      <c r="F416" s="1" t="s">
        <v>12</v>
      </c>
      <c r="G416" s="1" t="s">
        <v>12</v>
      </c>
      <c r="H416" s="1" t="s">
        <v>13</v>
      </c>
      <c r="I416" s="1" t="s">
        <v>13</v>
      </c>
      <c r="J416" s="1" t="s">
        <v>27</v>
      </c>
      <c r="K416" s="1">
        <v>0</v>
      </c>
      <c r="L416" s="1" t="s">
        <v>21</v>
      </c>
      <c r="M416" s="1" t="str">
        <f t="shared" si="6"/>
        <v>Consistent</v>
      </c>
      <c r="N416" s="1" t="str">
        <f>_xlfn.XLOOKUP(H416, risk_score!A:A, risk_score!B:B, 0)</f>
        <v>Low Risk</v>
      </c>
    </row>
    <row r="417" spans="1:14">
      <c r="A417" s="2">
        <v>0.45155092592592594</v>
      </c>
      <c r="B417" s="3">
        <v>44841</v>
      </c>
      <c r="C417" s="1">
        <v>1706196950</v>
      </c>
      <c r="D417" s="1">
        <v>3695545812</v>
      </c>
      <c r="E417" s="1">
        <v>4855.67</v>
      </c>
      <c r="F417" s="1" t="s">
        <v>12</v>
      </c>
      <c r="G417" s="1" t="s">
        <v>12</v>
      </c>
      <c r="H417" s="1" t="s">
        <v>13</v>
      </c>
      <c r="I417" s="1" t="s">
        <v>13</v>
      </c>
      <c r="J417" s="1" t="s">
        <v>22</v>
      </c>
      <c r="K417" s="1">
        <v>0</v>
      </c>
      <c r="L417" s="1" t="s">
        <v>23</v>
      </c>
      <c r="M417" s="1" t="str">
        <f t="shared" si="6"/>
        <v>Consistent</v>
      </c>
      <c r="N417" s="1" t="str">
        <f>_xlfn.XLOOKUP(H417, risk_score!A:A, risk_score!B:B, 0)</f>
        <v>Low Risk</v>
      </c>
    </row>
    <row r="418" spans="1:14">
      <c r="A418" s="2">
        <v>0.45165509259259257</v>
      </c>
      <c r="B418" s="3">
        <v>44841</v>
      </c>
      <c r="C418" s="1">
        <v>8130176208</v>
      </c>
      <c r="D418" s="1">
        <v>8659464157</v>
      </c>
      <c r="E418" s="1">
        <v>4170.5200000000004</v>
      </c>
      <c r="F418" s="1" t="s">
        <v>12</v>
      </c>
      <c r="G418" s="1" t="s">
        <v>12</v>
      </c>
      <c r="H418" s="1" t="s">
        <v>13</v>
      </c>
      <c r="I418" s="1" t="s">
        <v>13</v>
      </c>
      <c r="J418" s="1" t="s">
        <v>25</v>
      </c>
      <c r="K418" s="1">
        <v>0</v>
      </c>
      <c r="L418" s="1" t="s">
        <v>21</v>
      </c>
      <c r="M418" s="1" t="str">
        <f t="shared" si="6"/>
        <v>Consistent</v>
      </c>
      <c r="N418" s="1" t="str">
        <f>_xlfn.XLOOKUP(H418, risk_score!A:A, risk_score!B:B, 0)</f>
        <v>Low Risk</v>
      </c>
    </row>
    <row r="419" spans="1:14">
      <c r="A419" s="2">
        <v>0.45166666666666666</v>
      </c>
      <c r="B419" s="3">
        <v>44841</v>
      </c>
      <c r="C419" s="1">
        <v>3452368468</v>
      </c>
      <c r="D419" s="1">
        <v>4833559204</v>
      </c>
      <c r="E419" s="1">
        <v>10363.23</v>
      </c>
      <c r="F419" s="1" t="s">
        <v>12</v>
      </c>
      <c r="G419" s="1" t="s">
        <v>12</v>
      </c>
      <c r="H419" s="1" t="s">
        <v>13</v>
      </c>
      <c r="I419" s="1" t="s">
        <v>13</v>
      </c>
      <c r="J419" s="1" t="s">
        <v>22</v>
      </c>
      <c r="K419" s="1">
        <v>0</v>
      </c>
      <c r="L419" s="1" t="s">
        <v>19</v>
      </c>
      <c r="M419" s="1" t="str">
        <f t="shared" si="6"/>
        <v>Consistent</v>
      </c>
      <c r="N419" s="1" t="str">
        <f>_xlfn.XLOOKUP(H419, risk_score!A:A, risk_score!B:B, 0)</f>
        <v>Low Risk</v>
      </c>
    </row>
    <row r="420" spans="1:14">
      <c r="A420" s="2">
        <v>0.45166666666666666</v>
      </c>
      <c r="B420" s="3">
        <v>44841</v>
      </c>
      <c r="C420" s="1">
        <v>3462885128</v>
      </c>
      <c r="D420" s="1">
        <v>274657616</v>
      </c>
      <c r="E420" s="1">
        <v>1933.78</v>
      </c>
      <c r="F420" s="1" t="s">
        <v>12</v>
      </c>
      <c r="G420" s="1" t="s">
        <v>12</v>
      </c>
      <c r="H420" s="1" t="s">
        <v>13</v>
      </c>
      <c r="I420" s="1" t="s">
        <v>13</v>
      </c>
      <c r="J420" s="1" t="s">
        <v>25</v>
      </c>
      <c r="K420" s="1">
        <v>0</v>
      </c>
      <c r="L420" s="1" t="s">
        <v>21</v>
      </c>
      <c r="M420" s="1" t="str">
        <f t="shared" si="6"/>
        <v>Consistent</v>
      </c>
      <c r="N420" s="1" t="str">
        <f>_xlfn.XLOOKUP(H420, risk_score!A:A, risk_score!B:B, 0)</f>
        <v>Low Risk</v>
      </c>
    </row>
    <row r="421" spans="1:14">
      <c r="A421" s="2">
        <v>0.45168981481481479</v>
      </c>
      <c r="B421" s="3">
        <v>44841</v>
      </c>
      <c r="C421" s="1">
        <v>8587242371</v>
      </c>
      <c r="D421" s="1">
        <v>5363117119</v>
      </c>
      <c r="E421" s="1">
        <v>20093.29</v>
      </c>
      <c r="F421" s="1" t="s">
        <v>12</v>
      </c>
      <c r="G421" s="1" t="s">
        <v>12</v>
      </c>
      <c r="H421" s="1" t="s">
        <v>13</v>
      </c>
      <c r="I421" s="1" t="s">
        <v>13</v>
      </c>
      <c r="J421" s="1" t="s">
        <v>20</v>
      </c>
      <c r="K421" s="1">
        <v>0</v>
      </c>
      <c r="L421" s="1" t="s">
        <v>23</v>
      </c>
      <c r="M421" s="1" t="str">
        <f t="shared" si="6"/>
        <v>Consistent</v>
      </c>
      <c r="N421" s="1" t="str">
        <f>_xlfn.XLOOKUP(H421, risk_score!A:A, risk_score!B:B, 0)</f>
        <v>Low Risk</v>
      </c>
    </row>
    <row r="422" spans="1:14">
      <c r="A422" s="2">
        <v>0.45170138888888889</v>
      </c>
      <c r="B422" s="3">
        <v>44841</v>
      </c>
      <c r="C422" s="1">
        <v>7330940854</v>
      </c>
      <c r="D422" s="1">
        <v>1320927231</v>
      </c>
      <c r="E422" s="1">
        <v>4608.37</v>
      </c>
      <c r="F422" s="1" t="s">
        <v>12</v>
      </c>
      <c r="G422" s="1" t="s">
        <v>12</v>
      </c>
      <c r="H422" s="1" t="s">
        <v>13</v>
      </c>
      <c r="I422" s="1" t="s">
        <v>13</v>
      </c>
      <c r="J422" s="1" t="s">
        <v>22</v>
      </c>
      <c r="K422" s="1">
        <v>0</v>
      </c>
      <c r="L422" s="1" t="s">
        <v>23</v>
      </c>
      <c r="M422" s="1" t="str">
        <f t="shared" si="6"/>
        <v>Consistent</v>
      </c>
      <c r="N422" s="1" t="str">
        <f>_xlfn.XLOOKUP(H422, risk_score!A:A, risk_score!B:B, 0)</f>
        <v>Low Risk</v>
      </c>
    </row>
    <row r="423" spans="1:14">
      <c r="A423" s="2">
        <v>0.45171296296296298</v>
      </c>
      <c r="B423" s="3">
        <v>44841</v>
      </c>
      <c r="C423" s="1">
        <v>2365007895</v>
      </c>
      <c r="D423" s="1">
        <v>6618026760</v>
      </c>
      <c r="E423" s="1">
        <v>12008.36</v>
      </c>
      <c r="F423" s="1" t="s">
        <v>12</v>
      </c>
      <c r="G423" s="1" t="s">
        <v>12</v>
      </c>
      <c r="H423" s="1" t="s">
        <v>13</v>
      </c>
      <c r="I423" s="1" t="s">
        <v>13</v>
      </c>
      <c r="J423" s="1" t="s">
        <v>25</v>
      </c>
      <c r="K423" s="1">
        <v>0</v>
      </c>
      <c r="L423" s="1" t="s">
        <v>19</v>
      </c>
      <c r="M423" s="1" t="str">
        <f t="shared" si="6"/>
        <v>Consistent</v>
      </c>
      <c r="N423" s="1" t="str">
        <f>_xlfn.XLOOKUP(H423, risk_score!A:A, risk_score!B:B, 0)</f>
        <v>Low Risk</v>
      </c>
    </row>
    <row r="424" spans="1:14">
      <c r="A424" s="2">
        <v>0.45174768518518521</v>
      </c>
      <c r="B424" s="3">
        <v>44841</v>
      </c>
      <c r="C424" s="1">
        <v>3902806766</v>
      </c>
      <c r="D424" s="1">
        <v>2537003174</v>
      </c>
      <c r="E424" s="1">
        <v>1309.5999999999999</v>
      </c>
      <c r="F424" s="1" t="s">
        <v>12</v>
      </c>
      <c r="G424" s="1" t="s">
        <v>12</v>
      </c>
      <c r="H424" s="1" t="s">
        <v>13</v>
      </c>
      <c r="I424" s="1" t="s">
        <v>13</v>
      </c>
      <c r="J424" s="1" t="s">
        <v>22</v>
      </c>
      <c r="K424" s="1">
        <v>0</v>
      </c>
      <c r="L424" s="1" t="s">
        <v>24</v>
      </c>
      <c r="M424" s="1" t="str">
        <f t="shared" si="6"/>
        <v>Consistent</v>
      </c>
      <c r="N424" s="1" t="str">
        <f>_xlfn.XLOOKUP(H424, risk_score!A:A, risk_score!B:B, 0)</f>
        <v>Low Risk</v>
      </c>
    </row>
    <row r="425" spans="1:14">
      <c r="A425" s="2">
        <v>0.45178240740740738</v>
      </c>
      <c r="B425" s="3">
        <v>44841</v>
      </c>
      <c r="C425" s="1">
        <v>3299538255</v>
      </c>
      <c r="D425" s="1">
        <v>8376057857</v>
      </c>
      <c r="E425" s="1">
        <v>423.42</v>
      </c>
      <c r="F425" s="1" t="s">
        <v>12</v>
      </c>
      <c r="G425" s="1" t="s">
        <v>12</v>
      </c>
      <c r="H425" s="1" t="s">
        <v>13</v>
      </c>
      <c r="I425" s="1" t="s">
        <v>13</v>
      </c>
      <c r="J425" s="1" t="s">
        <v>20</v>
      </c>
      <c r="K425" s="1">
        <v>0</v>
      </c>
      <c r="L425" s="1" t="s">
        <v>21</v>
      </c>
      <c r="M425" s="1" t="str">
        <f t="shared" si="6"/>
        <v>Consistent</v>
      </c>
      <c r="N425" s="1" t="str">
        <f>_xlfn.XLOOKUP(H425, risk_score!A:A, risk_score!B:B, 0)</f>
        <v>Low Risk</v>
      </c>
    </row>
    <row r="426" spans="1:14">
      <c r="A426" s="2">
        <v>0.45187500000000003</v>
      </c>
      <c r="B426" s="3">
        <v>44841</v>
      </c>
      <c r="C426" s="1">
        <v>8047909179</v>
      </c>
      <c r="D426" s="1">
        <v>2584568182</v>
      </c>
      <c r="E426" s="1">
        <v>2814.09</v>
      </c>
      <c r="F426" s="1" t="s">
        <v>12</v>
      </c>
      <c r="G426" s="1" t="s">
        <v>12</v>
      </c>
      <c r="H426" s="1" t="s">
        <v>13</v>
      </c>
      <c r="I426" s="1" t="s">
        <v>13</v>
      </c>
      <c r="J426" s="1" t="s">
        <v>27</v>
      </c>
      <c r="K426" s="1">
        <v>0</v>
      </c>
      <c r="L426" s="1" t="s">
        <v>38</v>
      </c>
      <c r="M426" s="1" t="str">
        <f t="shared" si="6"/>
        <v>Consistent</v>
      </c>
      <c r="N426" s="1" t="str">
        <f>_xlfn.XLOOKUP(H426, risk_score!A:A, risk_score!B:B, 0)</f>
        <v>Low Risk</v>
      </c>
    </row>
    <row r="427" spans="1:14">
      <c r="A427" s="2">
        <v>0.45187500000000003</v>
      </c>
      <c r="B427" s="3">
        <v>44841</v>
      </c>
      <c r="C427" s="1">
        <v>3758118046</v>
      </c>
      <c r="D427" s="1">
        <v>2487128589</v>
      </c>
      <c r="E427" s="1">
        <v>2564.96</v>
      </c>
      <c r="F427" s="1" t="s">
        <v>12</v>
      </c>
      <c r="G427" s="1" t="s">
        <v>12</v>
      </c>
      <c r="H427" s="1" t="s">
        <v>13</v>
      </c>
      <c r="I427" s="1" t="s">
        <v>13</v>
      </c>
      <c r="J427" s="1" t="s">
        <v>27</v>
      </c>
      <c r="K427" s="1">
        <v>0</v>
      </c>
      <c r="L427" s="1" t="s">
        <v>24</v>
      </c>
      <c r="M427" s="1" t="str">
        <f t="shared" si="6"/>
        <v>Consistent</v>
      </c>
      <c r="N427" s="1" t="str">
        <f>_xlfn.XLOOKUP(H427, risk_score!A:A, risk_score!B:B, 0)</f>
        <v>Low Risk</v>
      </c>
    </row>
    <row r="428" spans="1:14">
      <c r="A428" s="2">
        <v>0.45188657407407407</v>
      </c>
      <c r="B428" s="3">
        <v>44841</v>
      </c>
      <c r="C428" s="1">
        <v>1532196553</v>
      </c>
      <c r="D428" s="1">
        <v>5844956381</v>
      </c>
      <c r="E428" s="1">
        <v>521.79999999999995</v>
      </c>
      <c r="F428" s="1" t="s">
        <v>12</v>
      </c>
      <c r="G428" s="1" t="s">
        <v>12</v>
      </c>
      <c r="H428" s="1" t="s">
        <v>13</v>
      </c>
      <c r="I428" s="1" t="s">
        <v>13</v>
      </c>
      <c r="J428" s="1" t="s">
        <v>27</v>
      </c>
      <c r="K428" s="1">
        <v>0</v>
      </c>
      <c r="L428" s="1" t="s">
        <v>21</v>
      </c>
      <c r="M428" s="1" t="str">
        <f t="shared" si="6"/>
        <v>Consistent</v>
      </c>
      <c r="N428" s="1" t="str">
        <f>_xlfn.XLOOKUP(H428, risk_score!A:A, risk_score!B:B, 0)</f>
        <v>Low Risk</v>
      </c>
    </row>
    <row r="429" spans="1:14">
      <c r="A429" s="2">
        <v>0.45192129629629629</v>
      </c>
      <c r="B429" s="3">
        <v>44841</v>
      </c>
      <c r="C429" s="1">
        <v>3168051873</v>
      </c>
      <c r="D429" s="1">
        <v>4856706287</v>
      </c>
      <c r="E429" s="1">
        <v>13293.02</v>
      </c>
      <c r="F429" s="1" t="s">
        <v>12</v>
      </c>
      <c r="G429" s="1" t="s">
        <v>12</v>
      </c>
      <c r="H429" s="1" t="s">
        <v>13</v>
      </c>
      <c r="I429" s="1" t="s">
        <v>13</v>
      </c>
      <c r="J429" s="1" t="s">
        <v>25</v>
      </c>
      <c r="K429" s="1">
        <v>0</v>
      </c>
      <c r="L429" s="1" t="s">
        <v>19</v>
      </c>
      <c r="M429" s="1" t="str">
        <f t="shared" si="6"/>
        <v>Consistent</v>
      </c>
      <c r="N429" s="1" t="str">
        <f>_xlfn.XLOOKUP(H429, risk_score!A:A, risk_score!B:B, 0)</f>
        <v>Low Risk</v>
      </c>
    </row>
    <row r="430" spans="1:14">
      <c r="A430" s="2">
        <v>0.45200231481481479</v>
      </c>
      <c r="B430" s="3">
        <v>44841</v>
      </c>
      <c r="C430" s="1">
        <v>4910906417</v>
      </c>
      <c r="D430" s="1">
        <v>433433286</v>
      </c>
      <c r="E430" s="1">
        <v>5314.17</v>
      </c>
      <c r="F430" s="1" t="s">
        <v>12</v>
      </c>
      <c r="G430" s="1" t="s">
        <v>12</v>
      </c>
      <c r="H430" s="1" t="s">
        <v>13</v>
      </c>
      <c r="I430" s="1" t="s">
        <v>13</v>
      </c>
      <c r="J430" s="1" t="s">
        <v>20</v>
      </c>
      <c r="K430" s="1">
        <v>0</v>
      </c>
      <c r="L430" s="1" t="s">
        <v>21</v>
      </c>
      <c r="M430" s="1" t="str">
        <f t="shared" si="6"/>
        <v>Consistent</v>
      </c>
      <c r="N430" s="1" t="str">
        <f>_xlfn.XLOOKUP(H430, risk_score!A:A, risk_score!B:B, 0)</f>
        <v>Low Risk</v>
      </c>
    </row>
    <row r="431" spans="1:14">
      <c r="A431" s="2">
        <v>0.45203703703703701</v>
      </c>
      <c r="B431" s="3">
        <v>44841</v>
      </c>
      <c r="C431" s="1">
        <v>5027539859</v>
      </c>
      <c r="D431" s="1">
        <v>8678802420</v>
      </c>
      <c r="E431" s="1">
        <v>4903.82</v>
      </c>
      <c r="F431" s="1" t="s">
        <v>12</v>
      </c>
      <c r="G431" s="1" t="s">
        <v>12</v>
      </c>
      <c r="H431" s="1" t="s">
        <v>13</v>
      </c>
      <c r="I431" s="1" t="s">
        <v>13</v>
      </c>
      <c r="J431" s="1" t="s">
        <v>25</v>
      </c>
      <c r="K431" s="1">
        <v>0</v>
      </c>
      <c r="L431" s="1" t="s">
        <v>23</v>
      </c>
      <c r="M431" s="1" t="str">
        <f t="shared" si="6"/>
        <v>Consistent</v>
      </c>
      <c r="N431" s="1" t="str">
        <f>_xlfn.XLOOKUP(H431, risk_score!A:A, risk_score!B:B, 0)</f>
        <v>Low Risk</v>
      </c>
    </row>
    <row r="432" spans="1:14">
      <c r="A432" s="2">
        <v>0.45204861111111111</v>
      </c>
      <c r="B432" s="3">
        <v>44841</v>
      </c>
      <c r="C432" s="1">
        <v>7466302779</v>
      </c>
      <c r="D432" s="1">
        <v>5103043844</v>
      </c>
      <c r="E432" s="1">
        <v>12071.82</v>
      </c>
      <c r="F432" s="1" t="s">
        <v>12</v>
      </c>
      <c r="G432" s="1" t="s">
        <v>44</v>
      </c>
      <c r="H432" s="1" t="s">
        <v>13</v>
      </c>
      <c r="I432" s="1" t="s">
        <v>45</v>
      </c>
      <c r="J432" s="1" t="s">
        <v>18</v>
      </c>
      <c r="K432" s="1">
        <v>0</v>
      </c>
      <c r="L432" s="1" t="s">
        <v>23</v>
      </c>
      <c r="M432" s="1" t="str">
        <f t="shared" si="6"/>
        <v>Potential Layering</v>
      </c>
      <c r="N432" s="1" t="str">
        <f>_xlfn.XLOOKUP(H432, risk_score!A:A, risk_score!B:B, 0)</f>
        <v>Low Risk</v>
      </c>
    </row>
    <row r="433" spans="1:14">
      <c r="A433" s="2">
        <v>0.4520601851851852</v>
      </c>
      <c r="B433" s="3">
        <v>44841</v>
      </c>
      <c r="C433" s="1">
        <v>7421451752</v>
      </c>
      <c r="D433" s="1">
        <v>2755709071</v>
      </c>
      <c r="E433" s="1">
        <v>5851.06</v>
      </c>
      <c r="F433" s="1" t="s">
        <v>12</v>
      </c>
      <c r="G433" s="1" t="s">
        <v>12</v>
      </c>
      <c r="H433" s="1" t="s">
        <v>13</v>
      </c>
      <c r="I433" s="1" t="s">
        <v>13</v>
      </c>
      <c r="J433" s="1" t="s">
        <v>22</v>
      </c>
      <c r="K433" s="1">
        <v>0</v>
      </c>
      <c r="L433" s="1" t="s">
        <v>19</v>
      </c>
      <c r="M433" s="1" t="str">
        <f t="shared" si="6"/>
        <v>Consistent</v>
      </c>
      <c r="N433" s="1" t="str">
        <f>_xlfn.XLOOKUP(H433, risk_score!A:A, risk_score!B:B, 0)</f>
        <v>Low Risk</v>
      </c>
    </row>
    <row r="434" spans="1:14">
      <c r="A434" s="2">
        <v>0.45210648148148147</v>
      </c>
      <c r="B434" s="3">
        <v>44841</v>
      </c>
      <c r="C434" s="1">
        <v>568683281</v>
      </c>
      <c r="D434" s="1">
        <v>6568511815</v>
      </c>
      <c r="E434" s="1">
        <v>9940.11</v>
      </c>
      <c r="F434" s="1" t="s">
        <v>12</v>
      </c>
      <c r="G434" s="1" t="s">
        <v>12</v>
      </c>
      <c r="H434" s="1" t="s">
        <v>13</v>
      </c>
      <c r="I434" s="1" t="s">
        <v>13</v>
      </c>
      <c r="J434" s="1" t="s">
        <v>25</v>
      </c>
      <c r="K434" s="1">
        <v>0</v>
      </c>
      <c r="L434" s="1" t="s">
        <v>24</v>
      </c>
      <c r="M434" s="1" t="str">
        <f t="shared" si="6"/>
        <v>Consistent</v>
      </c>
      <c r="N434" s="1" t="str">
        <f>_xlfn.XLOOKUP(H434, risk_score!A:A, risk_score!B:B, 0)</f>
        <v>Low Risk</v>
      </c>
    </row>
    <row r="435" spans="1:14">
      <c r="A435" s="2">
        <v>0.4521412037037037</v>
      </c>
      <c r="B435" s="3">
        <v>44841</v>
      </c>
      <c r="C435" s="1">
        <v>7739142501</v>
      </c>
      <c r="D435" s="1">
        <v>8977087076</v>
      </c>
      <c r="E435" s="1">
        <v>326.7</v>
      </c>
      <c r="F435" s="1" t="s">
        <v>12</v>
      </c>
      <c r="G435" s="1" t="s">
        <v>12</v>
      </c>
      <c r="H435" s="1" t="s">
        <v>13</v>
      </c>
      <c r="I435" s="1" t="s">
        <v>13</v>
      </c>
      <c r="J435" s="1" t="s">
        <v>14</v>
      </c>
      <c r="K435" s="1">
        <v>0</v>
      </c>
      <c r="L435" s="1" t="s">
        <v>15</v>
      </c>
      <c r="M435" s="1" t="str">
        <f t="shared" si="6"/>
        <v>Consistent</v>
      </c>
      <c r="N435" s="1" t="str">
        <f>_xlfn.XLOOKUP(H435, risk_score!A:A, risk_score!B:B, 0)</f>
        <v>Low Risk</v>
      </c>
    </row>
    <row r="436" spans="1:14">
      <c r="A436" s="2">
        <v>0.45215277777777779</v>
      </c>
      <c r="B436" s="3">
        <v>44841</v>
      </c>
      <c r="C436" s="1">
        <v>3373148945</v>
      </c>
      <c r="D436" s="1">
        <v>6034997194</v>
      </c>
      <c r="E436" s="1">
        <v>21534.799999999999</v>
      </c>
      <c r="F436" s="1" t="s">
        <v>12</v>
      </c>
      <c r="G436" s="1" t="s">
        <v>12</v>
      </c>
      <c r="H436" s="1" t="s">
        <v>13</v>
      </c>
      <c r="I436" s="1" t="s">
        <v>13</v>
      </c>
      <c r="J436" s="1" t="s">
        <v>27</v>
      </c>
      <c r="K436" s="1">
        <v>0</v>
      </c>
      <c r="L436" s="1" t="s">
        <v>23</v>
      </c>
      <c r="M436" s="1" t="str">
        <f t="shared" si="6"/>
        <v>Consistent</v>
      </c>
      <c r="N436" s="1" t="str">
        <f>_xlfn.XLOOKUP(H436, risk_score!A:A, risk_score!B:B, 0)</f>
        <v>Low Risk</v>
      </c>
    </row>
    <row r="437" spans="1:14">
      <c r="A437" s="2">
        <v>0.45216435185185183</v>
      </c>
      <c r="B437" s="3">
        <v>44841</v>
      </c>
      <c r="C437" s="1">
        <v>6541552727</v>
      </c>
      <c r="D437" s="1">
        <v>9694142477</v>
      </c>
      <c r="E437" s="1">
        <v>6128.56</v>
      </c>
      <c r="F437" s="1" t="s">
        <v>12</v>
      </c>
      <c r="G437" s="1" t="s">
        <v>12</v>
      </c>
      <c r="H437" s="1" t="s">
        <v>13</v>
      </c>
      <c r="I437" s="1" t="s">
        <v>13</v>
      </c>
      <c r="J437" s="1" t="s">
        <v>25</v>
      </c>
      <c r="K437" s="1">
        <v>0</v>
      </c>
      <c r="L437" s="1" t="s">
        <v>19</v>
      </c>
      <c r="M437" s="1" t="str">
        <f t="shared" si="6"/>
        <v>Consistent</v>
      </c>
      <c r="N437" s="1" t="str">
        <f>_xlfn.XLOOKUP(H437, risk_score!A:A, risk_score!B:B, 0)</f>
        <v>Low Risk</v>
      </c>
    </row>
    <row r="438" spans="1:14">
      <c r="A438" s="2">
        <v>0.45223379629629629</v>
      </c>
      <c r="B438" s="3">
        <v>44841</v>
      </c>
      <c r="C438" s="1">
        <v>8968592383</v>
      </c>
      <c r="D438" s="1">
        <v>353834718</v>
      </c>
      <c r="E438" s="1">
        <v>1211.3900000000001</v>
      </c>
      <c r="F438" s="1" t="s">
        <v>12</v>
      </c>
      <c r="G438" s="1" t="s">
        <v>12</v>
      </c>
      <c r="H438" s="1" t="s">
        <v>13</v>
      </c>
      <c r="I438" s="1" t="s">
        <v>13</v>
      </c>
      <c r="J438" s="1" t="s">
        <v>22</v>
      </c>
      <c r="K438" s="1">
        <v>0</v>
      </c>
      <c r="L438" s="1" t="s">
        <v>21</v>
      </c>
      <c r="M438" s="1" t="str">
        <f t="shared" si="6"/>
        <v>Consistent</v>
      </c>
      <c r="N438" s="1" t="str">
        <f>_xlfn.XLOOKUP(H438, risk_score!A:A, risk_score!B:B, 0)</f>
        <v>Low Risk</v>
      </c>
    </row>
    <row r="439" spans="1:14">
      <c r="A439" s="2">
        <v>0.45224537037037038</v>
      </c>
      <c r="B439" s="3">
        <v>44841</v>
      </c>
      <c r="C439" s="1">
        <v>420570262</v>
      </c>
      <c r="D439" s="1">
        <v>5103043844</v>
      </c>
      <c r="E439" s="1">
        <v>6172.91</v>
      </c>
      <c r="F439" s="1" t="s">
        <v>12</v>
      </c>
      <c r="G439" s="1" t="s">
        <v>44</v>
      </c>
      <c r="H439" s="1" t="s">
        <v>13</v>
      </c>
      <c r="I439" s="1" t="s">
        <v>45</v>
      </c>
      <c r="J439" s="1" t="s">
        <v>18</v>
      </c>
      <c r="K439" s="1">
        <v>0</v>
      </c>
      <c r="L439" s="1" t="s">
        <v>23</v>
      </c>
      <c r="M439" s="1" t="str">
        <f t="shared" si="6"/>
        <v>Potential Layering</v>
      </c>
      <c r="N439" s="1" t="str">
        <f>_xlfn.XLOOKUP(H439, risk_score!A:A, risk_score!B:B, 0)</f>
        <v>Low Risk</v>
      </c>
    </row>
    <row r="440" spans="1:14">
      <c r="A440" s="2">
        <v>0.45226851851851851</v>
      </c>
      <c r="B440" s="3">
        <v>44841</v>
      </c>
      <c r="C440" s="1">
        <v>3162568567</v>
      </c>
      <c r="D440" s="1">
        <v>2463385876</v>
      </c>
      <c r="E440" s="1">
        <v>3067.18</v>
      </c>
      <c r="F440" s="1" t="s">
        <v>12</v>
      </c>
      <c r="G440" s="1" t="s">
        <v>12</v>
      </c>
      <c r="H440" s="1" t="s">
        <v>13</v>
      </c>
      <c r="I440" s="1" t="s">
        <v>13</v>
      </c>
      <c r="J440" s="1" t="s">
        <v>25</v>
      </c>
      <c r="K440" s="1">
        <v>0</v>
      </c>
      <c r="L440" s="1" t="s">
        <v>21</v>
      </c>
      <c r="M440" s="1" t="str">
        <f t="shared" si="6"/>
        <v>Consistent</v>
      </c>
      <c r="N440" s="1" t="str">
        <f>_xlfn.XLOOKUP(H440, risk_score!A:A, risk_score!B:B, 0)</f>
        <v>Low Risk</v>
      </c>
    </row>
    <row r="441" spans="1:14">
      <c r="A441" s="2">
        <v>0.45229166666666665</v>
      </c>
      <c r="B441" s="3">
        <v>44841</v>
      </c>
      <c r="C441" s="1">
        <v>7501327339</v>
      </c>
      <c r="D441" s="1">
        <v>9848553102</v>
      </c>
      <c r="E441" s="1">
        <v>10288.33</v>
      </c>
      <c r="F441" s="1" t="s">
        <v>12</v>
      </c>
      <c r="G441" s="1" t="s">
        <v>12</v>
      </c>
      <c r="H441" s="1" t="s">
        <v>13</v>
      </c>
      <c r="I441" s="1" t="s">
        <v>13</v>
      </c>
      <c r="J441" s="1" t="s">
        <v>20</v>
      </c>
      <c r="K441" s="1">
        <v>0</v>
      </c>
      <c r="L441" s="1" t="s">
        <v>19</v>
      </c>
      <c r="M441" s="1" t="str">
        <f t="shared" si="6"/>
        <v>Consistent</v>
      </c>
      <c r="N441" s="1" t="str">
        <f>_xlfn.XLOOKUP(H441, risk_score!A:A, risk_score!B:B, 0)</f>
        <v>Low Risk</v>
      </c>
    </row>
    <row r="442" spans="1:14">
      <c r="A442" s="2">
        <v>0.45231481481481484</v>
      </c>
      <c r="B442" s="3">
        <v>44841</v>
      </c>
      <c r="C442" s="1">
        <v>7724710130</v>
      </c>
      <c r="D442" s="1">
        <v>4270865741</v>
      </c>
      <c r="E442" s="1">
        <v>11814.29</v>
      </c>
      <c r="F442" s="1" t="s">
        <v>12</v>
      </c>
      <c r="G442" s="1" t="s">
        <v>12</v>
      </c>
      <c r="H442" s="1" t="s">
        <v>13</v>
      </c>
      <c r="I442" s="1" t="s">
        <v>13</v>
      </c>
      <c r="J442" s="1" t="s">
        <v>27</v>
      </c>
      <c r="K442" s="1">
        <v>0</v>
      </c>
      <c r="L442" s="1" t="s">
        <v>23</v>
      </c>
      <c r="M442" s="1" t="str">
        <f t="shared" si="6"/>
        <v>Consistent</v>
      </c>
      <c r="N442" s="1" t="str">
        <f>_xlfn.XLOOKUP(H442, risk_score!A:A, risk_score!B:B, 0)</f>
        <v>Low Risk</v>
      </c>
    </row>
    <row r="443" spans="1:14">
      <c r="A443" s="2">
        <v>0.45231481481481484</v>
      </c>
      <c r="B443" s="3">
        <v>44841</v>
      </c>
      <c r="C443" s="1">
        <v>7383082878</v>
      </c>
      <c r="D443" s="1">
        <v>7323827816</v>
      </c>
      <c r="E443" s="1">
        <v>3020.71</v>
      </c>
      <c r="F443" s="1" t="s">
        <v>12</v>
      </c>
      <c r="G443" s="1" t="s">
        <v>12</v>
      </c>
      <c r="H443" s="1" t="s">
        <v>13</v>
      </c>
      <c r="I443" s="1" t="s">
        <v>13</v>
      </c>
      <c r="J443" s="1" t="s">
        <v>14</v>
      </c>
      <c r="K443" s="1">
        <v>0</v>
      </c>
      <c r="L443" s="1" t="s">
        <v>15</v>
      </c>
      <c r="M443" s="1" t="str">
        <f t="shared" si="6"/>
        <v>Consistent</v>
      </c>
      <c r="N443" s="1" t="str">
        <f>_xlfn.XLOOKUP(H443, risk_score!A:A, risk_score!B:B, 0)</f>
        <v>Low Risk</v>
      </c>
    </row>
    <row r="444" spans="1:14">
      <c r="A444" s="2">
        <v>0.45234953703703706</v>
      </c>
      <c r="B444" s="3">
        <v>44841</v>
      </c>
      <c r="C444" s="1">
        <v>8987848252</v>
      </c>
      <c r="D444" s="1">
        <v>3809653464</v>
      </c>
      <c r="E444" s="1">
        <v>8780.89</v>
      </c>
      <c r="F444" s="1" t="s">
        <v>12</v>
      </c>
      <c r="G444" s="1" t="s">
        <v>29</v>
      </c>
      <c r="H444" s="1" t="s">
        <v>13</v>
      </c>
      <c r="I444" s="1" t="s">
        <v>55</v>
      </c>
      <c r="J444" s="1" t="s">
        <v>18</v>
      </c>
      <c r="K444" s="1">
        <v>0</v>
      </c>
      <c r="L444" s="1" t="s">
        <v>19</v>
      </c>
      <c r="M444" s="1" t="str">
        <f t="shared" si="6"/>
        <v>Potential Layering</v>
      </c>
      <c r="N444" s="1" t="str">
        <f>_xlfn.XLOOKUP(H444, risk_score!A:A, risk_score!B:B, 0)</f>
        <v>Low Risk</v>
      </c>
    </row>
    <row r="445" spans="1:14">
      <c r="A445" s="2">
        <v>0.45234953703703706</v>
      </c>
      <c r="B445" s="3">
        <v>44841</v>
      </c>
      <c r="C445" s="1">
        <v>8938772134</v>
      </c>
      <c r="D445" s="1">
        <v>1251714328</v>
      </c>
      <c r="E445" s="1">
        <v>10433.620000000001</v>
      </c>
      <c r="F445" s="1" t="s">
        <v>12</v>
      </c>
      <c r="G445" s="1" t="s">
        <v>12</v>
      </c>
      <c r="H445" s="1" t="s">
        <v>13</v>
      </c>
      <c r="I445" s="1" t="s">
        <v>13</v>
      </c>
      <c r="J445" s="1" t="s">
        <v>25</v>
      </c>
      <c r="K445" s="1">
        <v>0</v>
      </c>
      <c r="L445" s="1" t="s">
        <v>21</v>
      </c>
      <c r="M445" s="1" t="str">
        <f t="shared" si="6"/>
        <v>Consistent</v>
      </c>
      <c r="N445" s="1" t="str">
        <f>_xlfn.XLOOKUP(H445, risk_score!A:A, risk_score!B:B, 0)</f>
        <v>Low Risk</v>
      </c>
    </row>
    <row r="446" spans="1:14">
      <c r="A446" s="2">
        <v>0.4523611111111111</v>
      </c>
      <c r="B446" s="3">
        <v>44841</v>
      </c>
      <c r="C446" s="1">
        <v>868398142</v>
      </c>
      <c r="D446" s="1">
        <v>6970509335</v>
      </c>
      <c r="E446" s="1">
        <v>728.8</v>
      </c>
      <c r="F446" s="1" t="s">
        <v>12</v>
      </c>
      <c r="G446" s="1" t="s">
        <v>12</v>
      </c>
      <c r="H446" s="1" t="s">
        <v>13</v>
      </c>
      <c r="I446" s="1" t="s">
        <v>13</v>
      </c>
      <c r="J446" s="1" t="s">
        <v>14</v>
      </c>
      <c r="K446" s="1">
        <v>0</v>
      </c>
      <c r="L446" s="1" t="s">
        <v>15</v>
      </c>
      <c r="M446" s="1" t="str">
        <f t="shared" si="6"/>
        <v>Consistent</v>
      </c>
      <c r="N446" s="1" t="str">
        <f>_xlfn.XLOOKUP(H446, risk_score!A:A, risk_score!B:B, 0)</f>
        <v>Low Risk</v>
      </c>
    </row>
    <row r="447" spans="1:14">
      <c r="A447" s="2">
        <v>0.4523611111111111</v>
      </c>
      <c r="B447" s="3">
        <v>44841</v>
      </c>
      <c r="C447" s="1">
        <v>1491989064</v>
      </c>
      <c r="D447" s="1">
        <v>8401255335</v>
      </c>
      <c r="E447" s="1">
        <v>6037.94</v>
      </c>
      <c r="F447" s="1" t="s">
        <v>12</v>
      </c>
      <c r="G447" s="1" t="s">
        <v>16</v>
      </c>
      <c r="H447" s="1" t="s">
        <v>13</v>
      </c>
      <c r="I447" s="1" t="s">
        <v>17</v>
      </c>
      <c r="J447" s="1" t="s">
        <v>18</v>
      </c>
      <c r="K447" s="1">
        <v>0</v>
      </c>
      <c r="L447" s="1" t="s">
        <v>19</v>
      </c>
      <c r="M447" s="1" t="str">
        <f t="shared" si="6"/>
        <v>Potential Layering</v>
      </c>
      <c r="N447" s="1" t="str">
        <f>_xlfn.XLOOKUP(H447, risk_score!A:A, risk_score!B:B, 0)</f>
        <v>Low Risk</v>
      </c>
    </row>
    <row r="448" spans="1:14">
      <c r="A448" s="2">
        <v>0.4523611111111111</v>
      </c>
      <c r="B448" s="3">
        <v>44841</v>
      </c>
      <c r="C448" s="1">
        <v>6499777292</v>
      </c>
      <c r="D448" s="1">
        <v>1377603863</v>
      </c>
      <c r="E448" s="1">
        <v>10587.15</v>
      </c>
      <c r="F448" s="1" t="s">
        <v>12</v>
      </c>
      <c r="G448" s="1" t="s">
        <v>12</v>
      </c>
      <c r="H448" s="1" t="s">
        <v>13</v>
      </c>
      <c r="I448" s="1" t="s">
        <v>13</v>
      </c>
      <c r="J448" s="1" t="s">
        <v>20</v>
      </c>
      <c r="K448" s="1">
        <v>0</v>
      </c>
      <c r="L448" s="1" t="s">
        <v>23</v>
      </c>
      <c r="M448" s="1" t="str">
        <f t="shared" si="6"/>
        <v>Consistent</v>
      </c>
      <c r="N448" s="1" t="str">
        <f>_xlfn.XLOOKUP(H448, risk_score!A:A, risk_score!B:B, 0)</f>
        <v>Low Risk</v>
      </c>
    </row>
    <row r="449" spans="1:14">
      <c r="A449" s="2">
        <v>0.45238425925925924</v>
      </c>
      <c r="B449" s="3">
        <v>44841</v>
      </c>
      <c r="C449" s="1">
        <v>5799589640</v>
      </c>
      <c r="D449" s="1">
        <v>8287462977</v>
      </c>
      <c r="E449" s="1">
        <v>976.8</v>
      </c>
      <c r="F449" s="1" t="s">
        <v>12</v>
      </c>
      <c r="G449" s="1" t="s">
        <v>12</v>
      </c>
      <c r="H449" s="1" t="s">
        <v>13</v>
      </c>
      <c r="I449" s="1" t="s">
        <v>13</v>
      </c>
      <c r="J449" s="1" t="s">
        <v>20</v>
      </c>
      <c r="K449" s="1">
        <v>0</v>
      </c>
      <c r="L449" s="1" t="s">
        <v>21</v>
      </c>
      <c r="M449" s="1" t="str">
        <f t="shared" si="6"/>
        <v>Consistent</v>
      </c>
      <c r="N449" s="1" t="str">
        <f>_xlfn.XLOOKUP(H449, risk_score!A:A, risk_score!B:B, 0)</f>
        <v>Low Risk</v>
      </c>
    </row>
    <row r="450" spans="1:14">
      <c r="A450" s="2">
        <v>0.45239583333333333</v>
      </c>
      <c r="B450" s="3">
        <v>44841</v>
      </c>
      <c r="C450" s="1">
        <v>7669236826</v>
      </c>
      <c r="D450" s="1">
        <v>7708305681</v>
      </c>
      <c r="E450" s="1">
        <v>10303.959999999999</v>
      </c>
      <c r="F450" s="1" t="s">
        <v>12</v>
      </c>
      <c r="G450" s="1" t="s">
        <v>12</v>
      </c>
      <c r="H450" s="1" t="s">
        <v>13</v>
      </c>
      <c r="I450" s="1" t="s">
        <v>13</v>
      </c>
      <c r="J450" s="1" t="s">
        <v>27</v>
      </c>
      <c r="K450" s="1">
        <v>0</v>
      </c>
      <c r="L450" s="1" t="s">
        <v>19</v>
      </c>
      <c r="M450" s="1" t="str">
        <f t="shared" si="6"/>
        <v>Consistent</v>
      </c>
      <c r="N450" s="1" t="str">
        <f>_xlfn.XLOOKUP(H450, risk_score!A:A, risk_score!B:B, 0)</f>
        <v>Low Risk</v>
      </c>
    </row>
    <row r="451" spans="1:14">
      <c r="A451" s="2">
        <v>0.45241898148148146</v>
      </c>
      <c r="B451" s="3">
        <v>44841</v>
      </c>
      <c r="C451" s="1">
        <v>4587184588</v>
      </c>
      <c r="D451" s="1">
        <v>6223365730</v>
      </c>
      <c r="E451" s="1">
        <v>10462.73</v>
      </c>
      <c r="F451" s="1" t="s">
        <v>12</v>
      </c>
      <c r="G451" s="1" t="s">
        <v>12</v>
      </c>
      <c r="H451" s="1" t="s">
        <v>13</v>
      </c>
      <c r="I451" s="1" t="s">
        <v>13</v>
      </c>
      <c r="J451" s="1" t="s">
        <v>27</v>
      </c>
      <c r="K451" s="1">
        <v>0</v>
      </c>
      <c r="L451" s="1" t="s">
        <v>23</v>
      </c>
      <c r="M451" s="1" t="str">
        <f t="shared" ref="M451:M514" si="7">IF(F451=G451, "Consistent", "Potential Layering")</f>
        <v>Consistent</v>
      </c>
      <c r="N451" s="1" t="str">
        <f>_xlfn.XLOOKUP(H451, risk_score!A:A, risk_score!B:B, 0)</f>
        <v>Low Risk</v>
      </c>
    </row>
    <row r="452" spans="1:14">
      <c r="A452" s="2">
        <v>0.45243055555555556</v>
      </c>
      <c r="B452" s="3">
        <v>44841</v>
      </c>
      <c r="C452" s="1">
        <v>3452368468</v>
      </c>
      <c r="D452" s="1">
        <v>2111706195</v>
      </c>
      <c r="E452" s="1">
        <v>15033.69</v>
      </c>
      <c r="F452" s="1" t="s">
        <v>12</v>
      </c>
      <c r="G452" s="1" t="s">
        <v>12</v>
      </c>
      <c r="H452" s="1" t="s">
        <v>13</v>
      </c>
      <c r="I452" s="1" t="s">
        <v>13</v>
      </c>
      <c r="J452" s="1" t="s">
        <v>20</v>
      </c>
      <c r="K452" s="1">
        <v>0</v>
      </c>
      <c r="L452" s="1" t="s">
        <v>19</v>
      </c>
      <c r="M452" s="1" t="str">
        <f t="shared" si="7"/>
        <v>Consistent</v>
      </c>
      <c r="N452" s="1" t="str">
        <f>_xlfn.XLOOKUP(H452, risk_score!A:A, risk_score!B:B, 0)</f>
        <v>Low Risk</v>
      </c>
    </row>
    <row r="453" spans="1:14">
      <c r="A453" s="2">
        <v>0.45244212962962965</v>
      </c>
      <c r="B453" s="3">
        <v>44841</v>
      </c>
      <c r="C453" s="1">
        <v>1313283747</v>
      </c>
      <c r="D453" s="1">
        <v>9716797685</v>
      </c>
      <c r="E453" s="1">
        <v>3807.06</v>
      </c>
      <c r="F453" s="1" t="s">
        <v>12</v>
      </c>
      <c r="G453" s="1" t="s">
        <v>12</v>
      </c>
      <c r="H453" s="1" t="s">
        <v>13</v>
      </c>
      <c r="I453" s="1" t="s">
        <v>13</v>
      </c>
      <c r="J453" s="1" t="s">
        <v>14</v>
      </c>
      <c r="K453" s="1">
        <v>0</v>
      </c>
      <c r="L453" s="1" t="s">
        <v>15</v>
      </c>
      <c r="M453" s="1" t="str">
        <f t="shared" si="7"/>
        <v>Consistent</v>
      </c>
      <c r="N453" s="1" t="str">
        <f>_xlfn.XLOOKUP(H453, risk_score!A:A, risk_score!B:B, 0)</f>
        <v>Low Risk</v>
      </c>
    </row>
    <row r="454" spans="1:14">
      <c r="A454" s="2">
        <v>0.45244212962962965</v>
      </c>
      <c r="B454" s="3">
        <v>44841</v>
      </c>
      <c r="C454" s="1">
        <v>4238032930</v>
      </c>
      <c r="D454" s="1">
        <v>7135138536</v>
      </c>
      <c r="E454" s="1">
        <v>6749.48</v>
      </c>
      <c r="F454" s="1" t="s">
        <v>12</v>
      </c>
      <c r="G454" s="1" t="s">
        <v>12</v>
      </c>
      <c r="H454" s="1" t="s">
        <v>13</v>
      </c>
      <c r="I454" s="1" t="s">
        <v>13</v>
      </c>
      <c r="J454" s="1" t="s">
        <v>25</v>
      </c>
      <c r="K454" s="1">
        <v>0</v>
      </c>
      <c r="L454" s="1" t="s">
        <v>24</v>
      </c>
      <c r="M454" s="1" t="str">
        <f t="shared" si="7"/>
        <v>Consistent</v>
      </c>
      <c r="N454" s="1" t="str">
        <f>_xlfn.XLOOKUP(H454, risk_score!A:A, risk_score!B:B, 0)</f>
        <v>Low Risk</v>
      </c>
    </row>
    <row r="455" spans="1:14">
      <c r="A455" s="2">
        <v>0.45246527777777779</v>
      </c>
      <c r="B455" s="3">
        <v>44841</v>
      </c>
      <c r="C455" s="1">
        <v>1422566926</v>
      </c>
      <c r="D455" s="1">
        <v>744931160</v>
      </c>
      <c r="E455" s="1">
        <v>1347.06</v>
      </c>
      <c r="F455" s="1" t="s">
        <v>12</v>
      </c>
      <c r="G455" s="1" t="s">
        <v>12</v>
      </c>
      <c r="H455" s="1" t="s">
        <v>13</v>
      </c>
      <c r="I455" s="1" t="s">
        <v>13</v>
      </c>
      <c r="J455" s="1" t="s">
        <v>22</v>
      </c>
      <c r="K455" s="1">
        <v>0</v>
      </c>
      <c r="L455" s="1" t="s">
        <v>21</v>
      </c>
      <c r="M455" s="1" t="str">
        <f t="shared" si="7"/>
        <v>Consistent</v>
      </c>
      <c r="N455" s="1" t="str">
        <f>_xlfn.XLOOKUP(H455, risk_score!A:A, risk_score!B:B, 0)</f>
        <v>Low Risk</v>
      </c>
    </row>
    <row r="456" spans="1:14">
      <c r="A456" s="2">
        <v>0.45247685185185182</v>
      </c>
      <c r="B456" s="3">
        <v>44841</v>
      </c>
      <c r="C456" s="1">
        <v>4121324384</v>
      </c>
      <c r="D456" s="1">
        <v>8777101435</v>
      </c>
      <c r="E456" s="1">
        <v>18207.77</v>
      </c>
      <c r="F456" s="1" t="s">
        <v>29</v>
      </c>
      <c r="G456" s="1" t="s">
        <v>12</v>
      </c>
      <c r="H456" s="1" t="s">
        <v>30</v>
      </c>
      <c r="I456" s="1" t="s">
        <v>13</v>
      </c>
      <c r="J456" s="1" t="s">
        <v>18</v>
      </c>
      <c r="K456" s="1">
        <v>0</v>
      </c>
      <c r="L456" s="1" t="s">
        <v>19</v>
      </c>
      <c r="M456" s="1" t="str">
        <f t="shared" si="7"/>
        <v>Potential Layering</v>
      </c>
      <c r="N456" s="1" t="str">
        <f>_xlfn.XLOOKUP(H456, risk_score!A:A, risk_score!B:B, 0)</f>
        <v>Low Risk</v>
      </c>
    </row>
    <row r="457" spans="1:14">
      <c r="A457" s="2">
        <v>0.45248842592592592</v>
      </c>
      <c r="B457" s="3">
        <v>44841</v>
      </c>
      <c r="C457" s="1">
        <v>9534729015</v>
      </c>
      <c r="D457" s="1">
        <v>1948023764</v>
      </c>
      <c r="E457" s="1">
        <v>21534.12</v>
      </c>
      <c r="F457" s="1" t="s">
        <v>12</v>
      </c>
      <c r="G457" s="1" t="s">
        <v>12</v>
      </c>
      <c r="H457" s="1" t="s">
        <v>13</v>
      </c>
      <c r="I457" s="1" t="s">
        <v>13</v>
      </c>
      <c r="J457" s="1" t="s">
        <v>22</v>
      </c>
      <c r="K457" s="1">
        <v>0</v>
      </c>
      <c r="L457" s="1" t="s">
        <v>19</v>
      </c>
      <c r="M457" s="1" t="str">
        <f t="shared" si="7"/>
        <v>Consistent</v>
      </c>
      <c r="N457" s="1" t="str">
        <f>_xlfn.XLOOKUP(H457, risk_score!A:A, risk_score!B:B, 0)</f>
        <v>Low Risk</v>
      </c>
    </row>
    <row r="458" spans="1:14">
      <c r="A458" s="2">
        <v>0.45261574074074074</v>
      </c>
      <c r="B458" s="3">
        <v>44841</v>
      </c>
      <c r="C458" s="1">
        <v>675669049</v>
      </c>
      <c r="D458" s="1">
        <v>4348868412</v>
      </c>
      <c r="E458" s="1">
        <v>7272.59</v>
      </c>
      <c r="F458" s="1" t="s">
        <v>12</v>
      </c>
      <c r="G458" s="1" t="s">
        <v>12</v>
      </c>
      <c r="H458" s="1" t="s">
        <v>13</v>
      </c>
      <c r="I458" s="1" t="s">
        <v>13</v>
      </c>
      <c r="J458" s="1" t="s">
        <v>25</v>
      </c>
      <c r="K458" s="1">
        <v>0</v>
      </c>
      <c r="L458" s="1" t="s">
        <v>19</v>
      </c>
      <c r="M458" s="1" t="str">
        <f t="shared" si="7"/>
        <v>Consistent</v>
      </c>
      <c r="N458" s="1" t="str">
        <f>_xlfn.XLOOKUP(H458, risk_score!A:A, risk_score!B:B, 0)</f>
        <v>Low Risk</v>
      </c>
    </row>
    <row r="459" spans="1:14">
      <c r="A459" s="2">
        <v>0.45263888888888887</v>
      </c>
      <c r="B459" s="3">
        <v>44841</v>
      </c>
      <c r="C459" s="1">
        <v>6505314292</v>
      </c>
      <c r="D459" s="1">
        <v>6551259656</v>
      </c>
      <c r="E459" s="1">
        <v>4713.43</v>
      </c>
      <c r="F459" s="1" t="s">
        <v>12</v>
      </c>
      <c r="G459" s="1" t="s">
        <v>12</v>
      </c>
      <c r="H459" s="1" t="s">
        <v>13</v>
      </c>
      <c r="I459" s="1" t="s">
        <v>13</v>
      </c>
      <c r="J459" s="1" t="s">
        <v>14</v>
      </c>
      <c r="K459" s="1">
        <v>0</v>
      </c>
      <c r="L459" s="1" t="s">
        <v>15</v>
      </c>
      <c r="M459" s="1" t="str">
        <f t="shared" si="7"/>
        <v>Consistent</v>
      </c>
      <c r="N459" s="1" t="str">
        <f>_xlfn.XLOOKUP(H459, risk_score!A:A, risk_score!B:B, 0)</f>
        <v>Low Risk</v>
      </c>
    </row>
    <row r="460" spans="1:14">
      <c r="A460" s="2">
        <v>0.45263888888888887</v>
      </c>
      <c r="B460" s="3">
        <v>44841</v>
      </c>
      <c r="C460" s="1">
        <v>3884364796</v>
      </c>
      <c r="D460" s="1">
        <v>3678154204</v>
      </c>
      <c r="E460" s="1">
        <v>92.61</v>
      </c>
      <c r="F460" s="1" t="s">
        <v>12</v>
      </c>
      <c r="G460" s="1" t="s">
        <v>12</v>
      </c>
      <c r="H460" s="1" t="s">
        <v>13</v>
      </c>
      <c r="I460" s="1" t="s">
        <v>13</v>
      </c>
      <c r="J460" s="1" t="s">
        <v>25</v>
      </c>
      <c r="K460" s="1">
        <v>0</v>
      </c>
      <c r="L460" s="1" t="s">
        <v>21</v>
      </c>
      <c r="M460" s="1" t="str">
        <f t="shared" si="7"/>
        <v>Consistent</v>
      </c>
      <c r="N460" s="1" t="str">
        <f>_xlfn.XLOOKUP(H460, risk_score!A:A, risk_score!B:B, 0)</f>
        <v>Low Risk</v>
      </c>
    </row>
    <row r="461" spans="1:14">
      <c r="A461" s="2">
        <v>0.45266203703703706</v>
      </c>
      <c r="B461" s="3">
        <v>44841</v>
      </c>
      <c r="C461" s="1">
        <v>2797271466</v>
      </c>
      <c r="D461" s="1">
        <v>1492744665</v>
      </c>
      <c r="E461" s="1">
        <v>5961.74</v>
      </c>
      <c r="F461" s="1" t="s">
        <v>12</v>
      </c>
      <c r="G461" s="1" t="s">
        <v>12</v>
      </c>
      <c r="H461" s="1" t="s">
        <v>13</v>
      </c>
      <c r="I461" s="1" t="s">
        <v>13</v>
      </c>
      <c r="J461" s="1" t="s">
        <v>25</v>
      </c>
      <c r="K461" s="1">
        <v>0</v>
      </c>
      <c r="L461" s="1" t="s">
        <v>19</v>
      </c>
      <c r="M461" s="1" t="str">
        <f t="shared" si="7"/>
        <v>Consistent</v>
      </c>
      <c r="N461" s="1" t="str">
        <f>_xlfn.XLOOKUP(H461, risk_score!A:A, risk_score!B:B, 0)</f>
        <v>Low Risk</v>
      </c>
    </row>
    <row r="462" spans="1:14">
      <c r="A462" s="2">
        <v>0.45271990740740742</v>
      </c>
      <c r="B462" s="3">
        <v>44841</v>
      </c>
      <c r="C462" s="1">
        <v>8244937262</v>
      </c>
      <c r="D462" s="1">
        <v>6034997194</v>
      </c>
      <c r="E462" s="1">
        <v>6301.57</v>
      </c>
      <c r="F462" s="1" t="s">
        <v>12</v>
      </c>
      <c r="G462" s="1" t="s">
        <v>12</v>
      </c>
      <c r="H462" s="1" t="s">
        <v>13</v>
      </c>
      <c r="I462" s="1" t="s">
        <v>13</v>
      </c>
      <c r="J462" s="1" t="s">
        <v>22</v>
      </c>
      <c r="K462" s="1">
        <v>0</v>
      </c>
      <c r="L462" s="1" t="s">
        <v>23</v>
      </c>
      <c r="M462" s="1" t="str">
        <f t="shared" si="7"/>
        <v>Consistent</v>
      </c>
      <c r="N462" s="1" t="str">
        <f>_xlfn.XLOOKUP(H462, risk_score!A:A, risk_score!B:B, 0)</f>
        <v>Low Risk</v>
      </c>
    </row>
    <row r="463" spans="1:14">
      <c r="A463" s="2">
        <v>0.45278935185185187</v>
      </c>
      <c r="B463" s="3">
        <v>44841</v>
      </c>
      <c r="C463" s="1">
        <v>4543595075</v>
      </c>
      <c r="D463" s="1">
        <v>6034997194</v>
      </c>
      <c r="E463" s="1">
        <v>15350.7</v>
      </c>
      <c r="F463" s="1" t="s">
        <v>12</v>
      </c>
      <c r="G463" s="1" t="s">
        <v>12</v>
      </c>
      <c r="H463" s="1" t="s">
        <v>13</v>
      </c>
      <c r="I463" s="1" t="s">
        <v>13</v>
      </c>
      <c r="J463" s="1" t="s">
        <v>22</v>
      </c>
      <c r="K463" s="1">
        <v>0</v>
      </c>
      <c r="L463" s="1" t="s">
        <v>23</v>
      </c>
      <c r="M463" s="1" t="str">
        <f t="shared" si="7"/>
        <v>Consistent</v>
      </c>
      <c r="N463" s="1" t="str">
        <f>_xlfn.XLOOKUP(H463, risk_score!A:A, risk_score!B:B, 0)</f>
        <v>Low Risk</v>
      </c>
    </row>
    <row r="464" spans="1:14">
      <c r="A464" s="2">
        <v>0.45280092592592591</v>
      </c>
      <c r="B464" s="3">
        <v>44841</v>
      </c>
      <c r="C464" s="1">
        <v>7758268667</v>
      </c>
      <c r="D464" s="1">
        <v>7505089539</v>
      </c>
      <c r="E464" s="1">
        <v>8384.9</v>
      </c>
      <c r="F464" s="1" t="s">
        <v>12</v>
      </c>
      <c r="G464" s="1" t="s">
        <v>12</v>
      </c>
      <c r="H464" s="1" t="s">
        <v>13</v>
      </c>
      <c r="I464" s="1" t="s">
        <v>13</v>
      </c>
      <c r="J464" s="1" t="s">
        <v>25</v>
      </c>
      <c r="K464" s="1">
        <v>0</v>
      </c>
      <c r="L464" s="1" t="s">
        <v>19</v>
      </c>
      <c r="M464" s="1" t="str">
        <f t="shared" si="7"/>
        <v>Consistent</v>
      </c>
      <c r="N464" s="1" t="str">
        <f>_xlfn.XLOOKUP(H464, risk_score!A:A, risk_score!B:B, 0)</f>
        <v>Low Risk</v>
      </c>
    </row>
    <row r="465" spans="1:14">
      <c r="A465" s="2">
        <v>0.45283564814814814</v>
      </c>
      <c r="B465" s="3">
        <v>44841</v>
      </c>
      <c r="C465" s="1">
        <v>9599009457</v>
      </c>
      <c r="D465" s="1">
        <v>2870306224</v>
      </c>
      <c r="E465" s="1">
        <v>8690.65</v>
      </c>
      <c r="F465" s="1" t="s">
        <v>12</v>
      </c>
      <c r="G465" s="1" t="s">
        <v>12</v>
      </c>
      <c r="H465" s="1" t="s">
        <v>13</v>
      </c>
      <c r="I465" s="1" t="s">
        <v>13</v>
      </c>
      <c r="J465" s="1" t="s">
        <v>25</v>
      </c>
      <c r="K465" s="1">
        <v>0</v>
      </c>
      <c r="L465" s="1" t="s">
        <v>19</v>
      </c>
      <c r="M465" s="1" t="str">
        <f t="shared" si="7"/>
        <v>Consistent</v>
      </c>
      <c r="N465" s="1" t="str">
        <f>_xlfn.XLOOKUP(H465, risk_score!A:A, risk_score!B:B, 0)</f>
        <v>Low Risk</v>
      </c>
    </row>
    <row r="466" spans="1:14">
      <c r="A466" s="2">
        <v>0.45287037037037037</v>
      </c>
      <c r="B466" s="3">
        <v>44841</v>
      </c>
      <c r="C466" s="1">
        <v>1367481057</v>
      </c>
      <c r="D466" s="1">
        <v>3411887666</v>
      </c>
      <c r="E466" s="1">
        <v>1460.82</v>
      </c>
      <c r="F466" s="1" t="s">
        <v>12</v>
      </c>
      <c r="G466" s="1" t="s">
        <v>12</v>
      </c>
      <c r="H466" s="1" t="s">
        <v>13</v>
      </c>
      <c r="I466" s="1" t="s">
        <v>13</v>
      </c>
      <c r="J466" s="1" t="s">
        <v>25</v>
      </c>
      <c r="K466" s="1">
        <v>0</v>
      </c>
      <c r="L466" s="1" t="s">
        <v>21</v>
      </c>
      <c r="M466" s="1" t="str">
        <f t="shared" si="7"/>
        <v>Consistent</v>
      </c>
      <c r="N466" s="1" t="str">
        <f>_xlfn.XLOOKUP(H466, risk_score!A:A, risk_score!B:B, 0)</f>
        <v>Low Risk</v>
      </c>
    </row>
    <row r="467" spans="1:14">
      <c r="A467" s="2">
        <v>0.45288194444444446</v>
      </c>
      <c r="B467" s="3">
        <v>44841</v>
      </c>
      <c r="C467" s="1">
        <v>5102544036</v>
      </c>
      <c r="D467" s="1">
        <v>5109623450</v>
      </c>
      <c r="E467" s="1">
        <v>6837.95</v>
      </c>
      <c r="F467" s="1" t="s">
        <v>12</v>
      </c>
      <c r="G467" s="1" t="s">
        <v>12</v>
      </c>
      <c r="H467" s="1" t="s">
        <v>13</v>
      </c>
      <c r="I467" s="1" t="s">
        <v>13</v>
      </c>
      <c r="J467" s="1" t="s">
        <v>25</v>
      </c>
      <c r="K467" s="1">
        <v>0</v>
      </c>
      <c r="L467" s="1" t="s">
        <v>23</v>
      </c>
      <c r="M467" s="1" t="str">
        <f t="shared" si="7"/>
        <v>Consistent</v>
      </c>
      <c r="N467" s="1" t="str">
        <f>_xlfn.XLOOKUP(H467, risk_score!A:A, risk_score!B:B, 0)</f>
        <v>Low Risk</v>
      </c>
    </row>
    <row r="468" spans="1:14">
      <c r="A468" s="2">
        <v>0.4529050925925926</v>
      </c>
      <c r="B468" s="3">
        <v>44841</v>
      </c>
      <c r="C468" s="1">
        <v>9482437626</v>
      </c>
      <c r="D468" s="1">
        <v>6781542095</v>
      </c>
      <c r="E468" s="1">
        <v>308.83999999999997</v>
      </c>
      <c r="F468" s="1" t="s">
        <v>12</v>
      </c>
      <c r="G468" s="1" t="s">
        <v>12</v>
      </c>
      <c r="H468" s="1" t="s">
        <v>13</v>
      </c>
      <c r="I468" s="1" t="s">
        <v>13</v>
      </c>
      <c r="J468" s="1" t="s">
        <v>36</v>
      </c>
      <c r="K468" s="1">
        <v>0</v>
      </c>
      <c r="L468" s="1" t="s">
        <v>37</v>
      </c>
      <c r="M468" s="1" t="str">
        <f t="shared" si="7"/>
        <v>Consistent</v>
      </c>
      <c r="N468" s="1" t="str">
        <f>_xlfn.XLOOKUP(H468, risk_score!A:A, risk_score!B:B, 0)</f>
        <v>Low Risk</v>
      </c>
    </row>
    <row r="469" spans="1:14">
      <c r="A469" s="2">
        <v>0.45292824074074073</v>
      </c>
      <c r="B469" s="3">
        <v>44841</v>
      </c>
      <c r="C469" s="1">
        <v>7421451752</v>
      </c>
      <c r="D469" s="1">
        <v>1103906765</v>
      </c>
      <c r="E469" s="1">
        <v>20811.310000000001</v>
      </c>
      <c r="F469" s="1" t="s">
        <v>12</v>
      </c>
      <c r="G469" s="1" t="s">
        <v>12</v>
      </c>
      <c r="H469" s="1" t="s">
        <v>13</v>
      </c>
      <c r="I469" s="1" t="s">
        <v>13</v>
      </c>
      <c r="J469" s="1" t="s">
        <v>25</v>
      </c>
      <c r="K469" s="1">
        <v>0</v>
      </c>
      <c r="L469" s="1" t="s">
        <v>19</v>
      </c>
      <c r="M469" s="1" t="str">
        <f t="shared" si="7"/>
        <v>Consistent</v>
      </c>
      <c r="N469" s="1" t="str">
        <f>_xlfn.XLOOKUP(H469, risk_score!A:A, risk_score!B:B, 0)</f>
        <v>Low Risk</v>
      </c>
    </row>
    <row r="470" spans="1:14">
      <c r="A470" s="2">
        <v>0.45296296296296296</v>
      </c>
      <c r="B470" s="3">
        <v>44841</v>
      </c>
      <c r="C470" s="1">
        <v>8052801346</v>
      </c>
      <c r="D470" s="1">
        <v>5482042682</v>
      </c>
      <c r="E470" s="1">
        <v>1102.05</v>
      </c>
      <c r="F470" s="1" t="s">
        <v>12</v>
      </c>
      <c r="G470" s="1" t="s">
        <v>12</v>
      </c>
      <c r="H470" s="1" t="s">
        <v>13</v>
      </c>
      <c r="I470" s="1" t="s">
        <v>13</v>
      </c>
      <c r="J470" s="1" t="s">
        <v>27</v>
      </c>
      <c r="K470" s="1">
        <v>0</v>
      </c>
      <c r="L470" s="1" t="s">
        <v>21</v>
      </c>
      <c r="M470" s="1" t="str">
        <f t="shared" si="7"/>
        <v>Consistent</v>
      </c>
      <c r="N470" s="1" t="str">
        <f>_xlfn.XLOOKUP(H470, risk_score!A:A, risk_score!B:B, 0)</f>
        <v>Low Risk</v>
      </c>
    </row>
    <row r="471" spans="1:14">
      <c r="A471" s="2">
        <v>0.45299768518518518</v>
      </c>
      <c r="B471" s="3">
        <v>44841</v>
      </c>
      <c r="C471" s="1">
        <v>2041162165</v>
      </c>
      <c r="D471" s="1">
        <v>1448912136</v>
      </c>
      <c r="E471" s="1">
        <v>2351.15</v>
      </c>
      <c r="F471" s="1" t="s">
        <v>12</v>
      </c>
      <c r="G471" s="1" t="s">
        <v>12</v>
      </c>
      <c r="H471" s="1" t="s">
        <v>13</v>
      </c>
      <c r="I471" s="1" t="s">
        <v>13</v>
      </c>
      <c r="J471" s="1" t="s">
        <v>20</v>
      </c>
      <c r="K471" s="1">
        <v>0</v>
      </c>
      <c r="L471" s="1" t="s">
        <v>24</v>
      </c>
      <c r="M471" s="1" t="str">
        <f t="shared" si="7"/>
        <v>Consistent</v>
      </c>
      <c r="N471" s="1" t="str">
        <f>_xlfn.XLOOKUP(H471, risk_score!A:A, risk_score!B:B, 0)</f>
        <v>Low Risk</v>
      </c>
    </row>
    <row r="472" spans="1:14">
      <c r="A472" s="2">
        <v>0.45300925925925928</v>
      </c>
      <c r="B472" s="3">
        <v>44841</v>
      </c>
      <c r="C472" s="1">
        <v>2588097391</v>
      </c>
      <c r="D472" s="1">
        <v>6385499580</v>
      </c>
      <c r="E472" s="1">
        <v>9079.56</v>
      </c>
      <c r="F472" s="1" t="s">
        <v>12</v>
      </c>
      <c r="G472" s="1" t="s">
        <v>12</v>
      </c>
      <c r="H472" s="1" t="s">
        <v>13</v>
      </c>
      <c r="I472" s="1" t="s">
        <v>13</v>
      </c>
      <c r="J472" s="1" t="s">
        <v>20</v>
      </c>
      <c r="K472" s="1">
        <v>0</v>
      </c>
      <c r="L472" s="1" t="s">
        <v>21</v>
      </c>
      <c r="M472" s="1" t="str">
        <f t="shared" si="7"/>
        <v>Consistent</v>
      </c>
      <c r="N472" s="1" t="str">
        <f>_xlfn.XLOOKUP(H472, risk_score!A:A, risk_score!B:B, 0)</f>
        <v>Low Risk</v>
      </c>
    </row>
    <row r="473" spans="1:14">
      <c r="A473" s="2">
        <v>0.45303240740740741</v>
      </c>
      <c r="B473" s="3">
        <v>44841</v>
      </c>
      <c r="C473" s="1">
        <v>1670948762</v>
      </c>
      <c r="D473" s="1">
        <v>6444220418</v>
      </c>
      <c r="E473" s="1">
        <v>17576.099999999999</v>
      </c>
      <c r="F473" s="1" t="s">
        <v>12</v>
      </c>
      <c r="G473" s="1" t="s">
        <v>12</v>
      </c>
      <c r="H473" s="1" t="s">
        <v>13</v>
      </c>
      <c r="I473" s="1" t="s">
        <v>13</v>
      </c>
      <c r="J473" s="1" t="s">
        <v>27</v>
      </c>
      <c r="K473" s="1">
        <v>0</v>
      </c>
      <c r="L473" s="1" t="s">
        <v>23</v>
      </c>
      <c r="M473" s="1" t="str">
        <f t="shared" si="7"/>
        <v>Consistent</v>
      </c>
      <c r="N473" s="1" t="str">
        <f>_xlfn.XLOOKUP(H473, risk_score!A:A, risk_score!B:B, 0)</f>
        <v>Low Risk</v>
      </c>
    </row>
    <row r="474" spans="1:14">
      <c r="A474" s="2">
        <v>0.45303240740740741</v>
      </c>
      <c r="B474" s="3">
        <v>44841</v>
      </c>
      <c r="C474" s="1">
        <v>511037666</v>
      </c>
      <c r="D474" s="1">
        <v>8678802420</v>
      </c>
      <c r="E474" s="1">
        <v>8593.67</v>
      </c>
      <c r="F474" s="1" t="s">
        <v>12</v>
      </c>
      <c r="G474" s="1" t="s">
        <v>12</v>
      </c>
      <c r="H474" s="1" t="s">
        <v>13</v>
      </c>
      <c r="I474" s="1" t="s">
        <v>13</v>
      </c>
      <c r="J474" s="1" t="s">
        <v>25</v>
      </c>
      <c r="K474" s="1">
        <v>0</v>
      </c>
      <c r="L474" s="1" t="s">
        <v>23</v>
      </c>
      <c r="M474" s="1" t="str">
        <f t="shared" si="7"/>
        <v>Consistent</v>
      </c>
      <c r="N474" s="1" t="str">
        <f>_xlfn.XLOOKUP(H474, risk_score!A:A, risk_score!B:B, 0)</f>
        <v>Low Risk</v>
      </c>
    </row>
    <row r="475" spans="1:14">
      <c r="A475" s="2">
        <v>0.45319444444444446</v>
      </c>
      <c r="B475" s="3">
        <v>44841</v>
      </c>
      <c r="C475" s="1">
        <v>8769747914</v>
      </c>
      <c r="D475" s="1">
        <v>5816813063</v>
      </c>
      <c r="E475" s="1">
        <v>5390.78</v>
      </c>
      <c r="F475" s="1" t="s">
        <v>12</v>
      </c>
      <c r="G475" s="1" t="s">
        <v>12</v>
      </c>
      <c r="H475" s="1" t="s">
        <v>13</v>
      </c>
      <c r="I475" s="1" t="s">
        <v>13</v>
      </c>
      <c r="J475" s="1" t="s">
        <v>22</v>
      </c>
      <c r="K475" s="1">
        <v>0</v>
      </c>
      <c r="L475" s="1" t="s">
        <v>21</v>
      </c>
      <c r="M475" s="1" t="str">
        <f t="shared" si="7"/>
        <v>Consistent</v>
      </c>
      <c r="N475" s="1" t="str">
        <f>_xlfn.XLOOKUP(H475, risk_score!A:A, risk_score!B:B, 0)</f>
        <v>Low Risk</v>
      </c>
    </row>
    <row r="476" spans="1:14">
      <c r="A476" s="2">
        <v>0.45324074074074072</v>
      </c>
      <c r="B476" s="3">
        <v>44841</v>
      </c>
      <c r="C476" s="1">
        <v>1265983749</v>
      </c>
      <c r="D476" s="1">
        <v>8760936984</v>
      </c>
      <c r="E476" s="1">
        <v>1728.9</v>
      </c>
      <c r="F476" s="1" t="s">
        <v>12</v>
      </c>
      <c r="G476" s="1" t="s">
        <v>12</v>
      </c>
      <c r="H476" s="1" t="s">
        <v>13</v>
      </c>
      <c r="I476" s="1" t="s">
        <v>13</v>
      </c>
      <c r="J476" s="1" t="s">
        <v>20</v>
      </c>
      <c r="K476" s="1">
        <v>0</v>
      </c>
      <c r="L476" s="1" t="s">
        <v>21</v>
      </c>
      <c r="M476" s="1" t="str">
        <f t="shared" si="7"/>
        <v>Consistent</v>
      </c>
      <c r="N476" s="1" t="str">
        <f>_xlfn.XLOOKUP(H476, risk_score!A:A, risk_score!B:B, 0)</f>
        <v>Low Risk</v>
      </c>
    </row>
    <row r="477" spans="1:14">
      <c r="A477" s="2">
        <v>0.45324074074074072</v>
      </c>
      <c r="B477" s="3">
        <v>44841</v>
      </c>
      <c r="C477" s="1">
        <v>2687511294</v>
      </c>
      <c r="D477" s="1">
        <v>9890571312</v>
      </c>
      <c r="E477" s="1">
        <v>640.23</v>
      </c>
      <c r="F477" s="1" t="s">
        <v>12</v>
      </c>
      <c r="G477" s="1" t="s">
        <v>12</v>
      </c>
      <c r="H477" s="1" t="s">
        <v>13</v>
      </c>
      <c r="I477" s="1" t="s">
        <v>13</v>
      </c>
      <c r="J477" s="1" t="s">
        <v>22</v>
      </c>
      <c r="K477" s="1">
        <v>0</v>
      </c>
      <c r="L477" s="1" t="s">
        <v>21</v>
      </c>
      <c r="M477" s="1" t="str">
        <f t="shared" si="7"/>
        <v>Consistent</v>
      </c>
      <c r="N477" s="1" t="str">
        <f>_xlfn.XLOOKUP(H477, risk_score!A:A, risk_score!B:B, 0)</f>
        <v>Low Risk</v>
      </c>
    </row>
    <row r="478" spans="1:14">
      <c r="A478" s="2">
        <v>0.45325231481481482</v>
      </c>
      <c r="B478" s="3">
        <v>44841</v>
      </c>
      <c r="C478" s="1">
        <v>1218186942</v>
      </c>
      <c r="D478" s="1">
        <v>6232366766</v>
      </c>
      <c r="E478" s="1">
        <v>1143.3599999999999</v>
      </c>
      <c r="F478" s="1" t="s">
        <v>12</v>
      </c>
      <c r="G478" s="1" t="s">
        <v>12</v>
      </c>
      <c r="H478" s="1" t="s">
        <v>13</v>
      </c>
      <c r="I478" s="1" t="s">
        <v>13</v>
      </c>
      <c r="J478" s="1" t="s">
        <v>25</v>
      </c>
      <c r="K478" s="1">
        <v>0</v>
      </c>
      <c r="L478" s="1" t="s">
        <v>21</v>
      </c>
      <c r="M478" s="1" t="str">
        <f t="shared" si="7"/>
        <v>Consistent</v>
      </c>
      <c r="N478" s="1" t="str">
        <f>_xlfn.XLOOKUP(H478, risk_score!A:A, risk_score!B:B, 0)</f>
        <v>Low Risk</v>
      </c>
    </row>
    <row r="479" spans="1:14">
      <c r="A479" s="2">
        <v>0.45328703703703704</v>
      </c>
      <c r="B479" s="3">
        <v>44841</v>
      </c>
      <c r="C479" s="1">
        <v>312690129</v>
      </c>
      <c r="D479" s="1">
        <v>2368019884</v>
      </c>
      <c r="E479" s="1">
        <v>3810.16</v>
      </c>
      <c r="F479" s="1" t="s">
        <v>12</v>
      </c>
      <c r="G479" s="1" t="s">
        <v>12</v>
      </c>
      <c r="H479" s="1" t="s">
        <v>13</v>
      </c>
      <c r="I479" s="1" t="s">
        <v>13</v>
      </c>
      <c r="J479" s="1" t="s">
        <v>27</v>
      </c>
      <c r="K479" s="1">
        <v>0</v>
      </c>
      <c r="L479" s="1" t="s">
        <v>21</v>
      </c>
      <c r="M479" s="1" t="str">
        <f t="shared" si="7"/>
        <v>Consistent</v>
      </c>
      <c r="N479" s="1" t="str">
        <f>_xlfn.XLOOKUP(H479, risk_score!A:A, risk_score!B:B, 0)</f>
        <v>Low Risk</v>
      </c>
    </row>
    <row r="480" spans="1:14">
      <c r="A480" s="2">
        <v>0.4533449074074074</v>
      </c>
      <c r="B480" s="3">
        <v>44841</v>
      </c>
      <c r="C480" s="1">
        <v>2797271466</v>
      </c>
      <c r="D480" s="1">
        <v>1856317214</v>
      </c>
      <c r="E480" s="1">
        <v>6026.46</v>
      </c>
      <c r="F480" s="1" t="s">
        <v>12</v>
      </c>
      <c r="G480" s="1" t="s">
        <v>12</v>
      </c>
      <c r="H480" s="1" t="s">
        <v>13</v>
      </c>
      <c r="I480" s="1" t="s">
        <v>13</v>
      </c>
      <c r="J480" s="1" t="s">
        <v>25</v>
      </c>
      <c r="K480" s="1">
        <v>0</v>
      </c>
      <c r="L480" s="1" t="s">
        <v>19</v>
      </c>
      <c r="M480" s="1" t="str">
        <f t="shared" si="7"/>
        <v>Consistent</v>
      </c>
      <c r="N480" s="1" t="str">
        <f>_xlfn.XLOOKUP(H480, risk_score!A:A, risk_score!B:B, 0)</f>
        <v>Low Risk</v>
      </c>
    </row>
    <row r="481" spans="1:14">
      <c r="A481" s="2">
        <v>0.45350694444444445</v>
      </c>
      <c r="B481" s="3">
        <v>44841</v>
      </c>
      <c r="C481" s="1">
        <v>8099695854</v>
      </c>
      <c r="D481" s="1">
        <v>5991515018</v>
      </c>
      <c r="E481" s="1">
        <v>63.44</v>
      </c>
      <c r="F481" s="1" t="s">
        <v>12</v>
      </c>
      <c r="G481" s="1" t="s">
        <v>12</v>
      </c>
      <c r="H481" s="1" t="s">
        <v>13</v>
      </c>
      <c r="I481" s="1" t="s">
        <v>13</v>
      </c>
      <c r="J481" s="1" t="s">
        <v>36</v>
      </c>
      <c r="K481" s="1">
        <v>0</v>
      </c>
      <c r="L481" s="1" t="s">
        <v>37</v>
      </c>
      <c r="M481" s="1" t="str">
        <f t="shared" si="7"/>
        <v>Consistent</v>
      </c>
      <c r="N481" s="1" t="str">
        <f>_xlfn.XLOOKUP(H481, risk_score!A:A, risk_score!B:B, 0)</f>
        <v>Low Risk</v>
      </c>
    </row>
    <row r="482" spans="1:14">
      <c r="A482" s="2">
        <v>0.45350694444444445</v>
      </c>
      <c r="B482" s="3">
        <v>44841</v>
      </c>
      <c r="C482" s="1">
        <v>9307113143</v>
      </c>
      <c r="D482" s="1">
        <v>954297398</v>
      </c>
      <c r="E482" s="1">
        <v>598.36</v>
      </c>
      <c r="F482" s="1" t="s">
        <v>12</v>
      </c>
      <c r="G482" s="1" t="s">
        <v>12</v>
      </c>
      <c r="H482" s="1" t="s">
        <v>13</v>
      </c>
      <c r="I482" s="1" t="s">
        <v>13</v>
      </c>
      <c r="J482" s="1" t="s">
        <v>27</v>
      </c>
      <c r="K482" s="1">
        <v>0</v>
      </c>
      <c r="L482" s="1" t="s">
        <v>21</v>
      </c>
      <c r="M482" s="1" t="str">
        <f t="shared" si="7"/>
        <v>Consistent</v>
      </c>
      <c r="N482" s="1" t="str">
        <f>_xlfn.XLOOKUP(H482, risk_score!A:A, risk_score!B:B, 0)</f>
        <v>Low Risk</v>
      </c>
    </row>
    <row r="483" spans="1:14">
      <c r="A483" s="2">
        <v>0.45351851851851854</v>
      </c>
      <c r="B483" s="3">
        <v>44841</v>
      </c>
      <c r="C483" s="1">
        <v>6127913747</v>
      </c>
      <c r="D483" s="1">
        <v>8384869861</v>
      </c>
      <c r="E483" s="1">
        <v>18066.71</v>
      </c>
      <c r="F483" s="1" t="s">
        <v>12</v>
      </c>
      <c r="G483" s="1" t="s">
        <v>29</v>
      </c>
      <c r="H483" s="1" t="s">
        <v>13</v>
      </c>
      <c r="I483" s="1" t="s">
        <v>50</v>
      </c>
      <c r="J483" s="1" t="s">
        <v>18</v>
      </c>
      <c r="K483" s="1">
        <v>0</v>
      </c>
      <c r="L483" s="1" t="s">
        <v>41</v>
      </c>
      <c r="M483" s="1" t="str">
        <f t="shared" si="7"/>
        <v>Potential Layering</v>
      </c>
      <c r="N483" s="1" t="str">
        <f>_xlfn.XLOOKUP(H483, risk_score!A:A, risk_score!B:B, 0)</f>
        <v>Low Risk</v>
      </c>
    </row>
    <row r="484" spans="1:14">
      <c r="A484" s="2">
        <v>0.45353009259259258</v>
      </c>
      <c r="B484" s="3">
        <v>44841</v>
      </c>
      <c r="C484" s="1">
        <v>2790502538</v>
      </c>
      <c r="D484" s="1">
        <v>7386959843</v>
      </c>
      <c r="E484" s="1">
        <v>4137.12</v>
      </c>
      <c r="F484" s="1" t="s">
        <v>12</v>
      </c>
      <c r="G484" s="1" t="s">
        <v>12</v>
      </c>
      <c r="H484" s="1" t="s">
        <v>13</v>
      </c>
      <c r="I484" s="1" t="s">
        <v>13</v>
      </c>
      <c r="J484" s="1" t="s">
        <v>27</v>
      </c>
      <c r="K484" s="1">
        <v>0</v>
      </c>
      <c r="L484" s="1" t="s">
        <v>21</v>
      </c>
      <c r="M484" s="1" t="str">
        <f t="shared" si="7"/>
        <v>Consistent</v>
      </c>
      <c r="N484" s="1" t="str">
        <f>_xlfn.XLOOKUP(H484, risk_score!A:A, risk_score!B:B, 0)</f>
        <v>Low Risk</v>
      </c>
    </row>
    <row r="485" spans="1:14">
      <c r="A485" s="2">
        <v>0.45356481481481481</v>
      </c>
      <c r="B485" s="3">
        <v>44841</v>
      </c>
      <c r="C485" s="1">
        <v>4875927489</v>
      </c>
      <c r="D485" s="1">
        <v>2501279631</v>
      </c>
      <c r="E485" s="1">
        <v>4266.03</v>
      </c>
      <c r="F485" s="1" t="s">
        <v>12</v>
      </c>
      <c r="G485" s="1" t="s">
        <v>12</v>
      </c>
      <c r="H485" s="1" t="s">
        <v>13</v>
      </c>
      <c r="I485" s="1" t="s">
        <v>13</v>
      </c>
      <c r="J485" s="1" t="s">
        <v>22</v>
      </c>
      <c r="K485" s="1">
        <v>0</v>
      </c>
      <c r="L485" s="1" t="s">
        <v>21</v>
      </c>
      <c r="M485" s="1" t="str">
        <f t="shared" si="7"/>
        <v>Consistent</v>
      </c>
      <c r="N485" s="1" t="str">
        <f>_xlfn.XLOOKUP(H485, risk_score!A:A, risk_score!B:B, 0)</f>
        <v>Low Risk</v>
      </c>
    </row>
    <row r="486" spans="1:14">
      <c r="A486" s="2">
        <v>0.4535763888888889</v>
      </c>
      <c r="B486" s="3">
        <v>44841</v>
      </c>
      <c r="C486" s="1">
        <v>8244937262</v>
      </c>
      <c r="D486" s="1">
        <v>6034997194</v>
      </c>
      <c r="E486" s="1">
        <v>6320.49</v>
      </c>
      <c r="F486" s="1" t="s">
        <v>12</v>
      </c>
      <c r="G486" s="1" t="s">
        <v>12</v>
      </c>
      <c r="H486" s="1" t="s">
        <v>13</v>
      </c>
      <c r="I486" s="1" t="s">
        <v>13</v>
      </c>
      <c r="J486" s="1" t="s">
        <v>25</v>
      </c>
      <c r="K486" s="1">
        <v>0</v>
      </c>
      <c r="L486" s="1" t="s">
        <v>23</v>
      </c>
      <c r="M486" s="1" t="str">
        <f t="shared" si="7"/>
        <v>Consistent</v>
      </c>
      <c r="N486" s="1" t="str">
        <f>_xlfn.XLOOKUP(H486, risk_score!A:A, risk_score!B:B, 0)</f>
        <v>Low Risk</v>
      </c>
    </row>
    <row r="487" spans="1:14">
      <c r="A487" s="2">
        <v>0.45362268518518517</v>
      </c>
      <c r="B487" s="3">
        <v>44841</v>
      </c>
      <c r="C487" s="1">
        <v>426275085</v>
      </c>
      <c r="D487" s="1">
        <v>4662202464</v>
      </c>
      <c r="E487" s="1">
        <v>3832.04</v>
      </c>
      <c r="F487" s="1" t="s">
        <v>12</v>
      </c>
      <c r="G487" s="1" t="s">
        <v>12</v>
      </c>
      <c r="H487" s="1" t="s">
        <v>13</v>
      </c>
      <c r="I487" s="1" t="s">
        <v>13</v>
      </c>
      <c r="J487" s="1" t="s">
        <v>22</v>
      </c>
      <c r="K487" s="1">
        <v>0</v>
      </c>
      <c r="L487" s="1" t="s">
        <v>21</v>
      </c>
      <c r="M487" s="1" t="str">
        <f t="shared" si="7"/>
        <v>Consistent</v>
      </c>
      <c r="N487" s="1" t="str">
        <f>_xlfn.XLOOKUP(H487, risk_score!A:A, risk_score!B:B, 0)</f>
        <v>Low Risk</v>
      </c>
    </row>
    <row r="488" spans="1:14">
      <c r="A488" s="2">
        <v>0.45372685185185185</v>
      </c>
      <c r="B488" s="3">
        <v>44841</v>
      </c>
      <c r="C488" s="1">
        <v>6376077786</v>
      </c>
      <c r="D488" s="1">
        <v>3079818547</v>
      </c>
      <c r="E488" s="1">
        <v>13871.29</v>
      </c>
      <c r="F488" s="1" t="s">
        <v>12</v>
      </c>
      <c r="G488" s="1" t="s">
        <v>12</v>
      </c>
      <c r="H488" s="1" t="s">
        <v>13</v>
      </c>
      <c r="I488" s="1" t="s">
        <v>13</v>
      </c>
      <c r="J488" s="1" t="s">
        <v>25</v>
      </c>
      <c r="K488" s="1">
        <v>0</v>
      </c>
      <c r="L488" s="1" t="s">
        <v>23</v>
      </c>
      <c r="M488" s="1" t="str">
        <f t="shared" si="7"/>
        <v>Consistent</v>
      </c>
      <c r="N488" s="1" t="str">
        <f>_xlfn.XLOOKUP(H488, risk_score!A:A, risk_score!B:B, 0)</f>
        <v>Low Risk</v>
      </c>
    </row>
    <row r="489" spans="1:14">
      <c r="A489" s="2">
        <v>0.45374999999999999</v>
      </c>
      <c r="B489" s="3">
        <v>44841</v>
      </c>
      <c r="C489" s="1">
        <v>8203229522</v>
      </c>
      <c r="D489" s="1">
        <v>5254058209</v>
      </c>
      <c r="E489" s="1">
        <v>4464.97</v>
      </c>
      <c r="F489" s="1" t="s">
        <v>12</v>
      </c>
      <c r="G489" s="1" t="s">
        <v>16</v>
      </c>
      <c r="H489" s="1" t="s">
        <v>13</v>
      </c>
      <c r="I489" s="1" t="s">
        <v>17</v>
      </c>
      <c r="J489" s="1" t="s">
        <v>18</v>
      </c>
      <c r="K489" s="1">
        <v>0</v>
      </c>
      <c r="L489" s="1" t="s">
        <v>19</v>
      </c>
      <c r="M489" s="1" t="str">
        <f t="shared" si="7"/>
        <v>Potential Layering</v>
      </c>
      <c r="N489" s="1" t="str">
        <f>_xlfn.XLOOKUP(H489, risk_score!A:A, risk_score!B:B, 0)</f>
        <v>Low Risk</v>
      </c>
    </row>
    <row r="490" spans="1:14">
      <c r="A490" s="2">
        <v>0.45377314814814818</v>
      </c>
      <c r="B490" s="3">
        <v>44841</v>
      </c>
      <c r="C490" s="1">
        <v>1405792399</v>
      </c>
      <c r="D490" s="1">
        <v>5109623450</v>
      </c>
      <c r="E490" s="1">
        <v>16763.25</v>
      </c>
      <c r="F490" s="1" t="s">
        <v>12</v>
      </c>
      <c r="G490" s="1" t="s">
        <v>12</v>
      </c>
      <c r="H490" s="1" t="s">
        <v>13</v>
      </c>
      <c r="I490" s="1" t="s">
        <v>13</v>
      </c>
      <c r="J490" s="1" t="s">
        <v>25</v>
      </c>
      <c r="K490" s="1">
        <v>0</v>
      </c>
      <c r="L490" s="1" t="s">
        <v>23</v>
      </c>
      <c r="M490" s="1" t="str">
        <f t="shared" si="7"/>
        <v>Consistent</v>
      </c>
      <c r="N490" s="1" t="str">
        <f>_xlfn.XLOOKUP(H490, risk_score!A:A, risk_score!B:B, 0)</f>
        <v>Low Risk</v>
      </c>
    </row>
    <row r="491" spans="1:14">
      <c r="A491" s="2">
        <v>0.45381944444444444</v>
      </c>
      <c r="B491" s="3">
        <v>44841</v>
      </c>
      <c r="C491" s="1">
        <v>1915450576</v>
      </c>
      <c r="D491" s="1">
        <v>2933259781</v>
      </c>
      <c r="E491" s="1">
        <v>5924.73</v>
      </c>
      <c r="F491" s="1" t="s">
        <v>12</v>
      </c>
      <c r="G491" s="1" t="s">
        <v>12</v>
      </c>
      <c r="H491" s="1" t="s">
        <v>13</v>
      </c>
      <c r="I491" s="1" t="s">
        <v>13</v>
      </c>
      <c r="J491" s="1" t="s">
        <v>20</v>
      </c>
      <c r="K491" s="1">
        <v>0</v>
      </c>
      <c r="L491" s="1" t="s">
        <v>19</v>
      </c>
      <c r="M491" s="1" t="str">
        <f t="shared" si="7"/>
        <v>Consistent</v>
      </c>
      <c r="N491" s="1" t="str">
        <f>_xlfn.XLOOKUP(H491, risk_score!A:A, risk_score!B:B, 0)</f>
        <v>Low Risk</v>
      </c>
    </row>
    <row r="492" spans="1:14">
      <c r="A492" s="2">
        <v>0.45386574074074076</v>
      </c>
      <c r="B492" s="3">
        <v>44841</v>
      </c>
      <c r="C492" s="1">
        <v>703647888</v>
      </c>
      <c r="D492" s="1">
        <v>1431561040</v>
      </c>
      <c r="E492" s="1">
        <v>19807.04</v>
      </c>
      <c r="F492" s="1" t="s">
        <v>12</v>
      </c>
      <c r="G492" s="1" t="s">
        <v>12</v>
      </c>
      <c r="H492" s="1" t="s">
        <v>13</v>
      </c>
      <c r="I492" s="1" t="s">
        <v>13</v>
      </c>
      <c r="J492" s="1" t="s">
        <v>25</v>
      </c>
      <c r="K492" s="1">
        <v>0</v>
      </c>
      <c r="L492" s="1" t="s">
        <v>23</v>
      </c>
      <c r="M492" s="1" t="str">
        <f t="shared" si="7"/>
        <v>Consistent</v>
      </c>
      <c r="N492" s="1" t="str">
        <f>_xlfn.XLOOKUP(H492, risk_score!A:A, risk_score!B:B, 0)</f>
        <v>Low Risk</v>
      </c>
    </row>
    <row r="493" spans="1:14">
      <c r="A493" s="2">
        <v>0.4538773148148148</v>
      </c>
      <c r="B493" s="3">
        <v>44841</v>
      </c>
      <c r="C493" s="1">
        <v>5618710275</v>
      </c>
      <c r="D493" s="1">
        <v>8912097394</v>
      </c>
      <c r="E493" s="1">
        <v>4140.1499999999996</v>
      </c>
      <c r="F493" s="1" t="s">
        <v>12</v>
      </c>
      <c r="G493" s="1" t="s">
        <v>12</v>
      </c>
      <c r="H493" s="1" t="s">
        <v>13</v>
      </c>
      <c r="I493" s="1" t="s">
        <v>13</v>
      </c>
      <c r="J493" s="1" t="s">
        <v>22</v>
      </c>
      <c r="K493" s="1">
        <v>0</v>
      </c>
      <c r="L493" s="1" t="s">
        <v>24</v>
      </c>
      <c r="M493" s="1" t="str">
        <f t="shared" si="7"/>
        <v>Consistent</v>
      </c>
      <c r="N493" s="1" t="str">
        <f>_xlfn.XLOOKUP(H493, risk_score!A:A, risk_score!B:B, 0)</f>
        <v>Low Risk</v>
      </c>
    </row>
    <row r="494" spans="1:14">
      <c r="A494" s="2">
        <v>0.4538888888888889</v>
      </c>
      <c r="B494" s="3">
        <v>44841</v>
      </c>
      <c r="C494" s="1">
        <v>5470113126</v>
      </c>
      <c r="D494" s="1">
        <v>3661025271</v>
      </c>
      <c r="E494" s="1">
        <v>8688.2800000000007</v>
      </c>
      <c r="F494" s="1" t="s">
        <v>29</v>
      </c>
      <c r="G494" s="1" t="s">
        <v>12</v>
      </c>
      <c r="H494" s="1" t="s">
        <v>48</v>
      </c>
      <c r="I494" s="1" t="s">
        <v>13</v>
      </c>
      <c r="J494" s="1" t="s">
        <v>18</v>
      </c>
      <c r="K494" s="1">
        <v>0</v>
      </c>
      <c r="L494" s="1" t="s">
        <v>38</v>
      </c>
      <c r="M494" s="1" t="str">
        <f t="shared" si="7"/>
        <v>Potential Layering</v>
      </c>
      <c r="N494" s="1" t="str">
        <f>_xlfn.XLOOKUP(H494, risk_score!A:A, risk_score!B:B, 0)</f>
        <v>Low Risk</v>
      </c>
    </row>
    <row r="495" spans="1:14">
      <c r="A495" s="2">
        <v>0.45390046296296294</v>
      </c>
      <c r="B495" s="3">
        <v>44841</v>
      </c>
      <c r="C495" s="1">
        <v>7669236826</v>
      </c>
      <c r="D495" s="1">
        <v>4059905714</v>
      </c>
      <c r="E495" s="1">
        <v>5369.5</v>
      </c>
      <c r="F495" s="1" t="s">
        <v>12</v>
      </c>
      <c r="G495" s="1" t="s">
        <v>12</v>
      </c>
      <c r="H495" s="1" t="s">
        <v>13</v>
      </c>
      <c r="I495" s="1" t="s">
        <v>13</v>
      </c>
      <c r="J495" s="1" t="s">
        <v>22</v>
      </c>
      <c r="K495" s="1">
        <v>0</v>
      </c>
      <c r="L495" s="1" t="s">
        <v>19</v>
      </c>
      <c r="M495" s="1" t="str">
        <f t="shared" si="7"/>
        <v>Consistent</v>
      </c>
      <c r="N495" s="1" t="str">
        <f>_xlfn.XLOOKUP(H495, risk_score!A:A, risk_score!B:B, 0)</f>
        <v>Low Risk</v>
      </c>
    </row>
    <row r="496" spans="1:14">
      <c r="A496" s="2">
        <v>0.45392361111111112</v>
      </c>
      <c r="B496" s="3">
        <v>44841</v>
      </c>
      <c r="C496" s="1">
        <v>7570225629</v>
      </c>
      <c r="D496" s="1">
        <v>1493436023</v>
      </c>
      <c r="E496" s="1">
        <v>4337.3</v>
      </c>
      <c r="F496" s="1" t="s">
        <v>12</v>
      </c>
      <c r="G496" s="1" t="s">
        <v>12</v>
      </c>
      <c r="H496" s="1" t="s">
        <v>13</v>
      </c>
      <c r="I496" s="1" t="s">
        <v>13</v>
      </c>
      <c r="J496" s="1" t="s">
        <v>27</v>
      </c>
      <c r="K496" s="1">
        <v>0</v>
      </c>
      <c r="L496" s="1" t="s">
        <v>23</v>
      </c>
      <c r="M496" s="1" t="str">
        <f t="shared" si="7"/>
        <v>Consistent</v>
      </c>
      <c r="N496" s="1" t="str">
        <f>_xlfn.XLOOKUP(H496, risk_score!A:A, risk_score!B:B, 0)</f>
        <v>Low Risk</v>
      </c>
    </row>
    <row r="497" spans="1:14">
      <c r="A497" s="2">
        <v>0.45393518518518516</v>
      </c>
      <c r="B497" s="3">
        <v>44841</v>
      </c>
      <c r="C497" s="1">
        <v>7347470470</v>
      </c>
      <c r="D497" s="1">
        <v>6865727267</v>
      </c>
      <c r="E497" s="1">
        <v>126.25</v>
      </c>
      <c r="F497" s="1" t="s">
        <v>12</v>
      </c>
      <c r="G497" s="1" t="s">
        <v>12</v>
      </c>
      <c r="H497" s="1" t="s">
        <v>13</v>
      </c>
      <c r="I497" s="1" t="s">
        <v>13</v>
      </c>
      <c r="J497" s="1" t="s">
        <v>36</v>
      </c>
      <c r="K497" s="1">
        <v>0</v>
      </c>
      <c r="L497" s="1" t="s">
        <v>37</v>
      </c>
      <c r="M497" s="1" t="str">
        <f t="shared" si="7"/>
        <v>Consistent</v>
      </c>
      <c r="N497" s="1" t="str">
        <f>_xlfn.XLOOKUP(H497, risk_score!A:A, risk_score!B:B, 0)</f>
        <v>Low Risk</v>
      </c>
    </row>
    <row r="498" spans="1:14">
      <c r="A498" s="2">
        <v>0.45393518518518516</v>
      </c>
      <c r="B498" s="3">
        <v>44841</v>
      </c>
      <c r="C498" s="1">
        <v>8728810272</v>
      </c>
      <c r="D498" s="1">
        <v>2008369465</v>
      </c>
      <c r="E498" s="1">
        <v>1152.1199999999999</v>
      </c>
      <c r="F498" s="1" t="s">
        <v>12</v>
      </c>
      <c r="G498" s="1" t="s">
        <v>12</v>
      </c>
      <c r="H498" s="1" t="s">
        <v>13</v>
      </c>
      <c r="I498" s="1" t="s">
        <v>13</v>
      </c>
      <c r="J498" s="1" t="s">
        <v>20</v>
      </c>
      <c r="K498" s="1">
        <v>0</v>
      </c>
      <c r="L498" s="1" t="s">
        <v>21</v>
      </c>
      <c r="M498" s="1" t="str">
        <f t="shared" si="7"/>
        <v>Consistent</v>
      </c>
      <c r="N498" s="1" t="str">
        <f>_xlfn.XLOOKUP(H498, risk_score!A:A, risk_score!B:B, 0)</f>
        <v>Low Risk</v>
      </c>
    </row>
    <row r="499" spans="1:14">
      <c r="A499" s="2">
        <v>0.45396990740740739</v>
      </c>
      <c r="B499" s="3">
        <v>44841</v>
      </c>
      <c r="C499" s="1">
        <v>7669236826</v>
      </c>
      <c r="D499" s="1">
        <v>375015805</v>
      </c>
      <c r="E499" s="1">
        <v>4388.8599999999997</v>
      </c>
      <c r="F499" s="1" t="s">
        <v>12</v>
      </c>
      <c r="G499" s="1" t="s">
        <v>12</v>
      </c>
      <c r="H499" s="1" t="s">
        <v>13</v>
      </c>
      <c r="I499" s="1" t="s">
        <v>13</v>
      </c>
      <c r="J499" s="1" t="s">
        <v>25</v>
      </c>
      <c r="K499" s="1">
        <v>0</v>
      </c>
      <c r="L499" s="1" t="s">
        <v>19</v>
      </c>
      <c r="M499" s="1" t="str">
        <f t="shared" si="7"/>
        <v>Consistent</v>
      </c>
      <c r="N499" s="1" t="str">
        <f>_xlfn.XLOOKUP(H499, risk_score!A:A, risk_score!B:B, 0)</f>
        <v>Low Risk</v>
      </c>
    </row>
    <row r="500" spans="1:14">
      <c r="A500" s="2">
        <v>0.45396990740740739</v>
      </c>
      <c r="B500" s="3">
        <v>44841</v>
      </c>
      <c r="C500" s="1">
        <v>6086421020</v>
      </c>
      <c r="D500" s="1">
        <v>5033682319</v>
      </c>
      <c r="E500" s="1">
        <v>14522.81</v>
      </c>
      <c r="F500" s="1" t="s">
        <v>12</v>
      </c>
      <c r="G500" s="1" t="s">
        <v>12</v>
      </c>
      <c r="H500" s="1" t="s">
        <v>13</v>
      </c>
      <c r="I500" s="1" t="s">
        <v>13</v>
      </c>
      <c r="J500" s="1" t="s">
        <v>20</v>
      </c>
      <c r="K500" s="1">
        <v>0</v>
      </c>
      <c r="L500" s="1" t="s">
        <v>19</v>
      </c>
      <c r="M500" s="1" t="str">
        <f t="shared" si="7"/>
        <v>Consistent</v>
      </c>
      <c r="N500" s="1" t="str">
        <f>_xlfn.XLOOKUP(H500, risk_score!A:A, risk_score!B:B, 0)</f>
        <v>Low Risk</v>
      </c>
    </row>
    <row r="501" spans="1:14">
      <c r="A501" s="2">
        <v>0.45398148148148149</v>
      </c>
      <c r="B501" s="3">
        <v>44841</v>
      </c>
      <c r="C501" s="1">
        <v>1834379343</v>
      </c>
      <c r="D501" s="1">
        <v>3737225286</v>
      </c>
      <c r="E501" s="1">
        <v>1624.51</v>
      </c>
      <c r="F501" s="1" t="s">
        <v>12</v>
      </c>
      <c r="G501" s="1" t="s">
        <v>12</v>
      </c>
      <c r="H501" s="1" t="s">
        <v>13</v>
      </c>
      <c r="I501" s="1" t="s">
        <v>13</v>
      </c>
      <c r="J501" s="1" t="s">
        <v>22</v>
      </c>
      <c r="K501" s="1">
        <v>0</v>
      </c>
      <c r="L501" s="1" t="s">
        <v>21</v>
      </c>
      <c r="M501" s="1" t="str">
        <f t="shared" si="7"/>
        <v>Consistent</v>
      </c>
      <c r="N501" s="1" t="str">
        <f>_xlfn.XLOOKUP(H501, risk_score!A:A, risk_score!B:B, 0)</f>
        <v>Low Risk</v>
      </c>
    </row>
    <row r="502" spans="1:14">
      <c r="A502" s="2">
        <v>0.45398148148148149</v>
      </c>
      <c r="B502" s="3">
        <v>44841</v>
      </c>
      <c r="C502" s="1">
        <v>3767473978</v>
      </c>
      <c r="D502" s="1">
        <v>3093012877</v>
      </c>
      <c r="E502" s="1">
        <v>4531.8599999999997</v>
      </c>
      <c r="F502" s="1" t="s">
        <v>12</v>
      </c>
      <c r="G502" s="1" t="s">
        <v>12</v>
      </c>
      <c r="H502" s="1" t="s">
        <v>13</v>
      </c>
      <c r="I502" s="1" t="s">
        <v>13</v>
      </c>
      <c r="J502" s="1" t="s">
        <v>25</v>
      </c>
      <c r="K502" s="1">
        <v>0</v>
      </c>
      <c r="L502" s="1" t="s">
        <v>21</v>
      </c>
      <c r="M502" s="1" t="str">
        <f t="shared" si="7"/>
        <v>Consistent</v>
      </c>
      <c r="N502" s="1" t="str">
        <f>_xlfn.XLOOKUP(H502, risk_score!A:A, risk_score!B:B, 0)</f>
        <v>Low Risk</v>
      </c>
    </row>
    <row r="503" spans="1:14">
      <c r="A503" s="2">
        <v>0.45398148148148149</v>
      </c>
      <c r="B503" s="3">
        <v>44841</v>
      </c>
      <c r="C503" s="1">
        <v>963640486</v>
      </c>
      <c r="D503" s="1">
        <v>9325731862</v>
      </c>
      <c r="E503" s="1">
        <v>1216.3</v>
      </c>
      <c r="F503" s="1" t="s">
        <v>12</v>
      </c>
      <c r="G503" s="1" t="s">
        <v>12</v>
      </c>
      <c r="H503" s="1" t="s">
        <v>13</v>
      </c>
      <c r="I503" s="1" t="s">
        <v>13</v>
      </c>
      <c r="J503" s="1" t="s">
        <v>27</v>
      </c>
      <c r="K503" s="1">
        <v>0</v>
      </c>
      <c r="L503" s="1" t="s">
        <v>21</v>
      </c>
      <c r="M503" s="1" t="str">
        <f t="shared" si="7"/>
        <v>Consistent</v>
      </c>
      <c r="N503" s="1" t="str">
        <f>_xlfn.XLOOKUP(H503, risk_score!A:A, risk_score!B:B, 0)</f>
        <v>Low Risk</v>
      </c>
    </row>
    <row r="504" spans="1:14">
      <c r="A504" s="2">
        <v>0.45401620370370371</v>
      </c>
      <c r="B504" s="3">
        <v>44841</v>
      </c>
      <c r="C504" s="1">
        <v>3336234389</v>
      </c>
      <c r="D504" s="1">
        <v>6953672776</v>
      </c>
      <c r="E504" s="1">
        <v>7701.13</v>
      </c>
      <c r="F504" s="1" t="s">
        <v>12</v>
      </c>
      <c r="G504" s="1" t="s">
        <v>34</v>
      </c>
      <c r="H504" s="1" t="s">
        <v>13</v>
      </c>
      <c r="I504" s="1" t="s">
        <v>35</v>
      </c>
      <c r="J504" s="1" t="s">
        <v>18</v>
      </c>
      <c r="K504" s="1">
        <v>0</v>
      </c>
      <c r="L504" s="1" t="s">
        <v>23</v>
      </c>
      <c r="M504" s="1" t="str">
        <f t="shared" si="7"/>
        <v>Potential Layering</v>
      </c>
      <c r="N504" s="1" t="str">
        <f>_xlfn.XLOOKUP(H504, risk_score!A:A, risk_score!B:B, 0)</f>
        <v>Low Risk</v>
      </c>
    </row>
    <row r="505" spans="1:14">
      <c r="A505" s="2">
        <v>0.45403935185185185</v>
      </c>
      <c r="B505" s="3">
        <v>44841</v>
      </c>
      <c r="C505" s="1">
        <v>3259746649</v>
      </c>
      <c r="D505" s="1">
        <v>310698558</v>
      </c>
      <c r="E505" s="1">
        <v>276.45999999999998</v>
      </c>
      <c r="F505" s="1" t="s">
        <v>12</v>
      </c>
      <c r="G505" s="1" t="s">
        <v>12</v>
      </c>
      <c r="H505" s="1" t="s">
        <v>13</v>
      </c>
      <c r="I505" s="1" t="s">
        <v>13</v>
      </c>
      <c r="J505" s="1" t="s">
        <v>22</v>
      </c>
      <c r="K505" s="1">
        <v>0</v>
      </c>
      <c r="L505" s="1" t="s">
        <v>21</v>
      </c>
      <c r="M505" s="1" t="str">
        <f t="shared" si="7"/>
        <v>Consistent</v>
      </c>
      <c r="N505" s="1" t="str">
        <f>_xlfn.XLOOKUP(H505, risk_score!A:A, risk_score!B:B, 0)</f>
        <v>Low Risk</v>
      </c>
    </row>
    <row r="506" spans="1:14">
      <c r="A506" s="2">
        <v>0.45409722222222221</v>
      </c>
      <c r="B506" s="3">
        <v>44841</v>
      </c>
      <c r="C506" s="1">
        <v>7934406158</v>
      </c>
      <c r="D506" s="1">
        <v>140821773</v>
      </c>
      <c r="E506" s="1">
        <v>16933.689999999999</v>
      </c>
      <c r="F506" s="1" t="s">
        <v>12</v>
      </c>
      <c r="G506" s="1" t="s">
        <v>12</v>
      </c>
      <c r="H506" s="1" t="s">
        <v>13</v>
      </c>
      <c r="I506" s="1" t="s">
        <v>13</v>
      </c>
      <c r="J506" s="1" t="s">
        <v>25</v>
      </c>
      <c r="K506" s="1">
        <v>0</v>
      </c>
      <c r="L506" s="1" t="s">
        <v>21</v>
      </c>
      <c r="M506" s="1" t="str">
        <f t="shared" si="7"/>
        <v>Consistent</v>
      </c>
      <c r="N506" s="1" t="str">
        <f>_xlfn.XLOOKUP(H506, risk_score!A:A, risk_score!B:B, 0)</f>
        <v>Low Risk</v>
      </c>
    </row>
    <row r="507" spans="1:14">
      <c r="A507" s="2">
        <v>0.4541203703703704</v>
      </c>
      <c r="B507" s="3">
        <v>44841</v>
      </c>
      <c r="C507" s="1">
        <v>5762938423</v>
      </c>
      <c r="D507" s="1">
        <v>6994481881</v>
      </c>
      <c r="E507" s="1">
        <v>228.08</v>
      </c>
      <c r="F507" s="1" t="s">
        <v>12</v>
      </c>
      <c r="G507" s="1" t="s">
        <v>12</v>
      </c>
      <c r="H507" s="1" t="s">
        <v>13</v>
      </c>
      <c r="I507" s="1" t="s">
        <v>13</v>
      </c>
      <c r="J507" s="1" t="s">
        <v>22</v>
      </c>
      <c r="K507" s="1">
        <v>0</v>
      </c>
      <c r="L507" s="1" t="s">
        <v>21</v>
      </c>
      <c r="M507" s="1" t="str">
        <f t="shared" si="7"/>
        <v>Consistent</v>
      </c>
      <c r="N507" s="1" t="str">
        <f>_xlfn.XLOOKUP(H507, risk_score!A:A, risk_score!B:B, 0)</f>
        <v>Low Risk</v>
      </c>
    </row>
    <row r="508" spans="1:14">
      <c r="A508" s="2">
        <v>0.45417824074074076</v>
      </c>
      <c r="B508" s="3">
        <v>44841</v>
      </c>
      <c r="C508" s="1">
        <v>9734083970</v>
      </c>
      <c r="D508" s="1">
        <v>9232891126</v>
      </c>
      <c r="E508" s="1">
        <v>7179.06</v>
      </c>
      <c r="F508" s="1" t="s">
        <v>12</v>
      </c>
      <c r="G508" s="1" t="s">
        <v>12</v>
      </c>
      <c r="H508" s="1" t="s">
        <v>13</v>
      </c>
      <c r="I508" s="1" t="s">
        <v>13</v>
      </c>
      <c r="J508" s="1" t="s">
        <v>22</v>
      </c>
      <c r="K508" s="1">
        <v>0</v>
      </c>
      <c r="L508" s="1" t="s">
        <v>19</v>
      </c>
      <c r="M508" s="1" t="str">
        <f t="shared" si="7"/>
        <v>Consistent</v>
      </c>
      <c r="N508" s="1" t="str">
        <f>_xlfn.XLOOKUP(H508, risk_score!A:A, risk_score!B:B, 0)</f>
        <v>Low Risk</v>
      </c>
    </row>
    <row r="509" spans="1:14">
      <c r="A509" s="2">
        <v>0.4541898148148148</v>
      </c>
      <c r="B509" s="3">
        <v>44841</v>
      </c>
      <c r="C509" s="1">
        <v>3510078932</v>
      </c>
      <c r="D509" s="1">
        <v>1861324833</v>
      </c>
      <c r="E509" s="1">
        <v>4456.79</v>
      </c>
      <c r="F509" s="1" t="s">
        <v>12</v>
      </c>
      <c r="G509" s="1" t="s">
        <v>12</v>
      </c>
      <c r="H509" s="1" t="s">
        <v>13</v>
      </c>
      <c r="I509" s="1" t="s">
        <v>13</v>
      </c>
      <c r="J509" s="1" t="s">
        <v>22</v>
      </c>
      <c r="K509" s="1">
        <v>0</v>
      </c>
      <c r="L509" s="1" t="s">
        <v>19</v>
      </c>
      <c r="M509" s="1" t="str">
        <f t="shared" si="7"/>
        <v>Consistent</v>
      </c>
      <c r="N509" s="1" t="str">
        <f>_xlfn.XLOOKUP(H509, risk_score!A:A, risk_score!B:B, 0)</f>
        <v>Low Risk</v>
      </c>
    </row>
    <row r="510" spans="1:14">
      <c r="A510" s="2">
        <v>0.45421296296296299</v>
      </c>
      <c r="B510" s="3">
        <v>44841</v>
      </c>
      <c r="C510" s="1">
        <v>3053114958</v>
      </c>
      <c r="D510" s="1">
        <v>5085626550</v>
      </c>
      <c r="E510" s="1">
        <v>3267.38</v>
      </c>
      <c r="F510" s="1" t="s">
        <v>12</v>
      </c>
      <c r="G510" s="1" t="s">
        <v>12</v>
      </c>
      <c r="H510" s="1" t="s">
        <v>13</v>
      </c>
      <c r="I510" s="1" t="s">
        <v>13</v>
      </c>
      <c r="J510" s="1" t="s">
        <v>27</v>
      </c>
      <c r="K510" s="1">
        <v>0</v>
      </c>
      <c r="L510" s="1" t="s">
        <v>21</v>
      </c>
      <c r="M510" s="1" t="str">
        <f t="shared" si="7"/>
        <v>Consistent</v>
      </c>
      <c r="N510" s="1" t="str">
        <f>_xlfn.XLOOKUP(H510, risk_score!A:A, risk_score!B:B, 0)</f>
        <v>Low Risk</v>
      </c>
    </row>
    <row r="511" spans="1:14">
      <c r="A511" s="2">
        <v>0.45422453703703702</v>
      </c>
      <c r="B511" s="3">
        <v>44841</v>
      </c>
      <c r="C511" s="1">
        <v>5021785800</v>
      </c>
      <c r="D511" s="1">
        <v>5064372260</v>
      </c>
      <c r="E511" s="1">
        <v>10018.61</v>
      </c>
      <c r="F511" s="1" t="s">
        <v>12</v>
      </c>
      <c r="G511" s="1" t="s">
        <v>12</v>
      </c>
      <c r="H511" s="1" t="s">
        <v>13</v>
      </c>
      <c r="I511" s="1" t="s">
        <v>13</v>
      </c>
      <c r="J511" s="1" t="s">
        <v>22</v>
      </c>
      <c r="K511" s="1">
        <v>0</v>
      </c>
      <c r="L511" s="1" t="s">
        <v>19</v>
      </c>
      <c r="M511" s="1" t="str">
        <f t="shared" si="7"/>
        <v>Consistent</v>
      </c>
      <c r="N511" s="1" t="str">
        <f>_xlfn.XLOOKUP(H511, risk_score!A:A, risk_score!B:B, 0)</f>
        <v>Low Risk</v>
      </c>
    </row>
    <row r="512" spans="1:14">
      <c r="A512" s="2">
        <v>0.45423611111111112</v>
      </c>
      <c r="B512" s="3">
        <v>44841</v>
      </c>
      <c r="C512" s="1">
        <v>5385331795</v>
      </c>
      <c r="D512" s="1">
        <v>3432128806</v>
      </c>
      <c r="E512" s="1">
        <v>2207.16</v>
      </c>
      <c r="F512" s="1" t="s">
        <v>12</v>
      </c>
      <c r="G512" s="1" t="s">
        <v>12</v>
      </c>
      <c r="H512" s="1" t="s">
        <v>13</v>
      </c>
      <c r="I512" s="1" t="s">
        <v>13</v>
      </c>
      <c r="J512" s="1" t="s">
        <v>25</v>
      </c>
      <c r="K512" s="1">
        <v>0</v>
      </c>
      <c r="L512" s="1" t="s">
        <v>21</v>
      </c>
      <c r="M512" s="1" t="str">
        <f t="shared" si="7"/>
        <v>Consistent</v>
      </c>
      <c r="N512" s="1" t="str">
        <f>_xlfn.XLOOKUP(H512, risk_score!A:A, risk_score!B:B, 0)</f>
        <v>Low Risk</v>
      </c>
    </row>
    <row r="513" spans="1:14">
      <c r="A513" s="2">
        <v>0.45428240740740738</v>
      </c>
      <c r="B513" s="3">
        <v>44841</v>
      </c>
      <c r="C513" s="1">
        <v>9508689417</v>
      </c>
      <c r="D513" s="1">
        <v>5103043844</v>
      </c>
      <c r="E513" s="1">
        <v>7450.71</v>
      </c>
      <c r="F513" s="1" t="s">
        <v>12</v>
      </c>
      <c r="G513" s="1" t="s">
        <v>44</v>
      </c>
      <c r="H513" s="1" t="s">
        <v>13</v>
      </c>
      <c r="I513" s="1" t="s">
        <v>45</v>
      </c>
      <c r="J513" s="1" t="s">
        <v>18</v>
      </c>
      <c r="K513" s="1">
        <v>0</v>
      </c>
      <c r="L513" s="1" t="s">
        <v>23</v>
      </c>
      <c r="M513" s="1" t="str">
        <f t="shared" si="7"/>
        <v>Potential Layering</v>
      </c>
      <c r="N513" s="1" t="str">
        <f>_xlfn.XLOOKUP(H513, risk_score!A:A, risk_score!B:B, 0)</f>
        <v>Low Risk</v>
      </c>
    </row>
    <row r="514" spans="1:14">
      <c r="A514" s="2">
        <v>0.45430555555555557</v>
      </c>
      <c r="B514" s="3">
        <v>44841</v>
      </c>
      <c r="C514" s="1">
        <v>1558124827</v>
      </c>
      <c r="D514" s="1">
        <v>669985989</v>
      </c>
      <c r="E514" s="1">
        <v>996.31</v>
      </c>
      <c r="F514" s="1" t="s">
        <v>12</v>
      </c>
      <c r="G514" s="1" t="s">
        <v>12</v>
      </c>
      <c r="H514" s="1" t="s">
        <v>13</v>
      </c>
      <c r="I514" s="1" t="s">
        <v>13</v>
      </c>
      <c r="J514" s="1" t="s">
        <v>22</v>
      </c>
      <c r="K514" s="1">
        <v>0</v>
      </c>
      <c r="L514" s="1" t="s">
        <v>21</v>
      </c>
      <c r="M514" s="1" t="str">
        <f t="shared" si="7"/>
        <v>Consistent</v>
      </c>
      <c r="N514" s="1" t="str">
        <f>_xlfn.XLOOKUP(H514, risk_score!A:A, risk_score!B:B, 0)</f>
        <v>Low Risk</v>
      </c>
    </row>
    <row r="515" spans="1:14">
      <c r="A515" s="2">
        <v>0.45431712962962961</v>
      </c>
      <c r="B515" s="3">
        <v>44841</v>
      </c>
      <c r="C515" s="1">
        <v>3510078932</v>
      </c>
      <c r="D515" s="1">
        <v>1625701030</v>
      </c>
      <c r="E515" s="1">
        <v>6302.88</v>
      </c>
      <c r="F515" s="1" t="s">
        <v>12</v>
      </c>
      <c r="G515" s="1" t="s">
        <v>12</v>
      </c>
      <c r="H515" s="1" t="s">
        <v>13</v>
      </c>
      <c r="I515" s="1" t="s">
        <v>13</v>
      </c>
      <c r="J515" s="1" t="s">
        <v>20</v>
      </c>
      <c r="K515" s="1">
        <v>0</v>
      </c>
      <c r="L515" s="1" t="s">
        <v>19</v>
      </c>
      <c r="M515" s="1" t="str">
        <f t="shared" ref="M515:M578" si="8">IF(F515=G515, "Consistent", "Potential Layering")</f>
        <v>Consistent</v>
      </c>
      <c r="N515" s="1" t="str">
        <f>_xlfn.XLOOKUP(H515, risk_score!A:A, risk_score!B:B, 0)</f>
        <v>Low Risk</v>
      </c>
    </row>
    <row r="516" spans="1:14">
      <c r="A516" s="2">
        <v>0.4543402777777778</v>
      </c>
      <c r="B516" s="3">
        <v>44841</v>
      </c>
      <c r="C516" s="1">
        <v>8952177221</v>
      </c>
      <c r="D516" s="1">
        <v>5367802555</v>
      </c>
      <c r="E516" s="1">
        <v>8103.72</v>
      </c>
      <c r="F516" s="1" t="s">
        <v>12</v>
      </c>
      <c r="G516" s="1" t="s">
        <v>12</v>
      </c>
      <c r="H516" s="1" t="s">
        <v>13</v>
      </c>
      <c r="I516" s="1" t="s">
        <v>13</v>
      </c>
      <c r="J516" s="1" t="s">
        <v>25</v>
      </c>
      <c r="K516" s="1">
        <v>0</v>
      </c>
      <c r="L516" s="1" t="s">
        <v>19</v>
      </c>
      <c r="M516" s="1" t="str">
        <f t="shared" si="8"/>
        <v>Consistent</v>
      </c>
      <c r="N516" s="1" t="str">
        <f>_xlfn.XLOOKUP(H516, risk_score!A:A, risk_score!B:B, 0)</f>
        <v>Low Risk</v>
      </c>
    </row>
    <row r="517" spans="1:14">
      <c r="A517" s="2">
        <v>0.45437499999999997</v>
      </c>
      <c r="B517" s="3">
        <v>44841</v>
      </c>
      <c r="C517" s="1">
        <v>2004133484</v>
      </c>
      <c r="D517" s="1">
        <v>3079818547</v>
      </c>
      <c r="E517" s="1">
        <v>8076.87</v>
      </c>
      <c r="F517" s="1" t="s">
        <v>12</v>
      </c>
      <c r="G517" s="1" t="s">
        <v>12</v>
      </c>
      <c r="H517" s="1" t="s">
        <v>13</v>
      </c>
      <c r="I517" s="1" t="s">
        <v>13</v>
      </c>
      <c r="J517" s="1" t="s">
        <v>22</v>
      </c>
      <c r="K517" s="1">
        <v>0</v>
      </c>
      <c r="L517" s="1" t="s">
        <v>23</v>
      </c>
      <c r="M517" s="1" t="str">
        <f t="shared" si="8"/>
        <v>Consistent</v>
      </c>
      <c r="N517" s="1" t="str">
        <f>_xlfn.XLOOKUP(H517, risk_score!A:A, risk_score!B:B, 0)</f>
        <v>Low Risk</v>
      </c>
    </row>
    <row r="518" spans="1:14">
      <c r="A518" s="2">
        <v>0.4544097222222222</v>
      </c>
      <c r="B518" s="3">
        <v>44841</v>
      </c>
      <c r="C518" s="1">
        <v>2267057254</v>
      </c>
      <c r="D518" s="1">
        <v>3353913084</v>
      </c>
      <c r="E518" s="1">
        <v>1380.28</v>
      </c>
      <c r="F518" s="1" t="s">
        <v>12</v>
      </c>
      <c r="G518" s="1" t="s">
        <v>12</v>
      </c>
      <c r="H518" s="1" t="s">
        <v>13</v>
      </c>
      <c r="I518" s="1" t="s">
        <v>13</v>
      </c>
      <c r="J518" s="1" t="s">
        <v>25</v>
      </c>
      <c r="K518" s="1">
        <v>0</v>
      </c>
      <c r="L518" s="1" t="s">
        <v>38</v>
      </c>
      <c r="M518" s="1" t="str">
        <f t="shared" si="8"/>
        <v>Consistent</v>
      </c>
      <c r="N518" s="1" t="str">
        <f>_xlfn.XLOOKUP(H518, risk_score!A:A, risk_score!B:B, 0)</f>
        <v>Low Risk</v>
      </c>
    </row>
    <row r="519" spans="1:14">
      <c r="A519" s="2">
        <v>0.4544212962962963</v>
      </c>
      <c r="B519" s="3">
        <v>44841</v>
      </c>
      <c r="C519" s="1">
        <v>6904668523</v>
      </c>
      <c r="D519" s="1">
        <v>2055564858</v>
      </c>
      <c r="E519" s="1">
        <v>4421.05</v>
      </c>
      <c r="F519" s="1" t="s">
        <v>12</v>
      </c>
      <c r="G519" s="1" t="s">
        <v>12</v>
      </c>
      <c r="H519" s="1" t="s">
        <v>13</v>
      </c>
      <c r="I519" s="1" t="s">
        <v>13</v>
      </c>
      <c r="J519" s="1" t="s">
        <v>25</v>
      </c>
      <c r="K519" s="1">
        <v>0</v>
      </c>
      <c r="L519" s="1" t="s">
        <v>19</v>
      </c>
      <c r="M519" s="1" t="str">
        <f t="shared" si="8"/>
        <v>Consistent</v>
      </c>
      <c r="N519" s="1" t="str">
        <f>_xlfn.XLOOKUP(H519, risk_score!A:A, risk_score!B:B, 0)</f>
        <v>Low Risk</v>
      </c>
    </row>
    <row r="520" spans="1:14">
      <c r="A520" s="2">
        <v>0.45443287037037039</v>
      </c>
      <c r="B520" s="3">
        <v>44841</v>
      </c>
      <c r="C520" s="1">
        <v>9746384104</v>
      </c>
      <c r="D520" s="1">
        <v>389486199</v>
      </c>
      <c r="E520" s="1">
        <v>6960.98</v>
      </c>
      <c r="F520" s="1" t="s">
        <v>12</v>
      </c>
      <c r="G520" s="1" t="s">
        <v>12</v>
      </c>
      <c r="H520" s="1" t="s">
        <v>13</v>
      </c>
      <c r="I520" s="1" t="s">
        <v>13</v>
      </c>
      <c r="J520" s="1" t="s">
        <v>22</v>
      </c>
      <c r="K520" s="1">
        <v>0</v>
      </c>
      <c r="L520" s="1" t="s">
        <v>19</v>
      </c>
      <c r="M520" s="1" t="str">
        <f t="shared" si="8"/>
        <v>Consistent</v>
      </c>
      <c r="N520" s="1" t="str">
        <f>_xlfn.XLOOKUP(H520, risk_score!A:A, risk_score!B:B, 0)</f>
        <v>Low Risk</v>
      </c>
    </row>
    <row r="521" spans="1:14">
      <c r="A521" s="2">
        <v>0.45443287037037039</v>
      </c>
      <c r="B521" s="3">
        <v>44841</v>
      </c>
      <c r="C521" s="1">
        <v>1015091738</v>
      </c>
      <c r="D521" s="1">
        <v>7136306872</v>
      </c>
      <c r="E521" s="1">
        <v>4534.2</v>
      </c>
      <c r="F521" s="1" t="s">
        <v>12</v>
      </c>
      <c r="G521" s="1" t="s">
        <v>12</v>
      </c>
      <c r="H521" s="1" t="s">
        <v>13</v>
      </c>
      <c r="I521" s="1" t="s">
        <v>13</v>
      </c>
      <c r="J521" s="1" t="s">
        <v>27</v>
      </c>
      <c r="K521" s="1">
        <v>0</v>
      </c>
      <c r="L521" s="1" t="s">
        <v>21</v>
      </c>
      <c r="M521" s="1" t="str">
        <f t="shared" si="8"/>
        <v>Consistent</v>
      </c>
      <c r="N521" s="1" t="str">
        <f>_xlfn.XLOOKUP(H521, risk_score!A:A, risk_score!B:B, 0)</f>
        <v>Low Risk</v>
      </c>
    </row>
    <row r="522" spans="1:14">
      <c r="A522" s="2">
        <v>0.45449074074074075</v>
      </c>
      <c r="B522" s="3">
        <v>44841</v>
      </c>
      <c r="C522" s="1">
        <v>6002441648</v>
      </c>
      <c r="D522" s="1">
        <v>2598496279</v>
      </c>
      <c r="E522" s="1">
        <v>3457.55</v>
      </c>
      <c r="F522" s="1" t="s">
        <v>12</v>
      </c>
      <c r="G522" s="1" t="s">
        <v>12</v>
      </c>
      <c r="H522" s="1" t="s">
        <v>13</v>
      </c>
      <c r="I522" s="1" t="s">
        <v>13</v>
      </c>
      <c r="J522" s="1" t="s">
        <v>14</v>
      </c>
      <c r="K522" s="1">
        <v>0</v>
      </c>
      <c r="L522" s="1" t="s">
        <v>15</v>
      </c>
      <c r="M522" s="1" t="str">
        <f t="shared" si="8"/>
        <v>Consistent</v>
      </c>
      <c r="N522" s="1" t="str">
        <f>_xlfn.XLOOKUP(H522, risk_score!A:A, risk_score!B:B, 0)</f>
        <v>Low Risk</v>
      </c>
    </row>
    <row r="523" spans="1:14">
      <c r="A523" s="2">
        <v>0.45450231481481479</v>
      </c>
      <c r="B523" s="3">
        <v>44841</v>
      </c>
      <c r="C523" s="1">
        <v>5325117002</v>
      </c>
      <c r="D523" s="1">
        <v>4173195094</v>
      </c>
      <c r="E523" s="1">
        <v>16685.13</v>
      </c>
      <c r="F523" s="1" t="s">
        <v>12</v>
      </c>
      <c r="G523" s="1" t="s">
        <v>12</v>
      </c>
      <c r="H523" s="1" t="s">
        <v>13</v>
      </c>
      <c r="I523" s="1" t="s">
        <v>13</v>
      </c>
      <c r="J523" s="1" t="s">
        <v>22</v>
      </c>
      <c r="K523" s="1">
        <v>0</v>
      </c>
      <c r="L523" s="1" t="s">
        <v>23</v>
      </c>
      <c r="M523" s="1" t="str">
        <f t="shared" si="8"/>
        <v>Consistent</v>
      </c>
      <c r="N523" s="1" t="str">
        <f>_xlfn.XLOOKUP(H523, risk_score!A:A, risk_score!B:B, 0)</f>
        <v>Low Risk</v>
      </c>
    </row>
    <row r="524" spans="1:14">
      <c r="A524" s="2">
        <v>0.45453703703703702</v>
      </c>
      <c r="B524" s="3">
        <v>44841</v>
      </c>
      <c r="C524" s="1">
        <v>4009125662</v>
      </c>
      <c r="D524" s="1">
        <v>3912509869</v>
      </c>
      <c r="E524" s="1">
        <v>556.4</v>
      </c>
      <c r="F524" s="1" t="s">
        <v>12</v>
      </c>
      <c r="G524" s="1" t="s">
        <v>12</v>
      </c>
      <c r="H524" s="1" t="s">
        <v>13</v>
      </c>
      <c r="I524" s="1" t="s">
        <v>13</v>
      </c>
      <c r="J524" s="1" t="s">
        <v>27</v>
      </c>
      <c r="K524" s="1">
        <v>0</v>
      </c>
      <c r="L524" s="1" t="s">
        <v>24</v>
      </c>
      <c r="M524" s="1" t="str">
        <f t="shared" si="8"/>
        <v>Consistent</v>
      </c>
      <c r="N524" s="1" t="str">
        <f>_xlfn.XLOOKUP(H524, risk_score!A:A, risk_score!B:B, 0)</f>
        <v>Low Risk</v>
      </c>
    </row>
    <row r="525" spans="1:14">
      <c r="A525" s="2">
        <v>0.45456018518518521</v>
      </c>
      <c r="B525" s="3">
        <v>44841</v>
      </c>
      <c r="C525" s="1">
        <v>6385147013</v>
      </c>
      <c r="D525" s="1">
        <v>9264803944</v>
      </c>
      <c r="E525" s="1">
        <v>1695.92</v>
      </c>
      <c r="F525" s="1" t="s">
        <v>12</v>
      </c>
      <c r="G525" s="1" t="s">
        <v>12</v>
      </c>
      <c r="H525" s="1" t="s">
        <v>13</v>
      </c>
      <c r="I525" s="1" t="s">
        <v>13</v>
      </c>
      <c r="J525" s="1" t="s">
        <v>25</v>
      </c>
      <c r="K525" s="1">
        <v>0</v>
      </c>
      <c r="L525" s="1" t="s">
        <v>21</v>
      </c>
      <c r="M525" s="1" t="str">
        <f t="shared" si="8"/>
        <v>Consistent</v>
      </c>
      <c r="N525" s="1" t="str">
        <f>_xlfn.XLOOKUP(H525, risk_score!A:A, risk_score!B:B, 0)</f>
        <v>Low Risk</v>
      </c>
    </row>
    <row r="526" spans="1:14">
      <c r="A526" s="2">
        <v>0.45457175925925924</v>
      </c>
      <c r="B526" s="3">
        <v>44841</v>
      </c>
      <c r="C526" s="1">
        <v>3168051873</v>
      </c>
      <c r="D526" s="1">
        <v>365650600</v>
      </c>
      <c r="E526" s="1">
        <v>8255.51</v>
      </c>
      <c r="F526" s="1" t="s">
        <v>44</v>
      </c>
      <c r="G526" s="1" t="s">
        <v>12</v>
      </c>
      <c r="H526" s="1" t="s">
        <v>13</v>
      </c>
      <c r="I526" s="1" t="s">
        <v>13</v>
      </c>
      <c r="J526" s="1" t="s">
        <v>22</v>
      </c>
      <c r="K526" s="1">
        <v>0</v>
      </c>
      <c r="L526" s="1" t="s">
        <v>19</v>
      </c>
      <c r="M526" s="1" t="str">
        <f t="shared" si="8"/>
        <v>Potential Layering</v>
      </c>
      <c r="N526" s="1" t="str">
        <f>_xlfn.XLOOKUP(H526, risk_score!A:A, risk_score!B:B, 0)</f>
        <v>Low Risk</v>
      </c>
    </row>
    <row r="527" spans="1:14">
      <c r="A527" s="2">
        <v>0.45460648148148147</v>
      </c>
      <c r="B527" s="3">
        <v>44841</v>
      </c>
      <c r="C527" s="1">
        <v>5126390175</v>
      </c>
      <c r="D527" s="1">
        <v>8518184956</v>
      </c>
      <c r="E527" s="1">
        <v>5760.93</v>
      </c>
      <c r="F527" s="1" t="s">
        <v>12</v>
      </c>
      <c r="G527" s="1" t="s">
        <v>12</v>
      </c>
      <c r="H527" s="1" t="s">
        <v>13</v>
      </c>
      <c r="I527" s="1" t="s">
        <v>13</v>
      </c>
      <c r="J527" s="1" t="s">
        <v>20</v>
      </c>
      <c r="K527" s="1">
        <v>0</v>
      </c>
      <c r="L527" s="1" t="s">
        <v>23</v>
      </c>
      <c r="M527" s="1" t="str">
        <f t="shared" si="8"/>
        <v>Consistent</v>
      </c>
      <c r="N527" s="1" t="str">
        <f>_xlfn.XLOOKUP(H527, risk_score!A:A, risk_score!B:B, 0)</f>
        <v>Low Risk</v>
      </c>
    </row>
    <row r="528" spans="1:14">
      <c r="A528" s="2">
        <v>0.45461805555555557</v>
      </c>
      <c r="B528" s="3">
        <v>44841</v>
      </c>
      <c r="C528" s="1">
        <v>8987848252</v>
      </c>
      <c r="D528" s="1">
        <v>6000919396</v>
      </c>
      <c r="E528" s="1">
        <v>10489.17</v>
      </c>
      <c r="F528" s="1" t="s">
        <v>12</v>
      </c>
      <c r="G528" s="1" t="s">
        <v>12</v>
      </c>
      <c r="H528" s="1" t="s">
        <v>13</v>
      </c>
      <c r="I528" s="1" t="s">
        <v>13</v>
      </c>
      <c r="J528" s="1" t="s">
        <v>27</v>
      </c>
      <c r="K528" s="1">
        <v>0</v>
      </c>
      <c r="L528" s="1" t="s">
        <v>19</v>
      </c>
      <c r="M528" s="1" t="str">
        <f t="shared" si="8"/>
        <v>Consistent</v>
      </c>
      <c r="N528" s="1" t="str">
        <f>_xlfn.XLOOKUP(H528, risk_score!A:A, risk_score!B:B, 0)</f>
        <v>Low Risk</v>
      </c>
    </row>
    <row r="529" spans="1:14">
      <c r="A529" s="2">
        <v>0.45465277777777779</v>
      </c>
      <c r="B529" s="3">
        <v>44841</v>
      </c>
      <c r="C529" s="1">
        <v>1915450576</v>
      </c>
      <c r="D529" s="1">
        <v>8816009605</v>
      </c>
      <c r="E529" s="1">
        <v>8252.91</v>
      </c>
      <c r="F529" s="1" t="s">
        <v>12</v>
      </c>
      <c r="G529" s="1" t="s">
        <v>12</v>
      </c>
      <c r="H529" s="1" t="s">
        <v>13</v>
      </c>
      <c r="I529" s="1" t="s">
        <v>13</v>
      </c>
      <c r="J529" s="1" t="s">
        <v>27</v>
      </c>
      <c r="K529" s="1">
        <v>0</v>
      </c>
      <c r="L529" s="1" t="s">
        <v>19</v>
      </c>
      <c r="M529" s="1" t="str">
        <f t="shared" si="8"/>
        <v>Consistent</v>
      </c>
      <c r="N529" s="1" t="str">
        <f>_xlfn.XLOOKUP(H529, risk_score!A:A, risk_score!B:B, 0)</f>
        <v>Low Risk</v>
      </c>
    </row>
    <row r="530" spans="1:14">
      <c r="A530" s="2">
        <v>0.45468750000000002</v>
      </c>
      <c r="B530" s="3">
        <v>44841</v>
      </c>
      <c r="C530" s="1">
        <v>2635590075</v>
      </c>
      <c r="D530" s="1">
        <v>409707192</v>
      </c>
      <c r="E530" s="1">
        <v>11920.59</v>
      </c>
      <c r="F530" s="1" t="s">
        <v>12</v>
      </c>
      <c r="G530" s="1" t="s">
        <v>12</v>
      </c>
      <c r="H530" s="1" t="s">
        <v>13</v>
      </c>
      <c r="I530" s="1" t="s">
        <v>13</v>
      </c>
      <c r="J530" s="1" t="s">
        <v>27</v>
      </c>
      <c r="K530" s="1">
        <v>0</v>
      </c>
      <c r="L530" s="1" t="s">
        <v>23</v>
      </c>
      <c r="M530" s="1" t="str">
        <f t="shared" si="8"/>
        <v>Consistent</v>
      </c>
      <c r="N530" s="1" t="str">
        <f>_xlfn.XLOOKUP(H530, risk_score!A:A, risk_score!B:B, 0)</f>
        <v>Low Risk</v>
      </c>
    </row>
    <row r="531" spans="1:14">
      <c r="A531" s="2">
        <v>0.45469907407407406</v>
      </c>
      <c r="B531" s="3">
        <v>44841</v>
      </c>
      <c r="C531" s="1">
        <v>7501327339</v>
      </c>
      <c r="D531" s="1">
        <v>8617863283</v>
      </c>
      <c r="E531" s="1">
        <v>5871.09</v>
      </c>
      <c r="F531" s="1" t="s">
        <v>12</v>
      </c>
      <c r="G531" s="1" t="s">
        <v>12</v>
      </c>
      <c r="H531" s="1" t="s">
        <v>13</v>
      </c>
      <c r="I531" s="1" t="s">
        <v>13</v>
      </c>
      <c r="J531" s="1" t="s">
        <v>25</v>
      </c>
      <c r="K531" s="1">
        <v>0</v>
      </c>
      <c r="L531" s="1" t="s">
        <v>19</v>
      </c>
      <c r="M531" s="1" t="str">
        <f t="shared" si="8"/>
        <v>Consistent</v>
      </c>
      <c r="N531" s="1" t="str">
        <f>_xlfn.XLOOKUP(H531, risk_score!A:A, risk_score!B:B, 0)</f>
        <v>Low Risk</v>
      </c>
    </row>
    <row r="532" spans="1:14">
      <c r="A532" s="2">
        <v>0.45480324074074074</v>
      </c>
      <c r="B532" s="3">
        <v>44841</v>
      </c>
      <c r="C532" s="1">
        <v>2365007895</v>
      </c>
      <c r="D532" s="1">
        <v>7623292529</v>
      </c>
      <c r="E532" s="1">
        <v>15929.72</v>
      </c>
      <c r="F532" s="1" t="s">
        <v>12</v>
      </c>
      <c r="G532" s="1" t="s">
        <v>12</v>
      </c>
      <c r="H532" s="1" t="s">
        <v>13</v>
      </c>
      <c r="I532" s="1" t="s">
        <v>13</v>
      </c>
      <c r="J532" s="1" t="s">
        <v>25</v>
      </c>
      <c r="K532" s="1">
        <v>0</v>
      </c>
      <c r="L532" s="1" t="s">
        <v>19</v>
      </c>
      <c r="M532" s="1" t="str">
        <f t="shared" si="8"/>
        <v>Consistent</v>
      </c>
      <c r="N532" s="1" t="str">
        <f>_xlfn.XLOOKUP(H532, risk_score!A:A, risk_score!B:B, 0)</f>
        <v>Low Risk</v>
      </c>
    </row>
    <row r="533" spans="1:14">
      <c r="A533" s="2">
        <v>0.45481481481481484</v>
      </c>
      <c r="B533" s="3">
        <v>44841</v>
      </c>
      <c r="C533" s="1">
        <v>1078784207</v>
      </c>
      <c r="D533" s="1">
        <v>8673917867</v>
      </c>
      <c r="E533" s="1">
        <v>8608.92</v>
      </c>
      <c r="F533" s="1" t="s">
        <v>12</v>
      </c>
      <c r="G533" s="1" t="s">
        <v>51</v>
      </c>
      <c r="H533" s="1" t="s">
        <v>13</v>
      </c>
      <c r="I533" s="1" t="s">
        <v>13</v>
      </c>
      <c r="J533" s="1" t="s">
        <v>27</v>
      </c>
      <c r="K533" s="1">
        <v>0</v>
      </c>
      <c r="L533" s="1" t="s">
        <v>23</v>
      </c>
      <c r="M533" s="1" t="str">
        <f t="shared" si="8"/>
        <v>Potential Layering</v>
      </c>
      <c r="N533" s="1" t="str">
        <f>_xlfn.XLOOKUP(H533, risk_score!A:A, risk_score!B:B, 0)</f>
        <v>Low Risk</v>
      </c>
    </row>
    <row r="534" spans="1:14">
      <c r="A534" s="2">
        <v>0.4548611111111111</v>
      </c>
      <c r="B534" s="3">
        <v>44841</v>
      </c>
      <c r="C534" s="1">
        <v>3034862757</v>
      </c>
      <c r="D534" s="1">
        <v>5665620705</v>
      </c>
      <c r="E534" s="1">
        <v>3512.04</v>
      </c>
      <c r="F534" s="1" t="s">
        <v>12</v>
      </c>
      <c r="G534" s="1" t="s">
        <v>12</v>
      </c>
      <c r="H534" s="1" t="s">
        <v>13</v>
      </c>
      <c r="I534" s="1" t="s">
        <v>13</v>
      </c>
      <c r="J534" s="1" t="s">
        <v>25</v>
      </c>
      <c r="K534" s="1">
        <v>0</v>
      </c>
      <c r="L534" s="1" t="s">
        <v>21</v>
      </c>
      <c r="M534" s="1" t="str">
        <f t="shared" si="8"/>
        <v>Consistent</v>
      </c>
      <c r="N534" s="1" t="str">
        <f>_xlfn.XLOOKUP(H534, risk_score!A:A, risk_score!B:B, 0)</f>
        <v>Low Risk</v>
      </c>
    </row>
    <row r="535" spans="1:14">
      <c r="A535" s="2">
        <v>0.4548611111111111</v>
      </c>
      <c r="B535" s="3">
        <v>44841</v>
      </c>
      <c r="C535" s="1">
        <v>6116657264</v>
      </c>
      <c r="D535" s="1">
        <v>7541529999</v>
      </c>
      <c r="E535" s="1">
        <v>5919.54</v>
      </c>
      <c r="F535" s="1" t="s">
        <v>12</v>
      </c>
      <c r="G535" s="1" t="s">
        <v>12</v>
      </c>
      <c r="H535" s="1" t="s">
        <v>13</v>
      </c>
      <c r="I535" s="1" t="s">
        <v>13</v>
      </c>
      <c r="J535" s="1" t="s">
        <v>20</v>
      </c>
      <c r="K535" s="1">
        <v>0</v>
      </c>
      <c r="L535" s="1" t="s">
        <v>19</v>
      </c>
      <c r="M535" s="1" t="str">
        <f t="shared" si="8"/>
        <v>Consistent</v>
      </c>
      <c r="N535" s="1" t="str">
        <f>_xlfn.XLOOKUP(H535, risk_score!A:A, risk_score!B:B, 0)</f>
        <v>Low Risk</v>
      </c>
    </row>
    <row r="536" spans="1:14">
      <c r="A536" s="2">
        <v>0.45489583333333333</v>
      </c>
      <c r="B536" s="3">
        <v>44841</v>
      </c>
      <c r="C536" s="1">
        <v>6498497780</v>
      </c>
      <c r="D536" s="1">
        <v>1981154716</v>
      </c>
      <c r="E536" s="1">
        <v>3499.13</v>
      </c>
      <c r="F536" s="1" t="s">
        <v>12</v>
      </c>
      <c r="G536" s="1" t="s">
        <v>12</v>
      </c>
      <c r="H536" s="1" t="s">
        <v>13</v>
      </c>
      <c r="I536" s="1" t="s">
        <v>13</v>
      </c>
      <c r="J536" s="1" t="s">
        <v>27</v>
      </c>
      <c r="K536" s="1">
        <v>0</v>
      </c>
      <c r="L536" s="1" t="s">
        <v>21</v>
      </c>
      <c r="M536" s="1" t="str">
        <f t="shared" si="8"/>
        <v>Consistent</v>
      </c>
      <c r="N536" s="1" t="str">
        <f>_xlfn.XLOOKUP(H536, risk_score!A:A, risk_score!B:B, 0)</f>
        <v>Low Risk</v>
      </c>
    </row>
    <row r="537" spans="1:14">
      <c r="A537" s="2">
        <v>0.45490740740740743</v>
      </c>
      <c r="B537" s="3">
        <v>44841</v>
      </c>
      <c r="C537" s="1">
        <v>7643404209</v>
      </c>
      <c r="D537" s="1">
        <v>6320069287</v>
      </c>
      <c r="E537" s="1">
        <v>1691.58</v>
      </c>
      <c r="F537" s="1" t="s">
        <v>12</v>
      </c>
      <c r="G537" s="1" t="s">
        <v>12</v>
      </c>
      <c r="H537" s="1" t="s">
        <v>13</v>
      </c>
      <c r="I537" s="1" t="s">
        <v>13</v>
      </c>
      <c r="J537" s="1" t="s">
        <v>20</v>
      </c>
      <c r="K537" s="1">
        <v>0</v>
      </c>
      <c r="L537" s="1" t="s">
        <v>21</v>
      </c>
      <c r="M537" s="1" t="str">
        <f t="shared" si="8"/>
        <v>Consistent</v>
      </c>
      <c r="N537" s="1" t="str">
        <f>_xlfn.XLOOKUP(H537, risk_score!A:A, risk_score!B:B, 0)</f>
        <v>Low Risk</v>
      </c>
    </row>
    <row r="538" spans="1:14">
      <c r="A538" s="2">
        <v>0.45493055555555556</v>
      </c>
      <c r="B538" s="3">
        <v>44841</v>
      </c>
      <c r="C538" s="1">
        <v>8201605808</v>
      </c>
      <c r="D538" s="1">
        <v>9600420220</v>
      </c>
      <c r="E538" s="1">
        <v>7232.66</v>
      </c>
      <c r="F538" s="1" t="s">
        <v>12</v>
      </c>
      <c r="G538" s="1" t="s">
        <v>12</v>
      </c>
      <c r="H538" s="1" t="s">
        <v>13</v>
      </c>
      <c r="I538" s="1" t="s">
        <v>13</v>
      </c>
      <c r="J538" s="1" t="s">
        <v>27</v>
      </c>
      <c r="K538" s="1">
        <v>0</v>
      </c>
      <c r="L538" s="1" t="s">
        <v>23</v>
      </c>
      <c r="M538" s="1" t="str">
        <f t="shared" si="8"/>
        <v>Consistent</v>
      </c>
      <c r="N538" s="1" t="str">
        <f>_xlfn.XLOOKUP(H538, risk_score!A:A, risk_score!B:B, 0)</f>
        <v>Low Risk</v>
      </c>
    </row>
    <row r="539" spans="1:14">
      <c r="A539" s="2">
        <v>0.45494212962962965</v>
      </c>
      <c r="B539" s="3">
        <v>44841</v>
      </c>
      <c r="C539" s="1">
        <v>1802636466</v>
      </c>
      <c r="D539" s="1">
        <v>7475764496</v>
      </c>
      <c r="E539" s="1">
        <v>2538.63</v>
      </c>
      <c r="F539" s="1" t="s">
        <v>51</v>
      </c>
      <c r="G539" s="1" t="s">
        <v>12</v>
      </c>
      <c r="H539" s="1" t="s">
        <v>13</v>
      </c>
      <c r="I539" s="1" t="s">
        <v>13</v>
      </c>
      <c r="J539" s="1" t="s">
        <v>25</v>
      </c>
      <c r="K539" s="1">
        <v>0</v>
      </c>
      <c r="L539" s="1" t="s">
        <v>21</v>
      </c>
      <c r="M539" s="1" t="str">
        <f t="shared" si="8"/>
        <v>Potential Layering</v>
      </c>
      <c r="N539" s="1" t="str">
        <f>_xlfn.XLOOKUP(H539, risk_score!A:A, risk_score!B:B, 0)</f>
        <v>Low Risk</v>
      </c>
    </row>
    <row r="540" spans="1:14">
      <c r="A540" s="2">
        <v>0.45494212962962965</v>
      </c>
      <c r="B540" s="3">
        <v>44841</v>
      </c>
      <c r="C540" s="1">
        <v>8003608688</v>
      </c>
      <c r="D540" s="1">
        <v>6034997194</v>
      </c>
      <c r="E540" s="1">
        <v>33628.75</v>
      </c>
      <c r="F540" s="1" t="s">
        <v>12</v>
      </c>
      <c r="G540" s="1" t="s">
        <v>12</v>
      </c>
      <c r="H540" s="1" t="s">
        <v>13</v>
      </c>
      <c r="I540" s="1" t="s">
        <v>13</v>
      </c>
      <c r="J540" s="1" t="s">
        <v>20</v>
      </c>
      <c r="K540" s="1">
        <v>0</v>
      </c>
      <c r="L540" s="1" t="s">
        <v>23</v>
      </c>
      <c r="M540" s="1" t="str">
        <f t="shared" si="8"/>
        <v>Consistent</v>
      </c>
      <c r="N540" s="1" t="str">
        <f>_xlfn.XLOOKUP(H540, risk_score!A:A, risk_score!B:B, 0)</f>
        <v>Low Risk</v>
      </c>
    </row>
    <row r="541" spans="1:14">
      <c r="A541" s="2">
        <v>0.45497685185185183</v>
      </c>
      <c r="B541" s="3">
        <v>44841</v>
      </c>
      <c r="C541" s="1">
        <v>8987848252</v>
      </c>
      <c r="D541" s="1">
        <v>1896020736</v>
      </c>
      <c r="E541" s="1">
        <v>5695.72</v>
      </c>
      <c r="F541" s="1" t="s">
        <v>12</v>
      </c>
      <c r="G541" s="1" t="s">
        <v>12</v>
      </c>
      <c r="H541" s="1" t="s">
        <v>13</v>
      </c>
      <c r="I541" s="1" t="s">
        <v>13</v>
      </c>
      <c r="J541" s="1" t="s">
        <v>27</v>
      </c>
      <c r="K541" s="1">
        <v>0</v>
      </c>
      <c r="L541" s="1" t="s">
        <v>19</v>
      </c>
      <c r="M541" s="1" t="str">
        <f t="shared" si="8"/>
        <v>Consistent</v>
      </c>
      <c r="N541" s="1" t="str">
        <f>_xlfn.XLOOKUP(H541, risk_score!A:A, risk_score!B:B, 0)</f>
        <v>Low Risk</v>
      </c>
    </row>
    <row r="542" spans="1:14">
      <c r="A542" s="2">
        <v>0.45498842592592592</v>
      </c>
      <c r="B542" s="3">
        <v>44841</v>
      </c>
      <c r="C542" s="1">
        <v>3998168536</v>
      </c>
      <c r="D542" s="1">
        <v>4336977506</v>
      </c>
      <c r="E542" s="1">
        <v>5893.75</v>
      </c>
      <c r="F542" s="1" t="s">
        <v>12</v>
      </c>
      <c r="G542" s="1" t="s">
        <v>12</v>
      </c>
      <c r="H542" s="1" t="s">
        <v>13</v>
      </c>
      <c r="I542" s="1" t="s">
        <v>13</v>
      </c>
      <c r="J542" s="1" t="s">
        <v>27</v>
      </c>
      <c r="K542" s="1">
        <v>0</v>
      </c>
      <c r="L542" s="1" t="s">
        <v>23</v>
      </c>
      <c r="M542" s="1" t="str">
        <f t="shared" si="8"/>
        <v>Consistent</v>
      </c>
      <c r="N542" s="1" t="str">
        <f>_xlfn.XLOOKUP(H542, risk_score!A:A, risk_score!B:B, 0)</f>
        <v>Low Risk</v>
      </c>
    </row>
    <row r="543" spans="1:14">
      <c r="A543" s="2">
        <v>0.45498842592592592</v>
      </c>
      <c r="B543" s="3">
        <v>44841</v>
      </c>
      <c r="C543" s="1">
        <v>4353995266</v>
      </c>
      <c r="D543" s="1">
        <v>6646502650</v>
      </c>
      <c r="E543" s="1">
        <v>5171.09</v>
      </c>
      <c r="F543" s="1" t="s">
        <v>12</v>
      </c>
      <c r="G543" s="1" t="s">
        <v>29</v>
      </c>
      <c r="H543" s="1" t="s">
        <v>13</v>
      </c>
      <c r="I543" s="1" t="s">
        <v>31</v>
      </c>
      <c r="J543" s="1" t="s">
        <v>18</v>
      </c>
      <c r="K543" s="1">
        <v>0</v>
      </c>
      <c r="L543" s="1" t="s">
        <v>23</v>
      </c>
      <c r="M543" s="1" t="str">
        <f t="shared" si="8"/>
        <v>Potential Layering</v>
      </c>
      <c r="N543" s="1" t="str">
        <f>_xlfn.XLOOKUP(H543, risk_score!A:A, risk_score!B:B, 0)</f>
        <v>Low Risk</v>
      </c>
    </row>
    <row r="544" spans="1:14">
      <c r="A544" s="2">
        <v>0.45500000000000002</v>
      </c>
      <c r="B544" s="3">
        <v>44841</v>
      </c>
      <c r="C544" s="1">
        <v>8310701481</v>
      </c>
      <c r="D544" s="1">
        <v>8158472527</v>
      </c>
      <c r="E544" s="1">
        <v>4517.1400000000003</v>
      </c>
      <c r="F544" s="1" t="s">
        <v>12</v>
      </c>
      <c r="G544" s="1" t="s">
        <v>12</v>
      </c>
      <c r="H544" s="1" t="s">
        <v>13</v>
      </c>
      <c r="I544" s="1" t="s">
        <v>13</v>
      </c>
      <c r="J544" s="1" t="s">
        <v>25</v>
      </c>
      <c r="K544" s="1">
        <v>0</v>
      </c>
      <c r="L544" s="1" t="s">
        <v>21</v>
      </c>
      <c r="M544" s="1" t="str">
        <f t="shared" si="8"/>
        <v>Consistent</v>
      </c>
      <c r="N544" s="1" t="str">
        <f>_xlfn.XLOOKUP(H544, risk_score!A:A, risk_score!B:B, 0)</f>
        <v>Low Risk</v>
      </c>
    </row>
    <row r="545" spans="1:14">
      <c r="A545" s="2">
        <v>0.45500000000000002</v>
      </c>
      <c r="B545" s="3">
        <v>44841</v>
      </c>
      <c r="C545" s="1">
        <v>2552379760</v>
      </c>
      <c r="D545" s="1">
        <v>7047415797</v>
      </c>
      <c r="E545" s="1">
        <v>1115.77</v>
      </c>
      <c r="F545" s="1" t="s">
        <v>12</v>
      </c>
      <c r="G545" s="1" t="s">
        <v>12</v>
      </c>
      <c r="H545" s="1" t="s">
        <v>13</v>
      </c>
      <c r="I545" s="1" t="s">
        <v>13</v>
      </c>
      <c r="J545" s="1" t="s">
        <v>27</v>
      </c>
      <c r="K545" s="1">
        <v>0</v>
      </c>
      <c r="L545" s="1" t="s">
        <v>21</v>
      </c>
      <c r="M545" s="1" t="str">
        <f t="shared" si="8"/>
        <v>Consistent</v>
      </c>
      <c r="N545" s="1" t="str">
        <f>_xlfn.XLOOKUP(H545, risk_score!A:A, risk_score!B:B, 0)</f>
        <v>Low Risk</v>
      </c>
    </row>
    <row r="546" spans="1:14">
      <c r="A546" s="2">
        <v>0.45504629629629628</v>
      </c>
      <c r="B546" s="3">
        <v>44841</v>
      </c>
      <c r="C546" s="1">
        <v>5043306746</v>
      </c>
      <c r="D546" s="1">
        <v>3263399801</v>
      </c>
      <c r="E546" s="1">
        <v>257.70999999999998</v>
      </c>
      <c r="F546" s="1" t="s">
        <v>12</v>
      </c>
      <c r="G546" s="1" t="s">
        <v>12</v>
      </c>
      <c r="H546" s="1" t="s">
        <v>13</v>
      </c>
      <c r="I546" s="1" t="s">
        <v>13</v>
      </c>
      <c r="J546" s="1" t="s">
        <v>25</v>
      </c>
      <c r="K546" s="1">
        <v>0</v>
      </c>
      <c r="L546" s="1" t="s">
        <v>21</v>
      </c>
      <c r="M546" s="1" t="str">
        <f t="shared" si="8"/>
        <v>Consistent</v>
      </c>
      <c r="N546" s="1" t="str">
        <f>_xlfn.XLOOKUP(H546, risk_score!A:A, risk_score!B:B, 0)</f>
        <v>Low Risk</v>
      </c>
    </row>
    <row r="547" spans="1:14">
      <c r="A547" s="2">
        <v>0.45504629629629628</v>
      </c>
      <c r="B547" s="3">
        <v>44841</v>
      </c>
      <c r="C547" s="1">
        <v>4109732596</v>
      </c>
      <c r="D547" s="1">
        <v>5708936901</v>
      </c>
      <c r="E547" s="1">
        <v>17809.060000000001</v>
      </c>
      <c r="F547" s="1" t="s">
        <v>12</v>
      </c>
      <c r="G547" s="1" t="s">
        <v>12</v>
      </c>
      <c r="H547" s="1" t="s">
        <v>13</v>
      </c>
      <c r="I547" s="1" t="s">
        <v>13</v>
      </c>
      <c r="J547" s="1" t="s">
        <v>22</v>
      </c>
      <c r="K547" s="1">
        <v>0</v>
      </c>
      <c r="L547" s="1" t="s">
        <v>23</v>
      </c>
      <c r="M547" s="1" t="str">
        <f t="shared" si="8"/>
        <v>Consistent</v>
      </c>
      <c r="N547" s="1" t="str">
        <f>_xlfn.XLOOKUP(H547, risk_score!A:A, risk_score!B:B, 0)</f>
        <v>Low Risk</v>
      </c>
    </row>
    <row r="548" spans="1:14">
      <c r="A548" s="2">
        <v>0.45520833333333333</v>
      </c>
      <c r="B548" s="3">
        <v>44841</v>
      </c>
      <c r="C548" s="1">
        <v>8004586995</v>
      </c>
      <c r="D548" s="1">
        <v>1091854354</v>
      </c>
      <c r="E548" s="1">
        <v>1419.97</v>
      </c>
      <c r="F548" s="1" t="s">
        <v>12</v>
      </c>
      <c r="G548" s="1" t="s">
        <v>12</v>
      </c>
      <c r="H548" s="1" t="s">
        <v>13</v>
      </c>
      <c r="I548" s="1" t="s">
        <v>13</v>
      </c>
      <c r="J548" s="1" t="s">
        <v>14</v>
      </c>
      <c r="K548" s="1">
        <v>0</v>
      </c>
      <c r="L548" s="1" t="s">
        <v>15</v>
      </c>
      <c r="M548" s="1" t="str">
        <f t="shared" si="8"/>
        <v>Consistent</v>
      </c>
      <c r="N548" s="1" t="str">
        <f>_xlfn.XLOOKUP(H548, risk_score!A:A, risk_score!B:B, 0)</f>
        <v>Low Risk</v>
      </c>
    </row>
    <row r="549" spans="1:14">
      <c r="A549" s="2">
        <v>0.45521990740740742</v>
      </c>
      <c r="B549" s="3">
        <v>44841</v>
      </c>
      <c r="C549" s="1">
        <v>6715159817</v>
      </c>
      <c r="D549" s="1">
        <v>7267193919</v>
      </c>
      <c r="E549" s="1">
        <v>3323.79</v>
      </c>
      <c r="F549" s="1" t="s">
        <v>12</v>
      </c>
      <c r="G549" s="1" t="s">
        <v>12</v>
      </c>
      <c r="H549" s="1" t="s">
        <v>13</v>
      </c>
      <c r="I549" s="1" t="s">
        <v>13</v>
      </c>
      <c r="J549" s="1" t="s">
        <v>14</v>
      </c>
      <c r="K549" s="1">
        <v>0</v>
      </c>
      <c r="L549" s="1" t="s">
        <v>15</v>
      </c>
      <c r="M549" s="1" t="str">
        <f t="shared" si="8"/>
        <v>Consistent</v>
      </c>
      <c r="N549" s="1" t="str">
        <f>_xlfn.XLOOKUP(H549, risk_score!A:A, risk_score!B:B, 0)</f>
        <v>Low Risk</v>
      </c>
    </row>
    <row r="550" spans="1:14">
      <c r="A550" s="2">
        <v>0.45532407407407405</v>
      </c>
      <c r="B550" s="3">
        <v>44841</v>
      </c>
      <c r="C550" s="1">
        <v>236763209</v>
      </c>
      <c r="D550" s="1">
        <v>5504005538</v>
      </c>
      <c r="E550" s="1">
        <v>5376.92</v>
      </c>
      <c r="F550" s="1" t="s">
        <v>12</v>
      </c>
      <c r="G550" s="1" t="s">
        <v>12</v>
      </c>
      <c r="H550" s="1" t="s">
        <v>13</v>
      </c>
      <c r="I550" s="1" t="s">
        <v>13</v>
      </c>
      <c r="J550" s="1" t="s">
        <v>27</v>
      </c>
      <c r="K550" s="1">
        <v>0</v>
      </c>
      <c r="L550" s="1" t="s">
        <v>21</v>
      </c>
      <c r="M550" s="1" t="str">
        <f t="shared" si="8"/>
        <v>Consistent</v>
      </c>
      <c r="N550" s="1" t="str">
        <f>_xlfn.XLOOKUP(H550, risk_score!A:A, risk_score!B:B, 0)</f>
        <v>Low Risk</v>
      </c>
    </row>
    <row r="551" spans="1:14">
      <c r="A551" s="2">
        <v>0.45533564814814814</v>
      </c>
      <c r="B551" s="3">
        <v>44841</v>
      </c>
      <c r="C551" s="1">
        <v>2552092407</v>
      </c>
      <c r="D551" s="1">
        <v>9088651571</v>
      </c>
      <c r="E551" s="1">
        <v>175.59</v>
      </c>
      <c r="F551" s="1" t="s">
        <v>12</v>
      </c>
      <c r="G551" s="1" t="s">
        <v>12</v>
      </c>
      <c r="H551" s="1" t="s">
        <v>13</v>
      </c>
      <c r="I551" s="1" t="s">
        <v>13</v>
      </c>
      <c r="J551" s="1" t="s">
        <v>36</v>
      </c>
      <c r="K551" s="1">
        <v>0</v>
      </c>
      <c r="L551" s="1" t="s">
        <v>37</v>
      </c>
      <c r="M551" s="1" t="str">
        <f t="shared" si="8"/>
        <v>Consistent</v>
      </c>
      <c r="N551" s="1" t="str">
        <f>_xlfn.XLOOKUP(H551, risk_score!A:A, risk_score!B:B, 0)</f>
        <v>Low Risk</v>
      </c>
    </row>
    <row r="552" spans="1:14">
      <c r="A552" s="2">
        <v>0.45537037037037037</v>
      </c>
      <c r="B552" s="3">
        <v>44841</v>
      </c>
      <c r="C552" s="1">
        <v>6904668523</v>
      </c>
      <c r="D552" s="1">
        <v>545403361</v>
      </c>
      <c r="E552" s="1">
        <v>5935.32</v>
      </c>
      <c r="F552" s="1" t="s">
        <v>12</v>
      </c>
      <c r="G552" s="1" t="s">
        <v>12</v>
      </c>
      <c r="H552" s="1" t="s">
        <v>13</v>
      </c>
      <c r="I552" s="1" t="s">
        <v>13</v>
      </c>
      <c r="J552" s="1" t="s">
        <v>27</v>
      </c>
      <c r="K552" s="1">
        <v>0</v>
      </c>
      <c r="L552" s="1" t="s">
        <v>19</v>
      </c>
      <c r="M552" s="1" t="str">
        <f t="shared" si="8"/>
        <v>Consistent</v>
      </c>
      <c r="N552" s="1" t="str">
        <f>_xlfn.XLOOKUP(H552, risk_score!A:A, risk_score!B:B, 0)</f>
        <v>Low Risk</v>
      </c>
    </row>
    <row r="553" spans="1:14">
      <c r="A553" s="2">
        <v>0.45537037037037037</v>
      </c>
      <c r="B553" s="3">
        <v>44841</v>
      </c>
      <c r="C553" s="1">
        <v>1977915508</v>
      </c>
      <c r="D553" s="1">
        <v>1493436023</v>
      </c>
      <c r="E553" s="1">
        <v>16360.96</v>
      </c>
      <c r="F553" s="1" t="s">
        <v>12</v>
      </c>
      <c r="G553" s="1" t="s">
        <v>12</v>
      </c>
      <c r="H553" s="1" t="s">
        <v>13</v>
      </c>
      <c r="I553" s="1" t="s">
        <v>13</v>
      </c>
      <c r="J553" s="1" t="s">
        <v>20</v>
      </c>
      <c r="K553" s="1">
        <v>0</v>
      </c>
      <c r="L553" s="1" t="s">
        <v>23</v>
      </c>
      <c r="M553" s="1" t="str">
        <f t="shared" si="8"/>
        <v>Consistent</v>
      </c>
      <c r="N553" s="1" t="str">
        <f>_xlfn.XLOOKUP(H553, risk_score!A:A, risk_score!B:B, 0)</f>
        <v>Low Risk</v>
      </c>
    </row>
    <row r="554" spans="1:14">
      <c r="A554" s="2">
        <v>0.4554050925925926</v>
      </c>
      <c r="B554" s="3">
        <v>44841</v>
      </c>
      <c r="C554" s="1">
        <v>8047909179</v>
      </c>
      <c r="D554" s="1">
        <v>2584568182</v>
      </c>
      <c r="E554" s="1">
        <v>2756.22</v>
      </c>
      <c r="F554" s="1" t="s">
        <v>12</v>
      </c>
      <c r="G554" s="1" t="s">
        <v>12</v>
      </c>
      <c r="H554" s="1" t="s">
        <v>13</v>
      </c>
      <c r="I554" s="1" t="s">
        <v>13</v>
      </c>
      <c r="J554" s="1" t="s">
        <v>25</v>
      </c>
      <c r="K554" s="1">
        <v>0</v>
      </c>
      <c r="L554" s="1" t="s">
        <v>38</v>
      </c>
      <c r="M554" s="1" t="str">
        <f t="shared" si="8"/>
        <v>Consistent</v>
      </c>
      <c r="N554" s="1" t="str">
        <f>_xlfn.XLOOKUP(H554, risk_score!A:A, risk_score!B:B, 0)</f>
        <v>Low Risk</v>
      </c>
    </row>
    <row r="555" spans="1:14">
      <c r="A555" s="2">
        <v>0.45542824074074073</v>
      </c>
      <c r="B555" s="3">
        <v>44841</v>
      </c>
      <c r="C555" s="1">
        <v>3855145219</v>
      </c>
      <c r="D555" s="1">
        <v>8036086315</v>
      </c>
      <c r="E555" s="1">
        <v>4220.88</v>
      </c>
      <c r="F555" s="1" t="s">
        <v>12</v>
      </c>
      <c r="G555" s="1" t="s">
        <v>12</v>
      </c>
      <c r="H555" s="1" t="s">
        <v>13</v>
      </c>
      <c r="I555" s="1" t="s">
        <v>13</v>
      </c>
      <c r="J555" s="1" t="s">
        <v>20</v>
      </c>
      <c r="K555" s="1">
        <v>0</v>
      </c>
      <c r="L555" s="1" t="s">
        <v>21</v>
      </c>
      <c r="M555" s="1" t="str">
        <f t="shared" si="8"/>
        <v>Consistent</v>
      </c>
      <c r="N555" s="1" t="str">
        <f>_xlfn.XLOOKUP(H555, risk_score!A:A, risk_score!B:B, 0)</f>
        <v>Low Risk</v>
      </c>
    </row>
    <row r="556" spans="1:14">
      <c r="A556" s="2">
        <v>0.45543981481481483</v>
      </c>
      <c r="B556" s="3">
        <v>44841</v>
      </c>
      <c r="C556" s="1">
        <v>8571933245</v>
      </c>
      <c r="D556" s="1">
        <v>1692929472</v>
      </c>
      <c r="E556" s="1">
        <v>1390.79</v>
      </c>
      <c r="F556" s="1" t="s">
        <v>12</v>
      </c>
      <c r="G556" s="1" t="s">
        <v>12</v>
      </c>
      <c r="H556" s="1" t="s">
        <v>13</v>
      </c>
      <c r="I556" s="1" t="s">
        <v>13</v>
      </c>
      <c r="J556" s="1" t="s">
        <v>22</v>
      </c>
      <c r="K556" s="1">
        <v>0</v>
      </c>
      <c r="L556" s="1" t="s">
        <v>21</v>
      </c>
      <c r="M556" s="1" t="str">
        <f t="shared" si="8"/>
        <v>Consistent</v>
      </c>
      <c r="N556" s="1" t="str">
        <f>_xlfn.XLOOKUP(H556, risk_score!A:A, risk_score!B:B, 0)</f>
        <v>Low Risk</v>
      </c>
    </row>
    <row r="557" spans="1:14">
      <c r="A557" s="2">
        <v>0.45546296296296296</v>
      </c>
      <c r="B557" s="3">
        <v>44841</v>
      </c>
      <c r="C557" s="1">
        <v>675669049</v>
      </c>
      <c r="D557" s="1">
        <v>4848113486</v>
      </c>
      <c r="E557" s="1">
        <v>6862.55</v>
      </c>
      <c r="F557" s="1" t="s">
        <v>12</v>
      </c>
      <c r="G557" s="1" t="s">
        <v>12</v>
      </c>
      <c r="H557" s="1" t="s">
        <v>13</v>
      </c>
      <c r="I557" s="1" t="s">
        <v>13</v>
      </c>
      <c r="J557" s="1" t="s">
        <v>25</v>
      </c>
      <c r="K557" s="1">
        <v>0</v>
      </c>
      <c r="L557" s="1" t="s">
        <v>19</v>
      </c>
      <c r="M557" s="1" t="str">
        <f t="shared" si="8"/>
        <v>Consistent</v>
      </c>
      <c r="N557" s="1" t="str">
        <f>_xlfn.XLOOKUP(H557, risk_score!A:A, risk_score!B:B, 0)</f>
        <v>Low Risk</v>
      </c>
    </row>
    <row r="558" spans="1:14">
      <c r="A558" s="2">
        <v>0.45548611111111109</v>
      </c>
      <c r="B558" s="3">
        <v>44841</v>
      </c>
      <c r="C558" s="1">
        <v>7262208276</v>
      </c>
      <c r="D558" s="1">
        <v>9286191745</v>
      </c>
      <c r="E558" s="1">
        <v>1828.56</v>
      </c>
      <c r="F558" s="1" t="s">
        <v>12</v>
      </c>
      <c r="G558" s="1" t="s">
        <v>12</v>
      </c>
      <c r="H558" s="1" t="s">
        <v>13</v>
      </c>
      <c r="I558" s="1" t="s">
        <v>13</v>
      </c>
      <c r="J558" s="1" t="s">
        <v>22</v>
      </c>
      <c r="K558" s="1">
        <v>0</v>
      </c>
      <c r="L558" s="1" t="s">
        <v>21</v>
      </c>
      <c r="M558" s="1" t="str">
        <f t="shared" si="8"/>
        <v>Consistent</v>
      </c>
      <c r="N558" s="1" t="str">
        <f>_xlfn.XLOOKUP(H558, risk_score!A:A, risk_score!B:B, 0)</f>
        <v>Low Risk</v>
      </c>
    </row>
    <row r="559" spans="1:14">
      <c r="A559" s="2">
        <v>0.45550925925925928</v>
      </c>
      <c r="B559" s="3">
        <v>44841</v>
      </c>
      <c r="C559" s="1">
        <v>2466056232</v>
      </c>
      <c r="D559" s="1">
        <v>8352571580</v>
      </c>
      <c r="E559" s="1">
        <v>14816.68</v>
      </c>
      <c r="F559" s="1" t="s">
        <v>12</v>
      </c>
      <c r="G559" s="1" t="s">
        <v>12</v>
      </c>
      <c r="H559" s="1" t="s">
        <v>13</v>
      </c>
      <c r="I559" s="1" t="s">
        <v>13</v>
      </c>
      <c r="J559" s="1" t="s">
        <v>22</v>
      </c>
      <c r="K559" s="1">
        <v>0</v>
      </c>
      <c r="L559" s="1" t="s">
        <v>23</v>
      </c>
      <c r="M559" s="1" t="str">
        <f t="shared" si="8"/>
        <v>Consistent</v>
      </c>
      <c r="N559" s="1" t="str">
        <f>_xlfn.XLOOKUP(H559, risk_score!A:A, risk_score!B:B, 0)</f>
        <v>Low Risk</v>
      </c>
    </row>
    <row r="560" spans="1:14">
      <c r="A560" s="2">
        <v>0.45559027777777777</v>
      </c>
      <c r="B560" s="3">
        <v>44841</v>
      </c>
      <c r="C560" s="1">
        <v>3809194171</v>
      </c>
      <c r="D560" s="1">
        <v>621060264</v>
      </c>
      <c r="E560" s="1">
        <v>17263.689999999999</v>
      </c>
      <c r="F560" s="1" t="s">
        <v>12</v>
      </c>
      <c r="G560" s="1" t="s">
        <v>12</v>
      </c>
      <c r="H560" s="1" t="s">
        <v>13</v>
      </c>
      <c r="I560" s="1" t="s">
        <v>13</v>
      </c>
      <c r="J560" s="1" t="s">
        <v>27</v>
      </c>
      <c r="K560" s="1">
        <v>0</v>
      </c>
      <c r="L560" s="1" t="s">
        <v>23</v>
      </c>
      <c r="M560" s="1" t="str">
        <f t="shared" si="8"/>
        <v>Consistent</v>
      </c>
      <c r="N560" s="1" t="str">
        <f>_xlfn.XLOOKUP(H560, risk_score!A:A, risk_score!B:B, 0)</f>
        <v>Low Risk</v>
      </c>
    </row>
    <row r="561" spans="1:14">
      <c r="A561" s="2">
        <v>0.45559027777777777</v>
      </c>
      <c r="B561" s="3">
        <v>44841</v>
      </c>
      <c r="C561" s="1">
        <v>6116657264</v>
      </c>
      <c r="D561" s="1">
        <v>144438037</v>
      </c>
      <c r="E561" s="1">
        <v>5825.57</v>
      </c>
      <c r="F561" s="1" t="s">
        <v>12</v>
      </c>
      <c r="G561" s="1" t="s">
        <v>12</v>
      </c>
      <c r="H561" s="1" t="s">
        <v>13</v>
      </c>
      <c r="I561" s="1" t="s">
        <v>13</v>
      </c>
      <c r="J561" s="1" t="s">
        <v>22</v>
      </c>
      <c r="K561" s="1">
        <v>0</v>
      </c>
      <c r="L561" s="1" t="s">
        <v>19</v>
      </c>
      <c r="M561" s="1" t="str">
        <f t="shared" si="8"/>
        <v>Consistent</v>
      </c>
      <c r="N561" s="1" t="str">
        <f>_xlfn.XLOOKUP(H561, risk_score!A:A, risk_score!B:B, 0)</f>
        <v>Low Risk</v>
      </c>
    </row>
    <row r="562" spans="1:14">
      <c r="A562" s="2">
        <v>0.45559027777777777</v>
      </c>
      <c r="B562" s="3">
        <v>44841</v>
      </c>
      <c r="C562" s="1">
        <v>7501327339</v>
      </c>
      <c r="D562" s="1">
        <v>3230579354</v>
      </c>
      <c r="E562" s="1">
        <v>11268.27</v>
      </c>
      <c r="F562" s="1" t="s">
        <v>12</v>
      </c>
      <c r="G562" s="1" t="s">
        <v>12</v>
      </c>
      <c r="H562" s="1" t="s">
        <v>13</v>
      </c>
      <c r="I562" s="1" t="s">
        <v>13</v>
      </c>
      <c r="J562" s="1" t="s">
        <v>25</v>
      </c>
      <c r="K562" s="1">
        <v>0</v>
      </c>
      <c r="L562" s="1" t="s">
        <v>19</v>
      </c>
      <c r="M562" s="1" t="str">
        <f t="shared" si="8"/>
        <v>Consistent</v>
      </c>
      <c r="N562" s="1" t="str">
        <f>_xlfn.XLOOKUP(H562, risk_score!A:A, risk_score!B:B, 0)</f>
        <v>Low Risk</v>
      </c>
    </row>
    <row r="563" spans="1:14">
      <c r="A563" s="2">
        <v>0.45560185185185187</v>
      </c>
      <c r="B563" s="3">
        <v>44841</v>
      </c>
      <c r="C563" s="1">
        <v>14539122</v>
      </c>
      <c r="D563" s="1">
        <v>6953672776</v>
      </c>
      <c r="E563" s="1">
        <v>6155.14</v>
      </c>
      <c r="F563" s="1" t="s">
        <v>12</v>
      </c>
      <c r="G563" s="1" t="s">
        <v>34</v>
      </c>
      <c r="H563" s="1" t="s">
        <v>13</v>
      </c>
      <c r="I563" s="1" t="s">
        <v>35</v>
      </c>
      <c r="J563" s="1" t="s">
        <v>18</v>
      </c>
      <c r="K563" s="1">
        <v>0</v>
      </c>
      <c r="L563" s="1" t="s">
        <v>23</v>
      </c>
      <c r="M563" s="1" t="str">
        <f t="shared" si="8"/>
        <v>Potential Layering</v>
      </c>
      <c r="N563" s="1" t="str">
        <f>_xlfn.XLOOKUP(H563, risk_score!A:A, risk_score!B:B, 0)</f>
        <v>Low Risk</v>
      </c>
    </row>
    <row r="564" spans="1:14">
      <c r="A564" s="2">
        <v>0.45568287037037036</v>
      </c>
      <c r="B564" s="3">
        <v>44841</v>
      </c>
      <c r="C564" s="1">
        <v>307230262</v>
      </c>
      <c r="D564" s="1">
        <v>3023734307</v>
      </c>
      <c r="E564" s="1">
        <v>2480.31</v>
      </c>
      <c r="F564" s="1" t="s">
        <v>12</v>
      </c>
      <c r="G564" s="1" t="s">
        <v>12</v>
      </c>
      <c r="H564" s="1" t="s">
        <v>13</v>
      </c>
      <c r="I564" s="1" t="s">
        <v>13</v>
      </c>
      <c r="J564" s="1" t="s">
        <v>14</v>
      </c>
      <c r="K564" s="1">
        <v>0</v>
      </c>
      <c r="L564" s="1" t="s">
        <v>15</v>
      </c>
      <c r="M564" s="1" t="str">
        <f t="shared" si="8"/>
        <v>Consistent</v>
      </c>
      <c r="N564" s="1" t="str">
        <f>_xlfn.XLOOKUP(H564, risk_score!A:A, risk_score!B:B, 0)</f>
        <v>Low Risk</v>
      </c>
    </row>
    <row r="565" spans="1:14">
      <c r="A565" s="2">
        <v>0.45576388888888891</v>
      </c>
      <c r="B565" s="3">
        <v>44841</v>
      </c>
      <c r="C565" s="1">
        <v>2267057254</v>
      </c>
      <c r="D565" s="1">
        <v>3353913084</v>
      </c>
      <c r="E565" s="1">
        <v>1387.75</v>
      </c>
      <c r="F565" s="1" t="s">
        <v>12</v>
      </c>
      <c r="G565" s="1" t="s">
        <v>12</v>
      </c>
      <c r="H565" s="1" t="s">
        <v>13</v>
      </c>
      <c r="I565" s="1" t="s">
        <v>13</v>
      </c>
      <c r="J565" s="1" t="s">
        <v>27</v>
      </c>
      <c r="K565" s="1">
        <v>0</v>
      </c>
      <c r="L565" s="1" t="s">
        <v>38</v>
      </c>
      <c r="M565" s="1" t="str">
        <f t="shared" si="8"/>
        <v>Consistent</v>
      </c>
      <c r="N565" s="1" t="str">
        <f>_xlfn.XLOOKUP(H565, risk_score!A:A, risk_score!B:B, 0)</f>
        <v>Low Risk</v>
      </c>
    </row>
    <row r="566" spans="1:14">
      <c r="A566" s="2">
        <v>0.45581018518518518</v>
      </c>
      <c r="B566" s="3">
        <v>44841</v>
      </c>
      <c r="C566" s="1">
        <v>1915450576</v>
      </c>
      <c r="D566" s="1">
        <v>4788192514</v>
      </c>
      <c r="E566" s="1">
        <v>12246.56</v>
      </c>
      <c r="F566" s="1" t="s">
        <v>12</v>
      </c>
      <c r="G566" s="1" t="s">
        <v>12</v>
      </c>
      <c r="H566" s="1" t="s">
        <v>13</v>
      </c>
      <c r="I566" s="1" t="s">
        <v>13</v>
      </c>
      <c r="J566" s="1" t="s">
        <v>25</v>
      </c>
      <c r="K566" s="1">
        <v>0</v>
      </c>
      <c r="L566" s="1" t="s">
        <v>19</v>
      </c>
      <c r="M566" s="1" t="str">
        <f t="shared" si="8"/>
        <v>Consistent</v>
      </c>
      <c r="N566" s="1" t="str">
        <f>_xlfn.XLOOKUP(H566, risk_score!A:A, risk_score!B:B, 0)</f>
        <v>Low Risk</v>
      </c>
    </row>
    <row r="567" spans="1:14">
      <c r="A567" s="2">
        <v>0.45582175925925927</v>
      </c>
      <c r="B567" s="3">
        <v>44841</v>
      </c>
      <c r="C567" s="1">
        <v>6949764034</v>
      </c>
      <c r="D567" s="1">
        <v>1612314007</v>
      </c>
      <c r="E567" s="1">
        <v>14919.17</v>
      </c>
      <c r="F567" s="1" t="s">
        <v>12</v>
      </c>
      <c r="G567" s="1" t="s">
        <v>12</v>
      </c>
      <c r="H567" s="1" t="s">
        <v>13</v>
      </c>
      <c r="I567" s="1" t="s">
        <v>13</v>
      </c>
      <c r="J567" s="1" t="s">
        <v>22</v>
      </c>
      <c r="K567" s="1">
        <v>0</v>
      </c>
      <c r="L567" s="1" t="s">
        <v>38</v>
      </c>
      <c r="M567" s="1" t="str">
        <f t="shared" si="8"/>
        <v>Consistent</v>
      </c>
      <c r="N567" s="1" t="str">
        <f>_xlfn.XLOOKUP(H567, risk_score!A:A, risk_score!B:B, 0)</f>
        <v>Low Risk</v>
      </c>
    </row>
    <row r="568" spans="1:14">
      <c r="A568" s="2">
        <v>0.45583333333333331</v>
      </c>
      <c r="B568" s="3">
        <v>44841</v>
      </c>
      <c r="C568" s="1">
        <v>2797271466</v>
      </c>
      <c r="D568" s="1">
        <v>9982628328</v>
      </c>
      <c r="E568" s="1">
        <v>7134.01</v>
      </c>
      <c r="F568" s="1" t="s">
        <v>12</v>
      </c>
      <c r="G568" s="1" t="s">
        <v>12</v>
      </c>
      <c r="H568" s="1" t="s">
        <v>13</v>
      </c>
      <c r="I568" s="1" t="s">
        <v>13</v>
      </c>
      <c r="J568" s="1" t="s">
        <v>25</v>
      </c>
      <c r="K568" s="1">
        <v>0</v>
      </c>
      <c r="L568" s="1" t="s">
        <v>19</v>
      </c>
      <c r="M568" s="1" t="str">
        <f t="shared" si="8"/>
        <v>Consistent</v>
      </c>
      <c r="N568" s="1" t="str">
        <f>_xlfn.XLOOKUP(H568, risk_score!A:A, risk_score!B:B, 0)</f>
        <v>Low Risk</v>
      </c>
    </row>
    <row r="569" spans="1:14">
      <c r="A569" s="2">
        <v>0.4558564814814815</v>
      </c>
      <c r="B569" s="3">
        <v>44841</v>
      </c>
      <c r="C569" s="1">
        <v>1526403963</v>
      </c>
      <c r="D569" s="1">
        <v>1498551643</v>
      </c>
      <c r="E569" s="1">
        <v>7730.88</v>
      </c>
      <c r="F569" s="1" t="s">
        <v>12</v>
      </c>
      <c r="G569" s="1" t="s">
        <v>12</v>
      </c>
      <c r="H569" s="1" t="s">
        <v>13</v>
      </c>
      <c r="I569" s="1" t="s">
        <v>13</v>
      </c>
      <c r="J569" s="1" t="s">
        <v>25</v>
      </c>
      <c r="K569" s="1">
        <v>0</v>
      </c>
      <c r="L569" s="1" t="s">
        <v>21</v>
      </c>
      <c r="M569" s="1" t="str">
        <f t="shared" si="8"/>
        <v>Consistent</v>
      </c>
      <c r="N569" s="1" t="str">
        <f>_xlfn.XLOOKUP(H569, risk_score!A:A, risk_score!B:B, 0)</f>
        <v>Low Risk</v>
      </c>
    </row>
    <row r="570" spans="1:14">
      <c r="A570" s="2">
        <v>0.4559375</v>
      </c>
      <c r="B570" s="3">
        <v>44841</v>
      </c>
      <c r="C570" s="1">
        <v>2365007895</v>
      </c>
      <c r="D570" s="1">
        <v>8015553278</v>
      </c>
      <c r="E570" s="1">
        <v>6949.44</v>
      </c>
      <c r="F570" s="1" t="s">
        <v>12</v>
      </c>
      <c r="G570" s="1" t="s">
        <v>12</v>
      </c>
      <c r="H570" s="1" t="s">
        <v>13</v>
      </c>
      <c r="I570" s="1" t="s">
        <v>13</v>
      </c>
      <c r="J570" s="1" t="s">
        <v>27</v>
      </c>
      <c r="K570" s="1">
        <v>0</v>
      </c>
      <c r="L570" s="1" t="s">
        <v>19</v>
      </c>
      <c r="M570" s="1" t="str">
        <f t="shared" si="8"/>
        <v>Consistent</v>
      </c>
      <c r="N570" s="1" t="str">
        <f>_xlfn.XLOOKUP(H570, risk_score!A:A, risk_score!B:B, 0)</f>
        <v>Low Risk</v>
      </c>
    </row>
    <row r="571" spans="1:14">
      <c r="A571" s="2">
        <v>0.45596064814814813</v>
      </c>
      <c r="B571" s="3">
        <v>44841</v>
      </c>
      <c r="C571" s="1">
        <v>5988394791</v>
      </c>
      <c r="D571" s="1">
        <v>3114444835</v>
      </c>
      <c r="E571" s="1">
        <v>33678.400000000001</v>
      </c>
      <c r="F571" s="1" t="s">
        <v>12</v>
      </c>
      <c r="G571" s="1" t="s">
        <v>12</v>
      </c>
      <c r="H571" s="1" t="s">
        <v>13</v>
      </c>
      <c r="I571" s="1" t="s">
        <v>13</v>
      </c>
      <c r="J571" s="1" t="s">
        <v>25</v>
      </c>
      <c r="K571" s="1">
        <v>0</v>
      </c>
      <c r="L571" s="1" t="s">
        <v>49</v>
      </c>
      <c r="M571" s="1" t="str">
        <f t="shared" si="8"/>
        <v>Consistent</v>
      </c>
      <c r="N571" s="1" t="str">
        <f>_xlfn.XLOOKUP(H571, risk_score!A:A, risk_score!B:B, 0)</f>
        <v>Low Risk</v>
      </c>
    </row>
    <row r="572" spans="1:14">
      <c r="A572" s="2">
        <v>0.45598379629629632</v>
      </c>
      <c r="B572" s="3">
        <v>44841</v>
      </c>
      <c r="C572" s="1">
        <v>5979365359</v>
      </c>
      <c r="D572" s="1">
        <v>409707192</v>
      </c>
      <c r="E572" s="1">
        <v>9644.0499999999993</v>
      </c>
      <c r="F572" s="1" t="s">
        <v>12</v>
      </c>
      <c r="G572" s="1" t="s">
        <v>12</v>
      </c>
      <c r="H572" s="1" t="s">
        <v>13</v>
      </c>
      <c r="I572" s="1" t="s">
        <v>13</v>
      </c>
      <c r="J572" s="1" t="s">
        <v>27</v>
      </c>
      <c r="K572" s="1">
        <v>0</v>
      </c>
      <c r="L572" s="1" t="s">
        <v>23</v>
      </c>
      <c r="M572" s="1" t="str">
        <f t="shared" si="8"/>
        <v>Consistent</v>
      </c>
      <c r="N572" s="1" t="str">
        <f>_xlfn.XLOOKUP(H572, risk_score!A:A, risk_score!B:B, 0)</f>
        <v>Low Risk</v>
      </c>
    </row>
    <row r="573" spans="1:14">
      <c r="A573" s="2">
        <v>0.45606481481481481</v>
      </c>
      <c r="B573" s="3">
        <v>44841</v>
      </c>
      <c r="C573" s="1">
        <v>9875276991</v>
      </c>
      <c r="D573" s="1">
        <v>4278420374</v>
      </c>
      <c r="E573" s="1">
        <v>688.5</v>
      </c>
      <c r="F573" s="1" t="s">
        <v>12</v>
      </c>
      <c r="G573" s="1" t="s">
        <v>12</v>
      </c>
      <c r="H573" s="1" t="s">
        <v>13</v>
      </c>
      <c r="I573" s="1" t="s">
        <v>13</v>
      </c>
      <c r="J573" s="1" t="s">
        <v>14</v>
      </c>
      <c r="K573" s="1">
        <v>0</v>
      </c>
      <c r="L573" s="1" t="s">
        <v>15</v>
      </c>
      <c r="M573" s="1" t="str">
        <f t="shared" si="8"/>
        <v>Consistent</v>
      </c>
      <c r="N573" s="1" t="str">
        <f>_xlfn.XLOOKUP(H573, risk_score!A:A, risk_score!B:B, 0)</f>
        <v>Low Risk</v>
      </c>
    </row>
    <row r="574" spans="1:14">
      <c r="A574" s="2">
        <v>0.45607638888888891</v>
      </c>
      <c r="B574" s="3">
        <v>44841</v>
      </c>
      <c r="C574" s="1">
        <v>130653303</v>
      </c>
      <c r="D574" s="1">
        <v>6153393710</v>
      </c>
      <c r="E574" s="1">
        <v>9404.35</v>
      </c>
      <c r="F574" s="1" t="s">
        <v>12</v>
      </c>
      <c r="G574" s="1" t="s">
        <v>12</v>
      </c>
      <c r="H574" s="1" t="s">
        <v>13</v>
      </c>
      <c r="I574" s="1" t="s">
        <v>13</v>
      </c>
      <c r="J574" s="1" t="s">
        <v>27</v>
      </c>
      <c r="K574" s="1">
        <v>0</v>
      </c>
      <c r="L574" s="1" t="s">
        <v>21</v>
      </c>
      <c r="M574" s="1" t="str">
        <f t="shared" si="8"/>
        <v>Consistent</v>
      </c>
      <c r="N574" s="1" t="str">
        <f>_xlfn.XLOOKUP(H574, risk_score!A:A, risk_score!B:B, 0)</f>
        <v>Low Risk</v>
      </c>
    </row>
    <row r="575" spans="1:14">
      <c r="A575" s="2">
        <v>0.45611111111111113</v>
      </c>
      <c r="B575" s="3">
        <v>44841</v>
      </c>
      <c r="C575" s="1">
        <v>8572039029</v>
      </c>
      <c r="D575" s="1">
        <v>1431561040</v>
      </c>
      <c r="E575" s="1">
        <v>10266.879999999999</v>
      </c>
      <c r="F575" s="1" t="s">
        <v>29</v>
      </c>
      <c r="G575" s="1" t="s">
        <v>12</v>
      </c>
      <c r="H575" s="1" t="s">
        <v>31</v>
      </c>
      <c r="I575" s="1" t="s">
        <v>13</v>
      </c>
      <c r="J575" s="1" t="s">
        <v>18</v>
      </c>
      <c r="K575" s="1">
        <v>0</v>
      </c>
      <c r="L575" s="1" t="s">
        <v>23</v>
      </c>
      <c r="M575" s="1" t="str">
        <f t="shared" si="8"/>
        <v>Potential Layering</v>
      </c>
      <c r="N575" s="1" t="str">
        <f>_xlfn.XLOOKUP(H575, risk_score!A:A, risk_score!B:B, 0)</f>
        <v>Low Risk</v>
      </c>
    </row>
    <row r="576" spans="1:14">
      <c r="A576" s="2">
        <v>0.45614583333333331</v>
      </c>
      <c r="B576" s="3">
        <v>44841</v>
      </c>
      <c r="C576" s="1">
        <v>5718331090</v>
      </c>
      <c r="D576" s="1">
        <v>8092903168</v>
      </c>
      <c r="E576" s="1">
        <v>155.82</v>
      </c>
      <c r="F576" s="1" t="s">
        <v>12</v>
      </c>
      <c r="G576" s="1" t="s">
        <v>12</v>
      </c>
      <c r="H576" s="1" t="s">
        <v>13</v>
      </c>
      <c r="I576" s="1" t="s">
        <v>13</v>
      </c>
      <c r="J576" s="1" t="s">
        <v>36</v>
      </c>
      <c r="K576" s="1">
        <v>0</v>
      </c>
      <c r="L576" s="1" t="s">
        <v>37</v>
      </c>
      <c r="M576" s="1" t="str">
        <f t="shared" si="8"/>
        <v>Consistent</v>
      </c>
      <c r="N576" s="1" t="str">
        <f>_xlfn.XLOOKUP(H576, risk_score!A:A, risk_score!B:B, 0)</f>
        <v>Low Risk</v>
      </c>
    </row>
    <row r="577" spans="1:14">
      <c r="A577" s="2">
        <v>0.4561574074074074</v>
      </c>
      <c r="B577" s="3">
        <v>44841</v>
      </c>
      <c r="C577" s="1">
        <v>2401232223</v>
      </c>
      <c r="D577" s="1">
        <v>7141862393</v>
      </c>
      <c r="E577" s="1">
        <v>2294.5100000000002</v>
      </c>
      <c r="F577" s="1" t="s">
        <v>12</v>
      </c>
      <c r="G577" s="1" t="s">
        <v>12</v>
      </c>
      <c r="H577" s="1" t="s">
        <v>13</v>
      </c>
      <c r="I577" s="1" t="s">
        <v>13</v>
      </c>
      <c r="J577" s="1" t="s">
        <v>25</v>
      </c>
      <c r="K577" s="1">
        <v>0</v>
      </c>
      <c r="L577" s="1" t="s">
        <v>21</v>
      </c>
      <c r="M577" s="1" t="str">
        <f t="shared" si="8"/>
        <v>Consistent</v>
      </c>
      <c r="N577" s="1" t="str">
        <f>_xlfn.XLOOKUP(H577, risk_score!A:A, risk_score!B:B, 0)</f>
        <v>Low Risk</v>
      </c>
    </row>
    <row r="578" spans="1:14">
      <c r="A578" s="2">
        <v>0.45619212962962963</v>
      </c>
      <c r="B578" s="3">
        <v>44841</v>
      </c>
      <c r="C578" s="1">
        <v>659293582</v>
      </c>
      <c r="D578" s="1">
        <v>3792752290</v>
      </c>
      <c r="E578" s="1">
        <v>2332.5500000000002</v>
      </c>
      <c r="F578" s="1" t="s">
        <v>12</v>
      </c>
      <c r="G578" s="1" t="s">
        <v>12</v>
      </c>
      <c r="H578" s="1" t="s">
        <v>13</v>
      </c>
      <c r="I578" s="1" t="s">
        <v>13</v>
      </c>
      <c r="J578" s="1" t="s">
        <v>27</v>
      </c>
      <c r="K578" s="1">
        <v>0</v>
      </c>
      <c r="L578" s="1" t="s">
        <v>24</v>
      </c>
      <c r="M578" s="1" t="str">
        <f t="shared" si="8"/>
        <v>Consistent</v>
      </c>
      <c r="N578" s="1" t="str">
        <f>_xlfn.XLOOKUP(H578, risk_score!A:A, risk_score!B:B, 0)</f>
        <v>Low Risk</v>
      </c>
    </row>
    <row r="579" spans="1:14">
      <c r="A579" s="2">
        <v>0.45624999999999999</v>
      </c>
      <c r="B579" s="3">
        <v>44841</v>
      </c>
      <c r="C579" s="1">
        <v>7556064805</v>
      </c>
      <c r="D579" s="1">
        <v>3079818547</v>
      </c>
      <c r="E579" s="1">
        <v>12175.77</v>
      </c>
      <c r="F579" s="1" t="s">
        <v>12</v>
      </c>
      <c r="G579" s="1" t="s">
        <v>12</v>
      </c>
      <c r="H579" s="1" t="s">
        <v>13</v>
      </c>
      <c r="I579" s="1" t="s">
        <v>13</v>
      </c>
      <c r="J579" s="1" t="s">
        <v>25</v>
      </c>
      <c r="K579" s="1">
        <v>0</v>
      </c>
      <c r="L579" s="1" t="s">
        <v>23</v>
      </c>
      <c r="M579" s="1" t="str">
        <f t="shared" ref="M579:M642" si="9">IF(F579=G579, "Consistent", "Potential Layering")</f>
        <v>Consistent</v>
      </c>
      <c r="N579" s="1" t="str">
        <f>_xlfn.XLOOKUP(H579, risk_score!A:A, risk_score!B:B, 0)</f>
        <v>Low Risk</v>
      </c>
    </row>
    <row r="580" spans="1:14">
      <c r="A580" s="2">
        <v>0.45624999999999999</v>
      </c>
      <c r="B580" s="3">
        <v>44841</v>
      </c>
      <c r="C580" s="1">
        <v>733430828</v>
      </c>
      <c r="D580" s="1">
        <v>6953672776</v>
      </c>
      <c r="E580" s="1">
        <v>5916.09</v>
      </c>
      <c r="F580" s="1" t="s">
        <v>12</v>
      </c>
      <c r="G580" s="1" t="s">
        <v>34</v>
      </c>
      <c r="H580" s="1" t="s">
        <v>13</v>
      </c>
      <c r="I580" s="1" t="s">
        <v>35</v>
      </c>
      <c r="J580" s="1" t="s">
        <v>18</v>
      </c>
      <c r="K580" s="1">
        <v>0</v>
      </c>
      <c r="L580" s="1" t="s">
        <v>23</v>
      </c>
      <c r="M580" s="1" t="str">
        <f t="shared" si="9"/>
        <v>Potential Layering</v>
      </c>
      <c r="N580" s="1" t="str">
        <f>_xlfn.XLOOKUP(H580, risk_score!A:A, risk_score!B:B, 0)</f>
        <v>Low Risk</v>
      </c>
    </row>
    <row r="581" spans="1:14">
      <c r="A581" s="2">
        <v>0.45629629629629631</v>
      </c>
      <c r="B581" s="3">
        <v>44841</v>
      </c>
      <c r="C581" s="1">
        <v>8185097615</v>
      </c>
      <c r="D581" s="1">
        <v>4432422695</v>
      </c>
      <c r="E581" s="1">
        <v>879.96</v>
      </c>
      <c r="F581" s="1" t="s">
        <v>12</v>
      </c>
      <c r="G581" s="1" t="s">
        <v>12</v>
      </c>
      <c r="H581" s="1" t="s">
        <v>13</v>
      </c>
      <c r="I581" s="1" t="s">
        <v>13</v>
      </c>
      <c r="J581" s="1" t="s">
        <v>25</v>
      </c>
      <c r="K581" s="1">
        <v>0</v>
      </c>
      <c r="L581" s="1" t="s">
        <v>21</v>
      </c>
      <c r="M581" s="1" t="str">
        <f t="shared" si="9"/>
        <v>Consistent</v>
      </c>
      <c r="N581" s="1" t="str">
        <f>_xlfn.XLOOKUP(H581, risk_score!A:A, risk_score!B:B, 0)</f>
        <v>Low Risk</v>
      </c>
    </row>
    <row r="582" spans="1:14">
      <c r="A582" s="2">
        <v>0.45629629629629631</v>
      </c>
      <c r="B582" s="3">
        <v>44841</v>
      </c>
      <c r="C582" s="1">
        <v>2155777605</v>
      </c>
      <c r="D582" s="1">
        <v>9468974274</v>
      </c>
      <c r="E582" s="1">
        <v>7214.79</v>
      </c>
      <c r="F582" s="1" t="s">
        <v>12</v>
      </c>
      <c r="G582" s="1" t="s">
        <v>12</v>
      </c>
      <c r="H582" s="1" t="s">
        <v>13</v>
      </c>
      <c r="I582" s="1" t="s">
        <v>13</v>
      </c>
      <c r="J582" s="1" t="s">
        <v>20</v>
      </c>
      <c r="K582" s="1">
        <v>0</v>
      </c>
      <c r="L582" s="1" t="s">
        <v>21</v>
      </c>
      <c r="M582" s="1" t="str">
        <f t="shared" si="9"/>
        <v>Consistent</v>
      </c>
      <c r="N582" s="1" t="str">
        <f>_xlfn.XLOOKUP(H582, risk_score!A:A, risk_score!B:B, 0)</f>
        <v>Low Risk</v>
      </c>
    </row>
    <row r="583" spans="1:14">
      <c r="A583" s="2">
        <v>0.45630787037037035</v>
      </c>
      <c r="B583" s="3">
        <v>44841</v>
      </c>
      <c r="C583" s="1">
        <v>1168600456</v>
      </c>
      <c r="D583" s="1">
        <v>6011344390</v>
      </c>
      <c r="E583" s="1">
        <v>1101.99</v>
      </c>
      <c r="F583" s="1" t="s">
        <v>12</v>
      </c>
      <c r="G583" s="1" t="s">
        <v>12</v>
      </c>
      <c r="H583" s="1" t="s">
        <v>13</v>
      </c>
      <c r="I583" s="1" t="s">
        <v>13</v>
      </c>
      <c r="J583" s="1" t="s">
        <v>25</v>
      </c>
      <c r="K583" s="1">
        <v>0</v>
      </c>
      <c r="L583" s="1" t="s">
        <v>21</v>
      </c>
      <c r="M583" s="1" t="str">
        <f t="shared" si="9"/>
        <v>Consistent</v>
      </c>
      <c r="N583" s="1" t="str">
        <f>_xlfn.XLOOKUP(H583, risk_score!A:A, risk_score!B:B, 0)</f>
        <v>Low Risk</v>
      </c>
    </row>
    <row r="584" spans="1:14">
      <c r="A584" s="2">
        <v>0.45633101851851854</v>
      </c>
      <c r="B584" s="3">
        <v>44841</v>
      </c>
      <c r="C584" s="1">
        <v>1638295908</v>
      </c>
      <c r="D584" s="1">
        <v>6648839495</v>
      </c>
      <c r="E584" s="1">
        <v>1398.66</v>
      </c>
      <c r="F584" s="1" t="s">
        <v>12</v>
      </c>
      <c r="G584" s="1" t="s">
        <v>12</v>
      </c>
      <c r="H584" s="1" t="s">
        <v>13</v>
      </c>
      <c r="I584" s="1" t="s">
        <v>13</v>
      </c>
      <c r="J584" s="1" t="s">
        <v>25</v>
      </c>
      <c r="K584" s="1">
        <v>0</v>
      </c>
      <c r="L584" s="1" t="s">
        <v>21</v>
      </c>
      <c r="M584" s="1" t="str">
        <f t="shared" si="9"/>
        <v>Consistent</v>
      </c>
      <c r="N584" s="1" t="str">
        <f>_xlfn.XLOOKUP(H584, risk_score!A:A, risk_score!B:B, 0)</f>
        <v>Low Risk</v>
      </c>
    </row>
    <row r="585" spans="1:14">
      <c r="A585" s="2">
        <v>0.45634259259259258</v>
      </c>
      <c r="B585" s="3">
        <v>44841</v>
      </c>
      <c r="C585" s="1">
        <v>8389148416</v>
      </c>
      <c r="D585" s="1">
        <v>2815444709</v>
      </c>
      <c r="E585" s="1">
        <v>5143.45</v>
      </c>
      <c r="F585" s="1" t="s">
        <v>12</v>
      </c>
      <c r="G585" s="1" t="s">
        <v>12</v>
      </c>
      <c r="H585" s="1" t="s">
        <v>13</v>
      </c>
      <c r="I585" s="1" t="s">
        <v>13</v>
      </c>
      <c r="J585" s="1" t="s">
        <v>25</v>
      </c>
      <c r="K585" s="1">
        <v>0</v>
      </c>
      <c r="L585" s="1" t="s">
        <v>19</v>
      </c>
      <c r="M585" s="1" t="str">
        <f t="shared" si="9"/>
        <v>Consistent</v>
      </c>
      <c r="N585" s="1" t="str">
        <f>_xlfn.XLOOKUP(H585, risk_score!A:A, risk_score!B:B, 0)</f>
        <v>Low Risk</v>
      </c>
    </row>
    <row r="586" spans="1:14">
      <c r="A586" s="2">
        <v>0.45637731481481481</v>
      </c>
      <c r="B586" s="3">
        <v>44841</v>
      </c>
      <c r="C586" s="1">
        <v>1092702536</v>
      </c>
      <c r="D586" s="1">
        <v>3220735304</v>
      </c>
      <c r="E586" s="1">
        <v>19316.400000000001</v>
      </c>
      <c r="F586" s="1" t="s">
        <v>12</v>
      </c>
      <c r="G586" s="1" t="s">
        <v>12</v>
      </c>
      <c r="H586" s="1" t="s">
        <v>13</v>
      </c>
      <c r="I586" s="1" t="s">
        <v>13</v>
      </c>
      <c r="J586" s="1" t="s">
        <v>27</v>
      </c>
      <c r="K586" s="1">
        <v>0</v>
      </c>
      <c r="L586" s="1" t="s">
        <v>23</v>
      </c>
      <c r="M586" s="1" t="str">
        <f t="shared" si="9"/>
        <v>Consistent</v>
      </c>
      <c r="N586" s="1" t="str">
        <f>_xlfn.XLOOKUP(H586, risk_score!A:A, risk_score!B:B, 0)</f>
        <v>Low Risk</v>
      </c>
    </row>
    <row r="587" spans="1:14">
      <c r="A587" s="2">
        <v>0.45637731481481481</v>
      </c>
      <c r="B587" s="3">
        <v>44841</v>
      </c>
      <c r="C587" s="1">
        <v>8887252144</v>
      </c>
      <c r="D587" s="1">
        <v>3495196736</v>
      </c>
      <c r="E587" s="1">
        <v>1727.78</v>
      </c>
      <c r="F587" s="1" t="s">
        <v>12</v>
      </c>
      <c r="G587" s="1" t="s">
        <v>12</v>
      </c>
      <c r="H587" s="1" t="s">
        <v>13</v>
      </c>
      <c r="I587" s="1" t="s">
        <v>13</v>
      </c>
      <c r="J587" s="1" t="s">
        <v>22</v>
      </c>
      <c r="K587" s="1">
        <v>0</v>
      </c>
      <c r="L587" s="1" t="s">
        <v>21</v>
      </c>
      <c r="M587" s="1" t="str">
        <f t="shared" si="9"/>
        <v>Consistent</v>
      </c>
      <c r="N587" s="1" t="str">
        <f>_xlfn.XLOOKUP(H587, risk_score!A:A, risk_score!B:B, 0)</f>
        <v>Low Risk</v>
      </c>
    </row>
    <row r="588" spans="1:14">
      <c r="A588" s="2">
        <v>0.45641203703703703</v>
      </c>
      <c r="B588" s="3">
        <v>44841</v>
      </c>
      <c r="C588" s="1">
        <v>5310672783</v>
      </c>
      <c r="D588" s="1">
        <v>4729254795</v>
      </c>
      <c r="E588" s="1">
        <v>88014.57</v>
      </c>
      <c r="F588" s="1" t="s">
        <v>12</v>
      </c>
      <c r="G588" s="1" t="s">
        <v>12</v>
      </c>
      <c r="H588" s="1" t="s">
        <v>13</v>
      </c>
      <c r="I588" s="1" t="s">
        <v>13</v>
      </c>
      <c r="J588" s="1" t="s">
        <v>27</v>
      </c>
      <c r="K588" s="1">
        <v>0</v>
      </c>
      <c r="L588" s="1" t="s">
        <v>58</v>
      </c>
      <c r="M588" s="1" t="str">
        <f t="shared" si="9"/>
        <v>Consistent</v>
      </c>
      <c r="N588" s="1" t="str">
        <f>_xlfn.XLOOKUP(H588, risk_score!A:A, risk_score!B:B, 0)</f>
        <v>Low Risk</v>
      </c>
    </row>
    <row r="589" spans="1:14">
      <c r="A589" s="2">
        <v>0.45642361111111113</v>
      </c>
      <c r="B589" s="3">
        <v>44841</v>
      </c>
      <c r="C589" s="1">
        <v>9734083970</v>
      </c>
      <c r="D589" s="1">
        <v>7577540230</v>
      </c>
      <c r="E589" s="1">
        <v>7288.77</v>
      </c>
      <c r="F589" s="1" t="s">
        <v>12</v>
      </c>
      <c r="G589" s="1" t="s">
        <v>12</v>
      </c>
      <c r="H589" s="1" t="s">
        <v>13</v>
      </c>
      <c r="I589" s="1" t="s">
        <v>13</v>
      </c>
      <c r="J589" s="1" t="s">
        <v>20</v>
      </c>
      <c r="K589" s="1">
        <v>0</v>
      </c>
      <c r="L589" s="1" t="s">
        <v>19</v>
      </c>
      <c r="M589" s="1" t="str">
        <f t="shared" si="9"/>
        <v>Consistent</v>
      </c>
      <c r="N589" s="1" t="str">
        <f>_xlfn.XLOOKUP(H589, risk_score!A:A, risk_score!B:B, 0)</f>
        <v>Low Risk</v>
      </c>
    </row>
    <row r="590" spans="1:14">
      <c r="A590" s="2">
        <v>0.45644675925925926</v>
      </c>
      <c r="B590" s="3">
        <v>44841</v>
      </c>
      <c r="C590" s="1">
        <v>2359149347</v>
      </c>
      <c r="D590" s="1">
        <v>7975935824</v>
      </c>
      <c r="E590" s="1">
        <v>15676.74</v>
      </c>
      <c r="F590" s="1" t="s">
        <v>12</v>
      </c>
      <c r="G590" s="1" t="s">
        <v>12</v>
      </c>
      <c r="H590" s="1" t="s">
        <v>13</v>
      </c>
      <c r="I590" s="1" t="s">
        <v>13</v>
      </c>
      <c r="J590" s="1" t="s">
        <v>27</v>
      </c>
      <c r="K590" s="1">
        <v>0</v>
      </c>
      <c r="L590" s="1" t="s">
        <v>24</v>
      </c>
      <c r="M590" s="1" t="str">
        <f t="shared" si="9"/>
        <v>Consistent</v>
      </c>
      <c r="N590" s="1" t="str">
        <f>_xlfn.XLOOKUP(H590, risk_score!A:A, risk_score!B:B, 0)</f>
        <v>Low Risk</v>
      </c>
    </row>
    <row r="591" spans="1:14">
      <c r="A591" s="2">
        <v>0.45645833333333335</v>
      </c>
      <c r="B591" s="3">
        <v>44841</v>
      </c>
      <c r="C591" s="1">
        <v>1556161476</v>
      </c>
      <c r="D591" s="1">
        <v>703064372</v>
      </c>
      <c r="E591" s="1">
        <v>1524.31</v>
      </c>
      <c r="F591" s="1" t="s">
        <v>12</v>
      </c>
      <c r="G591" s="1" t="s">
        <v>12</v>
      </c>
      <c r="H591" s="1" t="s">
        <v>13</v>
      </c>
      <c r="I591" s="1" t="s">
        <v>13</v>
      </c>
      <c r="J591" s="1" t="s">
        <v>22</v>
      </c>
      <c r="K591" s="1">
        <v>0</v>
      </c>
      <c r="L591" s="1" t="s">
        <v>21</v>
      </c>
      <c r="M591" s="1" t="str">
        <f t="shared" si="9"/>
        <v>Consistent</v>
      </c>
      <c r="N591" s="1" t="str">
        <f>_xlfn.XLOOKUP(H591, risk_score!A:A, risk_score!B:B, 0)</f>
        <v>Low Risk</v>
      </c>
    </row>
    <row r="592" spans="1:14">
      <c r="A592" s="2">
        <v>0.45646990740740739</v>
      </c>
      <c r="B592" s="3">
        <v>44841</v>
      </c>
      <c r="C592" s="1">
        <v>456975181</v>
      </c>
      <c r="D592" s="1">
        <v>7116059879</v>
      </c>
      <c r="E592" s="1">
        <v>4328.16</v>
      </c>
      <c r="F592" s="1" t="s">
        <v>12</v>
      </c>
      <c r="G592" s="1" t="s">
        <v>12</v>
      </c>
      <c r="H592" s="1" t="s">
        <v>13</v>
      </c>
      <c r="I592" s="1" t="s">
        <v>13</v>
      </c>
      <c r="J592" s="1" t="s">
        <v>25</v>
      </c>
      <c r="K592" s="1">
        <v>0</v>
      </c>
      <c r="L592" s="1" t="s">
        <v>21</v>
      </c>
      <c r="M592" s="1" t="str">
        <f t="shared" si="9"/>
        <v>Consistent</v>
      </c>
      <c r="N592" s="1" t="str">
        <f>_xlfn.XLOOKUP(H592, risk_score!A:A, risk_score!B:B, 0)</f>
        <v>Low Risk</v>
      </c>
    </row>
    <row r="593" spans="1:14">
      <c r="A593" s="2">
        <v>0.45657407407407408</v>
      </c>
      <c r="B593" s="3">
        <v>44841</v>
      </c>
      <c r="C593" s="1">
        <v>8456279067</v>
      </c>
      <c r="D593" s="1">
        <v>2341493832</v>
      </c>
      <c r="E593" s="1">
        <v>7906.34</v>
      </c>
      <c r="F593" s="1" t="s">
        <v>12</v>
      </c>
      <c r="G593" s="1" t="s">
        <v>12</v>
      </c>
      <c r="H593" s="1" t="s">
        <v>13</v>
      </c>
      <c r="I593" s="1" t="s">
        <v>13</v>
      </c>
      <c r="J593" s="1" t="s">
        <v>20</v>
      </c>
      <c r="K593" s="1">
        <v>0</v>
      </c>
      <c r="L593" s="1" t="s">
        <v>19</v>
      </c>
      <c r="M593" s="1" t="str">
        <f t="shared" si="9"/>
        <v>Consistent</v>
      </c>
      <c r="N593" s="1" t="str">
        <f>_xlfn.XLOOKUP(H593, risk_score!A:A, risk_score!B:B, 0)</f>
        <v>Low Risk</v>
      </c>
    </row>
    <row r="594" spans="1:14">
      <c r="A594" s="2">
        <v>0.4566087962962963</v>
      </c>
      <c r="B594" s="3">
        <v>44841</v>
      </c>
      <c r="C594" s="1">
        <v>9791139953</v>
      </c>
      <c r="D594" s="1">
        <v>2127835605</v>
      </c>
      <c r="E594" s="1">
        <v>420.19</v>
      </c>
      <c r="F594" s="1" t="s">
        <v>12</v>
      </c>
      <c r="G594" s="1" t="s">
        <v>12</v>
      </c>
      <c r="H594" s="1" t="s">
        <v>13</v>
      </c>
      <c r="I594" s="1" t="s">
        <v>13</v>
      </c>
      <c r="J594" s="1" t="s">
        <v>22</v>
      </c>
      <c r="K594" s="1">
        <v>0</v>
      </c>
      <c r="L594" s="1" t="s">
        <v>21</v>
      </c>
      <c r="M594" s="1" t="str">
        <f t="shared" si="9"/>
        <v>Consistent</v>
      </c>
      <c r="N594" s="1" t="str">
        <f>_xlfn.XLOOKUP(H594, risk_score!A:A, risk_score!B:B, 0)</f>
        <v>Low Risk</v>
      </c>
    </row>
    <row r="595" spans="1:14">
      <c r="A595" s="2">
        <v>0.45663194444444444</v>
      </c>
      <c r="B595" s="3">
        <v>44841</v>
      </c>
      <c r="C595" s="1">
        <v>1840293182</v>
      </c>
      <c r="D595" s="1">
        <v>3116242508</v>
      </c>
      <c r="E595" s="1">
        <v>723.72</v>
      </c>
      <c r="F595" s="1" t="s">
        <v>12</v>
      </c>
      <c r="G595" s="1" t="s">
        <v>12</v>
      </c>
      <c r="H595" s="1" t="s">
        <v>13</v>
      </c>
      <c r="I595" s="1" t="s">
        <v>13</v>
      </c>
      <c r="J595" s="1" t="s">
        <v>27</v>
      </c>
      <c r="K595" s="1">
        <v>0</v>
      </c>
      <c r="L595" s="1" t="s">
        <v>21</v>
      </c>
      <c r="M595" s="1" t="str">
        <f t="shared" si="9"/>
        <v>Consistent</v>
      </c>
      <c r="N595" s="1" t="str">
        <f>_xlfn.XLOOKUP(H595, risk_score!A:A, risk_score!B:B, 0)</f>
        <v>Low Risk</v>
      </c>
    </row>
    <row r="596" spans="1:14">
      <c r="A596" s="2">
        <v>0.45665509259259257</v>
      </c>
      <c r="B596" s="3">
        <v>44841</v>
      </c>
      <c r="C596" s="1">
        <v>1861196280</v>
      </c>
      <c r="D596" s="1">
        <v>8481311214</v>
      </c>
      <c r="E596" s="1">
        <v>377.23</v>
      </c>
      <c r="F596" s="1" t="s">
        <v>12</v>
      </c>
      <c r="G596" s="1" t="s">
        <v>12</v>
      </c>
      <c r="H596" s="1" t="s">
        <v>13</v>
      </c>
      <c r="I596" s="1" t="s">
        <v>13</v>
      </c>
      <c r="J596" s="1" t="s">
        <v>25</v>
      </c>
      <c r="K596" s="1">
        <v>0</v>
      </c>
      <c r="L596" s="1" t="s">
        <v>21</v>
      </c>
      <c r="M596" s="1" t="str">
        <f t="shared" si="9"/>
        <v>Consistent</v>
      </c>
      <c r="N596" s="1" t="str">
        <f>_xlfn.XLOOKUP(H596, risk_score!A:A, risk_score!B:B, 0)</f>
        <v>Low Risk</v>
      </c>
    </row>
    <row r="597" spans="1:14">
      <c r="A597" s="2">
        <v>0.4566898148148148</v>
      </c>
      <c r="B597" s="3">
        <v>44841</v>
      </c>
      <c r="C597" s="1">
        <v>4331970246</v>
      </c>
      <c r="D597" s="1">
        <v>8516236307</v>
      </c>
      <c r="E597" s="1">
        <v>4509.05</v>
      </c>
      <c r="F597" s="1" t="s">
        <v>12</v>
      </c>
      <c r="G597" s="1" t="s">
        <v>12</v>
      </c>
      <c r="H597" s="1" t="s">
        <v>13</v>
      </c>
      <c r="I597" s="1" t="s">
        <v>13</v>
      </c>
      <c r="J597" s="1" t="s">
        <v>25</v>
      </c>
      <c r="K597" s="1">
        <v>0</v>
      </c>
      <c r="L597" s="1" t="s">
        <v>21</v>
      </c>
      <c r="M597" s="1" t="str">
        <f t="shared" si="9"/>
        <v>Consistent</v>
      </c>
      <c r="N597" s="1" t="str">
        <f>_xlfn.XLOOKUP(H597, risk_score!A:A, risk_score!B:B, 0)</f>
        <v>Low Risk</v>
      </c>
    </row>
    <row r="598" spans="1:14">
      <c r="A598" s="2">
        <v>0.4566898148148148</v>
      </c>
      <c r="B598" s="3">
        <v>44841</v>
      </c>
      <c r="C598" s="1">
        <v>4703595147</v>
      </c>
      <c r="D598" s="1">
        <v>7080357663</v>
      </c>
      <c r="E598" s="1">
        <v>5883.88</v>
      </c>
      <c r="F598" s="1" t="s">
        <v>12</v>
      </c>
      <c r="G598" s="1" t="s">
        <v>12</v>
      </c>
      <c r="H598" s="1" t="s">
        <v>13</v>
      </c>
      <c r="I598" s="1" t="s">
        <v>13</v>
      </c>
      <c r="J598" s="1" t="s">
        <v>20</v>
      </c>
      <c r="K598" s="1">
        <v>0</v>
      </c>
      <c r="L598" s="1" t="s">
        <v>23</v>
      </c>
      <c r="M598" s="1" t="str">
        <f t="shared" si="9"/>
        <v>Consistent</v>
      </c>
      <c r="N598" s="1" t="str">
        <f>_xlfn.XLOOKUP(H598, risk_score!A:A, risk_score!B:B, 0)</f>
        <v>Low Risk</v>
      </c>
    </row>
    <row r="599" spans="1:14">
      <c r="A599" s="2">
        <v>0.45677083333333335</v>
      </c>
      <c r="B599" s="3">
        <v>44841</v>
      </c>
      <c r="C599" s="1">
        <v>6242298661</v>
      </c>
      <c r="D599" s="1">
        <v>6223365730</v>
      </c>
      <c r="E599" s="1">
        <v>5149.99</v>
      </c>
      <c r="F599" s="1" t="s">
        <v>12</v>
      </c>
      <c r="G599" s="1" t="s">
        <v>12</v>
      </c>
      <c r="H599" s="1" t="s">
        <v>13</v>
      </c>
      <c r="I599" s="1" t="s">
        <v>13</v>
      </c>
      <c r="J599" s="1" t="s">
        <v>25</v>
      </c>
      <c r="K599" s="1">
        <v>0</v>
      </c>
      <c r="L599" s="1" t="s">
        <v>23</v>
      </c>
      <c r="M599" s="1" t="str">
        <f t="shared" si="9"/>
        <v>Consistent</v>
      </c>
      <c r="N599" s="1" t="str">
        <f>_xlfn.XLOOKUP(H599, risk_score!A:A, risk_score!B:B, 0)</f>
        <v>Low Risk</v>
      </c>
    </row>
    <row r="600" spans="1:14">
      <c r="A600" s="2">
        <v>0.45680555555555558</v>
      </c>
      <c r="B600" s="3">
        <v>44841</v>
      </c>
      <c r="C600" s="1">
        <v>3614082527</v>
      </c>
      <c r="D600" s="1">
        <v>4917300261</v>
      </c>
      <c r="E600" s="1">
        <v>6102.45</v>
      </c>
      <c r="F600" s="1" t="s">
        <v>12</v>
      </c>
      <c r="G600" s="1" t="s">
        <v>12</v>
      </c>
      <c r="H600" s="1" t="s">
        <v>13</v>
      </c>
      <c r="I600" s="1" t="s">
        <v>13</v>
      </c>
      <c r="J600" s="1" t="s">
        <v>20</v>
      </c>
      <c r="K600" s="1">
        <v>0</v>
      </c>
      <c r="L600" s="1" t="s">
        <v>19</v>
      </c>
      <c r="M600" s="1" t="str">
        <f t="shared" si="9"/>
        <v>Consistent</v>
      </c>
      <c r="N600" s="1" t="str">
        <f>_xlfn.XLOOKUP(H600, risk_score!A:A, risk_score!B:B, 0)</f>
        <v>Low Risk</v>
      </c>
    </row>
    <row r="601" spans="1:14">
      <c r="A601" s="2">
        <v>0.45680555555555558</v>
      </c>
      <c r="B601" s="3">
        <v>44841</v>
      </c>
      <c r="C601" s="1">
        <v>3286172355</v>
      </c>
      <c r="D601" s="1">
        <v>2781859512</v>
      </c>
      <c r="E601" s="1">
        <v>2724.17</v>
      </c>
      <c r="F601" s="1" t="s">
        <v>12</v>
      </c>
      <c r="G601" s="1" t="s">
        <v>12</v>
      </c>
      <c r="H601" s="1" t="s">
        <v>13</v>
      </c>
      <c r="I601" s="1" t="s">
        <v>13</v>
      </c>
      <c r="J601" s="1" t="s">
        <v>27</v>
      </c>
      <c r="K601" s="1">
        <v>0</v>
      </c>
      <c r="L601" s="1" t="s">
        <v>21</v>
      </c>
      <c r="M601" s="1" t="str">
        <f t="shared" si="9"/>
        <v>Consistent</v>
      </c>
      <c r="N601" s="1" t="str">
        <f>_xlfn.XLOOKUP(H601, risk_score!A:A, risk_score!B:B, 0)</f>
        <v>Low Risk</v>
      </c>
    </row>
    <row r="602" spans="1:14">
      <c r="A602" s="2">
        <v>0.45681712962962961</v>
      </c>
      <c r="B602" s="3">
        <v>44841</v>
      </c>
      <c r="C602" s="1">
        <v>7669236826</v>
      </c>
      <c r="D602" s="1">
        <v>4059905714</v>
      </c>
      <c r="E602" s="1">
        <v>5379.36</v>
      </c>
      <c r="F602" s="1" t="s">
        <v>12</v>
      </c>
      <c r="G602" s="1" t="s">
        <v>12</v>
      </c>
      <c r="H602" s="1" t="s">
        <v>13</v>
      </c>
      <c r="I602" s="1" t="s">
        <v>13</v>
      </c>
      <c r="J602" s="1" t="s">
        <v>20</v>
      </c>
      <c r="K602" s="1">
        <v>0</v>
      </c>
      <c r="L602" s="1" t="s">
        <v>19</v>
      </c>
      <c r="M602" s="1" t="str">
        <f t="shared" si="9"/>
        <v>Consistent</v>
      </c>
      <c r="N602" s="1" t="str">
        <f>_xlfn.XLOOKUP(H602, risk_score!A:A, risk_score!B:B, 0)</f>
        <v>Low Risk</v>
      </c>
    </row>
    <row r="603" spans="1:14">
      <c r="A603" s="2">
        <v>0.45686342592592594</v>
      </c>
      <c r="B603" s="3">
        <v>44841</v>
      </c>
      <c r="C603" s="1">
        <v>566217385</v>
      </c>
      <c r="D603" s="1">
        <v>429501798</v>
      </c>
      <c r="E603" s="1">
        <v>208.07</v>
      </c>
      <c r="F603" s="1" t="s">
        <v>12</v>
      </c>
      <c r="G603" s="1" t="s">
        <v>12</v>
      </c>
      <c r="H603" s="1" t="s">
        <v>13</v>
      </c>
      <c r="I603" s="1" t="s">
        <v>13</v>
      </c>
      <c r="J603" s="1" t="s">
        <v>25</v>
      </c>
      <c r="K603" s="1">
        <v>0</v>
      </c>
      <c r="L603" s="1" t="s">
        <v>21</v>
      </c>
      <c r="M603" s="1" t="str">
        <f t="shared" si="9"/>
        <v>Consistent</v>
      </c>
      <c r="N603" s="1" t="str">
        <f>_xlfn.XLOOKUP(H603, risk_score!A:A, risk_score!B:B, 0)</f>
        <v>Low Risk</v>
      </c>
    </row>
    <row r="604" spans="1:14">
      <c r="A604" s="2">
        <v>0.45686342592592594</v>
      </c>
      <c r="B604" s="3">
        <v>44841</v>
      </c>
      <c r="C604" s="1">
        <v>1937509788</v>
      </c>
      <c r="D604" s="1">
        <v>5628674969</v>
      </c>
      <c r="E604" s="1">
        <v>9677.5300000000007</v>
      </c>
      <c r="F604" s="1" t="s">
        <v>12</v>
      </c>
      <c r="G604" s="1" t="s">
        <v>12</v>
      </c>
      <c r="H604" s="1" t="s">
        <v>13</v>
      </c>
      <c r="I604" s="1" t="s">
        <v>13</v>
      </c>
      <c r="J604" s="1" t="s">
        <v>25</v>
      </c>
      <c r="K604" s="1">
        <v>0</v>
      </c>
      <c r="L604" s="1" t="s">
        <v>23</v>
      </c>
      <c r="M604" s="1" t="str">
        <f t="shared" si="9"/>
        <v>Consistent</v>
      </c>
      <c r="N604" s="1" t="str">
        <f>_xlfn.XLOOKUP(H604, risk_score!A:A, risk_score!B:B, 0)</f>
        <v>Low Risk</v>
      </c>
    </row>
    <row r="605" spans="1:14">
      <c r="A605" s="2">
        <v>0.4569212962962963</v>
      </c>
      <c r="B605" s="3">
        <v>44841</v>
      </c>
      <c r="C605" s="1">
        <v>971196785</v>
      </c>
      <c r="D605" s="1">
        <v>1431561040</v>
      </c>
      <c r="E605" s="1">
        <v>23119.3</v>
      </c>
      <c r="F605" s="1" t="s">
        <v>12</v>
      </c>
      <c r="G605" s="1" t="s">
        <v>12</v>
      </c>
      <c r="H605" s="1" t="s">
        <v>13</v>
      </c>
      <c r="I605" s="1" t="s">
        <v>13</v>
      </c>
      <c r="J605" s="1" t="s">
        <v>20</v>
      </c>
      <c r="K605" s="1">
        <v>0</v>
      </c>
      <c r="L605" s="1" t="s">
        <v>23</v>
      </c>
      <c r="M605" s="1" t="str">
        <f t="shared" si="9"/>
        <v>Consistent</v>
      </c>
      <c r="N605" s="1" t="str">
        <f>_xlfn.XLOOKUP(H605, risk_score!A:A, risk_score!B:B, 0)</f>
        <v>Low Risk</v>
      </c>
    </row>
    <row r="606" spans="1:14">
      <c r="A606" s="2">
        <v>0.45693287037037039</v>
      </c>
      <c r="B606" s="3">
        <v>44841</v>
      </c>
      <c r="C606" s="1">
        <v>8523021855</v>
      </c>
      <c r="D606" s="1">
        <v>2534644942</v>
      </c>
      <c r="E606" s="1">
        <v>13499.54</v>
      </c>
      <c r="F606" s="1" t="s">
        <v>12</v>
      </c>
      <c r="G606" s="1" t="s">
        <v>29</v>
      </c>
      <c r="H606" s="1" t="s">
        <v>13</v>
      </c>
      <c r="I606" s="1" t="s">
        <v>31</v>
      </c>
      <c r="J606" s="1" t="s">
        <v>18</v>
      </c>
      <c r="K606" s="1">
        <v>0</v>
      </c>
      <c r="L606" s="1" t="s">
        <v>23</v>
      </c>
      <c r="M606" s="1" t="str">
        <f t="shared" si="9"/>
        <v>Potential Layering</v>
      </c>
      <c r="N606" s="1" t="str">
        <f>_xlfn.XLOOKUP(H606, risk_score!A:A, risk_score!B:B, 0)</f>
        <v>Low Risk</v>
      </c>
    </row>
    <row r="607" spans="1:14">
      <c r="A607" s="2">
        <v>0.45696759259259262</v>
      </c>
      <c r="B607" s="3">
        <v>44841</v>
      </c>
      <c r="C607" s="1">
        <v>9534729015</v>
      </c>
      <c r="D607" s="1">
        <v>8091763232</v>
      </c>
      <c r="E607" s="1">
        <v>5916.05</v>
      </c>
      <c r="F607" s="1" t="s">
        <v>12</v>
      </c>
      <c r="G607" s="1" t="s">
        <v>12</v>
      </c>
      <c r="H607" s="1" t="s">
        <v>13</v>
      </c>
      <c r="I607" s="1" t="s">
        <v>13</v>
      </c>
      <c r="J607" s="1" t="s">
        <v>27</v>
      </c>
      <c r="K607" s="1">
        <v>0</v>
      </c>
      <c r="L607" s="1" t="s">
        <v>19</v>
      </c>
      <c r="M607" s="1" t="str">
        <f t="shared" si="9"/>
        <v>Consistent</v>
      </c>
      <c r="N607" s="1" t="str">
        <f>_xlfn.XLOOKUP(H607, risk_score!A:A, risk_score!B:B, 0)</f>
        <v>Low Risk</v>
      </c>
    </row>
    <row r="608" spans="1:14">
      <c r="A608" s="2">
        <v>0.45697916666666666</v>
      </c>
      <c r="B608" s="3">
        <v>44841</v>
      </c>
      <c r="C608" s="1">
        <v>8973622440</v>
      </c>
      <c r="D608" s="1">
        <v>2502236532</v>
      </c>
      <c r="E608" s="1">
        <v>3933.46</v>
      </c>
      <c r="F608" s="1" t="s">
        <v>12</v>
      </c>
      <c r="G608" s="1" t="s">
        <v>12</v>
      </c>
      <c r="H608" s="1" t="s">
        <v>13</v>
      </c>
      <c r="I608" s="1" t="s">
        <v>13</v>
      </c>
      <c r="J608" s="1" t="s">
        <v>14</v>
      </c>
      <c r="K608" s="1">
        <v>0</v>
      </c>
      <c r="L608" s="1" t="s">
        <v>15</v>
      </c>
      <c r="M608" s="1" t="str">
        <f t="shared" si="9"/>
        <v>Consistent</v>
      </c>
      <c r="N608" s="1" t="str">
        <f>_xlfn.XLOOKUP(H608, risk_score!A:A, risk_score!B:B, 0)</f>
        <v>Low Risk</v>
      </c>
    </row>
    <row r="609" spans="1:14">
      <c r="A609" s="2">
        <v>0.45697916666666666</v>
      </c>
      <c r="B609" s="3">
        <v>44841</v>
      </c>
      <c r="C609" s="1">
        <v>7421451752</v>
      </c>
      <c r="D609" s="1">
        <v>6790400322</v>
      </c>
      <c r="E609" s="1">
        <v>11725.58</v>
      </c>
      <c r="F609" s="1" t="s">
        <v>12</v>
      </c>
      <c r="G609" s="1" t="s">
        <v>12</v>
      </c>
      <c r="H609" s="1" t="s">
        <v>13</v>
      </c>
      <c r="I609" s="1" t="s">
        <v>13</v>
      </c>
      <c r="J609" s="1" t="s">
        <v>27</v>
      </c>
      <c r="K609" s="1">
        <v>0</v>
      </c>
      <c r="L609" s="1" t="s">
        <v>19</v>
      </c>
      <c r="M609" s="1" t="str">
        <f t="shared" si="9"/>
        <v>Consistent</v>
      </c>
      <c r="N609" s="1" t="str">
        <f>_xlfn.XLOOKUP(H609, risk_score!A:A, risk_score!B:B, 0)</f>
        <v>Low Risk</v>
      </c>
    </row>
    <row r="610" spans="1:14">
      <c r="A610" s="2">
        <v>0.45712962962962961</v>
      </c>
      <c r="B610" s="3">
        <v>44841</v>
      </c>
      <c r="C610" s="1">
        <v>5549289588</v>
      </c>
      <c r="D610" s="1">
        <v>4336977506</v>
      </c>
      <c r="E610" s="1">
        <v>6768.6</v>
      </c>
      <c r="F610" s="1" t="s">
        <v>12</v>
      </c>
      <c r="G610" s="1" t="s">
        <v>12</v>
      </c>
      <c r="H610" s="1" t="s">
        <v>13</v>
      </c>
      <c r="I610" s="1" t="s">
        <v>13</v>
      </c>
      <c r="J610" s="1" t="s">
        <v>20</v>
      </c>
      <c r="K610" s="1">
        <v>0</v>
      </c>
      <c r="L610" s="1" t="s">
        <v>23</v>
      </c>
      <c r="M610" s="1" t="str">
        <f t="shared" si="9"/>
        <v>Consistent</v>
      </c>
      <c r="N610" s="1" t="str">
        <f>_xlfn.XLOOKUP(H610, risk_score!A:A, risk_score!B:B, 0)</f>
        <v>Low Risk</v>
      </c>
    </row>
    <row r="611" spans="1:14">
      <c r="A611" s="2">
        <v>0.45712962962962961</v>
      </c>
      <c r="B611" s="3">
        <v>44841</v>
      </c>
      <c r="C611" s="1">
        <v>7758268667</v>
      </c>
      <c r="D611" s="1">
        <v>5402206630</v>
      </c>
      <c r="E611" s="1">
        <v>6147.22</v>
      </c>
      <c r="F611" s="1" t="s">
        <v>12</v>
      </c>
      <c r="G611" s="1" t="s">
        <v>12</v>
      </c>
      <c r="H611" s="1" t="s">
        <v>13</v>
      </c>
      <c r="I611" s="1" t="s">
        <v>13</v>
      </c>
      <c r="J611" s="1" t="s">
        <v>27</v>
      </c>
      <c r="K611" s="1">
        <v>0</v>
      </c>
      <c r="L611" s="1" t="s">
        <v>19</v>
      </c>
      <c r="M611" s="1" t="str">
        <f t="shared" si="9"/>
        <v>Consistent</v>
      </c>
      <c r="N611" s="1" t="str">
        <f>_xlfn.XLOOKUP(H611, risk_score!A:A, risk_score!B:B, 0)</f>
        <v>Low Risk</v>
      </c>
    </row>
    <row r="612" spans="1:14">
      <c r="A612" s="2">
        <v>0.45719907407407406</v>
      </c>
      <c r="B612" s="3">
        <v>44841</v>
      </c>
      <c r="C612" s="1">
        <v>1964713406</v>
      </c>
      <c r="D612" s="1">
        <v>4959625851</v>
      </c>
      <c r="E612" s="1">
        <v>228.57</v>
      </c>
      <c r="F612" s="1" t="s">
        <v>12</v>
      </c>
      <c r="G612" s="1" t="s">
        <v>12</v>
      </c>
      <c r="H612" s="1" t="s">
        <v>13</v>
      </c>
      <c r="I612" s="1" t="s">
        <v>13</v>
      </c>
      <c r="J612" s="1" t="s">
        <v>20</v>
      </c>
      <c r="K612" s="1">
        <v>0</v>
      </c>
      <c r="L612" s="1" t="s">
        <v>21</v>
      </c>
      <c r="M612" s="1" t="str">
        <f t="shared" si="9"/>
        <v>Consistent</v>
      </c>
      <c r="N612" s="1" t="str">
        <f>_xlfn.XLOOKUP(H612, risk_score!A:A, risk_score!B:B, 0)</f>
        <v>Low Risk</v>
      </c>
    </row>
    <row r="613" spans="1:14">
      <c r="A613" s="2">
        <v>0.45723379629629629</v>
      </c>
      <c r="B613" s="3">
        <v>44841</v>
      </c>
      <c r="C613" s="1">
        <v>5333549678</v>
      </c>
      <c r="D613" s="1">
        <v>7160736915</v>
      </c>
      <c r="E613" s="1">
        <v>13514.31</v>
      </c>
      <c r="F613" s="1" t="s">
        <v>12</v>
      </c>
      <c r="G613" s="1" t="s">
        <v>12</v>
      </c>
      <c r="H613" s="1" t="s">
        <v>13</v>
      </c>
      <c r="I613" s="1" t="s">
        <v>13</v>
      </c>
      <c r="J613" s="1" t="s">
        <v>22</v>
      </c>
      <c r="K613" s="1">
        <v>0</v>
      </c>
      <c r="L613" s="1" t="s">
        <v>23</v>
      </c>
      <c r="M613" s="1" t="str">
        <f t="shared" si="9"/>
        <v>Consistent</v>
      </c>
      <c r="N613" s="1" t="str">
        <f>_xlfn.XLOOKUP(H613, risk_score!A:A, risk_score!B:B, 0)</f>
        <v>Low Risk</v>
      </c>
    </row>
    <row r="614" spans="1:14">
      <c r="A614" s="2">
        <v>0.45724537037037039</v>
      </c>
      <c r="B614" s="3">
        <v>44841</v>
      </c>
      <c r="C614" s="1">
        <v>8456279067</v>
      </c>
      <c r="D614" s="1">
        <v>4358275767</v>
      </c>
      <c r="E614" s="1">
        <v>13257.99</v>
      </c>
      <c r="F614" s="1" t="s">
        <v>12</v>
      </c>
      <c r="G614" s="1" t="s">
        <v>12</v>
      </c>
      <c r="H614" s="1" t="s">
        <v>13</v>
      </c>
      <c r="I614" s="1" t="s">
        <v>13</v>
      </c>
      <c r="J614" s="1" t="s">
        <v>25</v>
      </c>
      <c r="K614" s="1">
        <v>0</v>
      </c>
      <c r="L614" s="1" t="s">
        <v>19</v>
      </c>
      <c r="M614" s="1" t="str">
        <f t="shared" si="9"/>
        <v>Consistent</v>
      </c>
      <c r="N614" s="1" t="str">
        <f>_xlfn.XLOOKUP(H614, risk_score!A:A, risk_score!B:B, 0)</f>
        <v>Low Risk</v>
      </c>
    </row>
    <row r="615" spans="1:14">
      <c r="A615" s="2">
        <v>0.45724537037037039</v>
      </c>
      <c r="B615" s="3">
        <v>44841</v>
      </c>
      <c r="C615" s="1">
        <v>2845318236</v>
      </c>
      <c r="D615" s="1">
        <v>3328167095</v>
      </c>
      <c r="E615" s="1">
        <v>4504.67</v>
      </c>
      <c r="F615" s="1" t="s">
        <v>12</v>
      </c>
      <c r="G615" s="1" t="s">
        <v>12</v>
      </c>
      <c r="H615" s="1" t="s">
        <v>13</v>
      </c>
      <c r="I615" s="1" t="s">
        <v>13</v>
      </c>
      <c r="J615" s="1" t="s">
        <v>27</v>
      </c>
      <c r="K615" s="1">
        <v>0</v>
      </c>
      <c r="L615" s="1" t="s">
        <v>21</v>
      </c>
      <c r="M615" s="1" t="str">
        <f t="shared" si="9"/>
        <v>Consistent</v>
      </c>
      <c r="N615" s="1" t="str">
        <f>_xlfn.XLOOKUP(H615, risk_score!A:A, risk_score!B:B, 0)</f>
        <v>Low Risk</v>
      </c>
    </row>
    <row r="616" spans="1:14">
      <c r="A616" s="2">
        <v>0.45728009259259261</v>
      </c>
      <c r="B616" s="3">
        <v>44841</v>
      </c>
      <c r="C616" s="1">
        <v>9946753541</v>
      </c>
      <c r="D616" s="1">
        <v>3286423643</v>
      </c>
      <c r="E616" s="1">
        <v>7060.31</v>
      </c>
      <c r="F616" s="1" t="s">
        <v>12</v>
      </c>
      <c r="G616" s="1" t="s">
        <v>12</v>
      </c>
      <c r="H616" s="1" t="s">
        <v>13</v>
      </c>
      <c r="I616" s="1" t="s">
        <v>13</v>
      </c>
      <c r="J616" s="1" t="s">
        <v>22</v>
      </c>
      <c r="K616" s="1">
        <v>0</v>
      </c>
      <c r="L616" s="1" t="s">
        <v>21</v>
      </c>
      <c r="M616" s="1" t="str">
        <f t="shared" si="9"/>
        <v>Consistent</v>
      </c>
      <c r="N616" s="1" t="str">
        <f>_xlfn.XLOOKUP(H616, risk_score!A:A, risk_score!B:B, 0)</f>
        <v>Low Risk</v>
      </c>
    </row>
    <row r="617" spans="1:14">
      <c r="A617" s="2">
        <v>0.4573726851851852</v>
      </c>
      <c r="B617" s="3">
        <v>44841</v>
      </c>
      <c r="C617" s="1">
        <v>9598349393</v>
      </c>
      <c r="D617" s="1">
        <v>8518184956</v>
      </c>
      <c r="E617" s="1">
        <v>6833.08</v>
      </c>
      <c r="F617" s="1" t="s">
        <v>12</v>
      </c>
      <c r="G617" s="1" t="s">
        <v>12</v>
      </c>
      <c r="H617" s="1" t="s">
        <v>13</v>
      </c>
      <c r="I617" s="1" t="s">
        <v>13</v>
      </c>
      <c r="J617" s="1" t="s">
        <v>25</v>
      </c>
      <c r="K617" s="1">
        <v>0</v>
      </c>
      <c r="L617" s="1" t="s">
        <v>23</v>
      </c>
      <c r="M617" s="1" t="str">
        <f t="shared" si="9"/>
        <v>Consistent</v>
      </c>
      <c r="N617" s="1" t="str">
        <f>_xlfn.XLOOKUP(H617, risk_score!A:A, risk_score!B:B, 0)</f>
        <v>Low Risk</v>
      </c>
    </row>
    <row r="618" spans="1:14">
      <c r="A618" s="2">
        <v>0.45739583333333333</v>
      </c>
      <c r="B618" s="3">
        <v>44841</v>
      </c>
      <c r="C618" s="1">
        <v>8587190699</v>
      </c>
      <c r="D618" s="1">
        <v>4989517894</v>
      </c>
      <c r="E618" s="1">
        <v>3230</v>
      </c>
      <c r="F618" s="1" t="s">
        <v>12</v>
      </c>
      <c r="G618" s="1" t="s">
        <v>12</v>
      </c>
      <c r="H618" s="1" t="s">
        <v>13</v>
      </c>
      <c r="I618" s="1" t="s">
        <v>13</v>
      </c>
      <c r="J618" s="1" t="s">
        <v>22</v>
      </c>
      <c r="K618" s="1">
        <v>0</v>
      </c>
      <c r="L618" s="1" t="s">
        <v>21</v>
      </c>
      <c r="M618" s="1" t="str">
        <f t="shared" si="9"/>
        <v>Consistent</v>
      </c>
      <c r="N618" s="1" t="str">
        <f>_xlfn.XLOOKUP(H618, risk_score!A:A, risk_score!B:B, 0)</f>
        <v>Low Risk</v>
      </c>
    </row>
    <row r="619" spans="1:14">
      <c r="A619" s="2">
        <v>0.45740740740740743</v>
      </c>
      <c r="B619" s="3">
        <v>44841</v>
      </c>
      <c r="C619" s="1">
        <v>2722337392</v>
      </c>
      <c r="D619" s="1">
        <v>1388624141</v>
      </c>
      <c r="E619" s="1">
        <v>2452.25</v>
      </c>
      <c r="F619" s="1" t="s">
        <v>12</v>
      </c>
      <c r="G619" s="1" t="s">
        <v>12</v>
      </c>
      <c r="H619" s="1" t="s">
        <v>13</v>
      </c>
      <c r="I619" s="1" t="s">
        <v>13</v>
      </c>
      <c r="J619" s="1" t="s">
        <v>25</v>
      </c>
      <c r="K619" s="1">
        <v>0</v>
      </c>
      <c r="L619" s="1" t="s">
        <v>21</v>
      </c>
      <c r="M619" s="1" t="str">
        <f t="shared" si="9"/>
        <v>Consistent</v>
      </c>
      <c r="N619" s="1" t="str">
        <f>_xlfn.XLOOKUP(H619, risk_score!A:A, risk_score!B:B, 0)</f>
        <v>Low Risk</v>
      </c>
    </row>
    <row r="620" spans="1:14">
      <c r="A620" s="2">
        <v>0.45743055555555556</v>
      </c>
      <c r="B620" s="3">
        <v>44841</v>
      </c>
      <c r="C620" s="1">
        <v>6057444675</v>
      </c>
      <c r="D620" s="1">
        <v>517441754</v>
      </c>
      <c r="E620" s="1">
        <v>6978.77</v>
      </c>
      <c r="F620" s="1" t="s">
        <v>12</v>
      </c>
      <c r="G620" s="1" t="s">
        <v>12</v>
      </c>
      <c r="H620" s="1" t="s">
        <v>13</v>
      </c>
      <c r="I620" s="1" t="s">
        <v>13</v>
      </c>
      <c r="J620" s="1" t="s">
        <v>27</v>
      </c>
      <c r="K620" s="1">
        <v>0</v>
      </c>
      <c r="L620" s="1" t="s">
        <v>19</v>
      </c>
      <c r="M620" s="1" t="str">
        <f t="shared" si="9"/>
        <v>Consistent</v>
      </c>
      <c r="N620" s="1" t="str">
        <f>_xlfn.XLOOKUP(H620, risk_score!A:A, risk_score!B:B, 0)</f>
        <v>Low Risk</v>
      </c>
    </row>
    <row r="621" spans="1:14">
      <c r="A621" s="2">
        <v>0.4574537037037037</v>
      </c>
      <c r="B621" s="3">
        <v>44841</v>
      </c>
      <c r="C621" s="1">
        <v>2428154426</v>
      </c>
      <c r="D621" s="1">
        <v>9338414095</v>
      </c>
      <c r="E621" s="1">
        <v>1633.21</v>
      </c>
      <c r="F621" s="1" t="s">
        <v>12</v>
      </c>
      <c r="G621" s="1" t="s">
        <v>12</v>
      </c>
      <c r="H621" s="1" t="s">
        <v>13</v>
      </c>
      <c r="I621" s="1" t="s">
        <v>13</v>
      </c>
      <c r="J621" s="1" t="s">
        <v>27</v>
      </c>
      <c r="K621" s="1">
        <v>0</v>
      </c>
      <c r="L621" s="1" t="s">
        <v>21</v>
      </c>
      <c r="M621" s="1" t="str">
        <f t="shared" si="9"/>
        <v>Consistent</v>
      </c>
      <c r="N621" s="1" t="str">
        <f>_xlfn.XLOOKUP(H621, risk_score!A:A, risk_score!B:B, 0)</f>
        <v>Low Risk</v>
      </c>
    </row>
    <row r="622" spans="1:14">
      <c r="A622" s="2">
        <v>0.45747685185185183</v>
      </c>
      <c r="B622" s="3">
        <v>44841</v>
      </c>
      <c r="C622" s="1">
        <v>5496292666</v>
      </c>
      <c r="D622" s="1">
        <v>7254677853</v>
      </c>
      <c r="E622" s="1">
        <v>8650.43</v>
      </c>
      <c r="F622" s="1" t="s">
        <v>12</v>
      </c>
      <c r="G622" s="1" t="s">
        <v>12</v>
      </c>
      <c r="H622" s="1" t="s">
        <v>13</v>
      </c>
      <c r="I622" s="1" t="s">
        <v>13</v>
      </c>
      <c r="J622" s="1" t="s">
        <v>22</v>
      </c>
      <c r="K622" s="1">
        <v>0</v>
      </c>
      <c r="L622" s="1" t="s">
        <v>21</v>
      </c>
      <c r="M622" s="1" t="str">
        <f t="shared" si="9"/>
        <v>Consistent</v>
      </c>
      <c r="N622" s="1" t="str">
        <f>_xlfn.XLOOKUP(H622, risk_score!A:A, risk_score!B:B, 0)</f>
        <v>Low Risk</v>
      </c>
    </row>
    <row r="623" spans="1:14">
      <c r="A623" s="2">
        <v>0.45750000000000002</v>
      </c>
      <c r="B623" s="3">
        <v>44841</v>
      </c>
      <c r="C623" s="1">
        <v>3279179893</v>
      </c>
      <c r="D623" s="1">
        <v>1320927231</v>
      </c>
      <c r="E623" s="1">
        <v>4886.18</v>
      </c>
      <c r="F623" s="1" t="s">
        <v>12</v>
      </c>
      <c r="G623" s="1" t="s">
        <v>12</v>
      </c>
      <c r="H623" s="1" t="s">
        <v>13</v>
      </c>
      <c r="I623" s="1" t="s">
        <v>13</v>
      </c>
      <c r="J623" s="1" t="s">
        <v>25</v>
      </c>
      <c r="K623" s="1">
        <v>0</v>
      </c>
      <c r="L623" s="1" t="s">
        <v>23</v>
      </c>
      <c r="M623" s="1" t="str">
        <f t="shared" si="9"/>
        <v>Consistent</v>
      </c>
      <c r="N623" s="1" t="str">
        <f>_xlfn.XLOOKUP(H623, risk_score!A:A, risk_score!B:B, 0)</f>
        <v>Low Risk</v>
      </c>
    </row>
    <row r="624" spans="1:14">
      <c r="A624" s="2">
        <v>0.45752314814814815</v>
      </c>
      <c r="B624" s="3">
        <v>44841</v>
      </c>
      <c r="C624" s="1">
        <v>675669049</v>
      </c>
      <c r="D624" s="1">
        <v>4898116032</v>
      </c>
      <c r="E624" s="1">
        <v>12158.11</v>
      </c>
      <c r="F624" s="1" t="s">
        <v>12</v>
      </c>
      <c r="G624" s="1" t="s">
        <v>12</v>
      </c>
      <c r="H624" s="1" t="s">
        <v>13</v>
      </c>
      <c r="I624" s="1" t="s">
        <v>13</v>
      </c>
      <c r="J624" s="1" t="s">
        <v>22</v>
      </c>
      <c r="K624" s="1">
        <v>0</v>
      </c>
      <c r="L624" s="1" t="s">
        <v>19</v>
      </c>
      <c r="M624" s="1" t="str">
        <f t="shared" si="9"/>
        <v>Consistent</v>
      </c>
      <c r="N624" s="1" t="str">
        <f>_xlfn.XLOOKUP(H624, risk_score!A:A, risk_score!B:B, 0)</f>
        <v>Low Risk</v>
      </c>
    </row>
    <row r="625" spans="1:14">
      <c r="A625" s="2">
        <v>0.45752314814814815</v>
      </c>
      <c r="B625" s="3">
        <v>44841</v>
      </c>
      <c r="C625" s="1">
        <v>7501327339</v>
      </c>
      <c r="D625" s="1">
        <v>1073749339</v>
      </c>
      <c r="E625" s="1">
        <v>15819.54</v>
      </c>
      <c r="F625" s="1" t="s">
        <v>12</v>
      </c>
      <c r="G625" s="1" t="s">
        <v>12</v>
      </c>
      <c r="H625" s="1" t="s">
        <v>13</v>
      </c>
      <c r="I625" s="1" t="s">
        <v>13</v>
      </c>
      <c r="J625" s="1" t="s">
        <v>20</v>
      </c>
      <c r="K625" s="1">
        <v>0</v>
      </c>
      <c r="L625" s="1" t="s">
        <v>19</v>
      </c>
      <c r="M625" s="1" t="str">
        <f t="shared" si="9"/>
        <v>Consistent</v>
      </c>
      <c r="N625" s="1" t="str">
        <f>_xlfn.XLOOKUP(H625, risk_score!A:A, risk_score!B:B, 0)</f>
        <v>Low Risk</v>
      </c>
    </row>
    <row r="626" spans="1:14">
      <c r="A626" s="2">
        <v>0.45756944444444442</v>
      </c>
      <c r="B626" s="3">
        <v>44841</v>
      </c>
      <c r="C626" s="1">
        <v>9828143010</v>
      </c>
      <c r="D626" s="1">
        <v>5628674969</v>
      </c>
      <c r="E626" s="1">
        <v>8371.2000000000007</v>
      </c>
      <c r="F626" s="1" t="s">
        <v>12</v>
      </c>
      <c r="G626" s="1" t="s">
        <v>12</v>
      </c>
      <c r="H626" s="1" t="s">
        <v>13</v>
      </c>
      <c r="I626" s="1" t="s">
        <v>13</v>
      </c>
      <c r="J626" s="1" t="s">
        <v>22</v>
      </c>
      <c r="K626" s="1">
        <v>0</v>
      </c>
      <c r="L626" s="1" t="s">
        <v>23</v>
      </c>
      <c r="M626" s="1" t="str">
        <f t="shared" si="9"/>
        <v>Consistent</v>
      </c>
      <c r="N626" s="1" t="str">
        <f>_xlfn.XLOOKUP(H626, risk_score!A:A, risk_score!B:B, 0)</f>
        <v>Low Risk</v>
      </c>
    </row>
    <row r="627" spans="1:14">
      <c r="A627" s="2">
        <v>0.45762731481481483</v>
      </c>
      <c r="B627" s="3">
        <v>44841</v>
      </c>
      <c r="C627" s="1">
        <v>9734083970</v>
      </c>
      <c r="D627" s="1">
        <v>1812525358</v>
      </c>
      <c r="E627" s="1">
        <v>5840.32</v>
      </c>
      <c r="F627" s="1" t="s">
        <v>12</v>
      </c>
      <c r="G627" s="1" t="s">
        <v>12</v>
      </c>
      <c r="H627" s="1" t="s">
        <v>13</v>
      </c>
      <c r="I627" s="1" t="s">
        <v>13</v>
      </c>
      <c r="J627" s="1" t="s">
        <v>20</v>
      </c>
      <c r="K627" s="1">
        <v>0</v>
      </c>
      <c r="L627" s="1" t="s">
        <v>19</v>
      </c>
      <c r="M627" s="1" t="str">
        <f t="shared" si="9"/>
        <v>Consistent</v>
      </c>
      <c r="N627" s="1" t="str">
        <f>_xlfn.XLOOKUP(H627, risk_score!A:A, risk_score!B:B, 0)</f>
        <v>Low Risk</v>
      </c>
    </row>
    <row r="628" spans="1:14">
      <c r="A628" s="2">
        <v>0.4576736111111111</v>
      </c>
      <c r="B628" s="3">
        <v>44841</v>
      </c>
      <c r="C628" s="1">
        <v>6495167395</v>
      </c>
      <c r="D628" s="1">
        <v>1036966315</v>
      </c>
      <c r="E628" s="1">
        <v>3229.54</v>
      </c>
      <c r="F628" s="1" t="s">
        <v>12</v>
      </c>
      <c r="G628" s="1" t="s">
        <v>59</v>
      </c>
      <c r="H628" s="1" t="s">
        <v>13</v>
      </c>
      <c r="I628" s="1" t="s">
        <v>60</v>
      </c>
      <c r="J628" s="1" t="s">
        <v>18</v>
      </c>
      <c r="K628" s="1">
        <v>0</v>
      </c>
      <c r="L628" s="1" t="s">
        <v>21</v>
      </c>
      <c r="M628" s="1" t="str">
        <f t="shared" si="9"/>
        <v>Potential Layering</v>
      </c>
      <c r="N628" s="1" t="str">
        <f>_xlfn.XLOOKUP(H628, risk_score!A:A, risk_score!B:B, 0)</f>
        <v>Low Risk</v>
      </c>
    </row>
    <row r="629" spans="1:14">
      <c r="A629" s="2">
        <v>0.45768518518518519</v>
      </c>
      <c r="B629" s="3">
        <v>44841</v>
      </c>
      <c r="C629" s="1">
        <v>4149011993</v>
      </c>
      <c r="D629" s="1">
        <v>2318701432</v>
      </c>
      <c r="E629" s="1">
        <v>2319.02</v>
      </c>
      <c r="F629" s="1" t="s">
        <v>12</v>
      </c>
      <c r="G629" s="1" t="s">
        <v>12</v>
      </c>
      <c r="H629" s="1" t="s">
        <v>13</v>
      </c>
      <c r="I629" s="1" t="s">
        <v>13</v>
      </c>
      <c r="J629" s="1" t="s">
        <v>14</v>
      </c>
      <c r="K629" s="1">
        <v>0</v>
      </c>
      <c r="L629" s="1" t="s">
        <v>15</v>
      </c>
      <c r="M629" s="1" t="str">
        <f t="shared" si="9"/>
        <v>Consistent</v>
      </c>
      <c r="N629" s="1" t="str">
        <f>_xlfn.XLOOKUP(H629, risk_score!A:A, risk_score!B:B, 0)</f>
        <v>Low Risk</v>
      </c>
    </row>
    <row r="630" spans="1:14">
      <c r="A630" s="2">
        <v>0.45771990740740742</v>
      </c>
      <c r="B630" s="3">
        <v>44841</v>
      </c>
      <c r="C630" s="1">
        <v>9176532232</v>
      </c>
      <c r="D630" s="1">
        <v>9720623748</v>
      </c>
      <c r="E630" s="1">
        <v>105.18</v>
      </c>
      <c r="F630" s="1" t="s">
        <v>12</v>
      </c>
      <c r="G630" s="1" t="s">
        <v>12</v>
      </c>
      <c r="H630" s="1" t="s">
        <v>13</v>
      </c>
      <c r="I630" s="1" t="s">
        <v>13</v>
      </c>
      <c r="J630" s="1" t="s">
        <v>20</v>
      </c>
      <c r="K630" s="1">
        <v>0</v>
      </c>
      <c r="L630" s="1" t="s">
        <v>21</v>
      </c>
      <c r="M630" s="1" t="str">
        <f t="shared" si="9"/>
        <v>Consistent</v>
      </c>
      <c r="N630" s="1" t="str">
        <f>_xlfn.XLOOKUP(H630, risk_score!A:A, risk_score!B:B, 0)</f>
        <v>Low Risk</v>
      </c>
    </row>
    <row r="631" spans="1:14">
      <c r="A631" s="2">
        <v>0.45776620370370369</v>
      </c>
      <c r="B631" s="3">
        <v>44841</v>
      </c>
      <c r="C631" s="1">
        <v>6159416224</v>
      </c>
      <c r="D631" s="1">
        <v>6053340350</v>
      </c>
      <c r="E631" s="1">
        <v>1497.09</v>
      </c>
      <c r="F631" s="1" t="s">
        <v>12</v>
      </c>
      <c r="G631" s="1" t="s">
        <v>12</v>
      </c>
      <c r="H631" s="1" t="s">
        <v>13</v>
      </c>
      <c r="I631" s="1" t="s">
        <v>13</v>
      </c>
      <c r="J631" s="1" t="s">
        <v>25</v>
      </c>
      <c r="K631" s="1">
        <v>0</v>
      </c>
      <c r="L631" s="1" t="s">
        <v>21</v>
      </c>
      <c r="M631" s="1" t="str">
        <f t="shared" si="9"/>
        <v>Consistent</v>
      </c>
      <c r="N631" s="1" t="str">
        <f>_xlfn.XLOOKUP(H631, risk_score!A:A, risk_score!B:B, 0)</f>
        <v>Low Risk</v>
      </c>
    </row>
    <row r="632" spans="1:14">
      <c r="A632" s="2">
        <v>0.45778935185185188</v>
      </c>
      <c r="B632" s="3">
        <v>44841</v>
      </c>
      <c r="C632" s="1">
        <v>2889112657</v>
      </c>
      <c r="D632" s="1">
        <v>1560518407</v>
      </c>
      <c r="E632" s="1">
        <v>562.86</v>
      </c>
      <c r="F632" s="1" t="s">
        <v>12</v>
      </c>
      <c r="G632" s="1" t="s">
        <v>12</v>
      </c>
      <c r="H632" s="1" t="s">
        <v>13</v>
      </c>
      <c r="I632" s="1" t="s">
        <v>13</v>
      </c>
      <c r="J632" s="1" t="s">
        <v>27</v>
      </c>
      <c r="K632" s="1">
        <v>0</v>
      </c>
      <c r="L632" s="1" t="s">
        <v>21</v>
      </c>
      <c r="M632" s="1" t="str">
        <f t="shared" si="9"/>
        <v>Consistent</v>
      </c>
      <c r="N632" s="1" t="str">
        <f>_xlfn.XLOOKUP(H632, risk_score!A:A, risk_score!B:B, 0)</f>
        <v>Low Risk</v>
      </c>
    </row>
    <row r="633" spans="1:14">
      <c r="A633" s="2">
        <v>0.45778935185185188</v>
      </c>
      <c r="B633" s="3">
        <v>44841</v>
      </c>
      <c r="C633" s="1">
        <v>2797271466</v>
      </c>
      <c r="D633" s="1">
        <v>9599693960</v>
      </c>
      <c r="E633" s="1">
        <v>9821.0400000000009</v>
      </c>
      <c r="F633" s="1" t="s">
        <v>12</v>
      </c>
      <c r="G633" s="1" t="s">
        <v>12</v>
      </c>
      <c r="H633" s="1" t="s">
        <v>13</v>
      </c>
      <c r="I633" s="1" t="s">
        <v>13</v>
      </c>
      <c r="J633" s="1" t="s">
        <v>25</v>
      </c>
      <c r="K633" s="1">
        <v>0</v>
      </c>
      <c r="L633" s="1" t="s">
        <v>19</v>
      </c>
      <c r="M633" s="1" t="str">
        <f t="shared" si="9"/>
        <v>Consistent</v>
      </c>
      <c r="N633" s="1" t="str">
        <f>_xlfn.XLOOKUP(H633, risk_score!A:A, risk_score!B:B, 0)</f>
        <v>Low Risk</v>
      </c>
    </row>
    <row r="634" spans="1:14">
      <c r="A634" s="2">
        <v>0.45781250000000001</v>
      </c>
      <c r="B634" s="3">
        <v>44841</v>
      </c>
      <c r="C634" s="1">
        <v>6984051591</v>
      </c>
      <c r="D634" s="1">
        <v>5060924139</v>
      </c>
      <c r="E634" s="1">
        <v>7873.32</v>
      </c>
      <c r="F634" s="1" t="s">
        <v>12</v>
      </c>
      <c r="G634" s="1" t="s">
        <v>29</v>
      </c>
      <c r="H634" s="1" t="s">
        <v>13</v>
      </c>
      <c r="I634" s="1" t="s">
        <v>48</v>
      </c>
      <c r="J634" s="1" t="s">
        <v>18</v>
      </c>
      <c r="K634" s="1">
        <v>0</v>
      </c>
      <c r="L634" s="1" t="s">
        <v>21</v>
      </c>
      <c r="M634" s="1" t="str">
        <f t="shared" si="9"/>
        <v>Potential Layering</v>
      </c>
      <c r="N634" s="1" t="str">
        <f>_xlfn.XLOOKUP(H634, risk_score!A:A, risk_score!B:B, 0)</f>
        <v>Low Risk</v>
      </c>
    </row>
    <row r="635" spans="1:14">
      <c r="A635" s="2">
        <v>0.45788194444444447</v>
      </c>
      <c r="B635" s="3">
        <v>44841</v>
      </c>
      <c r="C635" s="1">
        <v>8892844282</v>
      </c>
      <c r="D635" s="1">
        <v>5554184517</v>
      </c>
      <c r="E635" s="1">
        <v>20711.650000000001</v>
      </c>
      <c r="F635" s="1" t="s">
        <v>12</v>
      </c>
      <c r="G635" s="1" t="s">
        <v>12</v>
      </c>
      <c r="H635" s="1" t="s">
        <v>13</v>
      </c>
      <c r="I635" s="1" t="s">
        <v>13</v>
      </c>
      <c r="J635" s="1" t="s">
        <v>27</v>
      </c>
      <c r="K635" s="1">
        <v>0</v>
      </c>
      <c r="L635" s="1" t="s">
        <v>21</v>
      </c>
      <c r="M635" s="1" t="str">
        <f t="shared" si="9"/>
        <v>Consistent</v>
      </c>
      <c r="N635" s="1" t="str">
        <f>_xlfn.XLOOKUP(H635, risk_score!A:A, risk_score!B:B, 0)</f>
        <v>Low Risk</v>
      </c>
    </row>
    <row r="636" spans="1:14">
      <c r="A636" s="2">
        <v>0.45796296296296296</v>
      </c>
      <c r="B636" s="3">
        <v>44841</v>
      </c>
      <c r="C636" s="1">
        <v>8203229522</v>
      </c>
      <c r="D636" s="1">
        <v>8818164834</v>
      </c>
      <c r="E636" s="1">
        <v>4712.95</v>
      </c>
      <c r="F636" s="1" t="s">
        <v>12</v>
      </c>
      <c r="G636" s="1" t="s">
        <v>12</v>
      </c>
      <c r="H636" s="1" t="s">
        <v>13</v>
      </c>
      <c r="I636" s="1" t="s">
        <v>13</v>
      </c>
      <c r="J636" s="1" t="s">
        <v>22</v>
      </c>
      <c r="K636" s="1">
        <v>0</v>
      </c>
      <c r="L636" s="1" t="s">
        <v>19</v>
      </c>
      <c r="M636" s="1" t="str">
        <f t="shared" si="9"/>
        <v>Consistent</v>
      </c>
      <c r="N636" s="1" t="str">
        <f>_xlfn.XLOOKUP(H636, risk_score!A:A, risk_score!B:B, 0)</f>
        <v>Low Risk</v>
      </c>
    </row>
    <row r="637" spans="1:14">
      <c r="A637" s="2">
        <v>0.45798611111111109</v>
      </c>
      <c r="B637" s="3">
        <v>44841</v>
      </c>
      <c r="C637" s="1">
        <v>5547656808</v>
      </c>
      <c r="D637" s="1">
        <v>7457586937</v>
      </c>
      <c r="E637" s="1">
        <v>316.57</v>
      </c>
      <c r="F637" s="1" t="s">
        <v>12</v>
      </c>
      <c r="G637" s="1" t="s">
        <v>12</v>
      </c>
      <c r="H637" s="1" t="s">
        <v>13</v>
      </c>
      <c r="I637" s="1" t="s">
        <v>13</v>
      </c>
      <c r="J637" s="1" t="s">
        <v>36</v>
      </c>
      <c r="K637" s="1">
        <v>0</v>
      </c>
      <c r="L637" s="1" t="s">
        <v>37</v>
      </c>
      <c r="M637" s="1" t="str">
        <f t="shared" si="9"/>
        <v>Consistent</v>
      </c>
      <c r="N637" s="1" t="str">
        <f>_xlfn.XLOOKUP(H637, risk_score!A:A, risk_score!B:B, 0)</f>
        <v>Low Risk</v>
      </c>
    </row>
    <row r="638" spans="1:14">
      <c r="A638" s="2">
        <v>0.45799768518518519</v>
      </c>
      <c r="B638" s="3">
        <v>44841</v>
      </c>
      <c r="C638" s="1">
        <v>8898696157</v>
      </c>
      <c r="D638" s="1">
        <v>6646502650</v>
      </c>
      <c r="E638" s="1">
        <v>10081.780000000001</v>
      </c>
      <c r="F638" s="1" t="s">
        <v>12</v>
      </c>
      <c r="G638" s="1" t="s">
        <v>29</v>
      </c>
      <c r="H638" s="1" t="s">
        <v>13</v>
      </c>
      <c r="I638" s="1" t="s">
        <v>31</v>
      </c>
      <c r="J638" s="1" t="s">
        <v>18</v>
      </c>
      <c r="K638" s="1">
        <v>0</v>
      </c>
      <c r="L638" s="1" t="s">
        <v>23</v>
      </c>
      <c r="M638" s="1" t="str">
        <f t="shared" si="9"/>
        <v>Potential Layering</v>
      </c>
      <c r="N638" s="1" t="str">
        <f>_xlfn.XLOOKUP(H638, risk_score!A:A, risk_score!B:B, 0)</f>
        <v>Low Risk</v>
      </c>
    </row>
    <row r="639" spans="1:14">
      <c r="A639" s="2">
        <v>0.45802083333333332</v>
      </c>
      <c r="B639" s="3">
        <v>44841</v>
      </c>
      <c r="C639" s="1">
        <v>6514776988</v>
      </c>
      <c r="D639" s="1">
        <v>617552602</v>
      </c>
      <c r="E639" s="1">
        <v>5876.36</v>
      </c>
      <c r="F639" s="1" t="s">
        <v>12</v>
      </c>
      <c r="G639" s="1" t="s">
        <v>12</v>
      </c>
      <c r="H639" s="1" t="s">
        <v>13</v>
      </c>
      <c r="I639" s="1" t="s">
        <v>13</v>
      </c>
      <c r="J639" s="1" t="s">
        <v>27</v>
      </c>
      <c r="K639" s="1">
        <v>0</v>
      </c>
      <c r="L639" s="1" t="s">
        <v>41</v>
      </c>
      <c r="M639" s="1" t="str">
        <f t="shared" si="9"/>
        <v>Consistent</v>
      </c>
      <c r="N639" s="1" t="str">
        <f>_xlfn.XLOOKUP(H639, risk_score!A:A, risk_score!B:B, 0)</f>
        <v>Low Risk</v>
      </c>
    </row>
    <row r="640" spans="1:14">
      <c r="A640" s="2">
        <v>0.45802083333333332</v>
      </c>
      <c r="B640" s="3">
        <v>44841</v>
      </c>
      <c r="C640" s="1">
        <v>3452368468</v>
      </c>
      <c r="D640" s="1">
        <v>4889103394</v>
      </c>
      <c r="E640" s="1">
        <v>14598.44</v>
      </c>
      <c r="F640" s="1" t="s">
        <v>12</v>
      </c>
      <c r="G640" s="1" t="s">
        <v>12</v>
      </c>
      <c r="H640" s="1" t="s">
        <v>13</v>
      </c>
      <c r="I640" s="1" t="s">
        <v>13</v>
      </c>
      <c r="J640" s="1" t="s">
        <v>20</v>
      </c>
      <c r="K640" s="1">
        <v>0</v>
      </c>
      <c r="L640" s="1" t="s">
        <v>19</v>
      </c>
      <c r="M640" s="1" t="str">
        <f t="shared" si="9"/>
        <v>Consistent</v>
      </c>
      <c r="N640" s="1" t="str">
        <f>_xlfn.XLOOKUP(H640, risk_score!A:A, risk_score!B:B, 0)</f>
        <v>Low Risk</v>
      </c>
    </row>
    <row r="641" spans="1:14">
      <c r="A641" s="2">
        <v>0.45803240740740742</v>
      </c>
      <c r="B641" s="3">
        <v>44841</v>
      </c>
      <c r="C641" s="1">
        <v>9352048807</v>
      </c>
      <c r="D641" s="1">
        <v>1559547570</v>
      </c>
      <c r="E641" s="1">
        <v>102.19</v>
      </c>
      <c r="F641" s="1" t="s">
        <v>12</v>
      </c>
      <c r="G641" s="1" t="s">
        <v>12</v>
      </c>
      <c r="H641" s="1" t="s">
        <v>13</v>
      </c>
      <c r="I641" s="1" t="s">
        <v>13</v>
      </c>
      <c r="J641" s="1" t="s">
        <v>36</v>
      </c>
      <c r="K641" s="1">
        <v>0</v>
      </c>
      <c r="L641" s="1" t="s">
        <v>37</v>
      </c>
      <c r="M641" s="1" t="str">
        <f t="shared" si="9"/>
        <v>Consistent</v>
      </c>
      <c r="N641" s="1" t="str">
        <f>_xlfn.XLOOKUP(H641, risk_score!A:A, risk_score!B:B, 0)</f>
        <v>Low Risk</v>
      </c>
    </row>
    <row r="642" spans="1:14">
      <c r="A642" s="2">
        <v>0.45805555555555555</v>
      </c>
      <c r="B642" s="3">
        <v>44841</v>
      </c>
      <c r="C642" s="1">
        <v>8904195158</v>
      </c>
      <c r="D642" s="1">
        <v>6569002356</v>
      </c>
      <c r="E642" s="1">
        <v>195.93</v>
      </c>
      <c r="F642" s="1" t="s">
        <v>12</v>
      </c>
      <c r="G642" s="1" t="s">
        <v>12</v>
      </c>
      <c r="H642" s="1" t="s">
        <v>13</v>
      </c>
      <c r="I642" s="1" t="s">
        <v>13</v>
      </c>
      <c r="J642" s="1" t="s">
        <v>22</v>
      </c>
      <c r="K642" s="1">
        <v>0</v>
      </c>
      <c r="L642" s="1" t="s">
        <v>21</v>
      </c>
      <c r="M642" s="1" t="str">
        <f t="shared" si="9"/>
        <v>Consistent</v>
      </c>
      <c r="N642" s="1" t="str">
        <f>_xlfn.XLOOKUP(H642, risk_score!A:A, risk_score!B:B, 0)</f>
        <v>Low Risk</v>
      </c>
    </row>
    <row r="643" spans="1:14">
      <c r="A643" s="2">
        <v>0.45807870370370368</v>
      </c>
      <c r="B643" s="3">
        <v>44841</v>
      </c>
      <c r="C643" s="1">
        <v>974027499</v>
      </c>
      <c r="D643" s="1">
        <v>4430611445</v>
      </c>
      <c r="E643" s="1">
        <v>233.87</v>
      </c>
      <c r="F643" s="1" t="s">
        <v>12</v>
      </c>
      <c r="G643" s="1" t="s">
        <v>12</v>
      </c>
      <c r="H643" s="1" t="s">
        <v>13</v>
      </c>
      <c r="I643" s="1" t="s">
        <v>13</v>
      </c>
      <c r="J643" s="1" t="s">
        <v>36</v>
      </c>
      <c r="K643" s="1">
        <v>0</v>
      </c>
      <c r="L643" s="1" t="s">
        <v>37</v>
      </c>
      <c r="M643" s="1" t="str">
        <f t="shared" ref="M643:M706" si="10">IF(F643=G643, "Consistent", "Potential Layering")</f>
        <v>Consistent</v>
      </c>
      <c r="N643" s="1" t="str">
        <f>_xlfn.XLOOKUP(H643, risk_score!A:A, risk_score!B:B, 0)</f>
        <v>Low Risk</v>
      </c>
    </row>
    <row r="644" spans="1:14">
      <c r="A644" s="2">
        <v>0.45807870370370368</v>
      </c>
      <c r="B644" s="3">
        <v>44841</v>
      </c>
      <c r="C644" s="1">
        <v>6817224080</v>
      </c>
      <c r="D644" s="1">
        <v>1950236164</v>
      </c>
      <c r="E644" s="1">
        <v>292.69</v>
      </c>
      <c r="F644" s="1" t="s">
        <v>12</v>
      </c>
      <c r="G644" s="1" t="s">
        <v>12</v>
      </c>
      <c r="H644" s="1" t="s">
        <v>13</v>
      </c>
      <c r="I644" s="1" t="s">
        <v>13</v>
      </c>
      <c r="J644" s="1" t="s">
        <v>14</v>
      </c>
      <c r="K644" s="1">
        <v>0</v>
      </c>
      <c r="L644" s="1" t="s">
        <v>15</v>
      </c>
      <c r="M644" s="1" t="str">
        <f t="shared" si="10"/>
        <v>Consistent</v>
      </c>
      <c r="N644" s="1" t="str">
        <f>_xlfn.XLOOKUP(H644, risk_score!A:A, risk_score!B:B, 0)</f>
        <v>Low Risk</v>
      </c>
    </row>
    <row r="645" spans="1:14">
      <c r="A645" s="2">
        <v>0.458125</v>
      </c>
      <c r="B645" s="3">
        <v>44841</v>
      </c>
      <c r="C645" s="1">
        <v>4077353464</v>
      </c>
      <c r="D645" s="1">
        <v>9179681342</v>
      </c>
      <c r="E645" s="1">
        <v>6164.09</v>
      </c>
      <c r="F645" s="1" t="s">
        <v>12</v>
      </c>
      <c r="G645" s="1" t="s">
        <v>39</v>
      </c>
      <c r="H645" s="1" t="s">
        <v>13</v>
      </c>
      <c r="I645" s="1" t="s">
        <v>40</v>
      </c>
      <c r="J645" s="1" t="s">
        <v>18</v>
      </c>
      <c r="K645" s="1">
        <v>0</v>
      </c>
      <c r="L645" s="1" t="s">
        <v>21</v>
      </c>
      <c r="M645" s="1" t="str">
        <f t="shared" si="10"/>
        <v>Potential Layering</v>
      </c>
      <c r="N645" s="1" t="str">
        <f>_xlfn.XLOOKUP(H645, risk_score!A:A, risk_score!B:B, 0)</f>
        <v>Low Risk</v>
      </c>
    </row>
    <row r="646" spans="1:14">
      <c r="A646" s="2">
        <v>0.45819444444444446</v>
      </c>
      <c r="B646" s="3">
        <v>44841</v>
      </c>
      <c r="C646" s="1">
        <v>3614082527</v>
      </c>
      <c r="D646" s="1">
        <v>5318241045</v>
      </c>
      <c r="E646" s="1">
        <v>8349.2099999999991</v>
      </c>
      <c r="F646" s="1" t="s">
        <v>12</v>
      </c>
      <c r="G646" s="1" t="s">
        <v>44</v>
      </c>
      <c r="H646" s="1" t="s">
        <v>13</v>
      </c>
      <c r="I646" s="1" t="s">
        <v>45</v>
      </c>
      <c r="J646" s="1" t="s">
        <v>18</v>
      </c>
      <c r="K646" s="1">
        <v>0</v>
      </c>
      <c r="L646" s="1" t="s">
        <v>19</v>
      </c>
      <c r="M646" s="1" t="str">
        <f t="shared" si="10"/>
        <v>Potential Layering</v>
      </c>
      <c r="N646" s="1" t="str">
        <f>_xlfn.XLOOKUP(H646, risk_score!A:A, risk_score!B:B, 0)</f>
        <v>Low Risk</v>
      </c>
    </row>
    <row r="647" spans="1:14">
      <c r="A647" s="2">
        <v>0.45822916666666669</v>
      </c>
      <c r="B647" s="3">
        <v>44841</v>
      </c>
      <c r="C647" s="1">
        <v>5997230390</v>
      </c>
      <c r="D647" s="1">
        <v>4591067039</v>
      </c>
      <c r="E647" s="1">
        <v>4892.7</v>
      </c>
      <c r="F647" s="1" t="s">
        <v>12</v>
      </c>
      <c r="G647" s="1" t="s">
        <v>12</v>
      </c>
      <c r="H647" s="1" t="s">
        <v>13</v>
      </c>
      <c r="I647" s="1" t="s">
        <v>13</v>
      </c>
      <c r="J647" s="1" t="s">
        <v>25</v>
      </c>
      <c r="K647" s="1">
        <v>0</v>
      </c>
      <c r="L647" s="1" t="s">
        <v>21</v>
      </c>
      <c r="M647" s="1" t="str">
        <f t="shared" si="10"/>
        <v>Consistent</v>
      </c>
      <c r="N647" s="1" t="str">
        <f>_xlfn.XLOOKUP(H647, risk_score!A:A, risk_score!B:B, 0)</f>
        <v>Low Risk</v>
      </c>
    </row>
    <row r="648" spans="1:14">
      <c r="A648" s="2">
        <v>0.45822916666666669</v>
      </c>
      <c r="B648" s="3">
        <v>44841</v>
      </c>
      <c r="C648" s="1">
        <v>2584559390</v>
      </c>
      <c r="D648" s="1">
        <v>3066321263</v>
      </c>
      <c r="E648" s="1">
        <v>18224.23</v>
      </c>
      <c r="F648" s="1" t="s">
        <v>12</v>
      </c>
      <c r="G648" s="1" t="s">
        <v>12</v>
      </c>
      <c r="H648" s="1" t="s">
        <v>13</v>
      </c>
      <c r="I648" s="1" t="s">
        <v>13</v>
      </c>
      <c r="J648" s="1" t="s">
        <v>25</v>
      </c>
      <c r="K648" s="1">
        <v>0</v>
      </c>
      <c r="L648" s="1" t="s">
        <v>23</v>
      </c>
      <c r="M648" s="1" t="str">
        <f t="shared" si="10"/>
        <v>Consistent</v>
      </c>
      <c r="N648" s="1" t="str">
        <f>_xlfn.XLOOKUP(H648, risk_score!A:A, risk_score!B:B, 0)</f>
        <v>Low Risk</v>
      </c>
    </row>
    <row r="649" spans="1:14">
      <c r="A649" s="2">
        <v>0.45826388888888892</v>
      </c>
      <c r="B649" s="3">
        <v>44841</v>
      </c>
      <c r="C649" s="1">
        <v>4882017214</v>
      </c>
      <c r="D649" s="1">
        <v>8993200440</v>
      </c>
      <c r="E649" s="1">
        <v>19000.71</v>
      </c>
      <c r="F649" s="1" t="s">
        <v>12</v>
      </c>
      <c r="G649" s="1" t="s">
        <v>12</v>
      </c>
      <c r="H649" s="1" t="s">
        <v>13</v>
      </c>
      <c r="I649" s="1" t="s">
        <v>13</v>
      </c>
      <c r="J649" s="1" t="s">
        <v>27</v>
      </c>
      <c r="K649" s="1">
        <v>0</v>
      </c>
      <c r="L649" s="1" t="s">
        <v>21</v>
      </c>
      <c r="M649" s="1" t="str">
        <f t="shared" si="10"/>
        <v>Consistent</v>
      </c>
      <c r="N649" s="1" t="str">
        <f>_xlfn.XLOOKUP(H649, risk_score!A:A, risk_score!B:B, 0)</f>
        <v>Low Risk</v>
      </c>
    </row>
    <row r="650" spans="1:14">
      <c r="A650" s="2">
        <v>0.45826388888888892</v>
      </c>
      <c r="B650" s="3">
        <v>44841</v>
      </c>
      <c r="C650" s="1">
        <v>6022992598</v>
      </c>
      <c r="D650" s="1">
        <v>4474901240</v>
      </c>
      <c r="E650" s="1">
        <v>10519.85</v>
      </c>
      <c r="F650" s="1" t="s">
        <v>12</v>
      </c>
      <c r="G650" s="1" t="s">
        <v>12</v>
      </c>
      <c r="H650" s="1" t="s">
        <v>13</v>
      </c>
      <c r="I650" s="1" t="s">
        <v>13</v>
      </c>
      <c r="J650" s="1" t="s">
        <v>22</v>
      </c>
      <c r="K650" s="1">
        <v>0</v>
      </c>
      <c r="L650" s="1" t="s">
        <v>21</v>
      </c>
      <c r="M650" s="1" t="str">
        <f t="shared" si="10"/>
        <v>Consistent</v>
      </c>
      <c r="N650" s="1" t="str">
        <f>_xlfn.XLOOKUP(H650, risk_score!A:A, risk_score!B:B, 0)</f>
        <v>Low Risk</v>
      </c>
    </row>
    <row r="651" spans="1:14">
      <c r="A651" s="2">
        <v>0.45827546296296295</v>
      </c>
      <c r="B651" s="3">
        <v>44841</v>
      </c>
      <c r="C651" s="1">
        <v>2299676190</v>
      </c>
      <c r="D651" s="1">
        <v>2534644942</v>
      </c>
      <c r="E651" s="1">
        <v>5899.62</v>
      </c>
      <c r="F651" s="1" t="s">
        <v>12</v>
      </c>
      <c r="G651" s="1" t="s">
        <v>29</v>
      </c>
      <c r="H651" s="1" t="s">
        <v>13</v>
      </c>
      <c r="I651" s="1" t="s">
        <v>31</v>
      </c>
      <c r="J651" s="1" t="s">
        <v>18</v>
      </c>
      <c r="K651" s="1">
        <v>0</v>
      </c>
      <c r="L651" s="1" t="s">
        <v>23</v>
      </c>
      <c r="M651" s="1" t="str">
        <f t="shared" si="10"/>
        <v>Potential Layering</v>
      </c>
      <c r="N651" s="1" t="str">
        <f>_xlfn.XLOOKUP(H651, risk_score!A:A, risk_score!B:B, 0)</f>
        <v>Low Risk</v>
      </c>
    </row>
    <row r="652" spans="1:14">
      <c r="A652" s="2">
        <v>0.45832175925925928</v>
      </c>
      <c r="B652" s="3">
        <v>44841</v>
      </c>
      <c r="C652" s="1">
        <v>6070936942</v>
      </c>
      <c r="D652" s="1">
        <v>6655467533</v>
      </c>
      <c r="E652" s="1">
        <v>442.7</v>
      </c>
      <c r="F652" s="1" t="s">
        <v>44</v>
      </c>
      <c r="G652" s="1" t="s">
        <v>12</v>
      </c>
      <c r="H652" s="1" t="s">
        <v>45</v>
      </c>
      <c r="I652" s="1" t="s">
        <v>13</v>
      </c>
      <c r="J652" s="1" t="s">
        <v>18</v>
      </c>
      <c r="K652" s="1">
        <v>0</v>
      </c>
      <c r="L652" s="1" t="s">
        <v>21</v>
      </c>
      <c r="M652" s="1" t="str">
        <f t="shared" si="10"/>
        <v>Potential Layering</v>
      </c>
      <c r="N652" s="1" t="str">
        <f>_xlfn.XLOOKUP(H652, risk_score!A:A, risk_score!B:B, 0)</f>
        <v>High Risk</v>
      </c>
    </row>
    <row r="653" spans="1:14">
      <c r="A653" s="2">
        <v>0.45834490740740741</v>
      </c>
      <c r="B653" s="3">
        <v>44841</v>
      </c>
      <c r="C653" s="1">
        <v>7500111256</v>
      </c>
      <c r="D653" s="1">
        <v>9956537352</v>
      </c>
      <c r="E653" s="1">
        <v>19225.13</v>
      </c>
      <c r="F653" s="1" t="s">
        <v>12</v>
      </c>
      <c r="G653" s="1" t="s">
        <v>12</v>
      </c>
      <c r="H653" s="1" t="s">
        <v>13</v>
      </c>
      <c r="I653" s="1" t="s">
        <v>13</v>
      </c>
      <c r="J653" s="1" t="s">
        <v>25</v>
      </c>
      <c r="K653" s="1">
        <v>0</v>
      </c>
      <c r="L653" s="1" t="s">
        <v>21</v>
      </c>
      <c r="M653" s="1" t="str">
        <f t="shared" si="10"/>
        <v>Consistent</v>
      </c>
      <c r="N653" s="1" t="str">
        <f>_xlfn.XLOOKUP(H653, risk_score!A:A, risk_score!B:B, 0)</f>
        <v>Low Risk</v>
      </c>
    </row>
    <row r="654" spans="1:14">
      <c r="A654" s="2">
        <v>0.45836805555555554</v>
      </c>
      <c r="B654" s="3">
        <v>44841</v>
      </c>
      <c r="C654" s="1">
        <v>4925047798</v>
      </c>
      <c r="D654" s="1">
        <v>4270865741</v>
      </c>
      <c r="E654" s="1">
        <v>9947.39</v>
      </c>
      <c r="F654" s="1" t="s">
        <v>12</v>
      </c>
      <c r="G654" s="1" t="s">
        <v>12</v>
      </c>
      <c r="H654" s="1" t="s">
        <v>13</v>
      </c>
      <c r="I654" s="1" t="s">
        <v>13</v>
      </c>
      <c r="J654" s="1" t="s">
        <v>27</v>
      </c>
      <c r="K654" s="1">
        <v>0</v>
      </c>
      <c r="L654" s="1" t="s">
        <v>23</v>
      </c>
      <c r="M654" s="1" t="str">
        <f t="shared" si="10"/>
        <v>Consistent</v>
      </c>
      <c r="N654" s="1" t="str">
        <f>_xlfn.XLOOKUP(H654, risk_score!A:A, risk_score!B:B, 0)</f>
        <v>Low Risk</v>
      </c>
    </row>
    <row r="655" spans="1:14">
      <c r="A655" s="2">
        <v>0.45839120370370373</v>
      </c>
      <c r="B655" s="3">
        <v>44841</v>
      </c>
      <c r="C655" s="1">
        <v>1139132462</v>
      </c>
      <c r="D655" s="1">
        <v>7199625988</v>
      </c>
      <c r="E655" s="1">
        <v>10753.03</v>
      </c>
      <c r="F655" s="1" t="s">
        <v>16</v>
      </c>
      <c r="G655" s="1" t="s">
        <v>12</v>
      </c>
      <c r="H655" s="1" t="s">
        <v>17</v>
      </c>
      <c r="I655" s="1" t="s">
        <v>13</v>
      </c>
      <c r="J655" s="1" t="s">
        <v>18</v>
      </c>
      <c r="K655" s="1">
        <v>0</v>
      </c>
      <c r="L655" s="1" t="s">
        <v>23</v>
      </c>
      <c r="M655" s="1" t="str">
        <f t="shared" si="10"/>
        <v>Potential Layering</v>
      </c>
      <c r="N655" s="1" t="str">
        <f>_xlfn.XLOOKUP(H655, risk_score!A:A, risk_score!B:B, 0)</f>
        <v>Medium Risk</v>
      </c>
    </row>
    <row r="656" spans="1:14">
      <c r="A656" s="2">
        <v>0.45840277777777777</v>
      </c>
      <c r="B656" s="3">
        <v>44841</v>
      </c>
      <c r="C656" s="1">
        <v>1194906351</v>
      </c>
      <c r="D656" s="1">
        <v>8594486349</v>
      </c>
      <c r="E656" s="1">
        <v>137.44999999999999</v>
      </c>
      <c r="F656" s="1" t="s">
        <v>12</v>
      </c>
      <c r="G656" s="1" t="s">
        <v>12</v>
      </c>
      <c r="H656" s="1" t="s">
        <v>13</v>
      </c>
      <c r="I656" s="1" t="s">
        <v>13</v>
      </c>
      <c r="J656" s="1" t="s">
        <v>20</v>
      </c>
      <c r="K656" s="1">
        <v>0</v>
      </c>
      <c r="L656" s="1" t="s">
        <v>21</v>
      </c>
      <c r="M656" s="1" t="str">
        <f t="shared" si="10"/>
        <v>Consistent</v>
      </c>
      <c r="N656" s="1" t="str">
        <f>_xlfn.XLOOKUP(H656, risk_score!A:A, risk_score!B:B, 0)</f>
        <v>Low Risk</v>
      </c>
    </row>
    <row r="657" spans="1:14">
      <c r="A657" s="2">
        <v>0.45841435185185186</v>
      </c>
      <c r="B657" s="3">
        <v>44841</v>
      </c>
      <c r="C657" s="1">
        <v>6404844146</v>
      </c>
      <c r="D657" s="1">
        <v>5628674969</v>
      </c>
      <c r="E657" s="1">
        <v>6732.39</v>
      </c>
      <c r="F657" s="1" t="s">
        <v>29</v>
      </c>
      <c r="G657" s="1" t="s">
        <v>12</v>
      </c>
      <c r="H657" s="1" t="s">
        <v>13</v>
      </c>
      <c r="I657" s="1" t="s">
        <v>13</v>
      </c>
      <c r="J657" s="1" t="s">
        <v>27</v>
      </c>
      <c r="K657" s="1">
        <v>0</v>
      </c>
      <c r="L657" s="1" t="s">
        <v>23</v>
      </c>
      <c r="M657" s="1" t="str">
        <f t="shared" si="10"/>
        <v>Potential Layering</v>
      </c>
      <c r="N657" s="1" t="str">
        <f>_xlfn.XLOOKUP(H657, risk_score!A:A, risk_score!B:B, 0)</f>
        <v>Low Risk</v>
      </c>
    </row>
    <row r="658" spans="1:14">
      <c r="A658" s="2">
        <v>0.45844907407407409</v>
      </c>
      <c r="B658" s="3">
        <v>44841</v>
      </c>
      <c r="C658" s="1">
        <v>6331746318</v>
      </c>
      <c r="D658" s="1">
        <v>9224360382</v>
      </c>
      <c r="E658" s="1">
        <v>139.97</v>
      </c>
      <c r="F658" s="1" t="s">
        <v>12</v>
      </c>
      <c r="G658" s="1" t="s">
        <v>12</v>
      </c>
      <c r="H658" s="1" t="s">
        <v>13</v>
      </c>
      <c r="I658" s="1" t="s">
        <v>13</v>
      </c>
      <c r="J658" s="1" t="s">
        <v>27</v>
      </c>
      <c r="K658" s="1">
        <v>0</v>
      </c>
      <c r="L658" s="1" t="s">
        <v>21</v>
      </c>
      <c r="M658" s="1" t="str">
        <f t="shared" si="10"/>
        <v>Consistent</v>
      </c>
      <c r="N658" s="1" t="str">
        <f>_xlfn.XLOOKUP(H658, risk_score!A:A, risk_score!B:B, 0)</f>
        <v>Low Risk</v>
      </c>
    </row>
    <row r="659" spans="1:14">
      <c r="A659" s="2">
        <v>0.45844907407407409</v>
      </c>
      <c r="B659" s="3">
        <v>44841</v>
      </c>
      <c r="C659" s="1">
        <v>2978655617</v>
      </c>
      <c r="D659" s="1">
        <v>2478171027</v>
      </c>
      <c r="E659" s="1">
        <v>6356.63</v>
      </c>
      <c r="F659" s="1" t="s">
        <v>12</v>
      </c>
      <c r="G659" s="1" t="s">
        <v>29</v>
      </c>
      <c r="H659" s="1" t="s">
        <v>13</v>
      </c>
      <c r="I659" s="1" t="s">
        <v>13</v>
      </c>
      <c r="J659" s="1" t="s">
        <v>20</v>
      </c>
      <c r="K659" s="1">
        <v>0</v>
      </c>
      <c r="L659" s="1" t="s">
        <v>21</v>
      </c>
      <c r="M659" s="1" t="str">
        <f t="shared" si="10"/>
        <v>Potential Layering</v>
      </c>
      <c r="N659" s="1" t="str">
        <f>_xlfn.XLOOKUP(H659, risk_score!A:A, risk_score!B:B, 0)</f>
        <v>Low Risk</v>
      </c>
    </row>
    <row r="660" spans="1:14">
      <c r="A660" s="2">
        <v>0.45847222222222223</v>
      </c>
      <c r="B660" s="3">
        <v>44841</v>
      </c>
      <c r="C660" s="1">
        <v>5528300128</v>
      </c>
      <c r="D660" s="1">
        <v>6470104899</v>
      </c>
      <c r="E660" s="1">
        <v>1154.98</v>
      </c>
      <c r="F660" s="1" t="s">
        <v>12</v>
      </c>
      <c r="G660" s="1" t="s">
        <v>12</v>
      </c>
      <c r="H660" s="1" t="s">
        <v>13</v>
      </c>
      <c r="I660" s="1" t="s">
        <v>13</v>
      </c>
      <c r="J660" s="1" t="s">
        <v>22</v>
      </c>
      <c r="K660" s="1">
        <v>0</v>
      </c>
      <c r="L660" s="1" t="s">
        <v>21</v>
      </c>
      <c r="M660" s="1" t="str">
        <f t="shared" si="10"/>
        <v>Consistent</v>
      </c>
      <c r="N660" s="1" t="str">
        <f>_xlfn.XLOOKUP(H660, risk_score!A:A, risk_score!B:B, 0)</f>
        <v>Low Risk</v>
      </c>
    </row>
    <row r="661" spans="1:14">
      <c r="A661" s="2">
        <v>0.45855324074074072</v>
      </c>
      <c r="B661" s="3">
        <v>44841</v>
      </c>
      <c r="C661" s="1">
        <v>2498232404</v>
      </c>
      <c r="D661" s="1">
        <v>6645074569</v>
      </c>
      <c r="E661" s="1">
        <v>6455.7</v>
      </c>
      <c r="F661" s="1" t="s">
        <v>12</v>
      </c>
      <c r="G661" s="1" t="s">
        <v>29</v>
      </c>
      <c r="H661" s="1" t="s">
        <v>13</v>
      </c>
      <c r="I661" s="1" t="s">
        <v>54</v>
      </c>
      <c r="J661" s="1" t="s">
        <v>18</v>
      </c>
      <c r="K661" s="1">
        <v>0</v>
      </c>
      <c r="L661" s="1" t="s">
        <v>21</v>
      </c>
      <c r="M661" s="1" t="str">
        <f t="shared" si="10"/>
        <v>Potential Layering</v>
      </c>
      <c r="N661" s="1" t="str">
        <f>_xlfn.XLOOKUP(H661, risk_score!A:A, risk_score!B:B, 0)</f>
        <v>Low Risk</v>
      </c>
    </row>
    <row r="662" spans="1:14">
      <c r="A662" s="2">
        <v>0.45858796296296295</v>
      </c>
      <c r="B662" s="3">
        <v>44841</v>
      </c>
      <c r="C662" s="1">
        <v>1378784400</v>
      </c>
      <c r="D662" s="1">
        <v>8436759372</v>
      </c>
      <c r="E662" s="1">
        <v>6186.4</v>
      </c>
      <c r="F662" s="1" t="s">
        <v>12</v>
      </c>
      <c r="G662" s="1" t="s">
        <v>12</v>
      </c>
      <c r="H662" s="1" t="s">
        <v>13</v>
      </c>
      <c r="I662" s="1" t="s">
        <v>13</v>
      </c>
      <c r="J662" s="1" t="s">
        <v>20</v>
      </c>
      <c r="K662" s="1">
        <v>0</v>
      </c>
      <c r="L662" s="1" t="s">
        <v>19</v>
      </c>
      <c r="M662" s="1" t="str">
        <f t="shared" si="10"/>
        <v>Consistent</v>
      </c>
      <c r="N662" s="1" t="str">
        <f>_xlfn.XLOOKUP(H662, risk_score!A:A, risk_score!B:B, 0)</f>
        <v>Low Risk</v>
      </c>
    </row>
    <row r="663" spans="1:14">
      <c r="A663" s="2">
        <v>0.45858796296296295</v>
      </c>
      <c r="B663" s="3">
        <v>44841</v>
      </c>
      <c r="C663" s="1">
        <v>3999777089</v>
      </c>
      <c r="D663" s="1">
        <v>8404731614</v>
      </c>
      <c r="E663" s="1">
        <v>1831.7</v>
      </c>
      <c r="F663" s="1" t="s">
        <v>12</v>
      </c>
      <c r="G663" s="1" t="s">
        <v>12</v>
      </c>
      <c r="H663" s="1" t="s">
        <v>13</v>
      </c>
      <c r="I663" s="1" t="s">
        <v>13</v>
      </c>
      <c r="J663" s="1" t="s">
        <v>14</v>
      </c>
      <c r="K663" s="1">
        <v>0</v>
      </c>
      <c r="L663" s="1" t="s">
        <v>15</v>
      </c>
      <c r="M663" s="1" t="str">
        <f t="shared" si="10"/>
        <v>Consistent</v>
      </c>
      <c r="N663" s="1" t="str">
        <f>_xlfn.XLOOKUP(H663, risk_score!A:A, risk_score!B:B, 0)</f>
        <v>Low Risk</v>
      </c>
    </row>
    <row r="664" spans="1:14">
      <c r="A664" s="2">
        <v>0.45859953703703704</v>
      </c>
      <c r="B664" s="3">
        <v>44841</v>
      </c>
      <c r="C664" s="1">
        <v>9793621885</v>
      </c>
      <c r="D664" s="1">
        <v>6546503021</v>
      </c>
      <c r="E664" s="1">
        <v>1006.32</v>
      </c>
      <c r="F664" s="1" t="s">
        <v>12</v>
      </c>
      <c r="G664" s="1" t="s">
        <v>12</v>
      </c>
      <c r="H664" s="1" t="s">
        <v>13</v>
      </c>
      <c r="I664" s="1" t="s">
        <v>13</v>
      </c>
      <c r="J664" s="1" t="s">
        <v>25</v>
      </c>
      <c r="K664" s="1">
        <v>0</v>
      </c>
      <c r="L664" s="1" t="s">
        <v>21</v>
      </c>
      <c r="M664" s="1" t="str">
        <f t="shared" si="10"/>
        <v>Consistent</v>
      </c>
      <c r="N664" s="1" t="str">
        <f>_xlfn.XLOOKUP(H664, risk_score!A:A, risk_score!B:B, 0)</f>
        <v>Low Risk</v>
      </c>
    </row>
    <row r="665" spans="1:14">
      <c r="A665" s="2">
        <v>0.45861111111111114</v>
      </c>
      <c r="B665" s="3">
        <v>44841</v>
      </c>
      <c r="C665" s="1">
        <v>3168051873</v>
      </c>
      <c r="D665" s="1">
        <v>6138274964</v>
      </c>
      <c r="E665" s="1">
        <v>5225.0600000000004</v>
      </c>
      <c r="F665" s="1" t="s">
        <v>12</v>
      </c>
      <c r="G665" s="1" t="s">
        <v>12</v>
      </c>
      <c r="H665" s="1" t="s">
        <v>13</v>
      </c>
      <c r="I665" s="1" t="s">
        <v>13</v>
      </c>
      <c r="J665" s="1" t="s">
        <v>22</v>
      </c>
      <c r="K665" s="1">
        <v>0</v>
      </c>
      <c r="L665" s="1" t="s">
        <v>19</v>
      </c>
      <c r="M665" s="1" t="str">
        <f t="shared" si="10"/>
        <v>Consistent</v>
      </c>
      <c r="N665" s="1" t="str">
        <f>_xlfn.XLOOKUP(H665, risk_score!A:A, risk_score!B:B, 0)</f>
        <v>Low Risk</v>
      </c>
    </row>
    <row r="666" spans="1:14">
      <c r="A666" s="2">
        <v>0.45862268518518517</v>
      </c>
      <c r="B666" s="3">
        <v>44841</v>
      </c>
      <c r="C666" s="1">
        <v>3442706849</v>
      </c>
      <c r="D666" s="1">
        <v>7332435745</v>
      </c>
      <c r="E666" s="1">
        <v>3014.24</v>
      </c>
      <c r="F666" s="1" t="s">
        <v>12</v>
      </c>
      <c r="G666" s="1" t="s">
        <v>12</v>
      </c>
      <c r="H666" s="1" t="s">
        <v>13</v>
      </c>
      <c r="I666" s="1" t="s">
        <v>13</v>
      </c>
      <c r="J666" s="1" t="s">
        <v>25</v>
      </c>
      <c r="K666" s="1">
        <v>0</v>
      </c>
      <c r="L666" s="1" t="s">
        <v>24</v>
      </c>
      <c r="M666" s="1" t="str">
        <f t="shared" si="10"/>
        <v>Consistent</v>
      </c>
      <c r="N666" s="1" t="str">
        <f>_xlfn.XLOOKUP(H666, risk_score!A:A, risk_score!B:B, 0)</f>
        <v>Low Risk</v>
      </c>
    </row>
    <row r="667" spans="1:14">
      <c r="A667" s="2">
        <v>0.4586574074074074</v>
      </c>
      <c r="B667" s="3">
        <v>44841</v>
      </c>
      <c r="C667" s="1">
        <v>4304585899</v>
      </c>
      <c r="D667" s="1">
        <v>7043065995</v>
      </c>
      <c r="E667" s="1">
        <v>16860.419999999998</v>
      </c>
      <c r="F667" s="1" t="s">
        <v>12</v>
      </c>
      <c r="G667" s="1" t="s">
        <v>12</v>
      </c>
      <c r="H667" s="1" t="s">
        <v>13</v>
      </c>
      <c r="I667" s="1" t="s">
        <v>13</v>
      </c>
      <c r="J667" s="1" t="s">
        <v>20</v>
      </c>
      <c r="K667" s="1">
        <v>0</v>
      </c>
      <c r="L667" s="1" t="s">
        <v>21</v>
      </c>
      <c r="M667" s="1" t="str">
        <f t="shared" si="10"/>
        <v>Consistent</v>
      </c>
      <c r="N667" s="1" t="str">
        <f>_xlfn.XLOOKUP(H667, risk_score!A:A, risk_score!B:B, 0)</f>
        <v>Low Risk</v>
      </c>
    </row>
    <row r="668" spans="1:14">
      <c r="A668" s="2">
        <v>0.4586689814814815</v>
      </c>
      <c r="B668" s="3">
        <v>44841</v>
      </c>
      <c r="C668" s="1">
        <v>8203229522</v>
      </c>
      <c r="D668" s="1">
        <v>5254058209</v>
      </c>
      <c r="E668" s="1">
        <v>4368.21</v>
      </c>
      <c r="F668" s="1" t="s">
        <v>12</v>
      </c>
      <c r="G668" s="1" t="s">
        <v>16</v>
      </c>
      <c r="H668" s="1" t="s">
        <v>13</v>
      </c>
      <c r="I668" s="1" t="s">
        <v>17</v>
      </c>
      <c r="J668" s="1" t="s">
        <v>18</v>
      </c>
      <c r="K668" s="1">
        <v>0</v>
      </c>
      <c r="L668" s="1" t="s">
        <v>19</v>
      </c>
      <c r="M668" s="1" t="str">
        <f t="shared" si="10"/>
        <v>Potential Layering</v>
      </c>
      <c r="N668" s="1" t="str">
        <f>_xlfn.XLOOKUP(H668, risk_score!A:A, risk_score!B:B, 0)</f>
        <v>Low Risk</v>
      </c>
    </row>
    <row r="669" spans="1:14">
      <c r="A669" s="2">
        <v>0.45876157407407409</v>
      </c>
      <c r="B669" s="3">
        <v>44841</v>
      </c>
      <c r="C669" s="1">
        <v>2584489906</v>
      </c>
      <c r="D669" s="1">
        <v>6631219659</v>
      </c>
      <c r="E669" s="1">
        <v>4337.45</v>
      </c>
      <c r="F669" s="1" t="s">
        <v>12</v>
      </c>
      <c r="G669" s="1" t="s">
        <v>12</v>
      </c>
      <c r="H669" s="1" t="s">
        <v>13</v>
      </c>
      <c r="I669" s="1" t="s">
        <v>13</v>
      </c>
      <c r="J669" s="1" t="s">
        <v>22</v>
      </c>
      <c r="K669" s="1">
        <v>0</v>
      </c>
      <c r="L669" s="1" t="s">
        <v>21</v>
      </c>
      <c r="M669" s="1" t="str">
        <f t="shared" si="10"/>
        <v>Consistent</v>
      </c>
      <c r="N669" s="1" t="str">
        <f>_xlfn.XLOOKUP(H669, risk_score!A:A, risk_score!B:B, 0)</f>
        <v>Low Risk</v>
      </c>
    </row>
    <row r="670" spans="1:14">
      <c r="A670" s="2">
        <v>0.45879629629629631</v>
      </c>
      <c r="B670" s="3">
        <v>44841</v>
      </c>
      <c r="C670" s="1">
        <v>1030676446</v>
      </c>
      <c r="D670" s="1">
        <v>8587712416</v>
      </c>
      <c r="E670" s="1">
        <v>11017.78</v>
      </c>
      <c r="F670" s="1" t="s">
        <v>12</v>
      </c>
      <c r="G670" s="1" t="s">
        <v>12</v>
      </c>
      <c r="H670" s="1" t="s">
        <v>13</v>
      </c>
      <c r="I670" s="1" t="s">
        <v>13</v>
      </c>
      <c r="J670" s="1" t="s">
        <v>22</v>
      </c>
      <c r="K670" s="1">
        <v>0</v>
      </c>
      <c r="L670" s="1" t="s">
        <v>21</v>
      </c>
      <c r="M670" s="1" t="str">
        <f t="shared" si="10"/>
        <v>Consistent</v>
      </c>
      <c r="N670" s="1" t="str">
        <f>_xlfn.XLOOKUP(H670, risk_score!A:A, risk_score!B:B, 0)</f>
        <v>Low Risk</v>
      </c>
    </row>
    <row r="671" spans="1:14">
      <c r="A671" s="2">
        <v>0.45880787037037035</v>
      </c>
      <c r="B671" s="3">
        <v>44841</v>
      </c>
      <c r="C671" s="1">
        <v>5979365359</v>
      </c>
      <c r="D671" s="1">
        <v>409707192</v>
      </c>
      <c r="E671" s="1">
        <v>9634.66</v>
      </c>
      <c r="F671" s="1" t="s">
        <v>12</v>
      </c>
      <c r="G671" s="1" t="s">
        <v>12</v>
      </c>
      <c r="H671" s="1" t="s">
        <v>13</v>
      </c>
      <c r="I671" s="1" t="s">
        <v>13</v>
      </c>
      <c r="J671" s="1" t="s">
        <v>25</v>
      </c>
      <c r="K671" s="1">
        <v>0</v>
      </c>
      <c r="L671" s="1" t="s">
        <v>23</v>
      </c>
      <c r="M671" s="1" t="str">
        <f t="shared" si="10"/>
        <v>Consistent</v>
      </c>
      <c r="N671" s="1" t="str">
        <f>_xlfn.XLOOKUP(H671, risk_score!A:A, risk_score!B:B, 0)</f>
        <v>Low Risk</v>
      </c>
    </row>
    <row r="672" spans="1:14">
      <c r="A672" s="2">
        <v>0.45881944444444445</v>
      </c>
      <c r="B672" s="3">
        <v>44841</v>
      </c>
      <c r="C672" s="1">
        <v>7112155747</v>
      </c>
      <c r="D672" s="1">
        <v>7079755654</v>
      </c>
      <c r="E672" s="1">
        <v>17296.61</v>
      </c>
      <c r="F672" s="1" t="s">
        <v>12</v>
      </c>
      <c r="G672" s="1" t="s">
        <v>12</v>
      </c>
      <c r="H672" s="1" t="s">
        <v>13</v>
      </c>
      <c r="I672" s="1" t="s">
        <v>13</v>
      </c>
      <c r="J672" s="1" t="s">
        <v>20</v>
      </c>
      <c r="K672" s="1">
        <v>0</v>
      </c>
      <c r="L672" s="1" t="s">
        <v>21</v>
      </c>
      <c r="M672" s="1" t="str">
        <f t="shared" si="10"/>
        <v>Consistent</v>
      </c>
      <c r="N672" s="1" t="str">
        <f>_xlfn.XLOOKUP(H672, risk_score!A:A, risk_score!B:B, 0)</f>
        <v>Low Risk</v>
      </c>
    </row>
    <row r="673" spans="1:14">
      <c r="A673" s="2">
        <v>0.45887731481481481</v>
      </c>
      <c r="B673" s="3">
        <v>44841</v>
      </c>
      <c r="C673" s="1">
        <v>8967402463</v>
      </c>
      <c r="D673" s="1">
        <v>9973181652</v>
      </c>
      <c r="E673" s="1">
        <v>193.63</v>
      </c>
      <c r="F673" s="1" t="s">
        <v>12</v>
      </c>
      <c r="G673" s="1" t="s">
        <v>12</v>
      </c>
      <c r="H673" s="1" t="s">
        <v>13</v>
      </c>
      <c r="I673" s="1" t="s">
        <v>13</v>
      </c>
      <c r="J673" s="1" t="s">
        <v>27</v>
      </c>
      <c r="K673" s="1">
        <v>0</v>
      </c>
      <c r="L673" s="1" t="s">
        <v>21</v>
      </c>
      <c r="M673" s="1" t="str">
        <f t="shared" si="10"/>
        <v>Consistent</v>
      </c>
      <c r="N673" s="1" t="str">
        <f>_xlfn.XLOOKUP(H673, risk_score!A:A, risk_score!B:B, 0)</f>
        <v>Low Risk</v>
      </c>
    </row>
    <row r="674" spans="1:14">
      <c r="A674" s="2">
        <v>0.45891203703703703</v>
      </c>
      <c r="B674" s="3">
        <v>44841</v>
      </c>
      <c r="C674" s="1">
        <v>8620546903</v>
      </c>
      <c r="D674" s="1">
        <v>3066321263</v>
      </c>
      <c r="E674" s="1">
        <v>5093.22</v>
      </c>
      <c r="F674" s="1" t="s">
        <v>12</v>
      </c>
      <c r="G674" s="1" t="s">
        <v>12</v>
      </c>
      <c r="H674" s="1" t="s">
        <v>13</v>
      </c>
      <c r="I674" s="1" t="s">
        <v>13</v>
      </c>
      <c r="J674" s="1" t="s">
        <v>20</v>
      </c>
      <c r="K674" s="1">
        <v>0</v>
      </c>
      <c r="L674" s="1" t="s">
        <v>23</v>
      </c>
      <c r="M674" s="1" t="str">
        <f t="shared" si="10"/>
        <v>Consistent</v>
      </c>
      <c r="N674" s="1" t="str">
        <f>_xlfn.XLOOKUP(H674, risk_score!A:A, risk_score!B:B, 0)</f>
        <v>Low Risk</v>
      </c>
    </row>
    <row r="675" spans="1:14">
      <c r="A675" s="2">
        <v>0.4589699074074074</v>
      </c>
      <c r="B675" s="3">
        <v>44841</v>
      </c>
      <c r="C675" s="1">
        <v>8159558514</v>
      </c>
      <c r="D675" s="1">
        <v>7560612749</v>
      </c>
      <c r="E675" s="1">
        <v>1951.14</v>
      </c>
      <c r="F675" s="1" t="s">
        <v>12</v>
      </c>
      <c r="G675" s="1" t="s">
        <v>12</v>
      </c>
      <c r="H675" s="1" t="s">
        <v>13</v>
      </c>
      <c r="I675" s="1" t="s">
        <v>13</v>
      </c>
      <c r="J675" s="1" t="s">
        <v>22</v>
      </c>
      <c r="K675" s="1">
        <v>0</v>
      </c>
      <c r="L675" s="1" t="s">
        <v>24</v>
      </c>
      <c r="M675" s="1" t="str">
        <f t="shared" si="10"/>
        <v>Consistent</v>
      </c>
      <c r="N675" s="1" t="str">
        <f>_xlfn.XLOOKUP(H675, risk_score!A:A, risk_score!B:B, 0)</f>
        <v>Low Risk</v>
      </c>
    </row>
    <row r="676" spans="1:14">
      <c r="A676" s="2">
        <v>0.45898148148148149</v>
      </c>
      <c r="B676" s="3">
        <v>44841</v>
      </c>
      <c r="C676" s="1">
        <v>1915450576</v>
      </c>
      <c r="D676" s="1">
        <v>4701651456</v>
      </c>
      <c r="E676" s="1">
        <v>9259.26</v>
      </c>
      <c r="F676" s="1" t="s">
        <v>12</v>
      </c>
      <c r="G676" s="1" t="s">
        <v>12</v>
      </c>
      <c r="H676" s="1" t="s">
        <v>13</v>
      </c>
      <c r="I676" s="1" t="s">
        <v>13</v>
      </c>
      <c r="J676" s="1" t="s">
        <v>25</v>
      </c>
      <c r="K676" s="1">
        <v>0</v>
      </c>
      <c r="L676" s="1" t="s">
        <v>19</v>
      </c>
      <c r="M676" s="1" t="str">
        <f t="shared" si="10"/>
        <v>Consistent</v>
      </c>
      <c r="N676" s="1" t="str">
        <f>_xlfn.XLOOKUP(H676, risk_score!A:A, risk_score!B:B, 0)</f>
        <v>Low Risk</v>
      </c>
    </row>
    <row r="677" spans="1:14">
      <c r="A677" s="2">
        <v>0.45901620370370372</v>
      </c>
      <c r="B677" s="3">
        <v>44841</v>
      </c>
      <c r="C677" s="1">
        <v>7877700106</v>
      </c>
      <c r="D677" s="1">
        <v>2534644942</v>
      </c>
      <c r="E677" s="1">
        <v>25336.71</v>
      </c>
      <c r="F677" s="1" t="s">
        <v>12</v>
      </c>
      <c r="G677" s="1" t="s">
        <v>29</v>
      </c>
      <c r="H677" s="1" t="s">
        <v>13</v>
      </c>
      <c r="I677" s="1" t="s">
        <v>31</v>
      </c>
      <c r="J677" s="1" t="s">
        <v>18</v>
      </c>
      <c r="K677" s="1">
        <v>0</v>
      </c>
      <c r="L677" s="1" t="s">
        <v>23</v>
      </c>
      <c r="M677" s="1" t="str">
        <f t="shared" si="10"/>
        <v>Potential Layering</v>
      </c>
      <c r="N677" s="1" t="str">
        <f>_xlfn.XLOOKUP(H677, risk_score!A:A, risk_score!B:B, 0)</f>
        <v>Low Risk</v>
      </c>
    </row>
    <row r="678" spans="1:14">
      <c r="A678" s="2">
        <v>0.45906249999999998</v>
      </c>
      <c r="B678" s="3">
        <v>44841</v>
      </c>
      <c r="C678" s="1">
        <v>3135838003</v>
      </c>
      <c r="D678" s="1">
        <v>5363117119</v>
      </c>
      <c r="E678" s="1">
        <v>7585.32</v>
      </c>
      <c r="F678" s="1" t="s">
        <v>12</v>
      </c>
      <c r="G678" s="1" t="s">
        <v>12</v>
      </c>
      <c r="H678" s="1" t="s">
        <v>13</v>
      </c>
      <c r="I678" s="1" t="s">
        <v>13</v>
      </c>
      <c r="J678" s="1" t="s">
        <v>20</v>
      </c>
      <c r="K678" s="1">
        <v>0</v>
      </c>
      <c r="L678" s="1" t="s">
        <v>23</v>
      </c>
      <c r="M678" s="1" t="str">
        <f t="shared" si="10"/>
        <v>Consistent</v>
      </c>
      <c r="N678" s="1" t="str">
        <f>_xlfn.XLOOKUP(H678, risk_score!A:A, risk_score!B:B, 0)</f>
        <v>Low Risk</v>
      </c>
    </row>
    <row r="679" spans="1:14">
      <c r="A679" s="2">
        <v>0.45908564814814817</v>
      </c>
      <c r="B679" s="3">
        <v>44841</v>
      </c>
      <c r="C679" s="1">
        <v>3452368468</v>
      </c>
      <c r="D679" s="1">
        <v>8619713223</v>
      </c>
      <c r="E679" s="1">
        <v>14178.11</v>
      </c>
      <c r="F679" s="1" t="s">
        <v>12</v>
      </c>
      <c r="G679" s="1" t="s">
        <v>12</v>
      </c>
      <c r="H679" s="1" t="s">
        <v>13</v>
      </c>
      <c r="I679" s="1" t="s">
        <v>13</v>
      </c>
      <c r="J679" s="1" t="s">
        <v>20</v>
      </c>
      <c r="K679" s="1">
        <v>0</v>
      </c>
      <c r="L679" s="1" t="s">
        <v>19</v>
      </c>
      <c r="M679" s="1" t="str">
        <f t="shared" si="10"/>
        <v>Consistent</v>
      </c>
      <c r="N679" s="1" t="str">
        <f>_xlfn.XLOOKUP(H679, risk_score!A:A, risk_score!B:B, 0)</f>
        <v>Low Risk</v>
      </c>
    </row>
    <row r="680" spans="1:14">
      <c r="A680" s="2">
        <v>0.45908564814814817</v>
      </c>
      <c r="B680" s="3">
        <v>44841</v>
      </c>
      <c r="C680" s="1">
        <v>7746906760</v>
      </c>
      <c r="D680" s="1">
        <v>9484198252</v>
      </c>
      <c r="E680" s="1">
        <v>927.49</v>
      </c>
      <c r="F680" s="1" t="s">
        <v>12</v>
      </c>
      <c r="G680" s="1" t="s">
        <v>29</v>
      </c>
      <c r="H680" s="1" t="s">
        <v>13</v>
      </c>
      <c r="I680" s="1" t="s">
        <v>30</v>
      </c>
      <c r="J680" s="1" t="s">
        <v>18</v>
      </c>
      <c r="K680" s="1">
        <v>0</v>
      </c>
      <c r="L680" s="1" t="s">
        <v>21</v>
      </c>
      <c r="M680" s="1" t="str">
        <f t="shared" si="10"/>
        <v>Potential Layering</v>
      </c>
      <c r="N680" s="1" t="str">
        <f>_xlfn.XLOOKUP(H680, risk_score!A:A, risk_score!B:B, 0)</f>
        <v>Low Risk</v>
      </c>
    </row>
    <row r="681" spans="1:14">
      <c r="A681" s="2">
        <v>0.45915509259259257</v>
      </c>
      <c r="B681" s="3">
        <v>44841</v>
      </c>
      <c r="C681" s="1">
        <v>3883907165</v>
      </c>
      <c r="D681" s="1">
        <v>9010197139</v>
      </c>
      <c r="E681" s="1">
        <v>7295.45</v>
      </c>
      <c r="F681" s="1" t="s">
        <v>12</v>
      </c>
      <c r="G681" s="1" t="s">
        <v>12</v>
      </c>
      <c r="H681" s="1" t="s">
        <v>13</v>
      </c>
      <c r="I681" s="1" t="s">
        <v>13</v>
      </c>
      <c r="J681" s="1" t="s">
        <v>25</v>
      </c>
      <c r="K681" s="1">
        <v>0</v>
      </c>
      <c r="L681" s="1" t="s">
        <v>21</v>
      </c>
      <c r="M681" s="1" t="str">
        <f t="shared" si="10"/>
        <v>Consistent</v>
      </c>
      <c r="N681" s="1" t="str">
        <f>_xlfn.XLOOKUP(H681, risk_score!A:A, risk_score!B:B, 0)</f>
        <v>Low Risk</v>
      </c>
    </row>
    <row r="682" spans="1:14">
      <c r="A682" s="2">
        <v>0.4591898148148148</v>
      </c>
      <c r="B682" s="3">
        <v>44841</v>
      </c>
      <c r="C682" s="1">
        <v>3614082527</v>
      </c>
      <c r="D682" s="1">
        <v>3833545196</v>
      </c>
      <c r="E682" s="1">
        <v>15188.07</v>
      </c>
      <c r="F682" s="1" t="s">
        <v>12</v>
      </c>
      <c r="G682" s="1" t="s">
        <v>12</v>
      </c>
      <c r="H682" s="1" t="s">
        <v>13</v>
      </c>
      <c r="I682" s="1" t="s">
        <v>13</v>
      </c>
      <c r="J682" s="1" t="s">
        <v>22</v>
      </c>
      <c r="K682" s="1">
        <v>0</v>
      </c>
      <c r="L682" s="1" t="s">
        <v>19</v>
      </c>
      <c r="M682" s="1" t="str">
        <f t="shared" si="10"/>
        <v>Consistent</v>
      </c>
      <c r="N682" s="1" t="str">
        <f>_xlfn.XLOOKUP(H682, risk_score!A:A, risk_score!B:B, 0)</f>
        <v>Low Risk</v>
      </c>
    </row>
    <row r="683" spans="1:14">
      <c r="A683" s="2">
        <v>0.4591898148148148</v>
      </c>
      <c r="B683" s="3">
        <v>44841</v>
      </c>
      <c r="C683" s="1">
        <v>8138206089</v>
      </c>
      <c r="D683" s="1">
        <v>8959912734</v>
      </c>
      <c r="E683" s="1">
        <v>264.82</v>
      </c>
      <c r="F683" s="1" t="s">
        <v>12</v>
      </c>
      <c r="G683" s="1" t="s">
        <v>12</v>
      </c>
      <c r="H683" s="1" t="s">
        <v>13</v>
      </c>
      <c r="I683" s="1" t="s">
        <v>13</v>
      </c>
      <c r="J683" s="1" t="s">
        <v>20</v>
      </c>
      <c r="K683" s="1">
        <v>0</v>
      </c>
      <c r="L683" s="1" t="s">
        <v>21</v>
      </c>
      <c r="M683" s="1" t="str">
        <f t="shared" si="10"/>
        <v>Consistent</v>
      </c>
      <c r="N683" s="1" t="str">
        <f>_xlfn.XLOOKUP(H683, risk_score!A:A, risk_score!B:B, 0)</f>
        <v>Low Risk</v>
      </c>
    </row>
    <row r="684" spans="1:14">
      <c r="A684" s="2">
        <v>0.4592013888888889</v>
      </c>
      <c r="B684" s="3">
        <v>44841</v>
      </c>
      <c r="C684" s="1">
        <v>2552379760</v>
      </c>
      <c r="D684" s="1">
        <v>7237750627</v>
      </c>
      <c r="E684" s="1">
        <v>1556.2</v>
      </c>
      <c r="F684" s="1" t="s">
        <v>12</v>
      </c>
      <c r="G684" s="1" t="s">
        <v>12</v>
      </c>
      <c r="H684" s="1" t="s">
        <v>13</v>
      </c>
      <c r="I684" s="1" t="s">
        <v>13</v>
      </c>
      <c r="J684" s="1" t="s">
        <v>22</v>
      </c>
      <c r="K684" s="1">
        <v>0</v>
      </c>
      <c r="L684" s="1" t="s">
        <v>21</v>
      </c>
      <c r="M684" s="1" t="str">
        <f t="shared" si="10"/>
        <v>Consistent</v>
      </c>
      <c r="N684" s="1" t="str">
        <f>_xlfn.XLOOKUP(H684, risk_score!A:A, risk_score!B:B, 0)</f>
        <v>Low Risk</v>
      </c>
    </row>
    <row r="685" spans="1:14">
      <c r="A685" s="2">
        <v>0.4592013888888889</v>
      </c>
      <c r="B685" s="3">
        <v>44841</v>
      </c>
      <c r="C685" s="1">
        <v>9525917254</v>
      </c>
      <c r="D685" s="1">
        <v>6279440406</v>
      </c>
      <c r="E685" s="1">
        <v>3319.08</v>
      </c>
      <c r="F685" s="1" t="s">
        <v>12</v>
      </c>
      <c r="G685" s="1" t="s">
        <v>12</v>
      </c>
      <c r="H685" s="1" t="s">
        <v>13</v>
      </c>
      <c r="I685" s="1" t="s">
        <v>13</v>
      </c>
      <c r="J685" s="1" t="s">
        <v>14</v>
      </c>
      <c r="K685" s="1">
        <v>0</v>
      </c>
      <c r="L685" s="1" t="s">
        <v>15</v>
      </c>
      <c r="M685" s="1" t="str">
        <f t="shared" si="10"/>
        <v>Consistent</v>
      </c>
      <c r="N685" s="1" t="str">
        <f>_xlfn.XLOOKUP(H685, risk_score!A:A, risk_score!B:B, 0)</f>
        <v>Low Risk</v>
      </c>
    </row>
    <row r="686" spans="1:14">
      <c r="A686" s="2">
        <v>0.45921296296296299</v>
      </c>
      <c r="B686" s="3">
        <v>44841</v>
      </c>
      <c r="C686" s="1">
        <v>4431695079</v>
      </c>
      <c r="D686" s="1">
        <v>4028018273</v>
      </c>
      <c r="E686" s="1">
        <v>8447.4699999999993</v>
      </c>
      <c r="F686" s="1" t="s">
        <v>12</v>
      </c>
      <c r="G686" s="1" t="s">
        <v>12</v>
      </c>
      <c r="H686" s="1" t="s">
        <v>13</v>
      </c>
      <c r="I686" s="1" t="s">
        <v>13</v>
      </c>
      <c r="J686" s="1" t="s">
        <v>20</v>
      </c>
      <c r="K686" s="1">
        <v>0</v>
      </c>
      <c r="L686" s="1" t="s">
        <v>21</v>
      </c>
      <c r="M686" s="1" t="str">
        <f t="shared" si="10"/>
        <v>Consistent</v>
      </c>
      <c r="N686" s="1" t="str">
        <f>_xlfn.XLOOKUP(H686, risk_score!A:A, risk_score!B:B, 0)</f>
        <v>Low Risk</v>
      </c>
    </row>
    <row r="687" spans="1:14">
      <c r="A687" s="2">
        <v>0.45921296296296299</v>
      </c>
      <c r="B687" s="3">
        <v>44841</v>
      </c>
      <c r="C687" s="1">
        <v>5675451055</v>
      </c>
      <c r="D687" s="1">
        <v>9908487592</v>
      </c>
      <c r="E687" s="1">
        <v>1546.95</v>
      </c>
      <c r="F687" s="1" t="s">
        <v>12</v>
      </c>
      <c r="G687" s="1" t="s">
        <v>12</v>
      </c>
      <c r="H687" s="1" t="s">
        <v>13</v>
      </c>
      <c r="I687" s="1" t="s">
        <v>13</v>
      </c>
      <c r="J687" s="1" t="s">
        <v>25</v>
      </c>
      <c r="K687" s="1">
        <v>0</v>
      </c>
      <c r="L687" s="1" t="s">
        <v>21</v>
      </c>
      <c r="M687" s="1" t="str">
        <f t="shared" si="10"/>
        <v>Consistent</v>
      </c>
      <c r="N687" s="1" t="str">
        <f>_xlfn.XLOOKUP(H687, risk_score!A:A, risk_score!B:B, 0)</f>
        <v>Low Risk</v>
      </c>
    </row>
    <row r="688" spans="1:14">
      <c r="A688" s="2">
        <v>0.45922453703703703</v>
      </c>
      <c r="B688" s="3">
        <v>44841</v>
      </c>
      <c r="C688" s="1">
        <v>5393610375</v>
      </c>
      <c r="D688" s="1">
        <v>1210225038</v>
      </c>
      <c r="E688" s="1">
        <v>973.76</v>
      </c>
      <c r="F688" s="1" t="s">
        <v>12</v>
      </c>
      <c r="G688" s="1" t="s">
        <v>12</v>
      </c>
      <c r="H688" s="1" t="s">
        <v>13</v>
      </c>
      <c r="I688" s="1" t="s">
        <v>13</v>
      </c>
      <c r="J688" s="1" t="s">
        <v>25</v>
      </c>
      <c r="K688" s="1">
        <v>0</v>
      </c>
      <c r="L688" s="1" t="s">
        <v>21</v>
      </c>
      <c r="M688" s="1" t="str">
        <f t="shared" si="10"/>
        <v>Consistent</v>
      </c>
      <c r="N688" s="1" t="str">
        <f>_xlfn.XLOOKUP(H688, risk_score!A:A, risk_score!B:B, 0)</f>
        <v>Low Risk</v>
      </c>
    </row>
    <row r="689" spans="1:14">
      <c r="A689" s="2">
        <v>0.45924768518518516</v>
      </c>
      <c r="B689" s="3">
        <v>44841</v>
      </c>
      <c r="C689" s="1">
        <v>7421451752</v>
      </c>
      <c r="D689" s="1">
        <v>2755709071</v>
      </c>
      <c r="E689" s="1">
        <v>5855.85</v>
      </c>
      <c r="F689" s="1" t="s">
        <v>12</v>
      </c>
      <c r="G689" s="1" t="s">
        <v>12</v>
      </c>
      <c r="H689" s="1" t="s">
        <v>13</v>
      </c>
      <c r="I689" s="1" t="s">
        <v>13</v>
      </c>
      <c r="J689" s="1" t="s">
        <v>22</v>
      </c>
      <c r="K689" s="1">
        <v>0</v>
      </c>
      <c r="L689" s="1" t="s">
        <v>19</v>
      </c>
      <c r="M689" s="1" t="str">
        <f t="shared" si="10"/>
        <v>Consistent</v>
      </c>
      <c r="N689" s="1" t="str">
        <f>_xlfn.XLOOKUP(H689, risk_score!A:A, risk_score!B:B, 0)</f>
        <v>Low Risk</v>
      </c>
    </row>
    <row r="690" spans="1:14">
      <c r="A690" s="2">
        <v>0.45925925925925926</v>
      </c>
      <c r="B690" s="3">
        <v>44841</v>
      </c>
      <c r="C690" s="1">
        <v>1843365823</v>
      </c>
      <c r="D690" s="1">
        <v>5466123934</v>
      </c>
      <c r="E690" s="1">
        <v>9179.51</v>
      </c>
      <c r="F690" s="1" t="s">
        <v>12</v>
      </c>
      <c r="G690" s="1" t="s">
        <v>12</v>
      </c>
      <c r="H690" s="1" t="s">
        <v>13</v>
      </c>
      <c r="I690" s="1" t="s">
        <v>13</v>
      </c>
      <c r="J690" s="1" t="s">
        <v>20</v>
      </c>
      <c r="K690" s="1">
        <v>0</v>
      </c>
      <c r="L690" s="1" t="s">
        <v>23</v>
      </c>
      <c r="M690" s="1" t="str">
        <f t="shared" si="10"/>
        <v>Consistent</v>
      </c>
      <c r="N690" s="1" t="str">
        <f>_xlfn.XLOOKUP(H690, risk_score!A:A, risk_score!B:B, 0)</f>
        <v>Low Risk</v>
      </c>
    </row>
    <row r="691" spans="1:14">
      <c r="A691" s="2">
        <v>0.45927083333333335</v>
      </c>
      <c r="B691" s="3">
        <v>44841</v>
      </c>
      <c r="C691" s="1">
        <v>6109062028</v>
      </c>
      <c r="D691" s="1">
        <v>1320927231</v>
      </c>
      <c r="E691" s="1">
        <v>10323.09</v>
      </c>
      <c r="F691" s="1" t="s">
        <v>12</v>
      </c>
      <c r="G691" s="1" t="s">
        <v>12</v>
      </c>
      <c r="H691" s="1" t="s">
        <v>13</v>
      </c>
      <c r="I691" s="1" t="s">
        <v>13</v>
      </c>
      <c r="J691" s="1" t="s">
        <v>27</v>
      </c>
      <c r="K691" s="1">
        <v>0</v>
      </c>
      <c r="L691" s="1" t="s">
        <v>23</v>
      </c>
      <c r="M691" s="1" t="str">
        <f t="shared" si="10"/>
        <v>Consistent</v>
      </c>
      <c r="N691" s="1" t="str">
        <f>_xlfn.XLOOKUP(H691, risk_score!A:A, risk_score!B:B, 0)</f>
        <v>Low Risk</v>
      </c>
    </row>
    <row r="692" spans="1:14">
      <c r="A692" s="2">
        <v>0.45929398148148148</v>
      </c>
      <c r="B692" s="3">
        <v>44841</v>
      </c>
      <c r="C692" s="1">
        <v>1522882325</v>
      </c>
      <c r="D692" s="1">
        <v>3881049690</v>
      </c>
      <c r="E692" s="1">
        <v>1652.92</v>
      </c>
      <c r="F692" s="1" t="s">
        <v>12</v>
      </c>
      <c r="G692" s="1" t="s">
        <v>12</v>
      </c>
      <c r="H692" s="1" t="s">
        <v>13</v>
      </c>
      <c r="I692" s="1" t="s">
        <v>13</v>
      </c>
      <c r="J692" s="1" t="s">
        <v>22</v>
      </c>
      <c r="K692" s="1">
        <v>0</v>
      </c>
      <c r="L692" s="1" t="s">
        <v>21</v>
      </c>
      <c r="M692" s="1" t="str">
        <f t="shared" si="10"/>
        <v>Consistent</v>
      </c>
      <c r="N692" s="1" t="str">
        <f>_xlfn.XLOOKUP(H692, risk_score!A:A, risk_score!B:B, 0)</f>
        <v>Low Risk</v>
      </c>
    </row>
    <row r="693" spans="1:14">
      <c r="A693" s="2">
        <v>0.45930555555555558</v>
      </c>
      <c r="B693" s="3">
        <v>44841</v>
      </c>
      <c r="C693" s="1">
        <v>5962619811</v>
      </c>
      <c r="D693" s="1">
        <v>9408792082</v>
      </c>
      <c r="E693" s="1">
        <v>4815.91</v>
      </c>
      <c r="F693" s="1" t="s">
        <v>12</v>
      </c>
      <c r="G693" s="1" t="s">
        <v>12</v>
      </c>
      <c r="H693" s="1" t="s">
        <v>13</v>
      </c>
      <c r="I693" s="1" t="s">
        <v>13</v>
      </c>
      <c r="J693" s="1" t="s">
        <v>14</v>
      </c>
      <c r="K693" s="1">
        <v>0</v>
      </c>
      <c r="L693" s="1" t="s">
        <v>15</v>
      </c>
      <c r="M693" s="1" t="str">
        <f t="shared" si="10"/>
        <v>Consistent</v>
      </c>
      <c r="N693" s="1" t="str">
        <f>_xlfn.XLOOKUP(H693, risk_score!A:A, risk_score!B:B, 0)</f>
        <v>Low Risk</v>
      </c>
    </row>
    <row r="694" spans="1:14">
      <c r="A694" s="2">
        <v>0.45930555555555558</v>
      </c>
      <c r="B694" s="3">
        <v>44841</v>
      </c>
      <c r="C694" s="1">
        <v>2609955485</v>
      </c>
      <c r="D694" s="1">
        <v>2591280855</v>
      </c>
      <c r="E694" s="1">
        <v>5931.36</v>
      </c>
      <c r="F694" s="1" t="s">
        <v>12</v>
      </c>
      <c r="G694" s="1" t="s">
        <v>12</v>
      </c>
      <c r="H694" s="1" t="s">
        <v>13</v>
      </c>
      <c r="I694" s="1" t="s">
        <v>13</v>
      </c>
      <c r="J694" s="1" t="s">
        <v>20</v>
      </c>
      <c r="K694" s="1">
        <v>0</v>
      </c>
      <c r="L694" s="1" t="s">
        <v>38</v>
      </c>
      <c r="M694" s="1" t="str">
        <f t="shared" si="10"/>
        <v>Consistent</v>
      </c>
      <c r="N694" s="1" t="str">
        <f>_xlfn.XLOOKUP(H694, risk_score!A:A, risk_score!B:B, 0)</f>
        <v>Low Risk</v>
      </c>
    </row>
    <row r="695" spans="1:14">
      <c r="A695" s="2">
        <v>0.45930555555555558</v>
      </c>
      <c r="B695" s="3">
        <v>44841</v>
      </c>
      <c r="C695" s="1">
        <v>27721201</v>
      </c>
      <c r="D695" s="1">
        <v>1538331336</v>
      </c>
      <c r="E695" s="1">
        <v>3459.89</v>
      </c>
      <c r="F695" s="1" t="s">
        <v>28</v>
      </c>
      <c r="G695" s="1" t="s">
        <v>12</v>
      </c>
      <c r="H695" s="1" t="s">
        <v>57</v>
      </c>
      <c r="I695" s="1" t="s">
        <v>13</v>
      </c>
      <c r="J695" s="1" t="s">
        <v>18</v>
      </c>
      <c r="K695" s="1">
        <v>0</v>
      </c>
      <c r="L695" s="1" t="s">
        <v>21</v>
      </c>
      <c r="M695" s="1" t="str">
        <f t="shared" si="10"/>
        <v>Potential Layering</v>
      </c>
      <c r="N695" s="1" t="str">
        <f>_xlfn.XLOOKUP(H695, risk_score!A:A, risk_score!B:B, 0)</f>
        <v>High Risk</v>
      </c>
    </row>
    <row r="696" spans="1:14">
      <c r="A696" s="2">
        <v>0.45938657407407407</v>
      </c>
      <c r="B696" s="3">
        <v>44841</v>
      </c>
      <c r="C696" s="1">
        <v>9415324268</v>
      </c>
      <c r="D696" s="1">
        <v>3770534770</v>
      </c>
      <c r="E696" s="1">
        <v>3707.74</v>
      </c>
      <c r="F696" s="1" t="s">
        <v>12</v>
      </c>
      <c r="G696" s="1" t="s">
        <v>12</v>
      </c>
      <c r="H696" s="1" t="s">
        <v>13</v>
      </c>
      <c r="I696" s="1" t="s">
        <v>13</v>
      </c>
      <c r="J696" s="1" t="s">
        <v>20</v>
      </c>
      <c r="K696" s="1">
        <v>0</v>
      </c>
      <c r="L696" s="1" t="s">
        <v>24</v>
      </c>
      <c r="M696" s="1" t="str">
        <f t="shared" si="10"/>
        <v>Consistent</v>
      </c>
      <c r="N696" s="1" t="str">
        <f>_xlfn.XLOOKUP(H696, risk_score!A:A, risk_score!B:B, 0)</f>
        <v>Low Risk</v>
      </c>
    </row>
    <row r="697" spans="1:14">
      <c r="A697" s="2">
        <v>0.45939814814814817</v>
      </c>
      <c r="B697" s="3">
        <v>44841</v>
      </c>
      <c r="C697" s="1">
        <v>9007109501</v>
      </c>
      <c r="D697" s="1">
        <v>9432959290</v>
      </c>
      <c r="E697" s="1">
        <v>2049.02</v>
      </c>
      <c r="F697" s="1" t="s">
        <v>12</v>
      </c>
      <c r="G697" s="1" t="s">
        <v>12</v>
      </c>
      <c r="H697" s="1" t="s">
        <v>13</v>
      </c>
      <c r="I697" s="1" t="s">
        <v>13</v>
      </c>
      <c r="J697" s="1" t="s">
        <v>27</v>
      </c>
      <c r="K697" s="1">
        <v>0</v>
      </c>
      <c r="L697" s="1" t="s">
        <v>21</v>
      </c>
      <c r="M697" s="1" t="str">
        <f t="shared" si="10"/>
        <v>Consistent</v>
      </c>
      <c r="N697" s="1" t="str">
        <f>_xlfn.XLOOKUP(H697, risk_score!A:A, risk_score!B:B, 0)</f>
        <v>Low Risk</v>
      </c>
    </row>
    <row r="698" spans="1:14">
      <c r="A698" s="2">
        <v>0.45939814814814817</v>
      </c>
      <c r="B698" s="3">
        <v>44841</v>
      </c>
      <c r="C698" s="1">
        <v>5811321937</v>
      </c>
      <c r="D698" s="1">
        <v>2489458907</v>
      </c>
      <c r="E698" s="1">
        <v>4536.47</v>
      </c>
      <c r="F698" s="1" t="s">
        <v>12</v>
      </c>
      <c r="G698" s="1" t="s">
        <v>12</v>
      </c>
      <c r="H698" s="1" t="s">
        <v>13</v>
      </c>
      <c r="I698" s="1" t="s">
        <v>13</v>
      </c>
      <c r="J698" s="1" t="s">
        <v>27</v>
      </c>
      <c r="K698" s="1">
        <v>0</v>
      </c>
      <c r="L698" s="1" t="s">
        <v>21</v>
      </c>
      <c r="M698" s="1" t="str">
        <f t="shared" si="10"/>
        <v>Consistent</v>
      </c>
      <c r="N698" s="1" t="str">
        <f>_xlfn.XLOOKUP(H698, risk_score!A:A, risk_score!B:B, 0)</f>
        <v>Low Risk</v>
      </c>
    </row>
    <row r="699" spans="1:14">
      <c r="A699" s="2">
        <v>0.45939814814814817</v>
      </c>
      <c r="B699" s="3">
        <v>44841</v>
      </c>
      <c r="C699" s="1">
        <v>2797271466</v>
      </c>
      <c r="D699" s="1">
        <v>4528663768</v>
      </c>
      <c r="E699" s="1">
        <v>7488.6</v>
      </c>
      <c r="F699" s="1" t="s">
        <v>44</v>
      </c>
      <c r="G699" s="1" t="s">
        <v>12</v>
      </c>
      <c r="H699" s="1" t="s">
        <v>13</v>
      </c>
      <c r="I699" s="1" t="s">
        <v>13</v>
      </c>
      <c r="J699" s="1" t="s">
        <v>22</v>
      </c>
      <c r="K699" s="1">
        <v>0</v>
      </c>
      <c r="L699" s="1" t="s">
        <v>19</v>
      </c>
      <c r="M699" s="1" t="str">
        <f t="shared" si="10"/>
        <v>Potential Layering</v>
      </c>
      <c r="N699" s="1" t="str">
        <f>_xlfn.XLOOKUP(H699, risk_score!A:A, risk_score!B:B, 0)</f>
        <v>Low Risk</v>
      </c>
    </row>
    <row r="700" spans="1:14">
      <c r="A700" s="2">
        <v>0.45940972222222221</v>
      </c>
      <c r="B700" s="3">
        <v>44841</v>
      </c>
      <c r="C700" s="1">
        <v>9257385517</v>
      </c>
      <c r="D700" s="1">
        <v>6647888917</v>
      </c>
      <c r="E700" s="1">
        <v>2102.15</v>
      </c>
      <c r="F700" s="1" t="s">
        <v>12</v>
      </c>
      <c r="G700" s="1" t="s">
        <v>12</v>
      </c>
      <c r="H700" s="1" t="s">
        <v>13</v>
      </c>
      <c r="I700" s="1" t="s">
        <v>13</v>
      </c>
      <c r="J700" s="1" t="s">
        <v>25</v>
      </c>
      <c r="K700" s="1">
        <v>0</v>
      </c>
      <c r="L700" s="1" t="s">
        <v>24</v>
      </c>
      <c r="M700" s="1" t="str">
        <f t="shared" si="10"/>
        <v>Consistent</v>
      </c>
      <c r="N700" s="1" t="str">
        <f>_xlfn.XLOOKUP(H700, risk_score!A:A, risk_score!B:B, 0)</f>
        <v>Low Risk</v>
      </c>
    </row>
    <row r="701" spans="1:14">
      <c r="A701" s="2">
        <v>0.45947916666666666</v>
      </c>
      <c r="B701" s="3">
        <v>44841</v>
      </c>
      <c r="C701" s="1">
        <v>2797271466</v>
      </c>
      <c r="D701" s="1">
        <v>8954944757</v>
      </c>
      <c r="E701" s="1">
        <v>7586.68</v>
      </c>
      <c r="F701" s="1" t="s">
        <v>12</v>
      </c>
      <c r="G701" s="1" t="s">
        <v>12</v>
      </c>
      <c r="H701" s="1" t="s">
        <v>13</v>
      </c>
      <c r="I701" s="1" t="s">
        <v>13</v>
      </c>
      <c r="J701" s="1" t="s">
        <v>25</v>
      </c>
      <c r="K701" s="1">
        <v>0</v>
      </c>
      <c r="L701" s="1" t="s">
        <v>19</v>
      </c>
      <c r="M701" s="1" t="str">
        <f t="shared" si="10"/>
        <v>Consistent</v>
      </c>
      <c r="N701" s="1" t="str">
        <f>_xlfn.XLOOKUP(H701, risk_score!A:A, risk_score!B:B, 0)</f>
        <v>Low Risk</v>
      </c>
    </row>
    <row r="702" spans="1:14">
      <c r="A702" s="2">
        <v>0.45950231481481479</v>
      </c>
      <c r="B702" s="3">
        <v>44841</v>
      </c>
      <c r="C702" s="1">
        <v>5354297720</v>
      </c>
      <c r="D702" s="1">
        <v>5628674969</v>
      </c>
      <c r="E702" s="1">
        <v>8519.1</v>
      </c>
      <c r="F702" s="1" t="s">
        <v>34</v>
      </c>
      <c r="G702" s="1" t="s">
        <v>12</v>
      </c>
      <c r="H702" s="1" t="s">
        <v>35</v>
      </c>
      <c r="I702" s="1" t="s">
        <v>13</v>
      </c>
      <c r="J702" s="1" t="s">
        <v>18</v>
      </c>
      <c r="K702" s="1">
        <v>0</v>
      </c>
      <c r="L702" s="1" t="s">
        <v>23</v>
      </c>
      <c r="M702" s="1" t="str">
        <f t="shared" si="10"/>
        <v>Potential Layering</v>
      </c>
      <c r="N702" s="1" t="str">
        <f>_xlfn.XLOOKUP(H702, risk_score!A:A, risk_score!B:B, 0)</f>
        <v>High Risk</v>
      </c>
    </row>
    <row r="703" spans="1:14">
      <c r="A703" s="2">
        <v>0.45953703703703702</v>
      </c>
      <c r="B703" s="3">
        <v>44841</v>
      </c>
      <c r="C703" s="1">
        <v>9200802467</v>
      </c>
      <c r="D703" s="1">
        <v>1377603863</v>
      </c>
      <c r="E703" s="1">
        <v>5368.58</v>
      </c>
      <c r="F703" s="1" t="s">
        <v>12</v>
      </c>
      <c r="G703" s="1" t="s">
        <v>12</v>
      </c>
      <c r="H703" s="1" t="s">
        <v>13</v>
      </c>
      <c r="I703" s="1" t="s">
        <v>13</v>
      </c>
      <c r="J703" s="1" t="s">
        <v>22</v>
      </c>
      <c r="K703" s="1">
        <v>0</v>
      </c>
      <c r="L703" s="1" t="s">
        <v>23</v>
      </c>
      <c r="M703" s="1" t="str">
        <f t="shared" si="10"/>
        <v>Consistent</v>
      </c>
      <c r="N703" s="1" t="str">
        <f>_xlfn.XLOOKUP(H703, risk_score!A:A, risk_score!B:B, 0)</f>
        <v>Low Risk</v>
      </c>
    </row>
    <row r="704" spans="1:14">
      <c r="A704" s="2">
        <v>0.45956018518518521</v>
      </c>
      <c r="B704" s="3">
        <v>44841</v>
      </c>
      <c r="C704" s="1">
        <v>9734083970</v>
      </c>
      <c r="D704" s="1">
        <v>7577540230</v>
      </c>
      <c r="E704" s="1">
        <v>7314.98</v>
      </c>
      <c r="F704" s="1" t="s">
        <v>12</v>
      </c>
      <c r="G704" s="1" t="s">
        <v>12</v>
      </c>
      <c r="H704" s="1" t="s">
        <v>13</v>
      </c>
      <c r="I704" s="1" t="s">
        <v>13</v>
      </c>
      <c r="J704" s="1" t="s">
        <v>20</v>
      </c>
      <c r="K704" s="1">
        <v>0</v>
      </c>
      <c r="L704" s="1" t="s">
        <v>19</v>
      </c>
      <c r="M704" s="1" t="str">
        <f t="shared" si="10"/>
        <v>Consistent</v>
      </c>
      <c r="N704" s="1" t="str">
        <f>_xlfn.XLOOKUP(H704, risk_score!A:A, risk_score!B:B, 0)</f>
        <v>Low Risk</v>
      </c>
    </row>
    <row r="705" spans="1:14">
      <c r="A705" s="2">
        <v>0.45957175925925925</v>
      </c>
      <c r="B705" s="3">
        <v>44841</v>
      </c>
      <c r="C705" s="1">
        <v>9003006754</v>
      </c>
      <c r="D705" s="1">
        <v>8572426655</v>
      </c>
      <c r="E705" s="1">
        <v>261.89</v>
      </c>
      <c r="F705" s="1" t="s">
        <v>12</v>
      </c>
      <c r="G705" s="1" t="s">
        <v>12</v>
      </c>
      <c r="H705" s="1" t="s">
        <v>13</v>
      </c>
      <c r="I705" s="1" t="s">
        <v>13</v>
      </c>
      <c r="J705" s="1" t="s">
        <v>22</v>
      </c>
      <c r="K705" s="1">
        <v>0</v>
      </c>
      <c r="L705" s="1" t="s">
        <v>21</v>
      </c>
      <c r="M705" s="1" t="str">
        <f t="shared" si="10"/>
        <v>Consistent</v>
      </c>
      <c r="N705" s="1" t="str">
        <f>_xlfn.XLOOKUP(H705, risk_score!A:A, risk_score!B:B, 0)</f>
        <v>Low Risk</v>
      </c>
    </row>
    <row r="706" spans="1:14">
      <c r="A706" s="2">
        <v>0.45958333333333334</v>
      </c>
      <c r="B706" s="3">
        <v>44841</v>
      </c>
      <c r="C706" s="1">
        <v>1988222610</v>
      </c>
      <c r="D706" s="1">
        <v>7209654401</v>
      </c>
      <c r="E706" s="1">
        <v>424.16</v>
      </c>
      <c r="F706" s="1" t="s">
        <v>12</v>
      </c>
      <c r="G706" s="1" t="s">
        <v>12</v>
      </c>
      <c r="H706" s="1" t="s">
        <v>13</v>
      </c>
      <c r="I706" s="1" t="s">
        <v>13</v>
      </c>
      <c r="J706" s="1" t="s">
        <v>22</v>
      </c>
      <c r="K706" s="1">
        <v>0</v>
      </c>
      <c r="L706" s="1" t="s">
        <v>21</v>
      </c>
      <c r="M706" s="1" t="str">
        <f t="shared" si="10"/>
        <v>Consistent</v>
      </c>
      <c r="N706" s="1" t="str">
        <f>_xlfn.XLOOKUP(H706, risk_score!A:A, risk_score!B:B, 0)</f>
        <v>Low Risk</v>
      </c>
    </row>
    <row r="707" spans="1:14">
      <c r="A707" s="2">
        <v>0.45960648148148148</v>
      </c>
      <c r="B707" s="3">
        <v>44841</v>
      </c>
      <c r="C707" s="1">
        <v>4480073652</v>
      </c>
      <c r="D707" s="1">
        <v>1086503953</v>
      </c>
      <c r="E707" s="1">
        <v>2472.73</v>
      </c>
      <c r="F707" s="1" t="s">
        <v>12</v>
      </c>
      <c r="G707" s="1" t="s">
        <v>12</v>
      </c>
      <c r="H707" s="1" t="s">
        <v>13</v>
      </c>
      <c r="I707" s="1" t="s">
        <v>13</v>
      </c>
      <c r="J707" s="1" t="s">
        <v>20</v>
      </c>
      <c r="K707" s="1">
        <v>0</v>
      </c>
      <c r="L707" s="1" t="s">
        <v>21</v>
      </c>
      <c r="M707" s="1" t="str">
        <f t="shared" ref="M707:M770" si="11">IF(F707=G707, "Consistent", "Potential Layering")</f>
        <v>Consistent</v>
      </c>
      <c r="N707" s="1" t="str">
        <f>_xlfn.XLOOKUP(H707, risk_score!A:A, risk_score!B:B, 0)</f>
        <v>Low Risk</v>
      </c>
    </row>
    <row r="708" spans="1:14">
      <c r="A708" s="2">
        <v>0.45961805555555557</v>
      </c>
      <c r="B708" s="3">
        <v>44841</v>
      </c>
      <c r="C708" s="1">
        <v>9396153063</v>
      </c>
      <c r="D708" s="1">
        <v>7945213557</v>
      </c>
      <c r="E708" s="1">
        <v>407.99</v>
      </c>
      <c r="F708" s="1" t="s">
        <v>12</v>
      </c>
      <c r="G708" s="1" t="s">
        <v>12</v>
      </c>
      <c r="H708" s="1" t="s">
        <v>13</v>
      </c>
      <c r="I708" s="1" t="s">
        <v>13</v>
      </c>
      <c r="J708" s="1" t="s">
        <v>22</v>
      </c>
      <c r="K708" s="1">
        <v>0</v>
      </c>
      <c r="L708" s="1" t="s">
        <v>21</v>
      </c>
      <c r="M708" s="1" t="str">
        <f t="shared" si="11"/>
        <v>Consistent</v>
      </c>
      <c r="N708" s="1" t="str">
        <f>_xlfn.XLOOKUP(H708, risk_score!A:A, risk_score!B:B, 0)</f>
        <v>Low Risk</v>
      </c>
    </row>
    <row r="709" spans="1:14">
      <c r="A709" s="2">
        <v>0.45962962962962961</v>
      </c>
      <c r="B709" s="3">
        <v>44841</v>
      </c>
      <c r="C709" s="1">
        <v>7758268667</v>
      </c>
      <c r="D709" s="1">
        <v>4048410232</v>
      </c>
      <c r="E709" s="1">
        <v>17913.88</v>
      </c>
      <c r="F709" s="1" t="s">
        <v>12</v>
      </c>
      <c r="G709" s="1" t="s">
        <v>12</v>
      </c>
      <c r="H709" s="1" t="s">
        <v>13</v>
      </c>
      <c r="I709" s="1" t="s">
        <v>13</v>
      </c>
      <c r="J709" s="1" t="s">
        <v>27</v>
      </c>
      <c r="K709" s="1">
        <v>0</v>
      </c>
      <c r="L709" s="1" t="s">
        <v>19</v>
      </c>
      <c r="M709" s="1" t="str">
        <f t="shared" si="11"/>
        <v>Consistent</v>
      </c>
      <c r="N709" s="1" t="str">
        <f>_xlfn.XLOOKUP(H709, risk_score!A:A, risk_score!B:B, 0)</f>
        <v>Low Risk</v>
      </c>
    </row>
    <row r="710" spans="1:14">
      <c r="A710" s="2">
        <v>0.45966435185185184</v>
      </c>
      <c r="B710" s="3">
        <v>44841</v>
      </c>
      <c r="C710" s="1">
        <v>2749285893</v>
      </c>
      <c r="D710" s="1">
        <v>1880112406</v>
      </c>
      <c r="E710" s="1">
        <v>475.54</v>
      </c>
      <c r="F710" s="1" t="s">
        <v>12</v>
      </c>
      <c r="G710" s="1" t="s">
        <v>28</v>
      </c>
      <c r="H710" s="1" t="s">
        <v>13</v>
      </c>
      <c r="I710" s="1" t="s">
        <v>13</v>
      </c>
      <c r="J710" s="1" t="s">
        <v>25</v>
      </c>
      <c r="K710" s="1">
        <v>0</v>
      </c>
      <c r="L710" s="1" t="s">
        <v>21</v>
      </c>
      <c r="M710" s="1" t="str">
        <f t="shared" si="11"/>
        <v>Potential Layering</v>
      </c>
      <c r="N710" s="1" t="str">
        <f>_xlfn.XLOOKUP(H710, risk_score!A:A, risk_score!B:B, 0)</f>
        <v>Low Risk</v>
      </c>
    </row>
    <row r="711" spans="1:14">
      <c r="A711" s="2">
        <v>0.45968750000000003</v>
      </c>
      <c r="B711" s="3">
        <v>44841</v>
      </c>
      <c r="C711" s="1">
        <v>6494524357</v>
      </c>
      <c r="D711" s="1">
        <v>8346024022</v>
      </c>
      <c r="E711" s="1">
        <v>3190.05</v>
      </c>
      <c r="F711" s="1" t="s">
        <v>12</v>
      </c>
      <c r="G711" s="1" t="s">
        <v>12</v>
      </c>
      <c r="H711" s="1" t="s">
        <v>13</v>
      </c>
      <c r="I711" s="1" t="s">
        <v>13</v>
      </c>
      <c r="J711" s="1" t="s">
        <v>25</v>
      </c>
      <c r="K711" s="1">
        <v>0</v>
      </c>
      <c r="L711" s="1" t="s">
        <v>21</v>
      </c>
      <c r="M711" s="1" t="str">
        <f t="shared" si="11"/>
        <v>Consistent</v>
      </c>
      <c r="N711" s="1" t="str">
        <f>_xlfn.XLOOKUP(H711, risk_score!A:A, risk_score!B:B, 0)</f>
        <v>Low Risk</v>
      </c>
    </row>
    <row r="712" spans="1:14">
      <c r="A712" s="2">
        <v>0.45969907407407407</v>
      </c>
      <c r="B712" s="3">
        <v>44841</v>
      </c>
      <c r="C712" s="1">
        <v>544871928</v>
      </c>
      <c r="D712" s="1">
        <v>3482203845</v>
      </c>
      <c r="E712" s="1">
        <v>2220.5100000000002</v>
      </c>
      <c r="F712" s="1" t="s">
        <v>12</v>
      </c>
      <c r="G712" s="1" t="s">
        <v>12</v>
      </c>
      <c r="H712" s="1" t="s">
        <v>13</v>
      </c>
      <c r="I712" s="1" t="s">
        <v>13</v>
      </c>
      <c r="J712" s="1" t="s">
        <v>25</v>
      </c>
      <c r="K712" s="1">
        <v>0</v>
      </c>
      <c r="L712" s="1" t="s">
        <v>21</v>
      </c>
      <c r="M712" s="1" t="str">
        <f t="shared" si="11"/>
        <v>Consistent</v>
      </c>
      <c r="N712" s="1" t="str">
        <f>_xlfn.XLOOKUP(H712, risk_score!A:A, risk_score!B:B, 0)</f>
        <v>Low Risk</v>
      </c>
    </row>
    <row r="713" spans="1:14">
      <c r="A713" s="2">
        <v>0.45971064814814816</v>
      </c>
      <c r="B713" s="3">
        <v>44841</v>
      </c>
      <c r="C713" s="1">
        <v>4477003260</v>
      </c>
      <c r="D713" s="1">
        <v>2401708948</v>
      </c>
      <c r="E713" s="1">
        <v>20430.29</v>
      </c>
      <c r="F713" s="1" t="s">
        <v>12</v>
      </c>
      <c r="G713" s="1" t="s">
        <v>12</v>
      </c>
      <c r="H713" s="1" t="s">
        <v>13</v>
      </c>
      <c r="I713" s="1" t="s">
        <v>13</v>
      </c>
      <c r="J713" s="1" t="s">
        <v>25</v>
      </c>
      <c r="K713" s="1">
        <v>0</v>
      </c>
      <c r="L713" s="1" t="s">
        <v>21</v>
      </c>
      <c r="M713" s="1" t="str">
        <f t="shared" si="11"/>
        <v>Consistent</v>
      </c>
      <c r="N713" s="1" t="str">
        <f>_xlfn.XLOOKUP(H713, risk_score!A:A, risk_score!B:B, 0)</f>
        <v>Low Risk</v>
      </c>
    </row>
    <row r="714" spans="1:14">
      <c r="A714" s="2">
        <v>0.45973379629629629</v>
      </c>
      <c r="B714" s="3">
        <v>44841</v>
      </c>
      <c r="C714" s="1">
        <v>2514923246</v>
      </c>
      <c r="D714" s="1">
        <v>6781239823</v>
      </c>
      <c r="E714" s="1">
        <v>15800.42</v>
      </c>
      <c r="F714" s="1" t="s">
        <v>12</v>
      </c>
      <c r="G714" s="1" t="s">
        <v>12</v>
      </c>
      <c r="H714" s="1" t="s">
        <v>13</v>
      </c>
      <c r="I714" s="1" t="s">
        <v>13</v>
      </c>
      <c r="J714" s="1" t="s">
        <v>27</v>
      </c>
      <c r="K714" s="1">
        <v>0</v>
      </c>
      <c r="L714" s="1" t="s">
        <v>24</v>
      </c>
      <c r="M714" s="1" t="str">
        <f t="shared" si="11"/>
        <v>Consistent</v>
      </c>
      <c r="N714" s="1" t="str">
        <f>_xlfn.XLOOKUP(H714, risk_score!A:A, risk_score!B:B, 0)</f>
        <v>Low Risk</v>
      </c>
    </row>
    <row r="715" spans="1:14">
      <c r="A715" s="2">
        <v>0.45974537037037039</v>
      </c>
      <c r="B715" s="3">
        <v>44841</v>
      </c>
      <c r="C715" s="1">
        <v>1796432131</v>
      </c>
      <c r="D715" s="1">
        <v>3299165287</v>
      </c>
      <c r="E715" s="1">
        <v>1574.93</v>
      </c>
      <c r="F715" s="1" t="s">
        <v>12</v>
      </c>
      <c r="G715" s="1" t="s">
        <v>12</v>
      </c>
      <c r="H715" s="1" t="s">
        <v>13</v>
      </c>
      <c r="I715" s="1" t="s">
        <v>13</v>
      </c>
      <c r="J715" s="1" t="s">
        <v>27</v>
      </c>
      <c r="K715" s="1">
        <v>0</v>
      </c>
      <c r="L715" s="1" t="s">
        <v>21</v>
      </c>
      <c r="M715" s="1" t="str">
        <f t="shared" si="11"/>
        <v>Consistent</v>
      </c>
      <c r="N715" s="1" t="str">
        <f>_xlfn.XLOOKUP(H715, risk_score!A:A, risk_score!B:B, 0)</f>
        <v>Low Risk</v>
      </c>
    </row>
    <row r="716" spans="1:14">
      <c r="A716" s="2">
        <v>0.45976851851851852</v>
      </c>
      <c r="B716" s="3">
        <v>44841</v>
      </c>
      <c r="C716" s="1">
        <v>5801374323</v>
      </c>
      <c r="D716" s="1">
        <v>5268823148</v>
      </c>
      <c r="E716" s="1">
        <v>12085.8</v>
      </c>
      <c r="F716" s="1" t="s">
        <v>12</v>
      </c>
      <c r="G716" s="1" t="s">
        <v>12</v>
      </c>
      <c r="H716" s="1" t="s">
        <v>13</v>
      </c>
      <c r="I716" s="1" t="s">
        <v>13</v>
      </c>
      <c r="J716" s="1" t="s">
        <v>25</v>
      </c>
      <c r="K716" s="1">
        <v>0</v>
      </c>
      <c r="L716" s="1" t="s">
        <v>21</v>
      </c>
      <c r="M716" s="1" t="str">
        <f t="shared" si="11"/>
        <v>Consistent</v>
      </c>
      <c r="N716" s="1" t="str">
        <f>_xlfn.XLOOKUP(H716, risk_score!A:A, risk_score!B:B, 0)</f>
        <v>Low Risk</v>
      </c>
    </row>
    <row r="717" spans="1:14">
      <c r="A717" s="2">
        <v>0.45986111111111111</v>
      </c>
      <c r="B717" s="3">
        <v>44841</v>
      </c>
      <c r="C717" s="1">
        <v>7882533260</v>
      </c>
      <c r="D717" s="1">
        <v>2279689694</v>
      </c>
      <c r="E717" s="1">
        <v>8164.87</v>
      </c>
      <c r="F717" s="1" t="s">
        <v>12</v>
      </c>
      <c r="G717" s="1" t="s">
        <v>12</v>
      </c>
      <c r="H717" s="1" t="s">
        <v>13</v>
      </c>
      <c r="I717" s="1" t="s">
        <v>13</v>
      </c>
      <c r="J717" s="1" t="s">
        <v>22</v>
      </c>
      <c r="K717" s="1">
        <v>0</v>
      </c>
      <c r="L717" s="1" t="s">
        <v>21</v>
      </c>
      <c r="M717" s="1" t="str">
        <f t="shared" si="11"/>
        <v>Consistent</v>
      </c>
      <c r="N717" s="1" t="str">
        <f>_xlfn.XLOOKUP(H717, risk_score!A:A, risk_score!B:B, 0)</f>
        <v>Low Risk</v>
      </c>
    </row>
    <row r="718" spans="1:14">
      <c r="A718" s="2">
        <v>0.45989583333333334</v>
      </c>
      <c r="B718" s="3">
        <v>44841</v>
      </c>
      <c r="C718" s="1">
        <v>5762331797</v>
      </c>
      <c r="D718" s="1">
        <v>2289629398</v>
      </c>
      <c r="E718" s="1">
        <v>3735.21</v>
      </c>
      <c r="F718" s="1" t="s">
        <v>12</v>
      </c>
      <c r="G718" s="1" t="s">
        <v>12</v>
      </c>
      <c r="H718" s="1" t="s">
        <v>13</v>
      </c>
      <c r="I718" s="1" t="s">
        <v>13</v>
      </c>
      <c r="J718" s="1" t="s">
        <v>25</v>
      </c>
      <c r="K718" s="1">
        <v>0</v>
      </c>
      <c r="L718" s="1" t="s">
        <v>21</v>
      </c>
      <c r="M718" s="1" t="str">
        <f t="shared" si="11"/>
        <v>Consistent</v>
      </c>
      <c r="N718" s="1" t="str">
        <f>_xlfn.XLOOKUP(H718, risk_score!A:A, risk_score!B:B, 0)</f>
        <v>Low Risk</v>
      </c>
    </row>
    <row r="719" spans="1:14">
      <c r="A719" s="2">
        <v>0.45991898148148147</v>
      </c>
      <c r="B719" s="3">
        <v>44841</v>
      </c>
      <c r="C719" s="1">
        <v>2118817860</v>
      </c>
      <c r="D719" s="1">
        <v>6070907824</v>
      </c>
      <c r="E719" s="1">
        <v>2081.4699999999998</v>
      </c>
      <c r="F719" s="1" t="s">
        <v>12</v>
      </c>
      <c r="G719" s="1" t="s">
        <v>12</v>
      </c>
      <c r="H719" s="1" t="s">
        <v>13</v>
      </c>
      <c r="I719" s="1" t="s">
        <v>13</v>
      </c>
      <c r="J719" s="1" t="s">
        <v>22</v>
      </c>
      <c r="K719" s="1">
        <v>0</v>
      </c>
      <c r="L719" s="1" t="s">
        <v>21</v>
      </c>
      <c r="M719" s="1" t="str">
        <f t="shared" si="11"/>
        <v>Consistent</v>
      </c>
      <c r="N719" s="1" t="str">
        <f>_xlfn.XLOOKUP(H719, risk_score!A:A, risk_score!B:B, 0)</f>
        <v>Low Risk</v>
      </c>
    </row>
    <row r="720" spans="1:14">
      <c r="A720" s="2">
        <v>0.4599537037037037</v>
      </c>
      <c r="B720" s="3">
        <v>44841</v>
      </c>
      <c r="C720" s="1">
        <v>8389148416</v>
      </c>
      <c r="D720" s="1">
        <v>1363901484</v>
      </c>
      <c r="E720" s="1">
        <v>10169.459999999999</v>
      </c>
      <c r="F720" s="1" t="s">
        <v>12</v>
      </c>
      <c r="G720" s="1" t="s">
        <v>12</v>
      </c>
      <c r="H720" s="1" t="s">
        <v>13</v>
      </c>
      <c r="I720" s="1" t="s">
        <v>13</v>
      </c>
      <c r="J720" s="1" t="s">
        <v>25</v>
      </c>
      <c r="K720" s="1">
        <v>0</v>
      </c>
      <c r="L720" s="1" t="s">
        <v>19</v>
      </c>
      <c r="M720" s="1" t="str">
        <f t="shared" si="11"/>
        <v>Consistent</v>
      </c>
      <c r="N720" s="1" t="str">
        <f>_xlfn.XLOOKUP(H720, risk_score!A:A, risk_score!B:B, 0)</f>
        <v>Low Risk</v>
      </c>
    </row>
    <row r="721" spans="1:14">
      <c r="A721" s="2">
        <v>0.45997685185185183</v>
      </c>
      <c r="B721" s="3">
        <v>44841</v>
      </c>
      <c r="C721" s="1">
        <v>6086421020</v>
      </c>
      <c r="D721" s="1">
        <v>7011505686</v>
      </c>
      <c r="E721" s="1">
        <v>11280.89</v>
      </c>
      <c r="F721" s="1" t="s">
        <v>16</v>
      </c>
      <c r="G721" s="1" t="s">
        <v>29</v>
      </c>
      <c r="H721" s="1" t="s">
        <v>13</v>
      </c>
      <c r="I721" s="1" t="s">
        <v>48</v>
      </c>
      <c r="J721" s="1" t="s">
        <v>18</v>
      </c>
      <c r="K721" s="1">
        <v>0</v>
      </c>
      <c r="L721" s="1" t="s">
        <v>19</v>
      </c>
      <c r="M721" s="1" t="str">
        <f t="shared" si="11"/>
        <v>Potential Layering</v>
      </c>
      <c r="N721" s="1" t="str">
        <f>_xlfn.XLOOKUP(H721, risk_score!A:A, risk_score!B:B, 0)</f>
        <v>Low Risk</v>
      </c>
    </row>
    <row r="722" spans="1:14">
      <c r="A722" s="2">
        <v>0.45997685185185183</v>
      </c>
      <c r="B722" s="3">
        <v>44841</v>
      </c>
      <c r="C722" s="1">
        <v>374656574</v>
      </c>
      <c r="D722" s="1">
        <v>2394070720</v>
      </c>
      <c r="E722" s="1">
        <v>3535.97</v>
      </c>
      <c r="F722" s="1" t="s">
        <v>12</v>
      </c>
      <c r="G722" s="1" t="s">
        <v>12</v>
      </c>
      <c r="H722" s="1" t="s">
        <v>13</v>
      </c>
      <c r="I722" s="1" t="s">
        <v>13</v>
      </c>
      <c r="J722" s="1" t="s">
        <v>20</v>
      </c>
      <c r="K722" s="1">
        <v>0</v>
      </c>
      <c r="L722" s="1" t="s">
        <v>21</v>
      </c>
      <c r="M722" s="1" t="str">
        <f t="shared" si="11"/>
        <v>Consistent</v>
      </c>
      <c r="N722" s="1" t="str">
        <f>_xlfn.XLOOKUP(H722, risk_score!A:A, risk_score!B:B, 0)</f>
        <v>Low Risk</v>
      </c>
    </row>
    <row r="723" spans="1:14">
      <c r="A723" s="2">
        <v>0.45998842592592593</v>
      </c>
      <c r="B723" s="3">
        <v>44841</v>
      </c>
      <c r="C723" s="1">
        <v>9534729015</v>
      </c>
      <c r="D723" s="1">
        <v>4787209426</v>
      </c>
      <c r="E723" s="1">
        <v>11919.75</v>
      </c>
      <c r="F723" s="1" t="s">
        <v>12</v>
      </c>
      <c r="G723" s="1" t="s">
        <v>12</v>
      </c>
      <c r="H723" s="1" t="s">
        <v>13</v>
      </c>
      <c r="I723" s="1" t="s">
        <v>13</v>
      </c>
      <c r="J723" s="1" t="s">
        <v>20</v>
      </c>
      <c r="K723" s="1">
        <v>0</v>
      </c>
      <c r="L723" s="1" t="s">
        <v>19</v>
      </c>
      <c r="M723" s="1" t="str">
        <f t="shared" si="11"/>
        <v>Consistent</v>
      </c>
      <c r="N723" s="1" t="str">
        <f>_xlfn.XLOOKUP(H723, risk_score!A:A, risk_score!B:B, 0)</f>
        <v>Low Risk</v>
      </c>
    </row>
    <row r="724" spans="1:14">
      <c r="A724" s="2">
        <v>0.46001157407407406</v>
      </c>
      <c r="B724" s="3">
        <v>44841</v>
      </c>
      <c r="C724" s="1">
        <v>1915450576</v>
      </c>
      <c r="D724" s="1">
        <v>3772874052</v>
      </c>
      <c r="E724" s="1">
        <v>11045.68</v>
      </c>
      <c r="F724" s="1" t="s">
        <v>12</v>
      </c>
      <c r="G724" s="1" t="s">
        <v>42</v>
      </c>
      <c r="H724" s="1" t="s">
        <v>13</v>
      </c>
      <c r="I724" s="1" t="s">
        <v>43</v>
      </c>
      <c r="J724" s="1" t="s">
        <v>18</v>
      </c>
      <c r="K724" s="1">
        <v>0</v>
      </c>
      <c r="L724" s="1" t="s">
        <v>19</v>
      </c>
      <c r="M724" s="1" t="str">
        <f t="shared" si="11"/>
        <v>Potential Layering</v>
      </c>
      <c r="N724" s="1" t="str">
        <f>_xlfn.XLOOKUP(H724, risk_score!A:A, risk_score!B:B, 0)</f>
        <v>Low Risk</v>
      </c>
    </row>
    <row r="725" spans="1:14">
      <c r="A725" s="2">
        <v>0.46001157407407406</v>
      </c>
      <c r="B725" s="3">
        <v>44841</v>
      </c>
      <c r="C725" s="1">
        <v>3293364553</v>
      </c>
      <c r="D725" s="1">
        <v>1324602523</v>
      </c>
      <c r="E725" s="1">
        <v>97.16</v>
      </c>
      <c r="F725" s="1" t="s">
        <v>12</v>
      </c>
      <c r="G725" s="1" t="s">
        <v>12</v>
      </c>
      <c r="H725" s="1" t="s">
        <v>13</v>
      </c>
      <c r="I725" s="1" t="s">
        <v>13</v>
      </c>
      <c r="J725" s="1" t="s">
        <v>22</v>
      </c>
      <c r="K725" s="1">
        <v>0</v>
      </c>
      <c r="L725" s="1" t="s">
        <v>21</v>
      </c>
      <c r="M725" s="1" t="str">
        <f t="shared" si="11"/>
        <v>Consistent</v>
      </c>
      <c r="N725" s="1" t="str">
        <f>_xlfn.XLOOKUP(H725, risk_score!A:A, risk_score!B:B, 0)</f>
        <v>Low Risk</v>
      </c>
    </row>
    <row r="726" spans="1:14">
      <c r="A726" s="2">
        <v>0.46004629629629629</v>
      </c>
      <c r="B726" s="3">
        <v>44841</v>
      </c>
      <c r="C726" s="1">
        <v>1224339032</v>
      </c>
      <c r="D726" s="1">
        <v>6589505879</v>
      </c>
      <c r="E726" s="1">
        <v>2652.61</v>
      </c>
      <c r="F726" s="1" t="s">
        <v>12</v>
      </c>
      <c r="G726" s="1" t="s">
        <v>12</v>
      </c>
      <c r="H726" s="1" t="s">
        <v>13</v>
      </c>
      <c r="I726" s="1" t="s">
        <v>13</v>
      </c>
      <c r="J726" s="1" t="s">
        <v>14</v>
      </c>
      <c r="K726" s="1">
        <v>0</v>
      </c>
      <c r="L726" s="1" t="s">
        <v>15</v>
      </c>
      <c r="M726" s="1" t="str">
        <f t="shared" si="11"/>
        <v>Consistent</v>
      </c>
      <c r="N726" s="1" t="str">
        <f>_xlfn.XLOOKUP(H726, risk_score!A:A, risk_score!B:B, 0)</f>
        <v>Low Risk</v>
      </c>
    </row>
    <row r="727" spans="1:14">
      <c r="A727" s="2">
        <v>0.46006944444444442</v>
      </c>
      <c r="B727" s="3">
        <v>44841</v>
      </c>
      <c r="C727" s="1">
        <v>5021785800</v>
      </c>
      <c r="D727" s="1">
        <v>4808988417</v>
      </c>
      <c r="E727" s="1">
        <v>9293.98</v>
      </c>
      <c r="F727" s="1" t="s">
        <v>12</v>
      </c>
      <c r="G727" s="1" t="s">
        <v>12</v>
      </c>
      <c r="H727" s="1" t="s">
        <v>13</v>
      </c>
      <c r="I727" s="1" t="s">
        <v>13</v>
      </c>
      <c r="J727" s="1" t="s">
        <v>22</v>
      </c>
      <c r="K727" s="1">
        <v>0</v>
      </c>
      <c r="L727" s="1" t="s">
        <v>19</v>
      </c>
      <c r="M727" s="1" t="str">
        <f t="shared" si="11"/>
        <v>Consistent</v>
      </c>
      <c r="N727" s="1" t="str">
        <f>_xlfn.XLOOKUP(H727, risk_score!A:A, risk_score!B:B, 0)</f>
        <v>Low Risk</v>
      </c>
    </row>
    <row r="728" spans="1:14">
      <c r="A728" s="2">
        <v>0.46012731481481484</v>
      </c>
      <c r="B728" s="3">
        <v>44841</v>
      </c>
      <c r="C728" s="1">
        <v>7179266246</v>
      </c>
      <c r="D728" s="1">
        <v>8126009332</v>
      </c>
      <c r="E728" s="1">
        <v>2552.37</v>
      </c>
      <c r="F728" s="1" t="s">
        <v>12</v>
      </c>
      <c r="G728" s="1" t="s">
        <v>12</v>
      </c>
      <c r="H728" s="1" t="s">
        <v>13</v>
      </c>
      <c r="I728" s="1" t="s">
        <v>13</v>
      </c>
      <c r="J728" s="1" t="s">
        <v>14</v>
      </c>
      <c r="K728" s="1">
        <v>0</v>
      </c>
      <c r="L728" s="1" t="s">
        <v>15</v>
      </c>
      <c r="M728" s="1" t="str">
        <f t="shared" si="11"/>
        <v>Consistent</v>
      </c>
      <c r="N728" s="1" t="str">
        <f>_xlfn.XLOOKUP(H728, risk_score!A:A, risk_score!B:B, 0)</f>
        <v>Low Risk</v>
      </c>
    </row>
    <row r="729" spans="1:14">
      <c r="A729" s="2">
        <v>0.46015046296296297</v>
      </c>
      <c r="B729" s="3">
        <v>44841</v>
      </c>
      <c r="C729" s="1">
        <v>8430816457</v>
      </c>
      <c r="D729" s="1">
        <v>2962679067</v>
      </c>
      <c r="E729" s="1">
        <v>3059.18</v>
      </c>
      <c r="F729" s="1" t="s">
        <v>12</v>
      </c>
      <c r="G729" s="1" t="s">
        <v>12</v>
      </c>
      <c r="H729" s="1" t="s">
        <v>13</v>
      </c>
      <c r="I729" s="1" t="s">
        <v>13</v>
      </c>
      <c r="J729" s="1" t="s">
        <v>25</v>
      </c>
      <c r="K729" s="1">
        <v>0</v>
      </c>
      <c r="L729" s="1" t="s">
        <v>21</v>
      </c>
      <c r="M729" s="1" t="str">
        <f t="shared" si="11"/>
        <v>Consistent</v>
      </c>
      <c r="N729" s="1" t="str">
        <f>_xlfn.XLOOKUP(H729, risk_score!A:A, risk_score!B:B, 0)</f>
        <v>Low Risk</v>
      </c>
    </row>
    <row r="730" spans="1:14">
      <c r="A730" s="2">
        <v>0.46016203703703706</v>
      </c>
      <c r="B730" s="3">
        <v>44841</v>
      </c>
      <c r="C730" s="1">
        <v>5468170213</v>
      </c>
      <c r="D730" s="1">
        <v>6053702752</v>
      </c>
      <c r="E730" s="1">
        <v>5124.91</v>
      </c>
      <c r="F730" s="1" t="s">
        <v>12</v>
      </c>
      <c r="G730" s="1" t="s">
        <v>12</v>
      </c>
      <c r="H730" s="1" t="s">
        <v>13</v>
      </c>
      <c r="I730" s="1" t="s">
        <v>13</v>
      </c>
      <c r="J730" s="1" t="s">
        <v>22</v>
      </c>
      <c r="K730" s="1">
        <v>0</v>
      </c>
      <c r="L730" s="1" t="s">
        <v>21</v>
      </c>
      <c r="M730" s="1" t="str">
        <f t="shared" si="11"/>
        <v>Consistent</v>
      </c>
      <c r="N730" s="1" t="str">
        <f>_xlfn.XLOOKUP(H730, risk_score!A:A, risk_score!B:B, 0)</f>
        <v>Low Risk</v>
      </c>
    </row>
    <row r="731" spans="1:14">
      <c r="A731" s="2">
        <v>0.46016203703703706</v>
      </c>
      <c r="B731" s="3">
        <v>44841</v>
      </c>
      <c r="C731" s="1">
        <v>6904668523</v>
      </c>
      <c r="D731" s="1">
        <v>1140410616</v>
      </c>
      <c r="E731" s="1">
        <v>4993.46</v>
      </c>
      <c r="F731" s="1" t="s">
        <v>12</v>
      </c>
      <c r="G731" s="1" t="s">
        <v>12</v>
      </c>
      <c r="H731" s="1" t="s">
        <v>13</v>
      </c>
      <c r="I731" s="1" t="s">
        <v>13</v>
      </c>
      <c r="J731" s="1" t="s">
        <v>27</v>
      </c>
      <c r="K731" s="1">
        <v>0</v>
      </c>
      <c r="L731" s="1" t="s">
        <v>19</v>
      </c>
      <c r="M731" s="1" t="str">
        <f t="shared" si="11"/>
        <v>Consistent</v>
      </c>
      <c r="N731" s="1" t="str">
        <f>_xlfn.XLOOKUP(H731, risk_score!A:A, risk_score!B:B, 0)</f>
        <v>Low Risk</v>
      </c>
    </row>
    <row r="732" spans="1:14">
      <c r="A732" s="2">
        <v>0.46023148148148146</v>
      </c>
      <c r="B732" s="3">
        <v>44841</v>
      </c>
      <c r="C732" s="1">
        <v>3682462176</v>
      </c>
      <c r="D732" s="1">
        <v>5691150723</v>
      </c>
      <c r="E732" s="1">
        <v>294.75</v>
      </c>
      <c r="F732" s="1" t="s">
        <v>12</v>
      </c>
      <c r="G732" s="1" t="s">
        <v>12</v>
      </c>
      <c r="H732" s="1" t="s">
        <v>13</v>
      </c>
      <c r="I732" s="1" t="s">
        <v>13</v>
      </c>
      <c r="J732" s="1" t="s">
        <v>20</v>
      </c>
      <c r="K732" s="1">
        <v>0</v>
      </c>
      <c r="L732" s="1" t="s">
        <v>21</v>
      </c>
      <c r="M732" s="1" t="str">
        <f t="shared" si="11"/>
        <v>Consistent</v>
      </c>
      <c r="N732" s="1" t="str">
        <f>_xlfn.XLOOKUP(H732, risk_score!A:A, risk_score!B:B, 0)</f>
        <v>Low Risk</v>
      </c>
    </row>
    <row r="733" spans="1:14">
      <c r="A733" s="2">
        <v>0.46025462962962965</v>
      </c>
      <c r="B733" s="3">
        <v>44841</v>
      </c>
      <c r="C733" s="1">
        <v>1661874371</v>
      </c>
      <c r="D733" s="1">
        <v>6636706962</v>
      </c>
      <c r="E733" s="1">
        <v>1515.43</v>
      </c>
      <c r="F733" s="1" t="s">
        <v>12</v>
      </c>
      <c r="G733" s="1" t="s">
        <v>12</v>
      </c>
      <c r="H733" s="1" t="s">
        <v>13</v>
      </c>
      <c r="I733" s="1" t="s">
        <v>13</v>
      </c>
      <c r="J733" s="1" t="s">
        <v>25</v>
      </c>
      <c r="K733" s="1">
        <v>0</v>
      </c>
      <c r="L733" s="1" t="s">
        <v>21</v>
      </c>
      <c r="M733" s="1" t="str">
        <f t="shared" si="11"/>
        <v>Consistent</v>
      </c>
      <c r="N733" s="1" t="str">
        <f>_xlfn.XLOOKUP(H733, risk_score!A:A, risk_score!B:B, 0)</f>
        <v>Low Risk</v>
      </c>
    </row>
    <row r="734" spans="1:14">
      <c r="A734" s="2">
        <v>0.46028935185185182</v>
      </c>
      <c r="B734" s="3">
        <v>44841</v>
      </c>
      <c r="C734" s="1">
        <v>6225074603</v>
      </c>
      <c r="D734" s="1">
        <v>3220735304</v>
      </c>
      <c r="E734" s="1">
        <v>14538.93</v>
      </c>
      <c r="F734" s="1" t="s">
        <v>12</v>
      </c>
      <c r="G734" s="1" t="s">
        <v>12</v>
      </c>
      <c r="H734" s="1" t="s">
        <v>13</v>
      </c>
      <c r="I734" s="1" t="s">
        <v>13</v>
      </c>
      <c r="J734" s="1" t="s">
        <v>20</v>
      </c>
      <c r="K734" s="1">
        <v>0</v>
      </c>
      <c r="L734" s="1" t="s">
        <v>23</v>
      </c>
      <c r="M734" s="1" t="str">
        <f t="shared" si="11"/>
        <v>Consistent</v>
      </c>
      <c r="N734" s="1" t="str">
        <f>_xlfn.XLOOKUP(H734, risk_score!A:A, risk_score!B:B, 0)</f>
        <v>Low Risk</v>
      </c>
    </row>
    <row r="735" spans="1:14">
      <c r="A735" s="2">
        <v>0.46030092592592592</v>
      </c>
      <c r="B735" s="3">
        <v>44841</v>
      </c>
      <c r="C735" s="1">
        <v>7321429671</v>
      </c>
      <c r="D735" s="1">
        <v>2860319172</v>
      </c>
      <c r="E735" s="1">
        <v>165.39</v>
      </c>
      <c r="F735" s="1" t="s">
        <v>12</v>
      </c>
      <c r="G735" s="1" t="s">
        <v>12</v>
      </c>
      <c r="H735" s="1" t="s">
        <v>13</v>
      </c>
      <c r="I735" s="1" t="s">
        <v>13</v>
      </c>
      <c r="J735" s="1" t="s">
        <v>27</v>
      </c>
      <c r="K735" s="1">
        <v>0</v>
      </c>
      <c r="L735" s="1" t="s">
        <v>21</v>
      </c>
      <c r="M735" s="1" t="str">
        <f t="shared" si="11"/>
        <v>Consistent</v>
      </c>
      <c r="N735" s="1" t="str">
        <f>_xlfn.XLOOKUP(H735, risk_score!A:A, risk_score!B:B, 0)</f>
        <v>Low Risk</v>
      </c>
    </row>
    <row r="736" spans="1:14">
      <c r="A736" s="2">
        <v>0.46034722222222224</v>
      </c>
      <c r="B736" s="3">
        <v>44841</v>
      </c>
      <c r="C736" s="1">
        <v>3107015826</v>
      </c>
      <c r="D736" s="1">
        <v>9907210327</v>
      </c>
      <c r="E736" s="1">
        <v>391.76</v>
      </c>
      <c r="F736" s="1" t="s">
        <v>12</v>
      </c>
      <c r="G736" s="1" t="s">
        <v>12</v>
      </c>
      <c r="H736" s="1" t="s">
        <v>13</v>
      </c>
      <c r="I736" s="1" t="s">
        <v>13</v>
      </c>
      <c r="J736" s="1" t="s">
        <v>20</v>
      </c>
      <c r="K736" s="1">
        <v>0</v>
      </c>
      <c r="L736" s="1" t="s">
        <v>21</v>
      </c>
      <c r="M736" s="1" t="str">
        <f t="shared" si="11"/>
        <v>Consistent</v>
      </c>
      <c r="N736" s="1" t="str">
        <f>_xlfn.XLOOKUP(H736, risk_score!A:A, risk_score!B:B, 0)</f>
        <v>Low Risk</v>
      </c>
    </row>
    <row r="737" spans="1:14">
      <c r="A737" s="2">
        <v>0.46037037037037037</v>
      </c>
      <c r="B737" s="3">
        <v>44841</v>
      </c>
      <c r="C737" s="1">
        <v>1378784400</v>
      </c>
      <c r="D737" s="1">
        <v>8410469287</v>
      </c>
      <c r="E737" s="1">
        <v>8816.58</v>
      </c>
      <c r="F737" s="1" t="s">
        <v>12</v>
      </c>
      <c r="G737" s="1" t="s">
        <v>12</v>
      </c>
      <c r="H737" s="1" t="s">
        <v>13</v>
      </c>
      <c r="I737" s="1" t="s">
        <v>13</v>
      </c>
      <c r="J737" s="1" t="s">
        <v>20</v>
      </c>
      <c r="K737" s="1">
        <v>0</v>
      </c>
      <c r="L737" s="1" t="s">
        <v>19</v>
      </c>
      <c r="M737" s="1" t="str">
        <f t="shared" si="11"/>
        <v>Consistent</v>
      </c>
      <c r="N737" s="1" t="str">
        <f>_xlfn.XLOOKUP(H737, risk_score!A:A, risk_score!B:B, 0)</f>
        <v>Low Risk</v>
      </c>
    </row>
    <row r="738" spans="1:14">
      <c r="A738" s="2">
        <v>0.46037037037037037</v>
      </c>
      <c r="B738" s="3">
        <v>44841</v>
      </c>
      <c r="C738" s="1">
        <v>6086421020</v>
      </c>
      <c r="D738" s="1">
        <v>1695365423</v>
      </c>
      <c r="E738" s="1">
        <v>6492.6</v>
      </c>
      <c r="F738" s="1" t="s">
        <v>12</v>
      </c>
      <c r="G738" s="1" t="s">
        <v>12</v>
      </c>
      <c r="H738" s="1" t="s">
        <v>13</v>
      </c>
      <c r="I738" s="1" t="s">
        <v>13</v>
      </c>
      <c r="J738" s="1" t="s">
        <v>25</v>
      </c>
      <c r="K738" s="1">
        <v>0</v>
      </c>
      <c r="L738" s="1" t="s">
        <v>19</v>
      </c>
      <c r="M738" s="1" t="str">
        <f t="shared" si="11"/>
        <v>Consistent</v>
      </c>
      <c r="N738" s="1" t="str">
        <f>_xlfn.XLOOKUP(H738, risk_score!A:A, risk_score!B:B, 0)</f>
        <v>Low Risk</v>
      </c>
    </row>
    <row r="739" spans="1:14">
      <c r="A739" s="2">
        <v>0.46037037037037037</v>
      </c>
      <c r="B739" s="3">
        <v>44841</v>
      </c>
      <c r="C739" s="1">
        <v>6116657264</v>
      </c>
      <c r="D739" s="1">
        <v>578267324</v>
      </c>
      <c r="E739" s="1">
        <v>11436.95</v>
      </c>
      <c r="F739" s="1" t="s">
        <v>12</v>
      </c>
      <c r="G739" s="1" t="s">
        <v>12</v>
      </c>
      <c r="H739" s="1" t="s">
        <v>13</v>
      </c>
      <c r="I739" s="1" t="s">
        <v>13</v>
      </c>
      <c r="J739" s="1" t="s">
        <v>22</v>
      </c>
      <c r="K739" s="1">
        <v>0</v>
      </c>
      <c r="L739" s="1" t="s">
        <v>19</v>
      </c>
      <c r="M739" s="1" t="str">
        <f t="shared" si="11"/>
        <v>Consistent</v>
      </c>
      <c r="N739" s="1" t="str">
        <f>_xlfn.XLOOKUP(H739, risk_score!A:A, risk_score!B:B, 0)</f>
        <v>Low Risk</v>
      </c>
    </row>
    <row r="740" spans="1:14">
      <c r="A740" s="2">
        <v>0.46039351851851851</v>
      </c>
      <c r="B740" s="3">
        <v>44841</v>
      </c>
      <c r="C740" s="1">
        <v>3567089560</v>
      </c>
      <c r="D740" s="1">
        <v>4547973270</v>
      </c>
      <c r="E740" s="1">
        <v>6623.92</v>
      </c>
      <c r="F740" s="1" t="s">
        <v>12</v>
      </c>
      <c r="G740" s="1" t="s">
        <v>29</v>
      </c>
      <c r="H740" s="1" t="s">
        <v>13</v>
      </c>
      <c r="I740" s="1" t="s">
        <v>48</v>
      </c>
      <c r="J740" s="1" t="s">
        <v>18</v>
      </c>
      <c r="K740" s="1">
        <v>0</v>
      </c>
      <c r="L740" s="1" t="s">
        <v>38</v>
      </c>
      <c r="M740" s="1" t="str">
        <f t="shared" si="11"/>
        <v>Potential Layering</v>
      </c>
      <c r="N740" s="1" t="str">
        <f>_xlfn.XLOOKUP(H740, risk_score!A:A, risk_score!B:B, 0)</f>
        <v>Low Risk</v>
      </c>
    </row>
    <row r="741" spans="1:14">
      <c r="A741" s="2">
        <v>0.46039351851851851</v>
      </c>
      <c r="B741" s="3">
        <v>44841</v>
      </c>
      <c r="C741" s="1">
        <v>604321999</v>
      </c>
      <c r="D741" s="1">
        <v>9693438765</v>
      </c>
      <c r="E741" s="1">
        <v>167.79</v>
      </c>
      <c r="F741" s="1" t="s">
        <v>12</v>
      </c>
      <c r="G741" s="1" t="s">
        <v>12</v>
      </c>
      <c r="H741" s="1" t="s">
        <v>13</v>
      </c>
      <c r="I741" s="1" t="s">
        <v>13</v>
      </c>
      <c r="J741" s="1" t="s">
        <v>36</v>
      </c>
      <c r="K741" s="1">
        <v>0</v>
      </c>
      <c r="L741" s="1" t="s">
        <v>37</v>
      </c>
      <c r="M741" s="1" t="str">
        <f t="shared" si="11"/>
        <v>Consistent</v>
      </c>
      <c r="N741" s="1" t="str">
        <f>_xlfn.XLOOKUP(H741, risk_score!A:A, risk_score!B:B, 0)</f>
        <v>Low Risk</v>
      </c>
    </row>
    <row r="742" spans="1:14">
      <c r="A742" s="2">
        <v>0.46041666666666664</v>
      </c>
      <c r="B742" s="3">
        <v>44841</v>
      </c>
      <c r="C742" s="1">
        <v>1710329832</v>
      </c>
      <c r="D742" s="1">
        <v>8172080174</v>
      </c>
      <c r="E742" s="1">
        <v>5216.53</v>
      </c>
      <c r="F742" s="1" t="s">
        <v>12</v>
      </c>
      <c r="G742" s="1" t="s">
        <v>12</v>
      </c>
      <c r="H742" s="1" t="s">
        <v>13</v>
      </c>
      <c r="I742" s="1" t="s">
        <v>13</v>
      </c>
      <c r="J742" s="1" t="s">
        <v>27</v>
      </c>
      <c r="K742" s="1">
        <v>0</v>
      </c>
      <c r="L742" s="1" t="s">
        <v>23</v>
      </c>
      <c r="M742" s="1" t="str">
        <f t="shared" si="11"/>
        <v>Consistent</v>
      </c>
      <c r="N742" s="1" t="str">
        <f>_xlfn.XLOOKUP(H742, risk_score!A:A, risk_score!B:B, 0)</f>
        <v>Low Risk</v>
      </c>
    </row>
    <row r="743" spans="1:14">
      <c r="A743" s="2">
        <v>0.46045138888888887</v>
      </c>
      <c r="B743" s="3">
        <v>44841</v>
      </c>
      <c r="C743" s="1">
        <v>8852871951</v>
      </c>
      <c r="D743" s="1">
        <v>3695545812</v>
      </c>
      <c r="E743" s="1">
        <v>5061.2</v>
      </c>
      <c r="F743" s="1" t="s">
        <v>12</v>
      </c>
      <c r="G743" s="1" t="s">
        <v>12</v>
      </c>
      <c r="H743" s="1" t="s">
        <v>13</v>
      </c>
      <c r="I743" s="1" t="s">
        <v>13</v>
      </c>
      <c r="J743" s="1" t="s">
        <v>22</v>
      </c>
      <c r="K743" s="1">
        <v>0</v>
      </c>
      <c r="L743" s="1" t="s">
        <v>23</v>
      </c>
      <c r="M743" s="1" t="str">
        <f t="shared" si="11"/>
        <v>Consistent</v>
      </c>
      <c r="N743" s="1" t="str">
        <f>_xlfn.XLOOKUP(H743, risk_score!A:A, risk_score!B:B, 0)</f>
        <v>Low Risk</v>
      </c>
    </row>
    <row r="744" spans="1:14">
      <c r="A744" s="2">
        <v>0.46046296296296296</v>
      </c>
      <c r="B744" s="3">
        <v>44841</v>
      </c>
      <c r="C744" s="1">
        <v>1645558162</v>
      </c>
      <c r="D744" s="1">
        <v>8172080174</v>
      </c>
      <c r="E744" s="1">
        <v>11000.56</v>
      </c>
      <c r="F744" s="1" t="s">
        <v>12</v>
      </c>
      <c r="G744" s="1" t="s">
        <v>12</v>
      </c>
      <c r="H744" s="1" t="s">
        <v>13</v>
      </c>
      <c r="I744" s="1" t="s">
        <v>13</v>
      </c>
      <c r="J744" s="1" t="s">
        <v>25</v>
      </c>
      <c r="K744" s="1">
        <v>0</v>
      </c>
      <c r="L744" s="1" t="s">
        <v>23</v>
      </c>
      <c r="M744" s="1" t="str">
        <f t="shared" si="11"/>
        <v>Consistent</v>
      </c>
      <c r="N744" s="1" t="str">
        <f>_xlfn.XLOOKUP(H744, risk_score!A:A, risk_score!B:B, 0)</f>
        <v>Low Risk</v>
      </c>
    </row>
    <row r="745" spans="1:14">
      <c r="A745" s="2">
        <v>0.46049768518518519</v>
      </c>
      <c r="B745" s="3">
        <v>44841</v>
      </c>
      <c r="C745" s="1">
        <v>8203229522</v>
      </c>
      <c r="D745" s="1">
        <v>2176869707</v>
      </c>
      <c r="E745" s="1">
        <v>18836.830000000002</v>
      </c>
      <c r="F745" s="1" t="s">
        <v>12</v>
      </c>
      <c r="G745" s="1" t="s">
        <v>12</v>
      </c>
      <c r="H745" s="1" t="s">
        <v>13</v>
      </c>
      <c r="I745" s="1" t="s">
        <v>13</v>
      </c>
      <c r="J745" s="1" t="s">
        <v>22</v>
      </c>
      <c r="K745" s="1">
        <v>0</v>
      </c>
      <c r="L745" s="1" t="s">
        <v>19</v>
      </c>
      <c r="M745" s="1" t="str">
        <f t="shared" si="11"/>
        <v>Consistent</v>
      </c>
      <c r="N745" s="1" t="str">
        <f>_xlfn.XLOOKUP(H745, risk_score!A:A, risk_score!B:B, 0)</f>
        <v>Low Risk</v>
      </c>
    </row>
    <row r="746" spans="1:14">
      <c r="A746" s="2">
        <v>0.46050925925925928</v>
      </c>
      <c r="B746" s="3">
        <v>44841</v>
      </c>
      <c r="C746" s="1">
        <v>2836869610</v>
      </c>
      <c r="D746" s="1">
        <v>1923987358</v>
      </c>
      <c r="E746" s="1">
        <v>1041.6099999999999</v>
      </c>
      <c r="F746" s="1" t="s">
        <v>12</v>
      </c>
      <c r="G746" s="1" t="s">
        <v>12</v>
      </c>
      <c r="H746" s="1" t="s">
        <v>13</v>
      </c>
      <c r="I746" s="1" t="s">
        <v>13</v>
      </c>
      <c r="J746" s="1" t="s">
        <v>20</v>
      </c>
      <c r="K746" s="1">
        <v>0</v>
      </c>
      <c r="L746" s="1" t="s">
        <v>24</v>
      </c>
      <c r="M746" s="1" t="str">
        <f t="shared" si="11"/>
        <v>Consistent</v>
      </c>
      <c r="N746" s="1" t="str">
        <f>_xlfn.XLOOKUP(H746, risk_score!A:A, risk_score!B:B, 0)</f>
        <v>Low Risk</v>
      </c>
    </row>
    <row r="747" spans="1:14">
      <c r="A747" s="2">
        <v>0.46052083333333332</v>
      </c>
      <c r="B747" s="3">
        <v>44841</v>
      </c>
      <c r="C747" s="1">
        <v>4974891726</v>
      </c>
      <c r="D747" s="1">
        <v>4875029298</v>
      </c>
      <c r="E747" s="1">
        <v>1568.94</v>
      </c>
      <c r="F747" s="1" t="s">
        <v>12</v>
      </c>
      <c r="G747" s="1" t="s">
        <v>12</v>
      </c>
      <c r="H747" s="1" t="s">
        <v>13</v>
      </c>
      <c r="I747" s="1" t="s">
        <v>13</v>
      </c>
      <c r="J747" s="1" t="s">
        <v>22</v>
      </c>
      <c r="K747" s="1">
        <v>0</v>
      </c>
      <c r="L747" s="1" t="s">
        <v>21</v>
      </c>
      <c r="M747" s="1" t="str">
        <f t="shared" si="11"/>
        <v>Consistent</v>
      </c>
      <c r="N747" s="1" t="str">
        <f>_xlfn.XLOOKUP(H747, risk_score!A:A, risk_score!B:B, 0)</f>
        <v>Low Risk</v>
      </c>
    </row>
    <row r="748" spans="1:14">
      <c r="A748" s="2">
        <v>0.46053240740740742</v>
      </c>
      <c r="B748" s="3">
        <v>44841</v>
      </c>
      <c r="C748" s="1">
        <v>7584000699</v>
      </c>
      <c r="D748" s="1">
        <v>2042062597</v>
      </c>
      <c r="E748" s="1">
        <v>3645.33</v>
      </c>
      <c r="F748" s="1" t="s">
        <v>12</v>
      </c>
      <c r="G748" s="1" t="s">
        <v>12</v>
      </c>
      <c r="H748" s="1" t="s">
        <v>13</v>
      </c>
      <c r="I748" s="1" t="s">
        <v>13</v>
      </c>
      <c r="J748" s="1" t="s">
        <v>22</v>
      </c>
      <c r="K748" s="1">
        <v>0</v>
      </c>
      <c r="L748" s="1" t="s">
        <v>38</v>
      </c>
      <c r="M748" s="1" t="str">
        <f t="shared" si="11"/>
        <v>Consistent</v>
      </c>
      <c r="N748" s="1" t="str">
        <f>_xlfn.XLOOKUP(H748, risk_score!A:A, risk_score!B:B, 0)</f>
        <v>Low Risk</v>
      </c>
    </row>
    <row r="749" spans="1:14">
      <c r="A749" s="2">
        <v>0.46054398148148146</v>
      </c>
      <c r="B749" s="3">
        <v>44841</v>
      </c>
      <c r="C749" s="1">
        <v>7674756610</v>
      </c>
      <c r="D749" s="1">
        <v>4336977506</v>
      </c>
      <c r="E749" s="1">
        <v>13189.48</v>
      </c>
      <c r="F749" s="1" t="s">
        <v>12</v>
      </c>
      <c r="G749" s="1" t="s">
        <v>12</v>
      </c>
      <c r="H749" s="1" t="s">
        <v>13</v>
      </c>
      <c r="I749" s="1" t="s">
        <v>13</v>
      </c>
      <c r="J749" s="1" t="s">
        <v>25</v>
      </c>
      <c r="K749" s="1">
        <v>0</v>
      </c>
      <c r="L749" s="1" t="s">
        <v>23</v>
      </c>
      <c r="M749" s="1" t="str">
        <f t="shared" si="11"/>
        <v>Consistent</v>
      </c>
      <c r="N749" s="1" t="str">
        <f>_xlfn.XLOOKUP(H749, risk_score!A:A, risk_score!B:B, 0)</f>
        <v>Low Risk</v>
      </c>
    </row>
    <row r="750" spans="1:14">
      <c r="A750" s="2">
        <v>0.46064814814814814</v>
      </c>
      <c r="B750" s="3">
        <v>44841</v>
      </c>
      <c r="C750" s="1">
        <v>8430816457</v>
      </c>
      <c r="D750" s="1">
        <v>3176941770</v>
      </c>
      <c r="E750" s="1">
        <v>1082.6300000000001</v>
      </c>
      <c r="F750" s="1" t="s">
        <v>12</v>
      </c>
      <c r="G750" s="1" t="s">
        <v>12</v>
      </c>
      <c r="H750" s="1" t="s">
        <v>13</v>
      </c>
      <c r="I750" s="1" t="s">
        <v>13</v>
      </c>
      <c r="J750" s="1" t="s">
        <v>20</v>
      </c>
      <c r="K750" s="1">
        <v>0</v>
      </c>
      <c r="L750" s="1" t="s">
        <v>21</v>
      </c>
      <c r="M750" s="1" t="str">
        <f t="shared" si="11"/>
        <v>Consistent</v>
      </c>
      <c r="N750" s="1" t="str">
        <f>_xlfn.XLOOKUP(H750, risk_score!A:A, risk_score!B:B, 0)</f>
        <v>Low Risk</v>
      </c>
    </row>
    <row r="751" spans="1:14">
      <c r="A751" s="2">
        <v>0.46065972222222223</v>
      </c>
      <c r="B751" s="3">
        <v>44841</v>
      </c>
      <c r="C751" s="1">
        <v>2544092504</v>
      </c>
      <c r="D751" s="1">
        <v>4704308480</v>
      </c>
      <c r="E751" s="1">
        <v>11546.34</v>
      </c>
      <c r="F751" s="1" t="s">
        <v>12</v>
      </c>
      <c r="G751" s="1" t="s">
        <v>12</v>
      </c>
      <c r="H751" s="1" t="s">
        <v>13</v>
      </c>
      <c r="I751" s="1" t="s">
        <v>13</v>
      </c>
      <c r="J751" s="1" t="s">
        <v>25</v>
      </c>
      <c r="K751" s="1">
        <v>0</v>
      </c>
      <c r="L751" s="1" t="s">
        <v>24</v>
      </c>
      <c r="M751" s="1" t="str">
        <f t="shared" si="11"/>
        <v>Consistent</v>
      </c>
      <c r="N751" s="1" t="str">
        <f>_xlfn.XLOOKUP(H751, risk_score!A:A, risk_score!B:B, 0)</f>
        <v>Low Risk</v>
      </c>
    </row>
    <row r="752" spans="1:14">
      <c r="A752" s="2">
        <v>0.46069444444444446</v>
      </c>
      <c r="B752" s="3">
        <v>44841</v>
      </c>
      <c r="C752" s="1">
        <v>6173713420</v>
      </c>
      <c r="D752" s="1">
        <v>3333242920</v>
      </c>
      <c r="E752" s="1">
        <v>19268.37</v>
      </c>
      <c r="F752" s="1" t="s">
        <v>12</v>
      </c>
      <c r="G752" s="1" t="s">
        <v>12</v>
      </c>
      <c r="H752" s="1" t="s">
        <v>13</v>
      </c>
      <c r="I752" s="1" t="s">
        <v>13</v>
      </c>
      <c r="J752" s="1" t="s">
        <v>22</v>
      </c>
      <c r="K752" s="1">
        <v>0</v>
      </c>
      <c r="L752" s="1" t="s">
        <v>21</v>
      </c>
      <c r="M752" s="1" t="str">
        <f t="shared" si="11"/>
        <v>Consistent</v>
      </c>
      <c r="N752" s="1" t="str">
        <f>_xlfn.XLOOKUP(H752, risk_score!A:A, risk_score!B:B, 0)</f>
        <v>Low Risk</v>
      </c>
    </row>
    <row r="753" spans="1:14">
      <c r="A753" s="2">
        <v>0.4607060185185185</v>
      </c>
      <c r="B753" s="3">
        <v>44841</v>
      </c>
      <c r="C753" s="1">
        <v>1340109383</v>
      </c>
      <c r="D753" s="1">
        <v>1801973148</v>
      </c>
      <c r="E753" s="1">
        <v>222.89</v>
      </c>
      <c r="F753" s="1" t="s">
        <v>12</v>
      </c>
      <c r="G753" s="1" t="s">
        <v>12</v>
      </c>
      <c r="H753" s="1" t="s">
        <v>13</v>
      </c>
      <c r="I753" s="1" t="s">
        <v>13</v>
      </c>
      <c r="J753" s="1" t="s">
        <v>25</v>
      </c>
      <c r="K753" s="1">
        <v>0</v>
      </c>
      <c r="L753" s="1" t="s">
        <v>21</v>
      </c>
      <c r="M753" s="1" t="str">
        <f t="shared" si="11"/>
        <v>Consistent</v>
      </c>
      <c r="N753" s="1" t="str">
        <f>_xlfn.XLOOKUP(H753, risk_score!A:A, risk_score!B:B, 0)</f>
        <v>Low Risk</v>
      </c>
    </row>
    <row r="754" spans="1:14">
      <c r="A754" s="2">
        <v>0.46072916666666669</v>
      </c>
      <c r="B754" s="3">
        <v>44841</v>
      </c>
      <c r="C754" s="1">
        <v>9195060952</v>
      </c>
      <c r="D754" s="1">
        <v>4270865741</v>
      </c>
      <c r="E754" s="1">
        <v>12663.85</v>
      </c>
      <c r="F754" s="1" t="s">
        <v>12</v>
      </c>
      <c r="G754" s="1" t="s">
        <v>12</v>
      </c>
      <c r="H754" s="1" t="s">
        <v>13</v>
      </c>
      <c r="I754" s="1" t="s">
        <v>13</v>
      </c>
      <c r="J754" s="1" t="s">
        <v>25</v>
      </c>
      <c r="K754" s="1">
        <v>0</v>
      </c>
      <c r="L754" s="1" t="s">
        <v>23</v>
      </c>
      <c r="M754" s="1" t="str">
        <f t="shared" si="11"/>
        <v>Consistent</v>
      </c>
      <c r="N754" s="1" t="str">
        <f>_xlfn.XLOOKUP(H754, risk_score!A:A, risk_score!B:B, 0)</f>
        <v>Low Risk</v>
      </c>
    </row>
    <row r="755" spans="1:14">
      <c r="A755" s="2">
        <v>0.46074074074074073</v>
      </c>
      <c r="B755" s="3">
        <v>44841</v>
      </c>
      <c r="C755" s="1">
        <v>6086421020</v>
      </c>
      <c r="D755" s="1">
        <v>7141835964</v>
      </c>
      <c r="E755" s="1">
        <v>8028.94</v>
      </c>
      <c r="F755" s="1" t="s">
        <v>12</v>
      </c>
      <c r="G755" s="1" t="s">
        <v>12</v>
      </c>
      <c r="H755" s="1" t="s">
        <v>13</v>
      </c>
      <c r="I755" s="1" t="s">
        <v>13</v>
      </c>
      <c r="J755" s="1" t="s">
        <v>27</v>
      </c>
      <c r="K755" s="1">
        <v>0</v>
      </c>
      <c r="L755" s="1" t="s">
        <v>19</v>
      </c>
      <c r="M755" s="1" t="str">
        <f t="shared" si="11"/>
        <v>Consistent</v>
      </c>
      <c r="N755" s="1" t="str">
        <f>_xlfn.XLOOKUP(H755, risk_score!A:A, risk_score!B:B, 0)</f>
        <v>Low Risk</v>
      </c>
    </row>
    <row r="756" spans="1:14">
      <c r="A756" s="2">
        <v>0.46079861111111109</v>
      </c>
      <c r="B756" s="3">
        <v>44841</v>
      </c>
      <c r="C756" s="1">
        <v>2163495423</v>
      </c>
      <c r="D756" s="1">
        <v>5188417590</v>
      </c>
      <c r="E756" s="1">
        <v>3454.45</v>
      </c>
      <c r="F756" s="1" t="s">
        <v>12</v>
      </c>
      <c r="G756" s="1" t="s">
        <v>12</v>
      </c>
      <c r="H756" s="1" t="s">
        <v>13</v>
      </c>
      <c r="I756" s="1" t="s">
        <v>13</v>
      </c>
      <c r="J756" s="1" t="s">
        <v>14</v>
      </c>
      <c r="K756" s="1">
        <v>0</v>
      </c>
      <c r="L756" s="1" t="s">
        <v>15</v>
      </c>
      <c r="M756" s="1" t="str">
        <f t="shared" si="11"/>
        <v>Consistent</v>
      </c>
      <c r="N756" s="1" t="str">
        <f>_xlfn.XLOOKUP(H756, risk_score!A:A, risk_score!B:B, 0)</f>
        <v>Low Risk</v>
      </c>
    </row>
    <row r="757" spans="1:14">
      <c r="A757" s="2">
        <v>0.46086805555555554</v>
      </c>
      <c r="B757" s="3">
        <v>44841</v>
      </c>
      <c r="C757" s="1">
        <v>7529602915</v>
      </c>
      <c r="D757" s="1">
        <v>2130725685</v>
      </c>
      <c r="E757" s="1">
        <v>853.81</v>
      </c>
      <c r="F757" s="1" t="s">
        <v>12</v>
      </c>
      <c r="G757" s="1" t="s">
        <v>12</v>
      </c>
      <c r="H757" s="1" t="s">
        <v>13</v>
      </c>
      <c r="I757" s="1" t="s">
        <v>13</v>
      </c>
      <c r="J757" s="1" t="s">
        <v>27</v>
      </c>
      <c r="K757" s="1">
        <v>0</v>
      </c>
      <c r="L757" s="1" t="s">
        <v>21</v>
      </c>
      <c r="M757" s="1" t="str">
        <f t="shared" si="11"/>
        <v>Consistent</v>
      </c>
      <c r="N757" s="1" t="str">
        <f>_xlfn.XLOOKUP(H757, risk_score!A:A, risk_score!B:B, 0)</f>
        <v>Low Risk</v>
      </c>
    </row>
    <row r="758" spans="1:14">
      <c r="A758" s="2">
        <v>0.46089120370370368</v>
      </c>
      <c r="B758" s="3">
        <v>44841</v>
      </c>
      <c r="C758" s="1">
        <v>1642448421</v>
      </c>
      <c r="D758" s="1">
        <v>4683305616</v>
      </c>
      <c r="E758" s="1">
        <v>286.58</v>
      </c>
      <c r="F758" s="1" t="s">
        <v>12</v>
      </c>
      <c r="G758" s="1" t="s">
        <v>12</v>
      </c>
      <c r="H758" s="1" t="s">
        <v>13</v>
      </c>
      <c r="I758" s="1" t="s">
        <v>13</v>
      </c>
      <c r="J758" s="1" t="s">
        <v>25</v>
      </c>
      <c r="K758" s="1">
        <v>0</v>
      </c>
      <c r="L758" s="1" t="s">
        <v>21</v>
      </c>
      <c r="M758" s="1" t="str">
        <f t="shared" si="11"/>
        <v>Consistent</v>
      </c>
      <c r="N758" s="1" t="str">
        <f>_xlfn.XLOOKUP(H758, risk_score!A:A, risk_score!B:B, 0)</f>
        <v>Low Risk</v>
      </c>
    </row>
    <row r="759" spans="1:14">
      <c r="A759" s="2">
        <v>0.46091435185185187</v>
      </c>
      <c r="B759" s="3">
        <v>44841</v>
      </c>
      <c r="C759" s="1">
        <v>2101877453</v>
      </c>
      <c r="D759" s="1">
        <v>621060264</v>
      </c>
      <c r="E759" s="1">
        <v>10456.69</v>
      </c>
      <c r="F759" s="1" t="s">
        <v>12</v>
      </c>
      <c r="G759" s="1" t="s">
        <v>12</v>
      </c>
      <c r="H759" s="1" t="s">
        <v>13</v>
      </c>
      <c r="I759" s="1" t="s">
        <v>13</v>
      </c>
      <c r="J759" s="1" t="s">
        <v>27</v>
      </c>
      <c r="K759" s="1">
        <v>0</v>
      </c>
      <c r="L759" s="1" t="s">
        <v>23</v>
      </c>
      <c r="M759" s="1" t="str">
        <f t="shared" si="11"/>
        <v>Consistent</v>
      </c>
      <c r="N759" s="1" t="str">
        <f>_xlfn.XLOOKUP(H759, risk_score!A:A, risk_score!B:B, 0)</f>
        <v>Low Risk</v>
      </c>
    </row>
    <row r="760" spans="1:14">
      <c r="A760" s="2">
        <v>0.46092592592592591</v>
      </c>
      <c r="B760" s="3">
        <v>44841</v>
      </c>
      <c r="C760" s="1">
        <v>8203229522</v>
      </c>
      <c r="D760" s="1">
        <v>8818164834</v>
      </c>
      <c r="E760" s="1">
        <v>4730.38</v>
      </c>
      <c r="F760" s="1" t="s">
        <v>12</v>
      </c>
      <c r="G760" s="1" t="s">
        <v>12</v>
      </c>
      <c r="H760" s="1" t="s">
        <v>13</v>
      </c>
      <c r="I760" s="1" t="s">
        <v>13</v>
      </c>
      <c r="J760" s="1" t="s">
        <v>22</v>
      </c>
      <c r="K760" s="1">
        <v>0</v>
      </c>
      <c r="L760" s="1" t="s">
        <v>19</v>
      </c>
      <c r="M760" s="1" t="str">
        <f t="shared" si="11"/>
        <v>Consistent</v>
      </c>
      <c r="N760" s="1" t="str">
        <f>_xlfn.XLOOKUP(H760, risk_score!A:A, risk_score!B:B, 0)</f>
        <v>Low Risk</v>
      </c>
    </row>
    <row r="761" spans="1:14">
      <c r="A761" s="2">
        <v>0.46100694444444446</v>
      </c>
      <c r="B761" s="3">
        <v>44841</v>
      </c>
      <c r="C761" s="1">
        <v>5338301445</v>
      </c>
      <c r="D761" s="1">
        <v>3730833224</v>
      </c>
      <c r="E761" s="1">
        <v>161.54</v>
      </c>
      <c r="F761" s="1" t="s">
        <v>12</v>
      </c>
      <c r="G761" s="1" t="s">
        <v>12</v>
      </c>
      <c r="H761" s="1" t="s">
        <v>13</v>
      </c>
      <c r="I761" s="1" t="s">
        <v>13</v>
      </c>
      <c r="J761" s="1" t="s">
        <v>20</v>
      </c>
      <c r="K761" s="1">
        <v>0</v>
      </c>
      <c r="L761" s="1" t="s">
        <v>21</v>
      </c>
      <c r="M761" s="1" t="str">
        <f t="shared" si="11"/>
        <v>Consistent</v>
      </c>
      <c r="N761" s="1" t="str">
        <f>_xlfn.XLOOKUP(H761, risk_score!A:A, risk_score!B:B, 0)</f>
        <v>Low Risk</v>
      </c>
    </row>
    <row r="762" spans="1:14">
      <c r="A762" s="2">
        <v>0.46105324074074072</v>
      </c>
      <c r="B762" s="3">
        <v>44841</v>
      </c>
      <c r="C762" s="1">
        <v>2407184317</v>
      </c>
      <c r="D762" s="1">
        <v>2833895088</v>
      </c>
      <c r="E762" s="1">
        <v>2818.67</v>
      </c>
      <c r="F762" s="1" t="s">
        <v>12</v>
      </c>
      <c r="G762" s="1" t="s">
        <v>12</v>
      </c>
      <c r="H762" s="1" t="s">
        <v>13</v>
      </c>
      <c r="I762" s="1" t="s">
        <v>13</v>
      </c>
      <c r="J762" s="1" t="s">
        <v>22</v>
      </c>
      <c r="K762" s="1">
        <v>0</v>
      </c>
      <c r="L762" s="1" t="s">
        <v>24</v>
      </c>
      <c r="M762" s="1" t="str">
        <f t="shared" si="11"/>
        <v>Consistent</v>
      </c>
      <c r="N762" s="1" t="str">
        <f>_xlfn.XLOOKUP(H762, risk_score!A:A, risk_score!B:B, 0)</f>
        <v>Low Risk</v>
      </c>
    </row>
    <row r="763" spans="1:14">
      <c r="A763" s="2">
        <v>0.46106481481481482</v>
      </c>
      <c r="B763" s="3">
        <v>44841</v>
      </c>
      <c r="C763" s="1">
        <v>8456279067</v>
      </c>
      <c r="D763" s="1">
        <v>7743294128</v>
      </c>
      <c r="E763" s="1">
        <v>22299.21</v>
      </c>
      <c r="F763" s="1" t="s">
        <v>12</v>
      </c>
      <c r="G763" s="1" t="s">
        <v>12</v>
      </c>
      <c r="H763" s="1" t="s">
        <v>13</v>
      </c>
      <c r="I763" s="1" t="s">
        <v>13</v>
      </c>
      <c r="J763" s="1" t="s">
        <v>25</v>
      </c>
      <c r="K763" s="1">
        <v>0</v>
      </c>
      <c r="L763" s="1" t="s">
        <v>19</v>
      </c>
      <c r="M763" s="1" t="str">
        <f t="shared" si="11"/>
        <v>Consistent</v>
      </c>
      <c r="N763" s="1" t="str">
        <f>_xlfn.XLOOKUP(H763, risk_score!A:A, risk_score!B:B, 0)</f>
        <v>Low Risk</v>
      </c>
    </row>
    <row r="764" spans="1:14">
      <c r="A764" s="2">
        <v>0.46107638888888891</v>
      </c>
      <c r="B764" s="3">
        <v>44841</v>
      </c>
      <c r="C764" s="1">
        <v>1855785042</v>
      </c>
      <c r="D764" s="1">
        <v>9582770365</v>
      </c>
      <c r="E764" s="1">
        <v>1301.8499999999999</v>
      </c>
      <c r="F764" s="1" t="s">
        <v>12</v>
      </c>
      <c r="G764" s="1" t="s">
        <v>12</v>
      </c>
      <c r="H764" s="1" t="s">
        <v>13</v>
      </c>
      <c r="I764" s="1" t="s">
        <v>13</v>
      </c>
      <c r="J764" s="1" t="s">
        <v>27</v>
      </c>
      <c r="K764" s="1">
        <v>0</v>
      </c>
      <c r="L764" s="1" t="s">
        <v>21</v>
      </c>
      <c r="M764" s="1" t="str">
        <f t="shared" si="11"/>
        <v>Consistent</v>
      </c>
      <c r="N764" s="1" t="str">
        <f>_xlfn.XLOOKUP(H764, risk_score!A:A, risk_score!B:B, 0)</f>
        <v>Low Risk</v>
      </c>
    </row>
    <row r="765" spans="1:14">
      <c r="A765" s="2">
        <v>0.46108796296296295</v>
      </c>
      <c r="B765" s="3">
        <v>44841</v>
      </c>
      <c r="C765" s="1">
        <v>8126974238</v>
      </c>
      <c r="D765" s="1">
        <v>1960345643</v>
      </c>
      <c r="E765" s="1">
        <v>17166.97</v>
      </c>
      <c r="F765" s="1" t="s">
        <v>12</v>
      </c>
      <c r="G765" s="1" t="s">
        <v>12</v>
      </c>
      <c r="H765" s="1" t="s">
        <v>13</v>
      </c>
      <c r="I765" s="1" t="s">
        <v>13</v>
      </c>
      <c r="J765" s="1" t="s">
        <v>25</v>
      </c>
      <c r="K765" s="1">
        <v>0</v>
      </c>
      <c r="L765" s="1" t="s">
        <v>24</v>
      </c>
      <c r="M765" s="1" t="str">
        <f t="shared" si="11"/>
        <v>Consistent</v>
      </c>
      <c r="N765" s="1" t="str">
        <f>_xlfn.XLOOKUP(H765, risk_score!A:A, risk_score!B:B, 0)</f>
        <v>Low Risk</v>
      </c>
    </row>
    <row r="766" spans="1:14">
      <c r="A766" s="2">
        <v>0.46111111111111114</v>
      </c>
      <c r="B766" s="3">
        <v>44841</v>
      </c>
      <c r="C766" s="1">
        <v>1915450576</v>
      </c>
      <c r="D766" s="1">
        <v>7468510228</v>
      </c>
      <c r="E766" s="1">
        <v>5331.08</v>
      </c>
      <c r="F766" s="1" t="s">
        <v>12</v>
      </c>
      <c r="G766" s="1" t="s">
        <v>12</v>
      </c>
      <c r="H766" s="1" t="s">
        <v>13</v>
      </c>
      <c r="I766" s="1" t="s">
        <v>13</v>
      </c>
      <c r="J766" s="1" t="s">
        <v>20</v>
      </c>
      <c r="K766" s="1">
        <v>0</v>
      </c>
      <c r="L766" s="1" t="s">
        <v>19</v>
      </c>
      <c r="M766" s="1" t="str">
        <f t="shared" si="11"/>
        <v>Consistent</v>
      </c>
      <c r="N766" s="1" t="str">
        <f>_xlfn.XLOOKUP(H766, risk_score!A:A, risk_score!B:B, 0)</f>
        <v>Low Risk</v>
      </c>
    </row>
    <row r="767" spans="1:14">
      <c r="A767" s="2">
        <v>0.46112268518518518</v>
      </c>
      <c r="B767" s="3">
        <v>44841</v>
      </c>
      <c r="C767" s="1">
        <v>7503193576</v>
      </c>
      <c r="D767" s="1">
        <v>8358075286</v>
      </c>
      <c r="E767" s="1">
        <v>1707.92</v>
      </c>
      <c r="F767" s="1" t="s">
        <v>12</v>
      </c>
      <c r="G767" s="1" t="s">
        <v>12</v>
      </c>
      <c r="H767" s="1" t="s">
        <v>13</v>
      </c>
      <c r="I767" s="1" t="s">
        <v>13</v>
      </c>
      <c r="J767" s="1" t="s">
        <v>14</v>
      </c>
      <c r="K767" s="1">
        <v>0</v>
      </c>
      <c r="L767" s="1" t="s">
        <v>15</v>
      </c>
      <c r="M767" s="1" t="str">
        <f t="shared" si="11"/>
        <v>Consistent</v>
      </c>
      <c r="N767" s="1" t="str">
        <f>_xlfn.XLOOKUP(H767, risk_score!A:A, risk_score!B:B, 0)</f>
        <v>Low Risk</v>
      </c>
    </row>
    <row r="768" spans="1:14">
      <c r="A768" s="2">
        <v>0.46113425925925927</v>
      </c>
      <c r="B768" s="3">
        <v>44841</v>
      </c>
      <c r="C768" s="1">
        <v>1378784400</v>
      </c>
      <c r="D768" s="1">
        <v>954066234</v>
      </c>
      <c r="E768" s="1">
        <v>6098</v>
      </c>
      <c r="F768" s="1" t="s">
        <v>12</v>
      </c>
      <c r="G768" s="1" t="s">
        <v>12</v>
      </c>
      <c r="H768" s="1" t="s">
        <v>13</v>
      </c>
      <c r="I768" s="1" t="s">
        <v>13</v>
      </c>
      <c r="J768" s="1" t="s">
        <v>20</v>
      </c>
      <c r="K768" s="1">
        <v>0</v>
      </c>
      <c r="L768" s="1" t="s">
        <v>19</v>
      </c>
      <c r="M768" s="1" t="str">
        <f t="shared" si="11"/>
        <v>Consistent</v>
      </c>
      <c r="N768" s="1" t="str">
        <f>_xlfn.XLOOKUP(H768, risk_score!A:A, risk_score!B:B, 0)</f>
        <v>Low Risk</v>
      </c>
    </row>
    <row r="769" spans="1:14">
      <c r="A769" s="2">
        <v>0.46113425925925927</v>
      </c>
      <c r="B769" s="3">
        <v>44841</v>
      </c>
      <c r="C769" s="1">
        <v>1435792489</v>
      </c>
      <c r="D769" s="1">
        <v>6250134705</v>
      </c>
      <c r="E769" s="1">
        <v>1391.45</v>
      </c>
      <c r="F769" s="1" t="s">
        <v>12</v>
      </c>
      <c r="G769" s="1" t="s">
        <v>12</v>
      </c>
      <c r="H769" s="1" t="s">
        <v>13</v>
      </c>
      <c r="I769" s="1" t="s">
        <v>13</v>
      </c>
      <c r="J769" s="1" t="s">
        <v>25</v>
      </c>
      <c r="K769" s="1">
        <v>0</v>
      </c>
      <c r="L769" s="1" t="s">
        <v>21</v>
      </c>
      <c r="M769" s="1" t="str">
        <f t="shared" si="11"/>
        <v>Consistent</v>
      </c>
      <c r="N769" s="1" t="str">
        <f>_xlfn.XLOOKUP(H769, risk_score!A:A, risk_score!B:B, 0)</f>
        <v>Low Risk</v>
      </c>
    </row>
    <row r="770" spans="1:14">
      <c r="A770" s="2">
        <v>0.46120370370370373</v>
      </c>
      <c r="B770" s="3">
        <v>44841</v>
      </c>
      <c r="C770" s="1">
        <v>5594636802</v>
      </c>
      <c r="D770" s="1">
        <v>8848119674</v>
      </c>
      <c r="E770" s="1">
        <v>273.22000000000003</v>
      </c>
      <c r="F770" s="1" t="s">
        <v>12</v>
      </c>
      <c r="G770" s="1" t="s">
        <v>12</v>
      </c>
      <c r="H770" s="1" t="s">
        <v>13</v>
      </c>
      <c r="I770" s="1" t="s">
        <v>13</v>
      </c>
      <c r="J770" s="1" t="s">
        <v>25</v>
      </c>
      <c r="K770" s="1">
        <v>0</v>
      </c>
      <c r="L770" s="1" t="s">
        <v>21</v>
      </c>
      <c r="M770" s="1" t="str">
        <f t="shared" si="11"/>
        <v>Consistent</v>
      </c>
      <c r="N770" s="1" t="str">
        <f>_xlfn.XLOOKUP(H770, risk_score!A:A, risk_score!B:B, 0)</f>
        <v>Low Risk</v>
      </c>
    </row>
    <row r="771" spans="1:14">
      <c r="A771" s="2">
        <v>0.46120370370370373</v>
      </c>
      <c r="B771" s="3">
        <v>44841</v>
      </c>
      <c r="C771" s="1">
        <v>8813806690</v>
      </c>
      <c r="D771" s="1">
        <v>5708936901</v>
      </c>
      <c r="E771" s="1">
        <v>10140.98</v>
      </c>
      <c r="F771" s="1" t="s">
        <v>12</v>
      </c>
      <c r="G771" s="1" t="s">
        <v>12</v>
      </c>
      <c r="H771" s="1" t="s">
        <v>13</v>
      </c>
      <c r="I771" s="1" t="s">
        <v>13</v>
      </c>
      <c r="J771" s="1" t="s">
        <v>22</v>
      </c>
      <c r="K771" s="1">
        <v>0</v>
      </c>
      <c r="L771" s="1" t="s">
        <v>23</v>
      </c>
      <c r="M771" s="1" t="str">
        <f t="shared" ref="M771:M834" si="12">IF(F771=G771, "Consistent", "Potential Layering")</f>
        <v>Consistent</v>
      </c>
      <c r="N771" s="1" t="str">
        <f>_xlfn.XLOOKUP(H771, risk_score!A:A, risk_score!B:B, 0)</f>
        <v>Low Risk</v>
      </c>
    </row>
    <row r="772" spans="1:14">
      <c r="A772" s="2">
        <v>0.46121527777777777</v>
      </c>
      <c r="B772" s="3">
        <v>44841</v>
      </c>
      <c r="C772" s="1">
        <v>8413340671</v>
      </c>
      <c r="D772" s="1">
        <v>2138505015</v>
      </c>
      <c r="E772" s="1">
        <v>6691.95</v>
      </c>
      <c r="F772" s="1" t="s">
        <v>12</v>
      </c>
      <c r="G772" s="1" t="s">
        <v>16</v>
      </c>
      <c r="H772" s="1" t="s">
        <v>13</v>
      </c>
      <c r="I772" s="1" t="s">
        <v>17</v>
      </c>
      <c r="J772" s="1" t="s">
        <v>18</v>
      </c>
      <c r="K772" s="1">
        <v>0</v>
      </c>
      <c r="L772" s="1" t="s">
        <v>23</v>
      </c>
      <c r="M772" s="1" t="str">
        <f t="shared" si="12"/>
        <v>Potential Layering</v>
      </c>
      <c r="N772" s="1" t="str">
        <f>_xlfn.XLOOKUP(H772, risk_score!A:A, risk_score!B:B, 0)</f>
        <v>Low Risk</v>
      </c>
    </row>
    <row r="773" spans="1:14">
      <c r="A773" s="2">
        <v>0.46121527777777777</v>
      </c>
      <c r="B773" s="3">
        <v>44841</v>
      </c>
      <c r="C773" s="1">
        <v>3306225869</v>
      </c>
      <c r="D773" s="1">
        <v>3938282574</v>
      </c>
      <c r="E773" s="1">
        <v>2384.1999999999998</v>
      </c>
      <c r="F773" s="1" t="s">
        <v>12</v>
      </c>
      <c r="G773" s="1" t="s">
        <v>12</v>
      </c>
      <c r="H773" s="1" t="s">
        <v>13</v>
      </c>
      <c r="I773" s="1" t="s">
        <v>13</v>
      </c>
      <c r="J773" s="1" t="s">
        <v>27</v>
      </c>
      <c r="K773" s="1">
        <v>0</v>
      </c>
      <c r="L773" s="1" t="s">
        <v>38</v>
      </c>
      <c r="M773" s="1" t="str">
        <f t="shared" si="12"/>
        <v>Consistent</v>
      </c>
      <c r="N773" s="1" t="str">
        <f>_xlfn.XLOOKUP(H773, risk_score!A:A, risk_score!B:B, 0)</f>
        <v>Low Risk</v>
      </c>
    </row>
    <row r="774" spans="1:14">
      <c r="A774" s="2">
        <v>0.4612384259259259</v>
      </c>
      <c r="B774" s="3">
        <v>44841</v>
      </c>
      <c r="C774" s="1">
        <v>3709430533</v>
      </c>
      <c r="D774" s="1">
        <v>8716511495</v>
      </c>
      <c r="E774" s="1">
        <v>9839.01</v>
      </c>
      <c r="F774" s="1" t="s">
        <v>12</v>
      </c>
      <c r="G774" s="1" t="s">
        <v>12</v>
      </c>
      <c r="H774" s="1" t="s">
        <v>13</v>
      </c>
      <c r="I774" s="1" t="s">
        <v>13</v>
      </c>
      <c r="J774" s="1" t="s">
        <v>27</v>
      </c>
      <c r="K774" s="1">
        <v>0</v>
      </c>
      <c r="L774" s="1" t="s">
        <v>19</v>
      </c>
      <c r="M774" s="1" t="str">
        <f t="shared" si="12"/>
        <v>Consistent</v>
      </c>
      <c r="N774" s="1" t="str">
        <f>_xlfn.XLOOKUP(H774, risk_score!A:A, risk_score!B:B, 0)</f>
        <v>Low Risk</v>
      </c>
    </row>
    <row r="775" spans="1:14">
      <c r="A775" s="2">
        <v>0.46126157407407409</v>
      </c>
      <c r="B775" s="3">
        <v>44841</v>
      </c>
      <c r="C775" s="1">
        <v>2657142247</v>
      </c>
      <c r="D775" s="1">
        <v>4908949299</v>
      </c>
      <c r="E775" s="1">
        <v>5521.9</v>
      </c>
      <c r="F775" s="1" t="s">
        <v>12</v>
      </c>
      <c r="G775" s="1" t="s">
        <v>12</v>
      </c>
      <c r="H775" s="1" t="s">
        <v>13</v>
      </c>
      <c r="I775" s="1" t="s">
        <v>13</v>
      </c>
      <c r="J775" s="1" t="s">
        <v>22</v>
      </c>
      <c r="K775" s="1">
        <v>0</v>
      </c>
      <c r="L775" s="1" t="s">
        <v>24</v>
      </c>
      <c r="M775" s="1" t="str">
        <f t="shared" si="12"/>
        <v>Consistent</v>
      </c>
      <c r="N775" s="1" t="str">
        <f>_xlfn.XLOOKUP(H775, risk_score!A:A, risk_score!B:B, 0)</f>
        <v>Low Risk</v>
      </c>
    </row>
    <row r="776" spans="1:14">
      <c r="A776" s="2">
        <v>0.46129629629629632</v>
      </c>
      <c r="B776" s="3">
        <v>44841</v>
      </c>
      <c r="C776" s="1">
        <v>1369330563</v>
      </c>
      <c r="D776" s="1">
        <v>6103470421</v>
      </c>
      <c r="E776" s="1">
        <v>54.46</v>
      </c>
      <c r="F776" s="1" t="s">
        <v>12</v>
      </c>
      <c r="G776" s="1" t="s">
        <v>12</v>
      </c>
      <c r="H776" s="1" t="s">
        <v>13</v>
      </c>
      <c r="I776" s="1" t="s">
        <v>13</v>
      </c>
      <c r="J776" s="1" t="s">
        <v>27</v>
      </c>
      <c r="K776" s="1">
        <v>0</v>
      </c>
      <c r="L776" s="1" t="s">
        <v>21</v>
      </c>
      <c r="M776" s="1" t="str">
        <f t="shared" si="12"/>
        <v>Consistent</v>
      </c>
      <c r="N776" s="1" t="str">
        <f>_xlfn.XLOOKUP(H776, risk_score!A:A, risk_score!B:B, 0)</f>
        <v>Low Risk</v>
      </c>
    </row>
    <row r="777" spans="1:14">
      <c r="A777" s="2">
        <v>0.46130787037037035</v>
      </c>
      <c r="B777" s="3">
        <v>44841</v>
      </c>
      <c r="C777" s="1">
        <v>156152202</v>
      </c>
      <c r="D777" s="1">
        <v>7270050124</v>
      </c>
      <c r="E777" s="1">
        <v>63.52</v>
      </c>
      <c r="F777" s="1" t="s">
        <v>12</v>
      </c>
      <c r="G777" s="1" t="s">
        <v>12</v>
      </c>
      <c r="H777" s="1" t="s">
        <v>13</v>
      </c>
      <c r="I777" s="1" t="s">
        <v>13</v>
      </c>
      <c r="J777" s="1" t="s">
        <v>20</v>
      </c>
      <c r="K777" s="1">
        <v>0</v>
      </c>
      <c r="L777" s="1" t="s">
        <v>21</v>
      </c>
      <c r="M777" s="1" t="str">
        <f t="shared" si="12"/>
        <v>Consistent</v>
      </c>
      <c r="N777" s="1" t="str">
        <f>_xlfn.XLOOKUP(H777, risk_score!A:A, risk_score!B:B, 0)</f>
        <v>Low Risk</v>
      </c>
    </row>
    <row r="778" spans="1:14">
      <c r="A778" s="2">
        <v>0.46131944444444445</v>
      </c>
      <c r="B778" s="3">
        <v>44841</v>
      </c>
      <c r="C778" s="1">
        <v>8915239131</v>
      </c>
      <c r="D778" s="1">
        <v>5794452933</v>
      </c>
      <c r="E778" s="1">
        <v>2313.9899999999998</v>
      </c>
      <c r="F778" s="1" t="s">
        <v>12</v>
      </c>
      <c r="G778" s="1" t="s">
        <v>12</v>
      </c>
      <c r="H778" s="1" t="s">
        <v>13</v>
      </c>
      <c r="I778" s="1" t="s">
        <v>13</v>
      </c>
      <c r="J778" s="1" t="s">
        <v>27</v>
      </c>
      <c r="K778" s="1">
        <v>0</v>
      </c>
      <c r="L778" s="1" t="s">
        <v>24</v>
      </c>
      <c r="M778" s="1" t="str">
        <f t="shared" si="12"/>
        <v>Consistent</v>
      </c>
      <c r="N778" s="1" t="str">
        <f>_xlfn.XLOOKUP(H778, risk_score!A:A, risk_score!B:B, 0)</f>
        <v>Low Risk</v>
      </c>
    </row>
    <row r="779" spans="1:14">
      <c r="A779" s="2">
        <v>0.46135416666666668</v>
      </c>
      <c r="B779" s="3">
        <v>44841</v>
      </c>
      <c r="C779" s="1">
        <v>4723297015</v>
      </c>
      <c r="D779" s="1">
        <v>427988865</v>
      </c>
      <c r="E779" s="1">
        <v>17378.39</v>
      </c>
      <c r="F779" s="1" t="s">
        <v>12</v>
      </c>
      <c r="G779" s="1" t="s">
        <v>12</v>
      </c>
      <c r="H779" s="1" t="s">
        <v>13</v>
      </c>
      <c r="I779" s="1" t="s">
        <v>13</v>
      </c>
      <c r="J779" s="1" t="s">
        <v>22</v>
      </c>
      <c r="K779" s="1">
        <v>0</v>
      </c>
      <c r="L779" s="1" t="s">
        <v>38</v>
      </c>
      <c r="M779" s="1" t="str">
        <f t="shared" si="12"/>
        <v>Consistent</v>
      </c>
      <c r="N779" s="1" t="str">
        <f>_xlfn.XLOOKUP(H779, risk_score!A:A, risk_score!B:B, 0)</f>
        <v>Low Risk</v>
      </c>
    </row>
    <row r="780" spans="1:14">
      <c r="A780" s="2">
        <v>0.46137731481481481</v>
      </c>
      <c r="B780" s="3">
        <v>44841</v>
      </c>
      <c r="C780" s="1">
        <v>7924551009</v>
      </c>
      <c r="D780" s="1">
        <v>7199625988</v>
      </c>
      <c r="E780" s="1">
        <v>15772.75</v>
      </c>
      <c r="F780" s="1" t="s">
        <v>12</v>
      </c>
      <c r="G780" s="1" t="s">
        <v>12</v>
      </c>
      <c r="H780" s="1" t="s">
        <v>13</v>
      </c>
      <c r="I780" s="1" t="s">
        <v>13</v>
      </c>
      <c r="J780" s="1" t="s">
        <v>22</v>
      </c>
      <c r="K780" s="1">
        <v>0</v>
      </c>
      <c r="L780" s="1" t="s">
        <v>23</v>
      </c>
      <c r="M780" s="1" t="str">
        <f t="shared" si="12"/>
        <v>Consistent</v>
      </c>
      <c r="N780" s="1" t="str">
        <f>_xlfn.XLOOKUP(H780, risk_score!A:A, risk_score!B:B, 0)</f>
        <v>Low Risk</v>
      </c>
    </row>
    <row r="781" spans="1:14">
      <c r="A781" s="2">
        <v>0.46140046296296294</v>
      </c>
      <c r="B781" s="3">
        <v>44841</v>
      </c>
      <c r="C781" s="1">
        <v>7421451752</v>
      </c>
      <c r="D781" s="1">
        <v>4009702480</v>
      </c>
      <c r="E781" s="1">
        <v>12627.54</v>
      </c>
      <c r="F781" s="1" t="s">
        <v>12</v>
      </c>
      <c r="G781" s="1" t="s">
        <v>12</v>
      </c>
      <c r="H781" s="1" t="s">
        <v>13</v>
      </c>
      <c r="I781" s="1" t="s">
        <v>13</v>
      </c>
      <c r="J781" s="1" t="s">
        <v>27</v>
      </c>
      <c r="K781" s="1">
        <v>0</v>
      </c>
      <c r="L781" s="1" t="s">
        <v>19</v>
      </c>
      <c r="M781" s="1" t="str">
        <f t="shared" si="12"/>
        <v>Consistent</v>
      </c>
      <c r="N781" s="1" t="str">
        <f>_xlfn.XLOOKUP(H781, risk_score!A:A, risk_score!B:B, 0)</f>
        <v>Low Risk</v>
      </c>
    </row>
    <row r="782" spans="1:14">
      <c r="A782" s="2">
        <v>0.46141203703703704</v>
      </c>
      <c r="B782" s="3">
        <v>44841</v>
      </c>
      <c r="C782" s="1">
        <v>1048749723</v>
      </c>
      <c r="D782" s="1">
        <v>2284498805</v>
      </c>
      <c r="E782" s="1">
        <v>6084.07</v>
      </c>
      <c r="F782" s="1" t="s">
        <v>12</v>
      </c>
      <c r="G782" s="1" t="s">
        <v>12</v>
      </c>
      <c r="H782" s="1" t="s">
        <v>13</v>
      </c>
      <c r="I782" s="1" t="s">
        <v>13</v>
      </c>
      <c r="J782" s="1" t="s">
        <v>27</v>
      </c>
      <c r="K782" s="1">
        <v>0</v>
      </c>
      <c r="L782" s="1" t="s">
        <v>24</v>
      </c>
      <c r="M782" s="1" t="str">
        <f t="shared" si="12"/>
        <v>Consistent</v>
      </c>
      <c r="N782" s="1" t="str">
        <f>_xlfn.XLOOKUP(H782, risk_score!A:A, risk_score!B:B, 0)</f>
        <v>Low Risk</v>
      </c>
    </row>
    <row r="783" spans="1:14">
      <c r="A783" s="2">
        <v>0.46142361111111113</v>
      </c>
      <c r="B783" s="3">
        <v>44841</v>
      </c>
      <c r="C783" s="1">
        <v>577171151</v>
      </c>
      <c r="D783" s="1">
        <v>9073695759</v>
      </c>
      <c r="E783" s="1">
        <v>5690.55</v>
      </c>
      <c r="F783" s="1" t="s">
        <v>12</v>
      </c>
      <c r="G783" s="1" t="s">
        <v>12</v>
      </c>
      <c r="H783" s="1" t="s">
        <v>13</v>
      </c>
      <c r="I783" s="1" t="s">
        <v>13</v>
      </c>
      <c r="J783" s="1" t="s">
        <v>25</v>
      </c>
      <c r="K783" s="1">
        <v>0</v>
      </c>
      <c r="L783" s="1" t="s">
        <v>21</v>
      </c>
      <c r="M783" s="1" t="str">
        <f t="shared" si="12"/>
        <v>Consistent</v>
      </c>
      <c r="N783" s="1" t="str">
        <f>_xlfn.XLOOKUP(H783, risk_score!A:A, risk_score!B:B, 0)</f>
        <v>Low Risk</v>
      </c>
    </row>
    <row r="784" spans="1:14">
      <c r="A784" s="2">
        <v>0.46143518518518517</v>
      </c>
      <c r="B784" s="3">
        <v>44841</v>
      </c>
      <c r="C784" s="1">
        <v>3609538292</v>
      </c>
      <c r="D784" s="1">
        <v>4376282024</v>
      </c>
      <c r="E784" s="1">
        <v>2115.2399999999998</v>
      </c>
      <c r="F784" s="1" t="s">
        <v>12</v>
      </c>
      <c r="G784" s="1" t="s">
        <v>12</v>
      </c>
      <c r="H784" s="1" t="s">
        <v>13</v>
      </c>
      <c r="I784" s="1" t="s">
        <v>13</v>
      </c>
      <c r="J784" s="1" t="s">
        <v>20</v>
      </c>
      <c r="K784" s="1">
        <v>0</v>
      </c>
      <c r="L784" s="1" t="s">
        <v>21</v>
      </c>
      <c r="M784" s="1" t="str">
        <f t="shared" si="12"/>
        <v>Consistent</v>
      </c>
      <c r="N784" s="1" t="str">
        <f>_xlfn.XLOOKUP(H784, risk_score!A:A, risk_score!B:B, 0)</f>
        <v>Low Risk</v>
      </c>
    </row>
    <row r="785" spans="1:14">
      <c r="A785" s="2">
        <v>0.4614699074074074</v>
      </c>
      <c r="B785" s="3">
        <v>44841</v>
      </c>
      <c r="C785" s="1">
        <v>8147726877</v>
      </c>
      <c r="D785" s="1">
        <v>6646502650</v>
      </c>
      <c r="E785" s="1">
        <v>11952.02</v>
      </c>
      <c r="F785" s="1" t="s">
        <v>12</v>
      </c>
      <c r="G785" s="1" t="s">
        <v>29</v>
      </c>
      <c r="H785" s="1" t="s">
        <v>13</v>
      </c>
      <c r="I785" s="1" t="s">
        <v>31</v>
      </c>
      <c r="J785" s="1" t="s">
        <v>18</v>
      </c>
      <c r="K785" s="1">
        <v>0</v>
      </c>
      <c r="L785" s="1" t="s">
        <v>23</v>
      </c>
      <c r="M785" s="1" t="str">
        <f t="shared" si="12"/>
        <v>Potential Layering</v>
      </c>
      <c r="N785" s="1" t="str">
        <f>_xlfn.XLOOKUP(H785, risk_score!A:A, risk_score!B:B, 0)</f>
        <v>Low Risk</v>
      </c>
    </row>
    <row r="786" spans="1:14">
      <c r="A786" s="2">
        <v>0.46152777777777776</v>
      </c>
      <c r="B786" s="3">
        <v>44841</v>
      </c>
      <c r="C786" s="1">
        <v>7669236826</v>
      </c>
      <c r="D786" s="1">
        <v>6127165731</v>
      </c>
      <c r="E786" s="1">
        <v>10927.97</v>
      </c>
      <c r="F786" s="1" t="s">
        <v>12</v>
      </c>
      <c r="G786" s="1" t="s">
        <v>12</v>
      </c>
      <c r="H786" s="1" t="s">
        <v>13</v>
      </c>
      <c r="I786" s="1" t="s">
        <v>13</v>
      </c>
      <c r="J786" s="1" t="s">
        <v>20</v>
      </c>
      <c r="K786" s="1">
        <v>0</v>
      </c>
      <c r="L786" s="1" t="s">
        <v>19</v>
      </c>
      <c r="M786" s="1" t="str">
        <f t="shared" si="12"/>
        <v>Consistent</v>
      </c>
      <c r="N786" s="1" t="str">
        <f>_xlfn.XLOOKUP(H786, risk_score!A:A, risk_score!B:B, 0)</f>
        <v>Low Risk</v>
      </c>
    </row>
    <row r="787" spans="1:14">
      <c r="A787" s="2">
        <v>0.46152777777777776</v>
      </c>
      <c r="B787" s="3">
        <v>44841</v>
      </c>
      <c r="C787" s="1">
        <v>8169244844</v>
      </c>
      <c r="D787" s="1">
        <v>8440532770</v>
      </c>
      <c r="E787" s="1">
        <v>11718.07</v>
      </c>
      <c r="F787" s="1" t="s">
        <v>12</v>
      </c>
      <c r="G787" s="1" t="s">
        <v>12</v>
      </c>
      <c r="H787" s="1" t="s">
        <v>13</v>
      </c>
      <c r="I787" s="1" t="s">
        <v>13</v>
      </c>
      <c r="J787" s="1" t="s">
        <v>20</v>
      </c>
      <c r="K787" s="1">
        <v>0</v>
      </c>
      <c r="L787" s="1" t="s">
        <v>21</v>
      </c>
      <c r="M787" s="1" t="str">
        <f t="shared" si="12"/>
        <v>Consistent</v>
      </c>
      <c r="N787" s="1" t="str">
        <f>_xlfn.XLOOKUP(H787, risk_score!A:A, risk_score!B:B, 0)</f>
        <v>Low Risk</v>
      </c>
    </row>
    <row r="788" spans="1:14">
      <c r="A788" s="2">
        <v>0.46156249999999999</v>
      </c>
      <c r="B788" s="3">
        <v>44841</v>
      </c>
      <c r="C788" s="1">
        <v>3511049612</v>
      </c>
      <c r="D788" s="1">
        <v>5143081994</v>
      </c>
      <c r="E788" s="1">
        <v>3201.9</v>
      </c>
      <c r="F788" s="1" t="s">
        <v>12</v>
      </c>
      <c r="G788" s="1" t="s">
        <v>12</v>
      </c>
      <c r="H788" s="1" t="s">
        <v>13</v>
      </c>
      <c r="I788" s="1" t="s">
        <v>13</v>
      </c>
      <c r="J788" s="1" t="s">
        <v>27</v>
      </c>
      <c r="K788" s="1">
        <v>0</v>
      </c>
      <c r="L788" s="1" t="s">
        <v>21</v>
      </c>
      <c r="M788" s="1" t="str">
        <f t="shared" si="12"/>
        <v>Consistent</v>
      </c>
      <c r="N788" s="1" t="str">
        <f>_xlfn.XLOOKUP(H788, risk_score!A:A, risk_score!B:B, 0)</f>
        <v>Low Risk</v>
      </c>
    </row>
    <row r="789" spans="1:14">
      <c r="A789" s="2">
        <v>0.46163194444444444</v>
      </c>
      <c r="B789" s="3">
        <v>44841</v>
      </c>
      <c r="C789" s="1">
        <v>7494507251</v>
      </c>
      <c r="D789" s="1">
        <v>8822137236</v>
      </c>
      <c r="E789" s="1">
        <v>6749.11</v>
      </c>
      <c r="F789" s="1" t="s">
        <v>12</v>
      </c>
      <c r="G789" s="1" t="s">
        <v>12</v>
      </c>
      <c r="H789" s="1" t="s">
        <v>13</v>
      </c>
      <c r="I789" s="1" t="s">
        <v>13</v>
      </c>
      <c r="J789" s="1" t="s">
        <v>22</v>
      </c>
      <c r="K789" s="1">
        <v>0</v>
      </c>
      <c r="L789" s="1" t="s">
        <v>24</v>
      </c>
      <c r="M789" s="1" t="str">
        <f t="shared" si="12"/>
        <v>Consistent</v>
      </c>
      <c r="N789" s="1" t="str">
        <f>_xlfn.XLOOKUP(H789, risk_score!A:A, risk_score!B:B, 0)</f>
        <v>Low Risk</v>
      </c>
    </row>
    <row r="790" spans="1:14">
      <c r="A790" s="2">
        <v>0.46165509259259258</v>
      </c>
      <c r="B790" s="3">
        <v>44841</v>
      </c>
      <c r="C790" s="1">
        <v>6360797080</v>
      </c>
      <c r="D790" s="1">
        <v>6538530185</v>
      </c>
      <c r="E790" s="1">
        <v>17020.3</v>
      </c>
      <c r="F790" s="1" t="s">
        <v>12</v>
      </c>
      <c r="G790" s="1" t="s">
        <v>12</v>
      </c>
      <c r="H790" s="1" t="s">
        <v>13</v>
      </c>
      <c r="I790" s="1" t="s">
        <v>13</v>
      </c>
      <c r="J790" s="1" t="s">
        <v>27</v>
      </c>
      <c r="K790" s="1">
        <v>0</v>
      </c>
      <c r="L790" s="1" t="s">
        <v>49</v>
      </c>
      <c r="M790" s="1" t="str">
        <f t="shared" si="12"/>
        <v>Consistent</v>
      </c>
      <c r="N790" s="1" t="str">
        <f>_xlfn.XLOOKUP(H790, risk_score!A:A, risk_score!B:B, 0)</f>
        <v>Low Risk</v>
      </c>
    </row>
    <row r="791" spans="1:14">
      <c r="A791" s="2">
        <v>0.46172453703703703</v>
      </c>
      <c r="B791" s="3">
        <v>44841</v>
      </c>
      <c r="C791" s="1">
        <v>1137597187</v>
      </c>
      <c r="D791" s="1">
        <v>7220811519</v>
      </c>
      <c r="E791" s="1">
        <v>26513.17</v>
      </c>
      <c r="F791" s="1" t="s">
        <v>12</v>
      </c>
      <c r="G791" s="1" t="s">
        <v>12</v>
      </c>
      <c r="H791" s="1" t="s">
        <v>13</v>
      </c>
      <c r="I791" s="1" t="s">
        <v>13</v>
      </c>
      <c r="J791" s="1" t="s">
        <v>20</v>
      </c>
      <c r="K791" s="1">
        <v>0</v>
      </c>
      <c r="L791" s="1" t="s">
        <v>58</v>
      </c>
      <c r="M791" s="1" t="str">
        <f t="shared" si="12"/>
        <v>Consistent</v>
      </c>
      <c r="N791" s="1" t="str">
        <f>_xlfn.XLOOKUP(H791, risk_score!A:A, risk_score!B:B, 0)</f>
        <v>Low Risk</v>
      </c>
    </row>
    <row r="792" spans="1:14">
      <c r="A792" s="2">
        <v>0.46180555555555558</v>
      </c>
      <c r="B792" s="3">
        <v>44841</v>
      </c>
      <c r="C792" s="1">
        <v>1245737583</v>
      </c>
      <c r="D792" s="1">
        <v>1980198120</v>
      </c>
      <c r="E792" s="1">
        <v>1702.04</v>
      </c>
      <c r="F792" s="1" t="s">
        <v>12</v>
      </c>
      <c r="G792" s="1" t="s">
        <v>12</v>
      </c>
      <c r="H792" s="1" t="s">
        <v>13</v>
      </c>
      <c r="I792" s="1" t="s">
        <v>13</v>
      </c>
      <c r="J792" s="1" t="s">
        <v>14</v>
      </c>
      <c r="K792" s="1">
        <v>0</v>
      </c>
      <c r="L792" s="1" t="s">
        <v>15</v>
      </c>
      <c r="M792" s="1" t="str">
        <f t="shared" si="12"/>
        <v>Consistent</v>
      </c>
      <c r="N792" s="1" t="str">
        <f>_xlfn.XLOOKUP(H792, risk_score!A:A, risk_score!B:B, 0)</f>
        <v>Low Risk</v>
      </c>
    </row>
    <row r="793" spans="1:14">
      <c r="A793" s="2">
        <v>0.46181712962962962</v>
      </c>
      <c r="B793" s="3">
        <v>44841</v>
      </c>
      <c r="C793" s="1">
        <v>5444712556</v>
      </c>
      <c r="D793" s="1">
        <v>7199625988</v>
      </c>
      <c r="E793" s="1">
        <v>9033.5400000000009</v>
      </c>
      <c r="F793" s="1" t="s">
        <v>12</v>
      </c>
      <c r="G793" s="1" t="s">
        <v>12</v>
      </c>
      <c r="H793" s="1" t="s">
        <v>13</v>
      </c>
      <c r="I793" s="1" t="s">
        <v>13</v>
      </c>
      <c r="J793" s="1" t="s">
        <v>25</v>
      </c>
      <c r="K793" s="1">
        <v>0</v>
      </c>
      <c r="L793" s="1" t="s">
        <v>23</v>
      </c>
      <c r="M793" s="1" t="str">
        <f t="shared" si="12"/>
        <v>Consistent</v>
      </c>
      <c r="N793" s="1" t="str">
        <f>_xlfn.XLOOKUP(H793, risk_score!A:A, risk_score!B:B, 0)</f>
        <v>Low Risk</v>
      </c>
    </row>
    <row r="794" spans="1:14">
      <c r="A794" s="2">
        <v>0.46189814814814817</v>
      </c>
      <c r="B794" s="3">
        <v>44841</v>
      </c>
      <c r="C794" s="1">
        <v>7758268667</v>
      </c>
      <c r="D794" s="1">
        <v>8969112643</v>
      </c>
      <c r="E794" s="1">
        <v>13703.33</v>
      </c>
      <c r="F794" s="1" t="s">
        <v>12</v>
      </c>
      <c r="G794" s="1" t="s">
        <v>12</v>
      </c>
      <c r="H794" s="1" t="s">
        <v>13</v>
      </c>
      <c r="I794" s="1" t="s">
        <v>13</v>
      </c>
      <c r="J794" s="1" t="s">
        <v>25</v>
      </c>
      <c r="K794" s="1">
        <v>0</v>
      </c>
      <c r="L794" s="1" t="s">
        <v>19</v>
      </c>
      <c r="M794" s="1" t="str">
        <f t="shared" si="12"/>
        <v>Consistent</v>
      </c>
      <c r="N794" s="1" t="str">
        <f>_xlfn.XLOOKUP(H794, risk_score!A:A, risk_score!B:B, 0)</f>
        <v>Low Risk</v>
      </c>
    </row>
    <row r="795" spans="1:14">
      <c r="A795" s="2">
        <v>0.4619212962962963</v>
      </c>
      <c r="B795" s="3">
        <v>44841</v>
      </c>
      <c r="C795" s="1">
        <v>3580819562</v>
      </c>
      <c r="D795" s="1">
        <v>5109623450</v>
      </c>
      <c r="E795" s="1">
        <v>13555.32</v>
      </c>
      <c r="F795" s="1" t="s">
        <v>12</v>
      </c>
      <c r="G795" s="1" t="s">
        <v>12</v>
      </c>
      <c r="H795" s="1" t="s">
        <v>13</v>
      </c>
      <c r="I795" s="1" t="s">
        <v>13</v>
      </c>
      <c r="J795" s="1" t="s">
        <v>25</v>
      </c>
      <c r="K795" s="1">
        <v>0</v>
      </c>
      <c r="L795" s="1" t="s">
        <v>23</v>
      </c>
      <c r="M795" s="1" t="str">
        <f t="shared" si="12"/>
        <v>Consistent</v>
      </c>
      <c r="N795" s="1" t="str">
        <f>_xlfn.XLOOKUP(H795, risk_score!A:A, risk_score!B:B, 0)</f>
        <v>Low Risk</v>
      </c>
    </row>
    <row r="796" spans="1:14">
      <c r="A796" s="2">
        <v>0.4619212962962963</v>
      </c>
      <c r="B796" s="3">
        <v>44841</v>
      </c>
      <c r="C796" s="1">
        <v>3262760251</v>
      </c>
      <c r="D796" s="1">
        <v>3695545812</v>
      </c>
      <c r="E796" s="1">
        <v>20705.939999999999</v>
      </c>
      <c r="F796" s="1" t="s">
        <v>12</v>
      </c>
      <c r="G796" s="1" t="s">
        <v>12</v>
      </c>
      <c r="H796" s="1" t="s">
        <v>13</v>
      </c>
      <c r="I796" s="1" t="s">
        <v>13</v>
      </c>
      <c r="J796" s="1" t="s">
        <v>27</v>
      </c>
      <c r="K796" s="1">
        <v>0</v>
      </c>
      <c r="L796" s="1" t="s">
        <v>23</v>
      </c>
      <c r="M796" s="1" t="str">
        <f t="shared" si="12"/>
        <v>Consistent</v>
      </c>
      <c r="N796" s="1" t="str">
        <f>_xlfn.XLOOKUP(H796, risk_score!A:A, risk_score!B:B, 0)</f>
        <v>Low Risk</v>
      </c>
    </row>
    <row r="797" spans="1:14">
      <c r="A797" s="2">
        <v>0.4619328703703704</v>
      </c>
      <c r="B797" s="3">
        <v>44841</v>
      </c>
      <c r="C797" s="1">
        <v>9285607046</v>
      </c>
      <c r="D797" s="1">
        <v>7978449239</v>
      </c>
      <c r="E797" s="1">
        <v>4895.25</v>
      </c>
      <c r="F797" s="1" t="s">
        <v>12</v>
      </c>
      <c r="G797" s="1" t="s">
        <v>12</v>
      </c>
      <c r="H797" s="1" t="s">
        <v>13</v>
      </c>
      <c r="I797" s="1" t="s">
        <v>13</v>
      </c>
      <c r="J797" s="1" t="s">
        <v>14</v>
      </c>
      <c r="K797" s="1">
        <v>0</v>
      </c>
      <c r="L797" s="1" t="s">
        <v>15</v>
      </c>
      <c r="M797" s="1" t="str">
        <f t="shared" si="12"/>
        <v>Consistent</v>
      </c>
      <c r="N797" s="1" t="str">
        <f>_xlfn.XLOOKUP(H797, risk_score!A:A, risk_score!B:B, 0)</f>
        <v>Low Risk</v>
      </c>
    </row>
    <row r="798" spans="1:14">
      <c r="A798" s="2">
        <v>0.46195601851851853</v>
      </c>
      <c r="B798" s="3">
        <v>44841</v>
      </c>
      <c r="C798" s="1">
        <v>9880098011</v>
      </c>
      <c r="D798" s="1">
        <v>7892884492</v>
      </c>
      <c r="E798" s="1">
        <v>16738.96</v>
      </c>
      <c r="F798" s="1" t="s">
        <v>12</v>
      </c>
      <c r="G798" s="1" t="s">
        <v>32</v>
      </c>
      <c r="H798" s="1" t="s">
        <v>13</v>
      </c>
      <c r="I798" s="1" t="s">
        <v>33</v>
      </c>
      <c r="J798" s="1" t="s">
        <v>18</v>
      </c>
      <c r="K798" s="1">
        <v>0</v>
      </c>
      <c r="L798" s="1" t="s">
        <v>23</v>
      </c>
      <c r="M798" s="1" t="str">
        <f t="shared" si="12"/>
        <v>Potential Layering</v>
      </c>
      <c r="N798" s="1" t="str">
        <f>_xlfn.XLOOKUP(H798, risk_score!A:A, risk_score!B:B, 0)</f>
        <v>Low Risk</v>
      </c>
    </row>
    <row r="799" spans="1:14">
      <c r="A799" s="2">
        <v>0.46196759259259257</v>
      </c>
      <c r="B799" s="3">
        <v>44841</v>
      </c>
      <c r="C799" s="1">
        <v>8115376099</v>
      </c>
      <c r="D799" s="1">
        <v>1712828717</v>
      </c>
      <c r="E799" s="1">
        <v>11502.02</v>
      </c>
      <c r="F799" s="1" t="s">
        <v>12</v>
      </c>
      <c r="G799" s="1" t="s">
        <v>12</v>
      </c>
      <c r="H799" s="1" t="s">
        <v>13</v>
      </c>
      <c r="I799" s="1" t="s">
        <v>13</v>
      </c>
      <c r="J799" s="1" t="s">
        <v>25</v>
      </c>
      <c r="K799" s="1">
        <v>0</v>
      </c>
      <c r="L799" s="1" t="s">
        <v>24</v>
      </c>
      <c r="M799" s="1" t="str">
        <f t="shared" si="12"/>
        <v>Consistent</v>
      </c>
      <c r="N799" s="1" t="str">
        <f>_xlfn.XLOOKUP(H799, risk_score!A:A, risk_score!B:B, 0)</f>
        <v>Low Risk</v>
      </c>
    </row>
    <row r="800" spans="1:14">
      <c r="A800" s="2">
        <v>0.46209490740740738</v>
      </c>
      <c r="B800" s="3">
        <v>44841</v>
      </c>
      <c r="C800" s="1">
        <v>222127079</v>
      </c>
      <c r="D800" s="1">
        <v>5858369125</v>
      </c>
      <c r="E800" s="1">
        <v>7769.49</v>
      </c>
      <c r="F800" s="1" t="s">
        <v>12</v>
      </c>
      <c r="G800" s="1" t="s">
        <v>12</v>
      </c>
      <c r="H800" s="1" t="s">
        <v>13</v>
      </c>
      <c r="I800" s="1" t="s">
        <v>13</v>
      </c>
      <c r="J800" s="1" t="s">
        <v>27</v>
      </c>
      <c r="K800" s="1">
        <v>0</v>
      </c>
      <c r="L800" s="1" t="s">
        <v>23</v>
      </c>
      <c r="M800" s="1" t="str">
        <f t="shared" si="12"/>
        <v>Consistent</v>
      </c>
      <c r="N800" s="1" t="str">
        <f>_xlfn.XLOOKUP(H800, risk_score!A:A, risk_score!B:B, 0)</f>
        <v>Low Risk</v>
      </c>
    </row>
    <row r="801" spans="1:14">
      <c r="A801" s="2">
        <v>0.46214120370370371</v>
      </c>
      <c r="B801" s="3">
        <v>44841</v>
      </c>
      <c r="C801" s="1">
        <v>7352447338</v>
      </c>
      <c r="D801" s="1">
        <v>156068548</v>
      </c>
      <c r="E801" s="1">
        <v>1021.93</v>
      </c>
      <c r="F801" s="1" t="s">
        <v>12</v>
      </c>
      <c r="G801" s="1" t="s">
        <v>12</v>
      </c>
      <c r="H801" s="1" t="s">
        <v>13</v>
      </c>
      <c r="I801" s="1" t="s">
        <v>13</v>
      </c>
      <c r="J801" s="1" t="s">
        <v>25</v>
      </c>
      <c r="K801" s="1">
        <v>0</v>
      </c>
      <c r="L801" s="1" t="s">
        <v>21</v>
      </c>
      <c r="M801" s="1" t="str">
        <f t="shared" si="12"/>
        <v>Consistent</v>
      </c>
      <c r="N801" s="1" t="str">
        <f>_xlfn.XLOOKUP(H801, risk_score!A:A, risk_score!B:B, 0)</f>
        <v>Low Risk</v>
      </c>
    </row>
    <row r="802" spans="1:14">
      <c r="A802" s="2">
        <v>0.46214120370370371</v>
      </c>
      <c r="B802" s="3">
        <v>44841</v>
      </c>
      <c r="C802" s="1">
        <v>1269968046</v>
      </c>
      <c r="D802" s="1">
        <v>6100571572</v>
      </c>
      <c r="E802" s="1">
        <v>4383.33</v>
      </c>
      <c r="F802" s="1" t="s">
        <v>12</v>
      </c>
      <c r="G802" s="1" t="s">
        <v>12</v>
      </c>
      <c r="H802" s="1" t="s">
        <v>13</v>
      </c>
      <c r="I802" s="1" t="s">
        <v>13</v>
      </c>
      <c r="J802" s="1" t="s">
        <v>22</v>
      </c>
      <c r="K802" s="1">
        <v>0</v>
      </c>
      <c r="L802" s="1" t="s">
        <v>21</v>
      </c>
      <c r="M802" s="1" t="str">
        <f t="shared" si="12"/>
        <v>Consistent</v>
      </c>
      <c r="N802" s="1" t="str">
        <f>_xlfn.XLOOKUP(H802, risk_score!A:A, risk_score!B:B, 0)</f>
        <v>Low Risk</v>
      </c>
    </row>
    <row r="803" spans="1:14">
      <c r="A803" s="2">
        <v>0.4621527777777778</v>
      </c>
      <c r="B803" s="3">
        <v>44841</v>
      </c>
      <c r="C803" s="1">
        <v>6212392715</v>
      </c>
      <c r="D803" s="1">
        <v>8619444777</v>
      </c>
      <c r="E803" s="1">
        <v>17654.09</v>
      </c>
      <c r="F803" s="1" t="s">
        <v>12</v>
      </c>
      <c r="G803" s="1" t="s">
        <v>12</v>
      </c>
      <c r="H803" s="1" t="s">
        <v>13</v>
      </c>
      <c r="I803" s="1" t="s">
        <v>13</v>
      </c>
      <c r="J803" s="1" t="s">
        <v>20</v>
      </c>
      <c r="K803" s="1">
        <v>0</v>
      </c>
      <c r="L803" s="1" t="s">
        <v>38</v>
      </c>
      <c r="M803" s="1" t="str">
        <f t="shared" si="12"/>
        <v>Consistent</v>
      </c>
      <c r="N803" s="1" t="str">
        <f>_xlfn.XLOOKUP(H803, risk_score!A:A, risk_score!B:B, 0)</f>
        <v>Low Risk</v>
      </c>
    </row>
    <row r="804" spans="1:14">
      <c r="A804" s="2">
        <v>0.46217592592592593</v>
      </c>
      <c r="B804" s="3">
        <v>44841</v>
      </c>
      <c r="C804" s="1">
        <v>6148992716</v>
      </c>
      <c r="D804" s="1">
        <v>5628674969</v>
      </c>
      <c r="E804" s="1">
        <v>7385.33</v>
      </c>
      <c r="F804" s="1" t="s">
        <v>12</v>
      </c>
      <c r="G804" s="1" t="s">
        <v>12</v>
      </c>
      <c r="H804" s="1" t="s">
        <v>13</v>
      </c>
      <c r="I804" s="1" t="s">
        <v>13</v>
      </c>
      <c r="J804" s="1" t="s">
        <v>27</v>
      </c>
      <c r="K804" s="1">
        <v>0</v>
      </c>
      <c r="L804" s="1" t="s">
        <v>23</v>
      </c>
      <c r="M804" s="1" t="str">
        <f t="shared" si="12"/>
        <v>Consistent</v>
      </c>
      <c r="N804" s="1" t="str">
        <f>_xlfn.XLOOKUP(H804, risk_score!A:A, risk_score!B:B, 0)</f>
        <v>Low Risk</v>
      </c>
    </row>
    <row r="805" spans="1:14">
      <c r="A805" s="2">
        <v>0.46221064814814816</v>
      </c>
      <c r="B805" s="3">
        <v>44841</v>
      </c>
      <c r="C805" s="1">
        <v>7746588679</v>
      </c>
      <c r="D805" s="1">
        <v>1295640104</v>
      </c>
      <c r="E805" s="1">
        <v>5737.11</v>
      </c>
      <c r="F805" s="1" t="s">
        <v>12</v>
      </c>
      <c r="G805" s="1" t="s">
        <v>12</v>
      </c>
      <c r="H805" s="1" t="s">
        <v>13</v>
      </c>
      <c r="I805" s="1" t="s">
        <v>13</v>
      </c>
      <c r="J805" s="1" t="s">
        <v>27</v>
      </c>
      <c r="K805" s="1">
        <v>0</v>
      </c>
      <c r="L805" s="1" t="s">
        <v>21</v>
      </c>
      <c r="M805" s="1" t="str">
        <f t="shared" si="12"/>
        <v>Consistent</v>
      </c>
      <c r="N805" s="1" t="str">
        <f>_xlfn.XLOOKUP(H805, risk_score!A:A, risk_score!B:B, 0)</f>
        <v>Low Risk</v>
      </c>
    </row>
    <row r="806" spans="1:14">
      <c r="A806" s="2">
        <v>0.46221064814814816</v>
      </c>
      <c r="B806" s="3">
        <v>44841</v>
      </c>
      <c r="C806" s="1">
        <v>5219335403</v>
      </c>
      <c r="D806" s="1">
        <v>336247113</v>
      </c>
      <c r="E806" s="1">
        <v>2040.95</v>
      </c>
      <c r="F806" s="1" t="s">
        <v>12</v>
      </c>
      <c r="G806" s="1" t="s">
        <v>12</v>
      </c>
      <c r="H806" s="1" t="s">
        <v>13</v>
      </c>
      <c r="I806" s="1" t="s">
        <v>13</v>
      </c>
      <c r="J806" s="1" t="s">
        <v>27</v>
      </c>
      <c r="K806" s="1">
        <v>0</v>
      </c>
      <c r="L806" s="1" t="s">
        <v>21</v>
      </c>
      <c r="M806" s="1" t="str">
        <f t="shared" si="12"/>
        <v>Consistent</v>
      </c>
      <c r="N806" s="1" t="str">
        <f>_xlfn.XLOOKUP(H806, risk_score!A:A, risk_score!B:B, 0)</f>
        <v>Low Risk</v>
      </c>
    </row>
    <row r="807" spans="1:14">
      <c r="A807" s="2">
        <v>0.46229166666666666</v>
      </c>
      <c r="B807" s="3">
        <v>44841</v>
      </c>
      <c r="C807" s="1">
        <v>3432619033</v>
      </c>
      <c r="D807" s="1">
        <v>5466123934</v>
      </c>
      <c r="E807" s="1">
        <v>14395.38</v>
      </c>
      <c r="F807" s="1" t="s">
        <v>12</v>
      </c>
      <c r="G807" s="1" t="s">
        <v>12</v>
      </c>
      <c r="H807" s="1" t="s">
        <v>13</v>
      </c>
      <c r="I807" s="1" t="s">
        <v>13</v>
      </c>
      <c r="J807" s="1" t="s">
        <v>20</v>
      </c>
      <c r="K807" s="1">
        <v>0</v>
      </c>
      <c r="L807" s="1" t="s">
        <v>23</v>
      </c>
      <c r="M807" s="1" t="str">
        <f t="shared" si="12"/>
        <v>Consistent</v>
      </c>
      <c r="N807" s="1" t="str">
        <f>_xlfn.XLOOKUP(H807, risk_score!A:A, risk_score!B:B, 0)</f>
        <v>Low Risk</v>
      </c>
    </row>
    <row r="808" spans="1:14">
      <c r="A808" s="2">
        <v>0.46231481481481479</v>
      </c>
      <c r="B808" s="3">
        <v>44841</v>
      </c>
      <c r="C808" s="1">
        <v>9746384104</v>
      </c>
      <c r="D808" s="1">
        <v>8939055432</v>
      </c>
      <c r="E808" s="1">
        <v>4992.63</v>
      </c>
      <c r="F808" s="1" t="s">
        <v>12</v>
      </c>
      <c r="G808" s="1" t="s">
        <v>12</v>
      </c>
      <c r="H808" s="1" t="s">
        <v>13</v>
      </c>
      <c r="I808" s="1" t="s">
        <v>13</v>
      </c>
      <c r="J808" s="1" t="s">
        <v>25</v>
      </c>
      <c r="K808" s="1">
        <v>0</v>
      </c>
      <c r="L808" s="1" t="s">
        <v>19</v>
      </c>
      <c r="M808" s="1" t="str">
        <f t="shared" si="12"/>
        <v>Consistent</v>
      </c>
      <c r="N808" s="1" t="str">
        <f>_xlfn.XLOOKUP(H808, risk_score!A:A, risk_score!B:B, 0)</f>
        <v>Low Risk</v>
      </c>
    </row>
    <row r="809" spans="1:14">
      <c r="A809" s="2">
        <v>0.46231481481481479</v>
      </c>
      <c r="B809" s="3">
        <v>44841</v>
      </c>
      <c r="C809" s="1">
        <v>5054961591</v>
      </c>
      <c r="D809" s="1">
        <v>641750211</v>
      </c>
      <c r="E809" s="1">
        <v>2540.5700000000002</v>
      </c>
      <c r="F809" s="1" t="s">
        <v>12</v>
      </c>
      <c r="G809" s="1" t="s">
        <v>12</v>
      </c>
      <c r="H809" s="1" t="s">
        <v>13</v>
      </c>
      <c r="I809" s="1" t="s">
        <v>13</v>
      </c>
      <c r="J809" s="1" t="s">
        <v>27</v>
      </c>
      <c r="K809" s="1">
        <v>0</v>
      </c>
      <c r="L809" s="1" t="s">
        <v>21</v>
      </c>
      <c r="M809" s="1" t="str">
        <f t="shared" si="12"/>
        <v>Consistent</v>
      </c>
      <c r="N809" s="1" t="str">
        <f>_xlfn.XLOOKUP(H809, risk_score!A:A, risk_score!B:B, 0)</f>
        <v>Low Risk</v>
      </c>
    </row>
    <row r="810" spans="1:14">
      <c r="A810" s="2">
        <v>0.46232638888888888</v>
      </c>
      <c r="B810" s="3">
        <v>44841</v>
      </c>
      <c r="C810" s="1">
        <v>5595927322</v>
      </c>
      <c r="D810" s="1">
        <v>1549422640</v>
      </c>
      <c r="E810" s="1">
        <v>6395.93</v>
      </c>
      <c r="F810" s="1" t="s">
        <v>12</v>
      </c>
      <c r="G810" s="1" t="s">
        <v>12</v>
      </c>
      <c r="H810" s="1" t="s">
        <v>13</v>
      </c>
      <c r="I810" s="1" t="s">
        <v>13</v>
      </c>
      <c r="J810" s="1" t="s">
        <v>27</v>
      </c>
      <c r="K810" s="1">
        <v>0</v>
      </c>
      <c r="L810" s="1" t="s">
        <v>21</v>
      </c>
      <c r="M810" s="1" t="str">
        <f t="shared" si="12"/>
        <v>Consistent</v>
      </c>
      <c r="N810" s="1" t="str">
        <f>_xlfn.XLOOKUP(H810, risk_score!A:A, risk_score!B:B, 0)</f>
        <v>Low Risk</v>
      </c>
    </row>
    <row r="811" spans="1:14">
      <c r="A811" s="2">
        <v>0.46232638888888888</v>
      </c>
      <c r="B811" s="3">
        <v>44841</v>
      </c>
      <c r="C811" s="1">
        <v>4420837597</v>
      </c>
      <c r="D811" s="1">
        <v>3487233690</v>
      </c>
      <c r="E811" s="1">
        <v>32896.269999999997</v>
      </c>
      <c r="F811" s="1" t="s">
        <v>34</v>
      </c>
      <c r="G811" s="1" t="s">
        <v>12</v>
      </c>
      <c r="H811" s="1" t="s">
        <v>13</v>
      </c>
      <c r="I811" s="1" t="s">
        <v>13</v>
      </c>
      <c r="J811" s="1" t="s">
        <v>27</v>
      </c>
      <c r="K811" s="1">
        <v>0</v>
      </c>
      <c r="L811" s="1" t="s">
        <v>21</v>
      </c>
      <c r="M811" s="1" t="str">
        <f t="shared" si="12"/>
        <v>Potential Layering</v>
      </c>
      <c r="N811" s="1" t="str">
        <f>_xlfn.XLOOKUP(H811, risk_score!A:A, risk_score!B:B, 0)</f>
        <v>Low Risk</v>
      </c>
    </row>
    <row r="812" spans="1:14">
      <c r="A812" s="2">
        <v>0.46236111111111111</v>
      </c>
      <c r="B812" s="3">
        <v>44841</v>
      </c>
      <c r="C812" s="1">
        <v>3030213922</v>
      </c>
      <c r="D812" s="1">
        <v>1377603863</v>
      </c>
      <c r="E812" s="1">
        <v>7223.77</v>
      </c>
      <c r="F812" s="1" t="s">
        <v>12</v>
      </c>
      <c r="G812" s="1" t="s">
        <v>12</v>
      </c>
      <c r="H812" s="1" t="s">
        <v>13</v>
      </c>
      <c r="I812" s="1" t="s">
        <v>13</v>
      </c>
      <c r="J812" s="1" t="s">
        <v>22</v>
      </c>
      <c r="K812" s="1">
        <v>0</v>
      </c>
      <c r="L812" s="1" t="s">
        <v>23</v>
      </c>
      <c r="M812" s="1" t="str">
        <f t="shared" si="12"/>
        <v>Consistent</v>
      </c>
      <c r="N812" s="1" t="str">
        <f>_xlfn.XLOOKUP(H812, risk_score!A:A, risk_score!B:B, 0)</f>
        <v>Low Risk</v>
      </c>
    </row>
    <row r="813" spans="1:14">
      <c r="A813" s="2">
        <v>0.46236111111111111</v>
      </c>
      <c r="B813" s="3">
        <v>44841</v>
      </c>
      <c r="C813" s="1">
        <v>6796513462</v>
      </c>
      <c r="D813" s="1">
        <v>941929409</v>
      </c>
      <c r="E813" s="1">
        <v>307.69</v>
      </c>
      <c r="F813" s="1" t="s">
        <v>12</v>
      </c>
      <c r="G813" s="1" t="s">
        <v>12</v>
      </c>
      <c r="H813" s="1" t="s">
        <v>13</v>
      </c>
      <c r="I813" s="1" t="s">
        <v>13</v>
      </c>
      <c r="J813" s="1" t="s">
        <v>25</v>
      </c>
      <c r="K813" s="1">
        <v>0</v>
      </c>
      <c r="L813" s="1" t="s">
        <v>21</v>
      </c>
      <c r="M813" s="1" t="str">
        <f t="shared" si="12"/>
        <v>Consistent</v>
      </c>
      <c r="N813" s="1" t="str">
        <f>_xlfn.XLOOKUP(H813, risk_score!A:A, risk_score!B:B, 0)</f>
        <v>Low Risk</v>
      </c>
    </row>
    <row r="814" spans="1:14">
      <c r="A814" s="2">
        <v>0.46236111111111111</v>
      </c>
      <c r="B814" s="3">
        <v>44841</v>
      </c>
      <c r="C814" s="1">
        <v>9811317821</v>
      </c>
      <c r="D814" s="1">
        <v>184266234</v>
      </c>
      <c r="E814" s="1">
        <v>1870.06</v>
      </c>
      <c r="F814" s="1" t="s">
        <v>12</v>
      </c>
      <c r="G814" s="1" t="s">
        <v>12</v>
      </c>
      <c r="H814" s="1" t="s">
        <v>13</v>
      </c>
      <c r="I814" s="1" t="s">
        <v>13</v>
      </c>
      <c r="J814" s="1" t="s">
        <v>27</v>
      </c>
      <c r="K814" s="1">
        <v>0</v>
      </c>
      <c r="L814" s="1" t="s">
        <v>24</v>
      </c>
      <c r="M814" s="1" t="str">
        <f t="shared" si="12"/>
        <v>Consistent</v>
      </c>
      <c r="N814" s="1" t="str">
        <f>_xlfn.XLOOKUP(H814, risk_score!A:A, risk_score!B:B, 0)</f>
        <v>Low Risk</v>
      </c>
    </row>
    <row r="815" spans="1:14">
      <c r="A815" s="2">
        <v>0.46237268518518521</v>
      </c>
      <c r="B815" s="3">
        <v>44841</v>
      </c>
      <c r="C815" s="1">
        <v>2366204772</v>
      </c>
      <c r="D815" s="1">
        <v>5584122533</v>
      </c>
      <c r="E815" s="1">
        <v>3429.83</v>
      </c>
      <c r="F815" s="1" t="s">
        <v>12</v>
      </c>
      <c r="G815" s="1" t="s">
        <v>12</v>
      </c>
      <c r="H815" s="1" t="s">
        <v>13</v>
      </c>
      <c r="I815" s="1" t="s">
        <v>13</v>
      </c>
      <c r="J815" s="1" t="s">
        <v>25</v>
      </c>
      <c r="K815" s="1">
        <v>0</v>
      </c>
      <c r="L815" s="1" t="s">
        <v>21</v>
      </c>
      <c r="M815" s="1" t="str">
        <f t="shared" si="12"/>
        <v>Consistent</v>
      </c>
      <c r="N815" s="1" t="str">
        <f>_xlfn.XLOOKUP(H815, risk_score!A:A, risk_score!B:B, 0)</f>
        <v>Low Risk</v>
      </c>
    </row>
    <row r="816" spans="1:14">
      <c r="A816" s="2">
        <v>0.46239583333333334</v>
      </c>
      <c r="B816" s="3">
        <v>44841</v>
      </c>
      <c r="C816" s="1">
        <v>8456279067</v>
      </c>
      <c r="D816" s="1">
        <v>4629995866</v>
      </c>
      <c r="E816" s="1">
        <v>28254.86</v>
      </c>
      <c r="F816" s="1" t="s">
        <v>12</v>
      </c>
      <c r="G816" s="1" t="s">
        <v>12</v>
      </c>
      <c r="H816" s="1" t="s">
        <v>13</v>
      </c>
      <c r="I816" s="1" t="s">
        <v>13</v>
      </c>
      <c r="J816" s="1" t="s">
        <v>22</v>
      </c>
      <c r="K816" s="1">
        <v>0</v>
      </c>
      <c r="L816" s="1" t="s">
        <v>19</v>
      </c>
      <c r="M816" s="1" t="str">
        <f t="shared" si="12"/>
        <v>Consistent</v>
      </c>
      <c r="N816" s="1" t="str">
        <f>_xlfn.XLOOKUP(H816, risk_score!A:A, risk_score!B:B, 0)</f>
        <v>Low Risk</v>
      </c>
    </row>
    <row r="817" spans="1:14">
      <c r="A817" s="2">
        <v>0.46241898148148147</v>
      </c>
      <c r="B817" s="3">
        <v>44841</v>
      </c>
      <c r="C817" s="1">
        <v>9828143010</v>
      </c>
      <c r="D817" s="1">
        <v>5628674969</v>
      </c>
      <c r="E817" s="1">
        <v>8318.4500000000007</v>
      </c>
      <c r="F817" s="1" t="s">
        <v>12</v>
      </c>
      <c r="G817" s="1" t="s">
        <v>12</v>
      </c>
      <c r="H817" s="1" t="s">
        <v>13</v>
      </c>
      <c r="I817" s="1" t="s">
        <v>13</v>
      </c>
      <c r="J817" s="1" t="s">
        <v>22</v>
      </c>
      <c r="K817" s="1">
        <v>0</v>
      </c>
      <c r="L817" s="1" t="s">
        <v>23</v>
      </c>
      <c r="M817" s="1" t="str">
        <f t="shared" si="12"/>
        <v>Consistent</v>
      </c>
      <c r="N817" s="1" t="str">
        <f>_xlfn.XLOOKUP(H817, risk_score!A:A, risk_score!B:B, 0)</f>
        <v>Low Risk</v>
      </c>
    </row>
    <row r="818" spans="1:14">
      <c r="A818" s="2">
        <v>0.46243055555555557</v>
      </c>
      <c r="B818" s="3">
        <v>44841</v>
      </c>
      <c r="C818" s="1">
        <v>6238319034</v>
      </c>
      <c r="D818" s="1">
        <v>1606853336</v>
      </c>
      <c r="E818" s="1">
        <v>2599.77</v>
      </c>
      <c r="F818" s="1" t="s">
        <v>12</v>
      </c>
      <c r="G818" s="1" t="s">
        <v>12</v>
      </c>
      <c r="H818" s="1" t="s">
        <v>13</v>
      </c>
      <c r="I818" s="1" t="s">
        <v>13</v>
      </c>
      <c r="J818" s="1" t="s">
        <v>20</v>
      </c>
      <c r="K818" s="1">
        <v>0</v>
      </c>
      <c r="L818" s="1" t="s">
        <v>21</v>
      </c>
      <c r="M818" s="1" t="str">
        <f t="shared" si="12"/>
        <v>Consistent</v>
      </c>
      <c r="N818" s="1" t="str">
        <f>_xlfn.XLOOKUP(H818, risk_score!A:A, risk_score!B:B, 0)</f>
        <v>Low Risk</v>
      </c>
    </row>
    <row r="819" spans="1:14">
      <c r="A819" s="2">
        <v>0.46244212962962961</v>
      </c>
      <c r="B819" s="3">
        <v>44841</v>
      </c>
      <c r="C819" s="1">
        <v>2438139688</v>
      </c>
      <c r="D819" s="1">
        <v>4100194033</v>
      </c>
      <c r="E819" s="1">
        <v>856.56</v>
      </c>
      <c r="F819" s="1" t="s">
        <v>12</v>
      </c>
      <c r="G819" s="1" t="s">
        <v>12</v>
      </c>
      <c r="H819" s="1" t="s">
        <v>13</v>
      </c>
      <c r="I819" s="1" t="s">
        <v>13</v>
      </c>
      <c r="J819" s="1" t="s">
        <v>27</v>
      </c>
      <c r="K819" s="1">
        <v>0</v>
      </c>
      <c r="L819" s="1" t="s">
        <v>21</v>
      </c>
      <c r="M819" s="1" t="str">
        <f t="shared" si="12"/>
        <v>Consistent</v>
      </c>
      <c r="N819" s="1" t="str">
        <f>_xlfn.XLOOKUP(H819, risk_score!A:A, risk_score!B:B, 0)</f>
        <v>Low Risk</v>
      </c>
    </row>
    <row r="820" spans="1:14">
      <c r="A820" s="2">
        <v>0.46244212962962961</v>
      </c>
      <c r="B820" s="3">
        <v>44841</v>
      </c>
      <c r="C820" s="1">
        <v>7226383929</v>
      </c>
      <c r="D820" s="1">
        <v>1570231448</v>
      </c>
      <c r="E820" s="1">
        <v>23662.78</v>
      </c>
      <c r="F820" s="1" t="s">
        <v>12</v>
      </c>
      <c r="G820" s="1" t="s">
        <v>12</v>
      </c>
      <c r="H820" s="1" t="s">
        <v>13</v>
      </c>
      <c r="I820" s="1" t="s">
        <v>13</v>
      </c>
      <c r="J820" s="1" t="s">
        <v>22</v>
      </c>
      <c r="K820" s="1">
        <v>0</v>
      </c>
      <c r="L820" s="1" t="s">
        <v>21</v>
      </c>
      <c r="M820" s="1" t="str">
        <f t="shared" si="12"/>
        <v>Consistent</v>
      </c>
      <c r="N820" s="1" t="str">
        <f>_xlfn.XLOOKUP(H820, risk_score!A:A, risk_score!B:B, 0)</f>
        <v>Low Risk</v>
      </c>
    </row>
    <row r="821" spans="1:14">
      <c r="A821" s="2">
        <v>0.4624537037037037</v>
      </c>
      <c r="B821" s="3">
        <v>44841</v>
      </c>
      <c r="C821" s="1">
        <v>6376077786</v>
      </c>
      <c r="D821" s="1">
        <v>3079818547</v>
      </c>
      <c r="E821" s="1">
        <v>13649.23</v>
      </c>
      <c r="F821" s="1" t="s">
        <v>12</v>
      </c>
      <c r="G821" s="1" t="s">
        <v>12</v>
      </c>
      <c r="H821" s="1" t="s">
        <v>13</v>
      </c>
      <c r="I821" s="1" t="s">
        <v>13</v>
      </c>
      <c r="J821" s="1" t="s">
        <v>25</v>
      </c>
      <c r="K821" s="1">
        <v>0</v>
      </c>
      <c r="L821" s="1" t="s">
        <v>23</v>
      </c>
      <c r="M821" s="1" t="str">
        <f t="shared" si="12"/>
        <v>Consistent</v>
      </c>
      <c r="N821" s="1" t="str">
        <f>_xlfn.XLOOKUP(H821, risk_score!A:A, risk_score!B:B, 0)</f>
        <v>Low Risk</v>
      </c>
    </row>
    <row r="822" spans="1:14">
      <c r="A822" s="2">
        <v>0.46246527777777779</v>
      </c>
      <c r="B822" s="3">
        <v>44841</v>
      </c>
      <c r="C822" s="1">
        <v>8753052544</v>
      </c>
      <c r="D822" s="1">
        <v>5442384483</v>
      </c>
      <c r="E822" s="1">
        <v>15994.27</v>
      </c>
      <c r="F822" s="1" t="s">
        <v>12</v>
      </c>
      <c r="G822" s="1" t="s">
        <v>12</v>
      </c>
      <c r="H822" s="1" t="s">
        <v>13</v>
      </c>
      <c r="I822" s="1" t="s">
        <v>13</v>
      </c>
      <c r="J822" s="1" t="s">
        <v>20</v>
      </c>
      <c r="K822" s="1">
        <v>0</v>
      </c>
      <c r="L822" s="1" t="s">
        <v>24</v>
      </c>
      <c r="M822" s="1" t="str">
        <f t="shared" si="12"/>
        <v>Consistent</v>
      </c>
      <c r="N822" s="1" t="str">
        <f>_xlfn.XLOOKUP(H822, risk_score!A:A, risk_score!B:B, 0)</f>
        <v>Low Risk</v>
      </c>
    </row>
    <row r="823" spans="1:14">
      <c r="A823" s="2">
        <v>0.46251157407407406</v>
      </c>
      <c r="B823" s="3">
        <v>44841</v>
      </c>
      <c r="C823" s="1">
        <v>3440654296</v>
      </c>
      <c r="D823" s="1">
        <v>8172080174</v>
      </c>
      <c r="E823" s="1">
        <v>5585.51</v>
      </c>
      <c r="F823" s="1" t="s">
        <v>12</v>
      </c>
      <c r="G823" s="1" t="s">
        <v>12</v>
      </c>
      <c r="H823" s="1" t="s">
        <v>13</v>
      </c>
      <c r="I823" s="1" t="s">
        <v>13</v>
      </c>
      <c r="J823" s="1" t="s">
        <v>27</v>
      </c>
      <c r="K823" s="1">
        <v>0</v>
      </c>
      <c r="L823" s="1" t="s">
        <v>23</v>
      </c>
      <c r="M823" s="1" t="str">
        <f t="shared" si="12"/>
        <v>Consistent</v>
      </c>
      <c r="N823" s="1" t="str">
        <f>_xlfn.XLOOKUP(H823, risk_score!A:A, risk_score!B:B, 0)</f>
        <v>Low Risk</v>
      </c>
    </row>
    <row r="824" spans="1:14">
      <c r="A824" s="2">
        <v>0.46253472222222225</v>
      </c>
      <c r="B824" s="3">
        <v>44841</v>
      </c>
      <c r="C824" s="1">
        <v>7782575115</v>
      </c>
      <c r="D824" s="1">
        <v>5913673572</v>
      </c>
      <c r="E824" s="1">
        <v>1250.24</v>
      </c>
      <c r="F824" s="1" t="s">
        <v>12</v>
      </c>
      <c r="G824" s="1" t="s">
        <v>12</v>
      </c>
      <c r="H824" s="1" t="s">
        <v>13</v>
      </c>
      <c r="I824" s="1" t="s">
        <v>13</v>
      </c>
      <c r="J824" s="1" t="s">
        <v>27</v>
      </c>
      <c r="K824" s="1">
        <v>0</v>
      </c>
      <c r="L824" s="1" t="s">
        <v>21</v>
      </c>
      <c r="M824" s="1" t="str">
        <f t="shared" si="12"/>
        <v>Consistent</v>
      </c>
      <c r="N824" s="1" t="str">
        <f>_xlfn.XLOOKUP(H824, risk_score!A:A, risk_score!B:B, 0)</f>
        <v>Low Risk</v>
      </c>
    </row>
    <row r="825" spans="1:14">
      <c r="A825" s="2">
        <v>0.46254629629629629</v>
      </c>
      <c r="B825" s="3">
        <v>44841</v>
      </c>
      <c r="C825" s="1">
        <v>6819357730</v>
      </c>
      <c r="D825" s="1">
        <v>4733165071</v>
      </c>
      <c r="E825" s="1">
        <v>2672.03</v>
      </c>
      <c r="F825" s="1" t="s">
        <v>12</v>
      </c>
      <c r="G825" s="1" t="s">
        <v>12</v>
      </c>
      <c r="H825" s="1" t="s">
        <v>13</v>
      </c>
      <c r="I825" s="1" t="s">
        <v>13</v>
      </c>
      <c r="J825" s="1" t="s">
        <v>27</v>
      </c>
      <c r="K825" s="1">
        <v>0</v>
      </c>
      <c r="L825" s="1" t="s">
        <v>21</v>
      </c>
      <c r="M825" s="1" t="str">
        <f t="shared" si="12"/>
        <v>Consistent</v>
      </c>
      <c r="N825" s="1" t="str">
        <f>_xlfn.XLOOKUP(H825, risk_score!A:A, risk_score!B:B, 0)</f>
        <v>Low Risk</v>
      </c>
    </row>
    <row r="826" spans="1:14">
      <c r="A826" s="2">
        <v>0.46256944444444442</v>
      </c>
      <c r="B826" s="3">
        <v>44841</v>
      </c>
      <c r="C826" s="1">
        <v>8824227483</v>
      </c>
      <c r="D826" s="1">
        <v>6428166813</v>
      </c>
      <c r="E826" s="1">
        <v>18593.38</v>
      </c>
      <c r="F826" s="1" t="s">
        <v>12</v>
      </c>
      <c r="G826" s="1" t="s">
        <v>12</v>
      </c>
      <c r="H826" s="1" t="s">
        <v>13</v>
      </c>
      <c r="I826" s="1" t="s">
        <v>13</v>
      </c>
      <c r="J826" s="1" t="s">
        <v>25</v>
      </c>
      <c r="K826" s="1">
        <v>0</v>
      </c>
      <c r="L826" s="1" t="s">
        <v>58</v>
      </c>
      <c r="M826" s="1" t="str">
        <f t="shared" si="12"/>
        <v>Consistent</v>
      </c>
      <c r="N826" s="1" t="str">
        <f>_xlfn.XLOOKUP(H826, risk_score!A:A, risk_score!B:B, 0)</f>
        <v>Low Risk</v>
      </c>
    </row>
    <row r="827" spans="1:14">
      <c r="A827" s="2">
        <v>0.46256944444444442</v>
      </c>
      <c r="B827" s="3">
        <v>44841</v>
      </c>
      <c r="C827" s="1">
        <v>1182528804</v>
      </c>
      <c r="D827" s="1">
        <v>2534644942</v>
      </c>
      <c r="E827" s="1">
        <v>12424.26</v>
      </c>
      <c r="F827" s="1" t="s">
        <v>12</v>
      </c>
      <c r="G827" s="1" t="s">
        <v>29</v>
      </c>
      <c r="H827" s="1" t="s">
        <v>13</v>
      </c>
      <c r="I827" s="1" t="s">
        <v>31</v>
      </c>
      <c r="J827" s="1" t="s">
        <v>18</v>
      </c>
      <c r="K827" s="1">
        <v>0</v>
      </c>
      <c r="L827" s="1" t="s">
        <v>23</v>
      </c>
      <c r="M827" s="1" t="str">
        <f t="shared" si="12"/>
        <v>Potential Layering</v>
      </c>
      <c r="N827" s="1" t="str">
        <f>_xlfn.XLOOKUP(H827, risk_score!A:A, risk_score!B:B, 0)</f>
        <v>Low Risk</v>
      </c>
    </row>
    <row r="828" spans="1:14">
      <c r="A828" s="2">
        <v>0.46258101851851852</v>
      </c>
      <c r="B828" s="3">
        <v>44841</v>
      </c>
      <c r="C828" s="1">
        <v>2072269456</v>
      </c>
      <c r="D828" s="1">
        <v>4505551578</v>
      </c>
      <c r="E828" s="1">
        <v>2776.85</v>
      </c>
      <c r="F828" s="1" t="s">
        <v>12</v>
      </c>
      <c r="G828" s="1" t="s">
        <v>12</v>
      </c>
      <c r="H828" s="1" t="s">
        <v>13</v>
      </c>
      <c r="I828" s="1" t="s">
        <v>13</v>
      </c>
      <c r="J828" s="1" t="s">
        <v>27</v>
      </c>
      <c r="K828" s="1">
        <v>0</v>
      </c>
      <c r="L828" s="1" t="s">
        <v>21</v>
      </c>
      <c r="M828" s="1" t="str">
        <f t="shared" si="12"/>
        <v>Consistent</v>
      </c>
      <c r="N828" s="1" t="str">
        <f>_xlfn.XLOOKUP(H828, risk_score!A:A, risk_score!B:B, 0)</f>
        <v>Low Risk</v>
      </c>
    </row>
    <row r="829" spans="1:14">
      <c r="A829" s="2">
        <v>0.46259259259259261</v>
      </c>
      <c r="B829" s="3">
        <v>44841</v>
      </c>
      <c r="C829" s="1">
        <v>1150155424</v>
      </c>
      <c r="D829" s="1">
        <v>4221771322</v>
      </c>
      <c r="E829" s="1">
        <v>4897.93</v>
      </c>
      <c r="F829" s="1" t="s">
        <v>29</v>
      </c>
      <c r="G829" s="1" t="s">
        <v>12</v>
      </c>
      <c r="H829" s="1" t="s">
        <v>54</v>
      </c>
      <c r="I829" s="1" t="s">
        <v>13</v>
      </c>
      <c r="J829" s="1" t="s">
        <v>18</v>
      </c>
      <c r="K829" s="1">
        <v>0</v>
      </c>
      <c r="L829" s="1" t="s">
        <v>21</v>
      </c>
      <c r="M829" s="1" t="str">
        <f t="shared" si="12"/>
        <v>Potential Layering</v>
      </c>
      <c r="N829" s="1" t="str">
        <f>_xlfn.XLOOKUP(H829, risk_score!A:A, risk_score!B:B, 0)</f>
        <v>Low Risk</v>
      </c>
    </row>
    <row r="830" spans="1:14">
      <c r="A830" s="2">
        <v>0.46259259259259261</v>
      </c>
      <c r="B830" s="3">
        <v>44841</v>
      </c>
      <c r="C830" s="1">
        <v>6753493104</v>
      </c>
      <c r="D830" s="1">
        <v>9982478398</v>
      </c>
      <c r="E830" s="1">
        <v>36.020000000000003</v>
      </c>
      <c r="F830" s="1" t="s">
        <v>12</v>
      </c>
      <c r="G830" s="1" t="s">
        <v>12</v>
      </c>
      <c r="H830" s="1" t="s">
        <v>13</v>
      </c>
      <c r="I830" s="1" t="s">
        <v>13</v>
      </c>
      <c r="J830" s="1" t="s">
        <v>25</v>
      </c>
      <c r="K830" s="1">
        <v>0</v>
      </c>
      <c r="L830" s="1" t="s">
        <v>21</v>
      </c>
      <c r="M830" s="1" t="str">
        <f t="shared" si="12"/>
        <v>Consistent</v>
      </c>
      <c r="N830" s="1" t="str">
        <f>_xlfn.XLOOKUP(H830, risk_score!A:A, risk_score!B:B, 0)</f>
        <v>Low Risk</v>
      </c>
    </row>
    <row r="831" spans="1:14">
      <c r="A831" s="2">
        <v>0.46260416666666665</v>
      </c>
      <c r="B831" s="3">
        <v>44841</v>
      </c>
      <c r="C831" s="1">
        <v>2981214459</v>
      </c>
      <c r="D831" s="1">
        <v>7160736915</v>
      </c>
      <c r="E831" s="1">
        <v>5479.68</v>
      </c>
      <c r="F831" s="1" t="s">
        <v>12</v>
      </c>
      <c r="G831" s="1" t="s">
        <v>12</v>
      </c>
      <c r="H831" s="1" t="s">
        <v>13</v>
      </c>
      <c r="I831" s="1" t="s">
        <v>13</v>
      </c>
      <c r="J831" s="1" t="s">
        <v>22</v>
      </c>
      <c r="K831" s="1">
        <v>0</v>
      </c>
      <c r="L831" s="1" t="s">
        <v>23</v>
      </c>
      <c r="M831" s="1" t="str">
        <f t="shared" si="12"/>
        <v>Consistent</v>
      </c>
      <c r="N831" s="1" t="str">
        <f>_xlfn.XLOOKUP(H831, risk_score!A:A, risk_score!B:B, 0)</f>
        <v>Low Risk</v>
      </c>
    </row>
    <row r="832" spans="1:14">
      <c r="A832" s="2">
        <v>0.46260416666666665</v>
      </c>
      <c r="B832" s="3">
        <v>44841</v>
      </c>
      <c r="C832" s="1">
        <v>2365007895</v>
      </c>
      <c r="D832" s="1">
        <v>7623292529</v>
      </c>
      <c r="E832" s="1">
        <v>15969.58</v>
      </c>
      <c r="F832" s="1" t="s">
        <v>12</v>
      </c>
      <c r="G832" s="1" t="s">
        <v>12</v>
      </c>
      <c r="H832" s="1" t="s">
        <v>13</v>
      </c>
      <c r="I832" s="1" t="s">
        <v>13</v>
      </c>
      <c r="J832" s="1" t="s">
        <v>20</v>
      </c>
      <c r="K832" s="1">
        <v>0</v>
      </c>
      <c r="L832" s="1" t="s">
        <v>19</v>
      </c>
      <c r="M832" s="1" t="str">
        <f t="shared" si="12"/>
        <v>Consistent</v>
      </c>
      <c r="N832" s="1" t="str">
        <f>_xlfn.XLOOKUP(H832, risk_score!A:A, risk_score!B:B, 0)</f>
        <v>Low Risk</v>
      </c>
    </row>
    <row r="833" spans="1:14">
      <c r="A833" s="2">
        <v>0.46263888888888888</v>
      </c>
      <c r="B833" s="3">
        <v>44841</v>
      </c>
      <c r="C833" s="1">
        <v>7501327339</v>
      </c>
      <c r="D833" s="1">
        <v>6357364082</v>
      </c>
      <c r="E833" s="1">
        <v>5662.63</v>
      </c>
      <c r="F833" s="1" t="s">
        <v>12</v>
      </c>
      <c r="G833" s="1" t="s">
        <v>12</v>
      </c>
      <c r="H833" s="1" t="s">
        <v>13</v>
      </c>
      <c r="I833" s="1" t="s">
        <v>13</v>
      </c>
      <c r="J833" s="1" t="s">
        <v>22</v>
      </c>
      <c r="K833" s="1">
        <v>0</v>
      </c>
      <c r="L833" s="1" t="s">
        <v>19</v>
      </c>
      <c r="M833" s="1" t="str">
        <f t="shared" si="12"/>
        <v>Consistent</v>
      </c>
      <c r="N833" s="1" t="str">
        <f>_xlfn.XLOOKUP(H833, risk_score!A:A, risk_score!B:B, 0)</f>
        <v>Low Risk</v>
      </c>
    </row>
    <row r="834" spans="1:14">
      <c r="A834" s="2">
        <v>0.46266203703703701</v>
      </c>
      <c r="B834" s="3">
        <v>44841</v>
      </c>
      <c r="C834" s="1">
        <v>4679947723</v>
      </c>
      <c r="D834" s="1">
        <v>9583573888</v>
      </c>
      <c r="E834" s="1">
        <v>1459.87</v>
      </c>
      <c r="F834" s="1" t="s">
        <v>12</v>
      </c>
      <c r="G834" s="1" t="s">
        <v>12</v>
      </c>
      <c r="H834" s="1" t="s">
        <v>13</v>
      </c>
      <c r="I834" s="1" t="s">
        <v>13</v>
      </c>
      <c r="J834" s="1" t="s">
        <v>25</v>
      </c>
      <c r="K834" s="1">
        <v>0</v>
      </c>
      <c r="L834" s="1" t="s">
        <v>21</v>
      </c>
      <c r="M834" s="1" t="str">
        <f t="shared" si="12"/>
        <v>Consistent</v>
      </c>
      <c r="N834" s="1" t="str">
        <f>_xlfn.XLOOKUP(H834, risk_score!A:A, risk_score!B:B, 0)</f>
        <v>Low Risk</v>
      </c>
    </row>
    <row r="835" spans="1:14">
      <c r="A835" s="2">
        <v>0.4626736111111111</v>
      </c>
      <c r="B835" s="3">
        <v>44841</v>
      </c>
      <c r="C835" s="1">
        <v>2320387917</v>
      </c>
      <c r="D835" s="1">
        <v>1465487567</v>
      </c>
      <c r="E835" s="1">
        <v>17284.13</v>
      </c>
      <c r="F835" s="1" t="s">
        <v>12</v>
      </c>
      <c r="G835" s="1" t="s">
        <v>12</v>
      </c>
      <c r="H835" s="1" t="s">
        <v>13</v>
      </c>
      <c r="I835" s="1" t="s">
        <v>13</v>
      </c>
      <c r="J835" s="1" t="s">
        <v>20</v>
      </c>
      <c r="K835" s="1">
        <v>0</v>
      </c>
      <c r="L835" s="1" t="s">
        <v>23</v>
      </c>
      <c r="M835" s="1" t="str">
        <f t="shared" ref="M835:M898" si="13">IF(F835=G835, "Consistent", "Potential Layering")</f>
        <v>Consistent</v>
      </c>
      <c r="N835" s="1" t="str">
        <f>_xlfn.XLOOKUP(H835, risk_score!A:A, risk_score!B:B, 0)</f>
        <v>Low Risk</v>
      </c>
    </row>
    <row r="836" spans="1:14">
      <c r="A836" s="2">
        <v>0.46271990740740743</v>
      </c>
      <c r="B836" s="3">
        <v>44841</v>
      </c>
      <c r="C836" s="1">
        <v>8967605247</v>
      </c>
      <c r="D836" s="1">
        <v>93642419</v>
      </c>
      <c r="E836" s="1">
        <v>5065.8</v>
      </c>
      <c r="F836" s="1" t="s">
        <v>12</v>
      </c>
      <c r="G836" s="1" t="s">
        <v>12</v>
      </c>
      <c r="H836" s="1" t="s">
        <v>13</v>
      </c>
      <c r="I836" s="1" t="s">
        <v>13</v>
      </c>
      <c r="J836" s="1" t="s">
        <v>25</v>
      </c>
      <c r="K836" s="1">
        <v>0</v>
      </c>
      <c r="L836" s="1" t="s">
        <v>24</v>
      </c>
      <c r="M836" s="1" t="str">
        <f t="shared" si="13"/>
        <v>Consistent</v>
      </c>
      <c r="N836" s="1" t="str">
        <f>_xlfn.XLOOKUP(H836, risk_score!A:A, risk_score!B:B, 0)</f>
        <v>Low Risk</v>
      </c>
    </row>
    <row r="837" spans="1:14">
      <c r="A837" s="2">
        <v>0.46274305555555556</v>
      </c>
      <c r="B837" s="3">
        <v>44841</v>
      </c>
      <c r="C837" s="1">
        <v>4223708607</v>
      </c>
      <c r="D837" s="1">
        <v>6444220418</v>
      </c>
      <c r="E837" s="1">
        <v>10425.35</v>
      </c>
      <c r="F837" s="1" t="s">
        <v>12</v>
      </c>
      <c r="G837" s="1" t="s">
        <v>12</v>
      </c>
      <c r="H837" s="1" t="s">
        <v>13</v>
      </c>
      <c r="I837" s="1" t="s">
        <v>13</v>
      </c>
      <c r="J837" s="1" t="s">
        <v>27</v>
      </c>
      <c r="K837" s="1">
        <v>0</v>
      </c>
      <c r="L837" s="1" t="s">
        <v>23</v>
      </c>
      <c r="M837" s="1" t="str">
        <f t="shared" si="13"/>
        <v>Consistent</v>
      </c>
      <c r="N837" s="1" t="str">
        <f>_xlfn.XLOOKUP(H837, risk_score!A:A, risk_score!B:B, 0)</f>
        <v>Low Risk</v>
      </c>
    </row>
    <row r="838" spans="1:14">
      <c r="A838" s="2">
        <v>0.46278935185185183</v>
      </c>
      <c r="B838" s="3">
        <v>44841</v>
      </c>
      <c r="C838" s="1">
        <v>3108280261</v>
      </c>
      <c r="D838" s="1">
        <v>3324246812</v>
      </c>
      <c r="E838" s="1">
        <v>8094.26</v>
      </c>
      <c r="F838" s="1" t="s">
        <v>12</v>
      </c>
      <c r="G838" s="1" t="s">
        <v>42</v>
      </c>
      <c r="H838" s="1" t="s">
        <v>13</v>
      </c>
      <c r="I838" s="1" t="s">
        <v>43</v>
      </c>
      <c r="J838" s="1" t="s">
        <v>18</v>
      </c>
      <c r="K838" s="1">
        <v>0</v>
      </c>
      <c r="L838" s="1" t="s">
        <v>21</v>
      </c>
      <c r="M838" s="1" t="str">
        <f t="shared" si="13"/>
        <v>Potential Layering</v>
      </c>
      <c r="N838" s="1" t="str">
        <f>_xlfn.XLOOKUP(H838, risk_score!A:A, risk_score!B:B, 0)</f>
        <v>Low Risk</v>
      </c>
    </row>
    <row r="839" spans="1:14">
      <c r="A839" s="2">
        <v>0.46285879629629628</v>
      </c>
      <c r="B839" s="3">
        <v>44841</v>
      </c>
      <c r="C839" s="1">
        <v>8226004617</v>
      </c>
      <c r="D839" s="1">
        <v>7882830295</v>
      </c>
      <c r="E839" s="1">
        <v>2743.55</v>
      </c>
      <c r="F839" s="1" t="s">
        <v>12</v>
      </c>
      <c r="G839" s="1" t="s">
        <v>12</v>
      </c>
      <c r="H839" s="1" t="s">
        <v>13</v>
      </c>
      <c r="I839" s="1" t="s">
        <v>13</v>
      </c>
      <c r="J839" s="1" t="s">
        <v>14</v>
      </c>
      <c r="K839" s="1">
        <v>0</v>
      </c>
      <c r="L839" s="1" t="s">
        <v>15</v>
      </c>
      <c r="M839" s="1" t="str">
        <f t="shared" si="13"/>
        <v>Consistent</v>
      </c>
      <c r="N839" s="1" t="str">
        <f>_xlfn.XLOOKUP(H839, risk_score!A:A, risk_score!B:B, 0)</f>
        <v>Low Risk</v>
      </c>
    </row>
    <row r="840" spans="1:14">
      <c r="A840" s="2">
        <v>0.46291666666666664</v>
      </c>
      <c r="B840" s="3">
        <v>44841</v>
      </c>
      <c r="C840" s="1">
        <v>9588577727</v>
      </c>
      <c r="D840" s="1">
        <v>3220735304</v>
      </c>
      <c r="E840" s="1">
        <v>7883.51</v>
      </c>
      <c r="F840" s="1" t="s">
        <v>12</v>
      </c>
      <c r="G840" s="1" t="s">
        <v>12</v>
      </c>
      <c r="H840" s="1" t="s">
        <v>13</v>
      </c>
      <c r="I840" s="1" t="s">
        <v>13</v>
      </c>
      <c r="J840" s="1" t="s">
        <v>20</v>
      </c>
      <c r="K840" s="1">
        <v>0</v>
      </c>
      <c r="L840" s="1" t="s">
        <v>23</v>
      </c>
      <c r="M840" s="1" t="str">
        <f t="shared" si="13"/>
        <v>Consistent</v>
      </c>
      <c r="N840" s="1" t="str">
        <f>_xlfn.XLOOKUP(H840, risk_score!A:A, risk_score!B:B, 0)</f>
        <v>Low Risk</v>
      </c>
    </row>
    <row r="841" spans="1:14">
      <c r="A841" s="2">
        <v>0.46292824074074074</v>
      </c>
      <c r="B841" s="3">
        <v>44841</v>
      </c>
      <c r="C841" s="1">
        <v>2365007895</v>
      </c>
      <c r="D841" s="1">
        <v>2166082350</v>
      </c>
      <c r="E841" s="1">
        <v>4688.34</v>
      </c>
      <c r="F841" s="1" t="s">
        <v>12</v>
      </c>
      <c r="G841" s="1" t="s">
        <v>12</v>
      </c>
      <c r="H841" s="1" t="s">
        <v>13</v>
      </c>
      <c r="I841" s="1" t="s">
        <v>13</v>
      </c>
      <c r="J841" s="1" t="s">
        <v>20</v>
      </c>
      <c r="K841" s="1">
        <v>0</v>
      </c>
      <c r="L841" s="1" t="s">
        <v>19</v>
      </c>
      <c r="M841" s="1" t="str">
        <f t="shared" si="13"/>
        <v>Consistent</v>
      </c>
      <c r="N841" s="1" t="str">
        <f>_xlfn.XLOOKUP(H841, risk_score!A:A, risk_score!B:B, 0)</f>
        <v>Low Risk</v>
      </c>
    </row>
    <row r="842" spans="1:14">
      <c r="A842" s="2">
        <v>0.46296296296296297</v>
      </c>
      <c r="B842" s="3">
        <v>44841</v>
      </c>
      <c r="C842" s="1">
        <v>3658332196</v>
      </c>
      <c r="D842" s="1">
        <v>1465487567</v>
      </c>
      <c r="E842" s="1">
        <v>11687.34</v>
      </c>
      <c r="F842" s="1" t="s">
        <v>12</v>
      </c>
      <c r="G842" s="1" t="s">
        <v>12</v>
      </c>
      <c r="H842" s="1" t="s">
        <v>13</v>
      </c>
      <c r="I842" s="1" t="s">
        <v>13</v>
      </c>
      <c r="J842" s="1" t="s">
        <v>20</v>
      </c>
      <c r="K842" s="1">
        <v>0</v>
      </c>
      <c r="L842" s="1" t="s">
        <v>23</v>
      </c>
      <c r="M842" s="1" t="str">
        <f t="shared" si="13"/>
        <v>Consistent</v>
      </c>
      <c r="N842" s="1" t="str">
        <f>_xlfn.XLOOKUP(H842, risk_score!A:A, risk_score!B:B, 0)</f>
        <v>Low Risk</v>
      </c>
    </row>
    <row r="843" spans="1:14">
      <c r="A843" s="2">
        <v>0.46297453703703706</v>
      </c>
      <c r="B843" s="3">
        <v>44841</v>
      </c>
      <c r="C843" s="1">
        <v>9687980558</v>
      </c>
      <c r="D843" s="1">
        <v>8808710985</v>
      </c>
      <c r="E843" s="1">
        <v>6541.84</v>
      </c>
      <c r="F843" s="1" t="s">
        <v>12</v>
      </c>
      <c r="G843" s="1" t="s">
        <v>12</v>
      </c>
      <c r="H843" s="1" t="s">
        <v>13</v>
      </c>
      <c r="I843" s="1" t="s">
        <v>13</v>
      </c>
      <c r="J843" s="1" t="s">
        <v>20</v>
      </c>
      <c r="K843" s="1">
        <v>0</v>
      </c>
      <c r="L843" s="1" t="s">
        <v>21</v>
      </c>
      <c r="M843" s="1" t="str">
        <f t="shared" si="13"/>
        <v>Consistent</v>
      </c>
      <c r="N843" s="1" t="str">
        <f>_xlfn.XLOOKUP(H843, risk_score!A:A, risk_score!B:B, 0)</f>
        <v>Low Risk</v>
      </c>
    </row>
    <row r="844" spans="1:14">
      <c r="A844" s="2">
        <v>0.4629861111111111</v>
      </c>
      <c r="B844" s="3">
        <v>44841</v>
      </c>
      <c r="C844" s="1">
        <v>9393500566</v>
      </c>
      <c r="D844" s="1">
        <v>8793249496</v>
      </c>
      <c r="E844" s="1">
        <v>17865.650000000001</v>
      </c>
      <c r="F844" s="1" t="s">
        <v>12</v>
      </c>
      <c r="G844" s="1" t="s">
        <v>12</v>
      </c>
      <c r="H844" s="1" t="s">
        <v>13</v>
      </c>
      <c r="I844" s="1" t="s">
        <v>13</v>
      </c>
      <c r="J844" s="1" t="s">
        <v>20</v>
      </c>
      <c r="K844" s="1">
        <v>0</v>
      </c>
      <c r="L844" s="1" t="s">
        <v>21</v>
      </c>
      <c r="M844" s="1" t="str">
        <f t="shared" si="13"/>
        <v>Consistent</v>
      </c>
      <c r="N844" s="1" t="str">
        <f>_xlfn.XLOOKUP(H844, risk_score!A:A, risk_score!B:B, 0)</f>
        <v>Low Risk</v>
      </c>
    </row>
    <row r="845" spans="1:14">
      <c r="A845" s="2">
        <v>0.46299768518518519</v>
      </c>
      <c r="B845" s="3">
        <v>44841</v>
      </c>
      <c r="C845" s="1">
        <v>687534291</v>
      </c>
      <c r="D845" s="1">
        <v>1757118638</v>
      </c>
      <c r="E845" s="1">
        <v>30921.11</v>
      </c>
      <c r="F845" s="1" t="s">
        <v>12</v>
      </c>
      <c r="G845" s="1" t="s">
        <v>12</v>
      </c>
      <c r="H845" s="1" t="s">
        <v>13</v>
      </c>
      <c r="I845" s="1" t="s">
        <v>13</v>
      </c>
      <c r="J845" s="1" t="s">
        <v>25</v>
      </c>
      <c r="K845" s="1">
        <v>0</v>
      </c>
      <c r="L845" s="1" t="s">
        <v>21</v>
      </c>
      <c r="M845" s="1" t="str">
        <f t="shared" si="13"/>
        <v>Consistent</v>
      </c>
      <c r="N845" s="1" t="str">
        <f>_xlfn.XLOOKUP(H845, risk_score!A:A, risk_score!B:B, 0)</f>
        <v>Low Risk</v>
      </c>
    </row>
    <row r="846" spans="1:14">
      <c r="A846" s="2">
        <v>0.46305555555555555</v>
      </c>
      <c r="B846" s="3">
        <v>44841</v>
      </c>
      <c r="C846" s="1">
        <v>4658015581</v>
      </c>
      <c r="D846" s="1">
        <v>7999834197</v>
      </c>
      <c r="E846" s="1">
        <v>122.82</v>
      </c>
      <c r="F846" s="1" t="s">
        <v>12</v>
      </c>
      <c r="G846" s="1" t="s">
        <v>12</v>
      </c>
      <c r="H846" s="1" t="s">
        <v>13</v>
      </c>
      <c r="I846" s="1" t="s">
        <v>13</v>
      </c>
      <c r="J846" s="1" t="s">
        <v>20</v>
      </c>
      <c r="K846" s="1">
        <v>0</v>
      </c>
      <c r="L846" s="1" t="s">
        <v>21</v>
      </c>
      <c r="M846" s="1" t="str">
        <f t="shared" si="13"/>
        <v>Consistent</v>
      </c>
      <c r="N846" s="1" t="str">
        <f>_xlfn.XLOOKUP(H846, risk_score!A:A, risk_score!B:B, 0)</f>
        <v>Low Risk</v>
      </c>
    </row>
    <row r="847" spans="1:14">
      <c r="A847" s="2">
        <v>0.46305555555555555</v>
      </c>
      <c r="B847" s="3">
        <v>44841</v>
      </c>
      <c r="C847" s="1">
        <v>3510078932</v>
      </c>
      <c r="D847" s="1">
        <v>8722924810</v>
      </c>
      <c r="E847" s="1">
        <v>8061.51</v>
      </c>
      <c r="F847" s="1" t="s">
        <v>12</v>
      </c>
      <c r="G847" s="1" t="s">
        <v>39</v>
      </c>
      <c r="H847" s="1" t="s">
        <v>13</v>
      </c>
      <c r="I847" s="1" t="s">
        <v>40</v>
      </c>
      <c r="J847" s="1" t="s">
        <v>18</v>
      </c>
      <c r="K847" s="1">
        <v>0</v>
      </c>
      <c r="L847" s="1" t="s">
        <v>19</v>
      </c>
      <c r="M847" s="1" t="str">
        <f t="shared" si="13"/>
        <v>Potential Layering</v>
      </c>
      <c r="N847" s="1" t="str">
        <f>_xlfn.XLOOKUP(H847, risk_score!A:A, risk_score!B:B, 0)</f>
        <v>Low Risk</v>
      </c>
    </row>
    <row r="848" spans="1:14">
      <c r="A848" s="2">
        <v>0.46306712962962965</v>
      </c>
      <c r="B848" s="3">
        <v>44841</v>
      </c>
      <c r="C848" s="1">
        <v>138146654</v>
      </c>
      <c r="D848" s="1">
        <v>2136084447</v>
      </c>
      <c r="E848" s="1">
        <v>1022.26</v>
      </c>
      <c r="F848" s="1" t="s">
        <v>12</v>
      </c>
      <c r="G848" s="1" t="s">
        <v>42</v>
      </c>
      <c r="H848" s="1" t="s">
        <v>13</v>
      </c>
      <c r="I848" s="1" t="s">
        <v>13</v>
      </c>
      <c r="J848" s="1" t="s">
        <v>14</v>
      </c>
      <c r="K848" s="1">
        <v>0</v>
      </c>
      <c r="L848" s="1" t="s">
        <v>15</v>
      </c>
      <c r="M848" s="1" t="str">
        <f t="shared" si="13"/>
        <v>Potential Layering</v>
      </c>
      <c r="N848" s="1" t="str">
        <f>_xlfn.XLOOKUP(H848, risk_score!A:A, risk_score!B:B, 0)</f>
        <v>Low Risk</v>
      </c>
    </row>
    <row r="849" spans="1:14">
      <c r="A849" s="2">
        <v>0.46306712962962965</v>
      </c>
      <c r="B849" s="3">
        <v>44841</v>
      </c>
      <c r="C849" s="1">
        <v>3615998000</v>
      </c>
      <c r="D849" s="1">
        <v>7879979420</v>
      </c>
      <c r="E849" s="1">
        <v>339.59</v>
      </c>
      <c r="F849" s="1" t="s">
        <v>12</v>
      </c>
      <c r="G849" s="1" t="s">
        <v>32</v>
      </c>
      <c r="H849" s="1" t="s">
        <v>13</v>
      </c>
      <c r="I849" s="1" t="s">
        <v>33</v>
      </c>
      <c r="J849" s="1" t="s">
        <v>18</v>
      </c>
      <c r="K849" s="1">
        <v>0</v>
      </c>
      <c r="L849" s="1" t="s">
        <v>21</v>
      </c>
      <c r="M849" s="1" t="str">
        <f t="shared" si="13"/>
        <v>Potential Layering</v>
      </c>
      <c r="N849" s="1" t="str">
        <f>_xlfn.XLOOKUP(H849, risk_score!A:A, risk_score!B:B, 0)</f>
        <v>Low Risk</v>
      </c>
    </row>
    <row r="850" spans="1:14">
      <c r="A850" s="2">
        <v>0.46311342592592591</v>
      </c>
      <c r="B850" s="3">
        <v>44841</v>
      </c>
      <c r="C850" s="1">
        <v>9274437507</v>
      </c>
      <c r="D850" s="1">
        <v>2451985850</v>
      </c>
      <c r="E850" s="1">
        <v>691.68</v>
      </c>
      <c r="F850" s="1" t="s">
        <v>12</v>
      </c>
      <c r="G850" s="1" t="s">
        <v>12</v>
      </c>
      <c r="H850" s="1" t="s">
        <v>13</v>
      </c>
      <c r="I850" s="1" t="s">
        <v>13</v>
      </c>
      <c r="J850" s="1" t="s">
        <v>14</v>
      </c>
      <c r="K850" s="1">
        <v>0</v>
      </c>
      <c r="L850" s="1" t="s">
        <v>15</v>
      </c>
      <c r="M850" s="1" t="str">
        <f t="shared" si="13"/>
        <v>Consistent</v>
      </c>
      <c r="N850" s="1" t="str">
        <f>_xlfn.XLOOKUP(H850, risk_score!A:A, risk_score!B:B, 0)</f>
        <v>Low Risk</v>
      </c>
    </row>
    <row r="851" spans="1:14">
      <c r="A851" s="2">
        <v>0.46315972222222224</v>
      </c>
      <c r="B851" s="3">
        <v>44841</v>
      </c>
      <c r="C851" s="1">
        <v>6070690189</v>
      </c>
      <c r="D851" s="1">
        <v>2683467887</v>
      </c>
      <c r="E851" s="1">
        <v>730.22</v>
      </c>
      <c r="F851" s="1" t="s">
        <v>12</v>
      </c>
      <c r="G851" s="1" t="s">
        <v>12</v>
      </c>
      <c r="H851" s="1" t="s">
        <v>13</v>
      </c>
      <c r="I851" s="1" t="s">
        <v>13</v>
      </c>
      <c r="J851" s="1" t="s">
        <v>20</v>
      </c>
      <c r="K851" s="1">
        <v>0</v>
      </c>
      <c r="L851" s="1" t="s">
        <v>21</v>
      </c>
      <c r="M851" s="1" t="str">
        <f t="shared" si="13"/>
        <v>Consistent</v>
      </c>
      <c r="N851" s="1" t="str">
        <f>_xlfn.XLOOKUP(H851, risk_score!A:A, risk_score!B:B, 0)</f>
        <v>Low Risk</v>
      </c>
    </row>
    <row r="852" spans="1:14">
      <c r="A852" s="2">
        <v>0.46317129629629628</v>
      </c>
      <c r="B852" s="3">
        <v>44841</v>
      </c>
      <c r="C852" s="1">
        <v>5019450317</v>
      </c>
      <c r="D852" s="1">
        <v>7024626444</v>
      </c>
      <c r="E852" s="1">
        <v>325.04000000000002</v>
      </c>
      <c r="F852" s="1" t="s">
        <v>12</v>
      </c>
      <c r="G852" s="1" t="s">
        <v>12</v>
      </c>
      <c r="H852" s="1" t="s">
        <v>13</v>
      </c>
      <c r="I852" s="1" t="s">
        <v>13</v>
      </c>
      <c r="J852" s="1" t="s">
        <v>25</v>
      </c>
      <c r="K852" s="1">
        <v>0</v>
      </c>
      <c r="L852" s="1" t="s">
        <v>21</v>
      </c>
      <c r="M852" s="1" t="str">
        <f t="shared" si="13"/>
        <v>Consistent</v>
      </c>
      <c r="N852" s="1" t="str">
        <f>_xlfn.XLOOKUP(H852, risk_score!A:A, risk_score!B:B, 0)</f>
        <v>Low Risk</v>
      </c>
    </row>
    <row r="853" spans="1:14">
      <c r="A853" s="2">
        <v>0.4632060185185185</v>
      </c>
      <c r="B853" s="3">
        <v>44841</v>
      </c>
      <c r="C853" s="1">
        <v>4684070958</v>
      </c>
      <c r="D853" s="1">
        <v>7561906431</v>
      </c>
      <c r="E853" s="1">
        <v>1051.98</v>
      </c>
      <c r="F853" s="1" t="s">
        <v>12</v>
      </c>
      <c r="G853" s="1" t="s">
        <v>12</v>
      </c>
      <c r="H853" s="1" t="s">
        <v>13</v>
      </c>
      <c r="I853" s="1" t="s">
        <v>13</v>
      </c>
      <c r="J853" s="1" t="s">
        <v>25</v>
      </c>
      <c r="K853" s="1">
        <v>0</v>
      </c>
      <c r="L853" s="1" t="s">
        <v>21</v>
      </c>
      <c r="M853" s="1" t="str">
        <f t="shared" si="13"/>
        <v>Consistent</v>
      </c>
      <c r="N853" s="1" t="str">
        <f>_xlfn.XLOOKUP(H853, risk_score!A:A, risk_score!B:B, 0)</f>
        <v>Low Risk</v>
      </c>
    </row>
    <row r="854" spans="1:14">
      <c r="A854" s="2">
        <v>0.4632060185185185</v>
      </c>
      <c r="B854" s="3">
        <v>44841</v>
      </c>
      <c r="C854" s="1">
        <v>1843365823</v>
      </c>
      <c r="D854" s="1">
        <v>5466123934</v>
      </c>
      <c r="E854" s="1">
        <v>9139.26</v>
      </c>
      <c r="F854" s="1" t="s">
        <v>12</v>
      </c>
      <c r="G854" s="1" t="s">
        <v>12</v>
      </c>
      <c r="H854" s="1" t="s">
        <v>13</v>
      </c>
      <c r="I854" s="1" t="s">
        <v>13</v>
      </c>
      <c r="J854" s="1" t="s">
        <v>27</v>
      </c>
      <c r="K854" s="1">
        <v>0</v>
      </c>
      <c r="L854" s="1" t="s">
        <v>23</v>
      </c>
      <c r="M854" s="1" t="str">
        <f t="shared" si="13"/>
        <v>Consistent</v>
      </c>
      <c r="N854" s="1" t="str">
        <f>_xlfn.XLOOKUP(H854, risk_score!A:A, risk_score!B:B, 0)</f>
        <v>Low Risk</v>
      </c>
    </row>
    <row r="855" spans="1:14">
      <c r="A855" s="2">
        <v>0.4632175925925926</v>
      </c>
      <c r="B855" s="3">
        <v>44841</v>
      </c>
      <c r="C855" s="1">
        <v>5612269556</v>
      </c>
      <c r="D855" s="1">
        <v>6892426366</v>
      </c>
      <c r="E855" s="1">
        <v>6949.68</v>
      </c>
      <c r="F855" s="1" t="s">
        <v>12</v>
      </c>
      <c r="G855" s="1" t="s">
        <v>12</v>
      </c>
      <c r="H855" s="1" t="s">
        <v>13</v>
      </c>
      <c r="I855" s="1" t="s">
        <v>13</v>
      </c>
      <c r="J855" s="1" t="s">
        <v>25</v>
      </c>
      <c r="K855" s="1">
        <v>0</v>
      </c>
      <c r="L855" s="1" t="s">
        <v>21</v>
      </c>
      <c r="M855" s="1" t="str">
        <f t="shared" si="13"/>
        <v>Consistent</v>
      </c>
      <c r="N855" s="1" t="str">
        <f>_xlfn.XLOOKUP(H855, risk_score!A:A, risk_score!B:B, 0)</f>
        <v>Low Risk</v>
      </c>
    </row>
    <row r="856" spans="1:14">
      <c r="A856" s="2">
        <v>0.46322916666666669</v>
      </c>
      <c r="B856" s="3">
        <v>44841</v>
      </c>
      <c r="C856" s="1">
        <v>9392700144</v>
      </c>
      <c r="D856" s="1">
        <v>7713641622</v>
      </c>
      <c r="E856" s="1">
        <v>9890.59</v>
      </c>
      <c r="F856" s="1" t="s">
        <v>12</v>
      </c>
      <c r="G856" s="1" t="s">
        <v>12</v>
      </c>
      <c r="H856" s="1" t="s">
        <v>13</v>
      </c>
      <c r="I856" s="1" t="s">
        <v>13</v>
      </c>
      <c r="J856" s="1" t="s">
        <v>25</v>
      </c>
      <c r="K856" s="1">
        <v>0</v>
      </c>
      <c r="L856" s="1" t="s">
        <v>38</v>
      </c>
      <c r="M856" s="1" t="str">
        <f t="shared" si="13"/>
        <v>Consistent</v>
      </c>
      <c r="N856" s="1" t="str">
        <f>_xlfn.XLOOKUP(H856, risk_score!A:A, risk_score!B:B, 0)</f>
        <v>Low Risk</v>
      </c>
    </row>
    <row r="857" spans="1:14">
      <c r="A857" s="2">
        <v>0.46326388888888886</v>
      </c>
      <c r="B857" s="3">
        <v>44841</v>
      </c>
      <c r="C857" s="1">
        <v>6422599500</v>
      </c>
      <c r="D857" s="1">
        <v>714400692</v>
      </c>
      <c r="E857" s="1">
        <v>3138.24</v>
      </c>
      <c r="F857" s="1" t="s">
        <v>12</v>
      </c>
      <c r="G857" s="1" t="s">
        <v>12</v>
      </c>
      <c r="H857" s="1" t="s">
        <v>13</v>
      </c>
      <c r="I857" s="1" t="s">
        <v>13</v>
      </c>
      <c r="J857" s="1" t="s">
        <v>25</v>
      </c>
      <c r="K857" s="1">
        <v>0</v>
      </c>
      <c r="L857" s="1" t="s">
        <v>21</v>
      </c>
      <c r="M857" s="1" t="str">
        <f t="shared" si="13"/>
        <v>Consistent</v>
      </c>
      <c r="N857" s="1" t="str">
        <f>_xlfn.XLOOKUP(H857, risk_score!A:A, risk_score!B:B, 0)</f>
        <v>Low Risk</v>
      </c>
    </row>
    <row r="858" spans="1:14">
      <c r="A858" s="2">
        <v>0.46328703703703705</v>
      </c>
      <c r="B858" s="3">
        <v>44841</v>
      </c>
      <c r="C858" s="1">
        <v>6738148173</v>
      </c>
      <c r="D858" s="1">
        <v>7193900903</v>
      </c>
      <c r="E858" s="1">
        <v>4045.85</v>
      </c>
      <c r="F858" s="1" t="s">
        <v>12</v>
      </c>
      <c r="G858" s="1" t="s">
        <v>12</v>
      </c>
      <c r="H858" s="1" t="s">
        <v>13</v>
      </c>
      <c r="I858" s="1" t="s">
        <v>13</v>
      </c>
      <c r="J858" s="1" t="s">
        <v>22</v>
      </c>
      <c r="K858" s="1">
        <v>0</v>
      </c>
      <c r="L858" s="1" t="s">
        <v>21</v>
      </c>
      <c r="M858" s="1" t="str">
        <f t="shared" si="13"/>
        <v>Consistent</v>
      </c>
      <c r="N858" s="1" t="str">
        <f>_xlfn.XLOOKUP(H858, risk_score!A:A, risk_score!B:B, 0)</f>
        <v>Low Risk</v>
      </c>
    </row>
    <row r="859" spans="1:14">
      <c r="A859" s="2">
        <v>0.46328703703703705</v>
      </c>
      <c r="B859" s="3">
        <v>44841</v>
      </c>
      <c r="C859" s="1">
        <v>5021785800</v>
      </c>
      <c r="D859" s="1">
        <v>5064372260</v>
      </c>
      <c r="E859" s="1">
        <v>10017.969999999999</v>
      </c>
      <c r="F859" s="1" t="s">
        <v>12</v>
      </c>
      <c r="G859" s="1" t="s">
        <v>12</v>
      </c>
      <c r="H859" s="1" t="s">
        <v>13</v>
      </c>
      <c r="I859" s="1" t="s">
        <v>13</v>
      </c>
      <c r="J859" s="1" t="s">
        <v>22</v>
      </c>
      <c r="K859" s="1">
        <v>0</v>
      </c>
      <c r="L859" s="1" t="s">
        <v>19</v>
      </c>
      <c r="M859" s="1" t="str">
        <f t="shared" si="13"/>
        <v>Consistent</v>
      </c>
      <c r="N859" s="1" t="str">
        <f>_xlfn.XLOOKUP(H859, risk_score!A:A, risk_score!B:B, 0)</f>
        <v>Low Risk</v>
      </c>
    </row>
    <row r="860" spans="1:14">
      <c r="A860" s="2">
        <v>0.46328703703703705</v>
      </c>
      <c r="B860" s="3">
        <v>44841</v>
      </c>
      <c r="C860" s="1">
        <v>9289636078</v>
      </c>
      <c r="D860" s="1">
        <v>6561906114</v>
      </c>
      <c r="E860" s="1">
        <v>8258.9699999999993</v>
      </c>
      <c r="F860" s="1" t="s">
        <v>12</v>
      </c>
      <c r="G860" s="1" t="s">
        <v>12</v>
      </c>
      <c r="H860" s="1" t="s">
        <v>13</v>
      </c>
      <c r="I860" s="1" t="s">
        <v>13</v>
      </c>
      <c r="J860" s="1" t="s">
        <v>25</v>
      </c>
      <c r="K860" s="1">
        <v>0</v>
      </c>
      <c r="L860" s="1" t="s">
        <v>24</v>
      </c>
      <c r="M860" s="1" t="str">
        <f t="shared" si="13"/>
        <v>Consistent</v>
      </c>
      <c r="N860" s="1" t="str">
        <f>_xlfn.XLOOKUP(H860, risk_score!A:A, risk_score!B:B, 0)</f>
        <v>Low Risk</v>
      </c>
    </row>
    <row r="861" spans="1:14">
      <c r="A861" s="2">
        <v>0.46329861111111109</v>
      </c>
      <c r="B861" s="3">
        <v>44841</v>
      </c>
      <c r="C861" s="1">
        <v>8456279067</v>
      </c>
      <c r="D861" s="1">
        <v>1194597483</v>
      </c>
      <c r="E861" s="1">
        <v>9362.44</v>
      </c>
      <c r="F861" s="1" t="s">
        <v>12</v>
      </c>
      <c r="G861" s="1" t="s">
        <v>12</v>
      </c>
      <c r="H861" s="1" t="s">
        <v>13</v>
      </c>
      <c r="I861" s="1" t="s">
        <v>13</v>
      </c>
      <c r="J861" s="1" t="s">
        <v>27</v>
      </c>
      <c r="K861" s="1">
        <v>0</v>
      </c>
      <c r="L861" s="1" t="s">
        <v>19</v>
      </c>
      <c r="M861" s="1" t="str">
        <f t="shared" si="13"/>
        <v>Consistent</v>
      </c>
      <c r="N861" s="1" t="str">
        <f>_xlfn.XLOOKUP(H861, risk_score!A:A, risk_score!B:B, 0)</f>
        <v>Low Risk</v>
      </c>
    </row>
    <row r="862" spans="1:14">
      <c r="A862" s="2">
        <v>0.46331018518518519</v>
      </c>
      <c r="B862" s="3">
        <v>44841</v>
      </c>
      <c r="C862" s="1">
        <v>9046747337</v>
      </c>
      <c r="D862" s="1">
        <v>3098258591</v>
      </c>
      <c r="E862" s="1">
        <v>1332.59</v>
      </c>
      <c r="F862" s="1" t="s">
        <v>12</v>
      </c>
      <c r="G862" s="1" t="s">
        <v>12</v>
      </c>
      <c r="H862" s="1" t="s">
        <v>13</v>
      </c>
      <c r="I862" s="1" t="s">
        <v>13</v>
      </c>
      <c r="J862" s="1" t="s">
        <v>14</v>
      </c>
      <c r="K862" s="1">
        <v>0</v>
      </c>
      <c r="L862" s="1" t="s">
        <v>15</v>
      </c>
      <c r="M862" s="1" t="str">
        <f t="shared" si="13"/>
        <v>Consistent</v>
      </c>
      <c r="N862" s="1" t="str">
        <f>_xlfn.XLOOKUP(H862, risk_score!A:A, risk_score!B:B, 0)</f>
        <v>Low Risk</v>
      </c>
    </row>
    <row r="863" spans="1:14">
      <c r="A863" s="2">
        <v>0.46336805555555555</v>
      </c>
      <c r="B863" s="3">
        <v>44841</v>
      </c>
      <c r="C863" s="1">
        <v>5706877708</v>
      </c>
      <c r="D863" s="1">
        <v>7892884492</v>
      </c>
      <c r="E863" s="1">
        <v>9204.7800000000007</v>
      </c>
      <c r="F863" s="1" t="s">
        <v>12</v>
      </c>
      <c r="G863" s="1" t="s">
        <v>32</v>
      </c>
      <c r="H863" s="1" t="s">
        <v>13</v>
      </c>
      <c r="I863" s="1" t="s">
        <v>33</v>
      </c>
      <c r="J863" s="1" t="s">
        <v>18</v>
      </c>
      <c r="K863" s="1">
        <v>0</v>
      </c>
      <c r="L863" s="1" t="s">
        <v>23</v>
      </c>
      <c r="M863" s="1" t="str">
        <f t="shared" si="13"/>
        <v>Potential Layering</v>
      </c>
      <c r="N863" s="1" t="str">
        <f>_xlfn.XLOOKUP(H863, risk_score!A:A, risk_score!B:B, 0)</f>
        <v>Low Risk</v>
      </c>
    </row>
    <row r="864" spans="1:14">
      <c r="A864" s="2">
        <v>0.46340277777777777</v>
      </c>
      <c r="B864" s="3">
        <v>44841</v>
      </c>
      <c r="C864" s="1">
        <v>9187235128</v>
      </c>
      <c r="D864" s="1">
        <v>4417393799</v>
      </c>
      <c r="E864" s="1">
        <v>770.65</v>
      </c>
      <c r="F864" s="1" t="s">
        <v>12</v>
      </c>
      <c r="G864" s="1" t="s">
        <v>12</v>
      </c>
      <c r="H864" s="1" t="s">
        <v>13</v>
      </c>
      <c r="I864" s="1" t="s">
        <v>13</v>
      </c>
      <c r="J864" s="1" t="s">
        <v>27</v>
      </c>
      <c r="K864" s="1">
        <v>0</v>
      </c>
      <c r="L864" s="1" t="s">
        <v>21</v>
      </c>
      <c r="M864" s="1" t="str">
        <f t="shared" si="13"/>
        <v>Consistent</v>
      </c>
      <c r="N864" s="1" t="str">
        <f>_xlfn.XLOOKUP(H864, risk_score!A:A, risk_score!B:B, 0)</f>
        <v>Low Risk</v>
      </c>
    </row>
    <row r="865" spans="1:14">
      <c r="A865" s="2">
        <v>0.46341435185185187</v>
      </c>
      <c r="B865" s="3">
        <v>44841</v>
      </c>
      <c r="C865" s="1">
        <v>3697918511</v>
      </c>
      <c r="D865" s="1">
        <v>7160736915</v>
      </c>
      <c r="E865" s="1">
        <v>6639.77</v>
      </c>
      <c r="F865" s="1" t="s">
        <v>12</v>
      </c>
      <c r="G865" s="1" t="s">
        <v>12</v>
      </c>
      <c r="H865" s="1" t="s">
        <v>13</v>
      </c>
      <c r="I865" s="1" t="s">
        <v>13</v>
      </c>
      <c r="J865" s="1" t="s">
        <v>25</v>
      </c>
      <c r="K865" s="1">
        <v>0</v>
      </c>
      <c r="L865" s="1" t="s">
        <v>23</v>
      </c>
      <c r="M865" s="1" t="str">
        <f t="shared" si="13"/>
        <v>Consistent</v>
      </c>
      <c r="N865" s="1" t="str">
        <f>_xlfn.XLOOKUP(H865, risk_score!A:A, risk_score!B:B, 0)</f>
        <v>Low Risk</v>
      </c>
    </row>
    <row r="866" spans="1:14">
      <c r="A866" s="2">
        <v>0.46342592592592591</v>
      </c>
      <c r="B866" s="3">
        <v>44841</v>
      </c>
      <c r="C866" s="1">
        <v>8203229522</v>
      </c>
      <c r="D866" s="1">
        <v>9897263201</v>
      </c>
      <c r="E866" s="1">
        <v>12866.62</v>
      </c>
      <c r="F866" s="1" t="s">
        <v>12</v>
      </c>
      <c r="G866" s="1" t="s">
        <v>12</v>
      </c>
      <c r="H866" s="1" t="s">
        <v>13</v>
      </c>
      <c r="I866" s="1" t="s">
        <v>13</v>
      </c>
      <c r="J866" s="1" t="s">
        <v>25</v>
      </c>
      <c r="K866" s="1">
        <v>0</v>
      </c>
      <c r="L866" s="1" t="s">
        <v>19</v>
      </c>
      <c r="M866" s="1" t="str">
        <f t="shared" si="13"/>
        <v>Consistent</v>
      </c>
      <c r="N866" s="1" t="str">
        <f>_xlfn.XLOOKUP(H866, risk_score!A:A, risk_score!B:B, 0)</f>
        <v>Low Risk</v>
      </c>
    </row>
    <row r="867" spans="1:14">
      <c r="A867" s="2">
        <v>0.4634490740740741</v>
      </c>
      <c r="B867" s="3">
        <v>44841</v>
      </c>
      <c r="C867" s="1">
        <v>5185722813</v>
      </c>
      <c r="D867" s="1">
        <v>741570783</v>
      </c>
      <c r="E867" s="1">
        <v>412.47</v>
      </c>
      <c r="F867" s="1" t="s">
        <v>12</v>
      </c>
      <c r="G867" s="1" t="s">
        <v>12</v>
      </c>
      <c r="H867" s="1" t="s">
        <v>13</v>
      </c>
      <c r="I867" s="1" t="s">
        <v>13</v>
      </c>
      <c r="J867" s="1" t="s">
        <v>25</v>
      </c>
      <c r="K867" s="1">
        <v>0</v>
      </c>
      <c r="L867" s="1" t="s">
        <v>21</v>
      </c>
      <c r="M867" s="1" t="str">
        <f t="shared" si="13"/>
        <v>Consistent</v>
      </c>
      <c r="N867" s="1" t="str">
        <f>_xlfn.XLOOKUP(H867, risk_score!A:A, risk_score!B:B, 0)</f>
        <v>Low Risk</v>
      </c>
    </row>
    <row r="868" spans="1:14">
      <c r="A868" s="2">
        <v>0.4634490740740741</v>
      </c>
      <c r="B868" s="3">
        <v>44841</v>
      </c>
      <c r="C868" s="1">
        <v>6208213205</v>
      </c>
      <c r="D868" s="1">
        <v>2959192529</v>
      </c>
      <c r="E868" s="1">
        <v>21664.05</v>
      </c>
      <c r="F868" s="1" t="s">
        <v>12</v>
      </c>
      <c r="G868" s="1" t="s">
        <v>12</v>
      </c>
      <c r="H868" s="1" t="s">
        <v>13</v>
      </c>
      <c r="I868" s="1" t="s">
        <v>13</v>
      </c>
      <c r="J868" s="1" t="s">
        <v>27</v>
      </c>
      <c r="K868" s="1">
        <v>0</v>
      </c>
      <c r="L868" s="1" t="s">
        <v>21</v>
      </c>
      <c r="M868" s="1" t="str">
        <f t="shared" si="13"/>
        <v>Consistent</v>
      </c>
      <c r="N868" s="1" t="str">
        <f>_xlfn.XLOOKUP(H868, risk_score!A:A, risk_score!B:B, 0)</f>
        <v>Low Risk</v>
      </c>
    </row>
    <row r="869" spans="1:14">
      <c r="A869" s="2">
        <v>0.46348379629629627</v>
      </c>
      <c r="B869" s="3">
        <v>44841</v>
      </c>
      <c r="C869" s="1">
        <v>9136318143</v>
      </c>
      <c r="D869" s="1">
        <v>2138505015</v>
      </c>
      <c r="E869" s="1">
        <v>7200.8</v>
      </c>
      <c r="F869" s="1" t="s">
        <v>12</v>
      </c>
      <c r="G869" s="1" t="s">
        <v>16</v>
      </c>
      <c r="H869" s="1" t="s">
        <v>13</v>
      </c>
      <c r="I869" s="1" t="s">
        <v>17</v>
      </c>
      <c r="J869" s="1" t="s">
        <v>18</v>
      </c>
      <c r="K869" s="1">
        <v>0</v>
      </c>
      <c r="L869" s="1" t="s">
        <v>23</v>
      </c>
      <c r="M869" s="1" t="str">
        <f t="shared" si="13"/>
        <v>Potential Layering</v>
      </c>
      <c r="N869" s="1" t="str">
        <f>_xlfn.XLOOKUP(H869, risk_score!A:A, risk_score!B:B, 0)</f>
        <v>Low Risk</v>
      </c>
    </row>
    <row r="870" spans="1:14">
      <c r="A870" s="2">
        <v>0.46349537037037036</v>
      </c>
      <c r="B870" s="3">
        <v>44841</v>
      </c>
      <c r="C870" s="1">
        <v>4121324384</v>
      </c>
      <c r="D870" s="1">
        <v>3732455271</v>
      </c>
      <c r="E870" s="1">
        <v>9627.19</v>
      </c>
      <c r="F870" s="1" t="s">
        <v>29</v>
      </c>
      <c r="G870" s="1" t="s">
        <v>12</v>
      </c>
      <c r="H870" s="1" t="s">
        <v>30</v>
      </c>
      <c r="I870" s="1" t="s">
        <v>13</v>
      </c>
      <c r="J870" s="1" t="s">
        <v>18</v>
      </c>
      <c r="K870" s="1">
        <v>0</v>
      </c>
      <c r="L870" s="1" t="s">
        <v>19</v>
      </c>
      <c r="M870" s="1" t="str">
        <f t="shared" si="13"/>
        <v>Potential Layering</v>
      </c>
      <c r="N870" s="1" t="str">
        <f>_xlfn.XLOOKUP(H870, risk_score!A:A, risk_score!B:B, 0)</f>
        <v>Low Risk</v>
      </c>
    </row>
    <row r="871" spans="1:14">
      <c r="A871" s="2">
        <v>0.46349537037037036</v>
      </c>
      <c r="B871" s="3">
        <v>44841</v>
      </c>
      <c r="C871" s="1">
        <v>9184102612</v>
      </c>
      <c r="D871" s="1">
        <v>6298543467</v>
      </c>
      <c r="E871" s="1">
        <v>598.87</v>
      </c>
      <c r="F871" s="1" t="s">
        <v>12</v>
      </c>
      <c r="G871" s="1" t="s">
        <v>12</v>
      </c>
      <c r="H871" s="1" t="s">
        <v>13</v>
      </c>
      <c r="I871" s="1" t="s">
        <v>13</v>
      </c>
      <c r="J871" s="1" t="s">
        <v>22</v>
      </c>
      <c r="K871" s="1">
        <v>0</v>
      </c>
      <c r="L871" s="1" t="s">
        <v>21</v>
      </c>
      <c r="M871" s="1" t="str">
        <f t="shared" si="13"/>
        <v>Consistent</v>
      </c>
      <c r="N871" s="1" t="str">
        <f>_xlfn.XLOOKUP(H871, risk_score!A:A, risk_score!B:B, 0)</f>
        <v>Low Risk</v>
      </c>
    </row>
    <row r="872" spans="1:14">
      <c r="A872" s="2">
        <v>0.46356481481481482</v>
      </c>
      <c r="B872" s="3">
        <v>44841</v>
      </c>
      <c r="C872" s="1">
        <v>7067575476</v>
      </c>
      <c r="D872" s="1">
        <v>5561830373</v>
      </c>
      <c r="E872" s="1">
        <v>16829.259999999998</v>
      </c>
      <c r="F872" s="1" t="s">
        <v>12</v>
      </c>
      <c r="G872" s="1" t="s">
        <v>12</v>
      </c>
      <c r="H872" s="1" t="s">
        <v>13</v>
      </c>
      <c r="I872" s="1" t="s">
        <v>13</v>
      </c>
      <c r="J872" s="1" t="s">
        <v>27</v>
      </c>
      <c r="K872" s="1">
        <v>0</v>
      </c>
      <c r="L872" s="1" t="s">
        <v>21</v>
      </c>
      <c r="M872" s="1" t="str">
        <f t="shared" si="13"/>
        <v>Consistent</v>
      </c>
      <c r="N872" s="1" t="str">
        <f>_xlfn.XLOOKUP(H872, risk_score!A:A, risk_score!B:B, 0)</f>
        <v>Low Risk</v>
      </c>
    </row>
    <row r="873" spans="1:14">
      <c r="A873" s="2">
        <v>0.46356481481481482</v>
      </c>
      <c r="B873" s="3">
        <v>44841</v>
      </c>
      <c r="C873" s="1">
        <v>5036433877</v>
      </c>
      <c r="D873" s="1">
        <v>1881336524</v>
      </c>
      <c r="E873" s="1">
        <v>4802.8599999999997</v>
      </c>
      <c r="F873" s="1" t="s">
        <v>12</v>
      </c>
      <c r="G873" s="1" t="s">
        <v>12</v>
      </c>
      <c r="H873" s="1" t="s">
        <v>13</v>
      </c>
      <c r="I873" s="1" t="s">
        <v>13</v>
      </c>
      <c r="J873" s="1" t="s">
        <v>20</v>
      </c>
      <c r="K873" s="1">
        <v>0</v>
      </c>
      <c r="L873" s="1" t="s">
        <v>24</v>
      </c>
      <c r="M873" s="1" t="str">
        <f t="shared" si="13"/>
        <v>Consistent</v>
      </c>
      <c r="N873" s="1" t="str">
        <f>_xlfn.XLOOKUP(H873, risk_score!A:A, risk_score!B:B, 0)</f>
        <v>Low Risk</v>
      </c>
    </row>
    <row r="874" spans="1:14">
      <c r="A874" s="2">
        <v>0.46357638888888891</v>
      </c>
      <c r="B874" s="3">
        <v>44841</v>
      </c>
      <c r="C874" s="1">
        <v>3497124400</v>
      </c>
      <c r="D874" s="1">
        <v>7805822905</v>
      </c>
      <c r="E874" s="1">
        <v>5485.08</v>
      </c>
      <c r="F874" s="1" t="s">
        <v>12</v>
      </c>
      <c r="G874" s="1" t="s">
        <v>12</v>
      </c>
      <c r="H874" s="1" t="s">
        <v>13</v>
      </c>
      <c r="I874" s="1" t="s">
        <v>13</v>
      </c>
      <c r="J874" s="1" t="s">
        <v>22</v>
      </c>
      <c r="K874" s="1">
        <v>0</v>
      </c>
      <c r="L874" s="1" t="s">
        <v>21</v>
      </c>
      <c r="M874" s="1" t="str">
        <f t="shared" si="13"/>
        <v>Consistent</v>
      </c>
      <c r="N874" s="1" t="str">
        <f>_xlfn.XLOOKUP(H874, risk_score!A:A, risk_score!B:B, 0)</f>
        <v>Low Risk</v>
      </c>
    </row>
    <row r="875" spans="1:14">
      <c r="A875" s="2">
        <v>0.46358796296296295</v>
      </c>
      <c r="B875" s="3">
        <v>44841</v>
      </c>
      <c r="C875" s="1">
        <v>4985237751</v>
      </c>
      <c r="D875" s="1">
        <v>8766539897</v>
      </c>
      <c r="E875" s="1">
        <v>21983.75</v>
      </c>
      <c r="F875" s="1" t="s">
        <v>12</v>
      </c>
      <c r="G875" s="1" t="s">
        <v>12</v>
      </c>
      <c r="H875" s="1" t="s">
        <v>13</v>
      </c>
      <c r="I875" s="1" t="s">
        <v>13</v>
      </c>
      <c r="J875" s="1" t="s">
        <v>20</v>
      </c>
      <c r="K875" s="1">
        <v>0</v>
      </c>
      <c r="L875" s="1" t="s">
        <v>24</v>
      </c>
      <c r="M875" s="1" t="str">
        <f t="shared" si="13"/>
        <v>Consistent</v>
      </c>
      <c r="N875" s="1" t="str">
        <f>_xlfn.XLOOKUP(H875, risk_score!A:A, risk_score!B:B, 0)</f>
        <v>Low Risk</v>
      </c>
    </row>
    <row r="876" spans="1:14">
      <c r="A876" s="2">
        <v>0.46361111111111108</v>
      </c>
      <c r="B876" s="3">
        <v>44841</v>
      </c>
      <c r="C876" s="1">
        <v>8867140111</v>
      </c>
      <c r="D876" s="1">
        <v>3095652062</v>
      </c>
      <c r="E876" s="1">
        <v>807.77</v>
      </c>
      <c r="F876" s="1" t="s">
        <v>12</v>
      </c>
      <c r="G876" s="1" t="s">
        <v>12</v>
      </c>
      <c r="H876" s="1" t="s">
        <v>13</v>
      </c>
      <c r="I876" s="1" t="s">
        <v>13</v>
      </c>
      <c r="J876" s="1" t="s">
        <v>22</v>
      </c>
      <c r="K876" s="1">
        <v>0</v>
      </c>
      <c r="L876" s="1" t="s">
        <v>21</v>
      </c>
      <c r="M876" s="1" t="str">
        <f t="shared" si="13"/>
        <v>Consistent</v>
      </c>
      <c r="N876" s="1" t="str">
        <f>_xlfn.XLOOKUP(H876, risk_score!A:A, risk_score!B:B, 0)</f>
        <v>Low Risk</v>
      </c>
    </row>
    <row r="877" spans="1:14">
      <c r="A877" s="2">
        <v>0.46362268518518518</v>
      </c>
      <c r="B877" s="3">
        <v>44841</v>
      </c>
      <c r="C877" s="1">
        <v>6077900993</v>
      </c>
      <c r="D877" s="1">
        <v>6609117934</v>
      </c>
      <c r="E877" s="1">
        <v>2850.53</v>
      </c>
      <c r="F877" s="1" t="s">
        <v>12</v>
      </c>
      <c r="G877" s="1" t="s">
        <v>12</v>
      </c>
      <c r="H877" s="1" t="s">
        <v>13</v>
      </c>
      <c r="I877" s="1" t="s">
        <v>13</v>
      </c>
      <c r="J877" s="1" t="s">
        <v>25</v>
      </c>
      <c r="K877" s="1">
        <v>0</v>
      </c>
      <c r="L877" s="1" t="s">
        <v>24</v>
      </c>
      <c r="M877" s="1" t="str">
        <f t="shared" si="13"/>
        <v>Consistent</v>
      </c>
      <c r="N877" s="1" t="str">
        <f>_xlfn.XLOOKUP(H877, risk_score!A:A, risk_score!B:B, 0)</f>
        <v>Low Risk</v>
      </c>
    </row>
    <row r="878" spans="1:14">
      <c r="A878" s="2">
        <v>0.46363425925925927</v>
      </c>
      <c r="B878" s="3">
        <v>44841</v>
      </c>
      <c r="C878" s="1">
        <v>4325952441</v>
      </c>
      <c r="D878" s="1">
        <v>8998967958</v>
      </c>
      <c r="E878" s="1">
        <v>960.61</v>
      </c>
      <c r="F878" s="1" t="s">
        <v>12</v>
      </c>
      <c r="G878" s="1" t="s">
        <v>12</v>
      </c>
      <c r="H878" s="1" t="s">
        <v>13</v>
      </c>
      <c r="I878" s="1" t="s">
        <v>13</v>
      </c>
      <c r="J878" s="1" t="s">
        <v>27</v>
      </c>
      <c r="K878" s="1">
        <v>0</v>
      </c>
      <c r="L878" s="1" t="s">
        <v>21</v>
      </c>
      <c r="M878" s="1" t="str">
        <f t="shared" si="13"/>
        <v>Consistent</v>
      </c>
      <c r="N878" s="1" t="str">
        <f>_xlfn.XLOOKUP(H878, risk_score!A:A, risk_score!B:B, 0)</f>
        <v>Low Risk</v>
      </c>
    </row>
    <row r="879" spans="1:14">
      <c r="A879" s="2">
        <v>0.46363425925925927</v>
      </c>
      <c r="B879" s="3">
        <v>44841</v>
      </c>
      <c r="C879" s="1">
        <v>4554217488</v>
      </c>
      <c r="D879" s="1">
        <v>9781717277</v>
      </c>
      <c r="E879" s="1">
        <v>3282.59</v>
      </c>
      <c r="F879" s="1" t="s">
        <v>12</v>
      </c>
      <c r="G879" s="1" t="s">
        <v>12</v>
      </c>
      <c r="H879" s="1" t="s">
        <v>13</v>
      </c>
      <c r="I879" s="1" t="s">
        <v>13</v>
      </c>
      <c r="J879" s="1" t="s">
        <v>25</v>
      </c>
      <c r="K879" s="1">
        <v>0</v>
      </c>
      <c r="L879" s="1" t="s">
        <v>24</v>
      </c>
      <c r="M879" s="1" t="str">
        <f t="shared" si="13"/>
        <v>Consistent</v>
      </c>
      <c r="N879" s="1" t="str">
        <f>_xlfn.XLOOKUP(H879, risk_score!A:A, risk_score!B:B, 0)</f>
        <v>Low Risk</v>
      </c>
    </row>
    <row r="880" spans="1:14">
      <c r="A880" s="2">
        <v>0.46368055555555554</v>
      </c>
      <c r="B880" s="3">
        <v>44841</v>
      </c>
      <c r="C880" s="1">
        <v>8987848252</v>
      </c>
      <c r="D880" s="1">
        <v>7140265767</v>
      </c>
      <c r="E880" s="1">
        <v>5324.7</v>
      </c>
      <c r="F880" s="1" t="s">
        <v>12</v>
      </c>
      <c r="G880" s="1" t="s">
        <v>12</v>
      </c>
      <c r="H880" s="1" t="s">
        <v>13</v>
      </c>
      <c r="I880" s="1" t="s">
        <v>13</v>
      </c>
      <c r="J880" s="1" t="s">
        <v>22</v>
      </c>
      <c r="K880" s="1">
        <v>0</v>
      </c>
      <c r="L880" s="1" t="s">
        <v>19</v>
      </c>
      <c r="M880" s="1" t="str">
        <f t="shared" si="13"/>
        <v>Consistent</v>
      </c>
      <c r="N880" s="1" t="str">
        <f>_xlfn.XLOOKUP(H880, risk_score!A:A, risk_score!B:B, 0)</f>
        <v>Low Risk</v>
      </c>
    </row>
    <row r="881" spans="1:14">
      <c r="A881" s="2">
        <v>0.46370370370370373</v>
      </c>
      <c r="B881" s="3">
        <v>44841</v>
      </c>
      <c r="C881" s="1">
        <v>7358038261</v>
      </c>
      <c r="D881" s="1">
        <v>4173195094</v>
      </c>
      <c r="E881" s="1">
        <v>6047.72</v>
      </c>
      <c r="F881" s="1" t="s">
        <v>12</v>
      </c>
      <c r="G881" s="1" t="s">
        <v>12</v>
      </c>
      <c r="H881" s="1" t="s">
        <v>13</v>
      </c>
      <c r="I881" s="1" t="s">
        <v>13</v>
      </c>
      <c r="J881" s="1" t="s">
        <v>25</v>
      </c>
      <c r="K881" s="1">
        <v>0</v>
      </c>
      <c r="L881" s="1" t="s">
        <v>23</v>
      </c>
      <c r="M881" s="1" t="str">
        <f t="shared" si="13"/>
        <v>Consistent</v>
      </c>
      <c r="N881" s="1" t="str">
        <f>_xlfn.XLOOKUP(H881, risk_score!A:A, risk_score!B:B, 0)</f>
        <v>Low Risk</v>
      </c>
    </row>
    <row r="882" spans="1:14">
      <c r="A882" s="2">
        <v>0.46370370370370373</v>
      </c>
      <c r="B882" s="3">
        <v>44841</v>
      </c>
      <c r="C882" s="1">
        <v>4781585854</v>
      </c>
      <c r="D882" s="1">
        <v>6943673047</v>
      </c>
      <c r="E882" s="1">
        <v>1180.2</v>
      </c>
      <c r="F882" s="1" t="s">
        <v>12</v>
      </c>
      <c r="G882" s="1" t="s">
        <v>12</v>
      </c>
      <c r="H882" s="1" t="s">
        <v>13</v>
      </c>
      <c r="I882" s="1" t="s">
        <v>13</v>
      </c>
      <c r="J882" s="1" t="s">
        <v>27</v>
      </c>
      <c r="K882" s="1">
        <v>0</v>
      </c>
      <c r="L882" s="1" t="s">
        <v>21</v>
      </c>
      <c r="M882" s="1" t="str">
        <f t="shared" si="13"/>
        <v>Consistent</v>
      </c>
      <c r="N882" s="1" t="str">
        <f>_xlfn.XLOOKUP(H882, risk_score!A:A, risk_score!B:B, 0)</f>
        <v>Low Risk</v>
      </c>
    </row>
    <row r="883" spans="1:14">
      <c r="A883" s="2">
        <v>0.46371527777777777</v>
      </c>
      <c r="B883" s="3">
        <v>44841</v>
      </c>
      <c r="C883" s="1">
        <v>5263982631</v>
      </c>
      <c r="D883" s="1">
        <v>7080357663</v>
      </c>
      <c r="E883" s="1">
        <v>27492.73</v>
      </c>
      <c r="F883" s="1" t="s">
        <v>51</v>
      </c>
      <c r="G883" s="1" t="s">
        <v>12</v>
      </c>
      <c r="H883" s="1" t="s">
        <v>52</v>
      </c>
      <c r="I883" s="1" t="s">
        <v>13</v>
      </c>
      <c r="J883" s="1" t="s">
        <v>18</v>
      </c>
      <c r="K883" s="1">
        <v>0</v>
      </c>
      <c r="L883" s="1" t="s">
        <v>23</v>
      </c>
      <c r="M883" s="1" t="str">
        <f t="shared" si="13"/>
        <v>Potential Layering</v>
      </c>
      <c r="N883" s="1" t="str">
        <f>_xlfn.XLOOKUP(H883, risk_score!A:A, risk_score!B:B, 0)</f>
        <v>Medium Risk</v>
      </c>
    </row>
    <row r="884" spans="1:14">
      <c r="A884" s="2">
        <v>0.46371527777777777</v>
      </c>
      <c r="B884" s="3">
        <v>44841</v>
      </c>
      <c r="C884" s="1">
        <v>8132617827</v>
      </c>
      <c r="D884" s="1">
        <v>5466123934</v>
      </c>
      <c r="E884" s="1">
        <v>10335.4</v>
      </c>
      <c r="F884" s="1" t="s">
        <v>12</v>
      </c>
      <c r="G884" s="1" t="s">
        <v>12</v>
      </c>
      <c r="H884" s="1" t="s">
        <v>13</v>
      </c>
      <c r="I884" s="1" t="s">
        <v>13</v>
      </c>
      <c r="J884" s="1" t="s">
        <v>25</v>
      </c>
      <c r="K884" s="1">
        <v>0</v>
      </c>
      <c r="L884" s="1" t="s">
        <v>23</v>
      </c>
      <c r="M884" s="1" t="str">
        <f t="shared" si="13"/>
        <v>Consistent</v>
      </c>
      <c r="N884" s="1" t="str">
        <f>_xlfn.XLOOKUP(H884, risk_score!A:A, risk_score!B:B, 0)</f>
        <v>Low Risk</v>
      </c>
    </row>
    <row r="885" spans="1:14">
      <c r="A885" s="2">
        <v>0.4637384259259259</v>
      </c>
      <c r="B885" s="3">
        <v>44841</v>
      </c>
      <c r="C885" s="1">
        <v>1378784400</v>
      </c>
      <c r="D885" s="1">
        <v>7373473711</v>
      </c>
      <c r="E885" s="1">
        <v>10893.97</v>
      </c>
      <c r="F885" s="1" t="s">
        <v>12</v>
      </c>
      <c r="G885" s="1" t="s">
        <v>12</v>
      </c>
      <c r="H885" s="1" t="s">
        <v>13</v>
      </c>
      <c r="I885" s="1" t="s">
        <v>13</v>
      </c>
      <c r="J885" s="1" t="s">
        <v>25</v>
      </c>
      <c r="K885" s="1">
        <v>0</v>
      </c>
      <c r="L885" s="1" t="s">
        <v>19</v>
      </c>
      <c r="M885" s="1" t="str">
        <f t="shared" si="13"/>
        <v>Consistent</v>
      </c>
      <c r="N885" s="1" t="str">
        <f>_xlfn.XLOOKUP(H885, risk_score!A:A, risk_score!B:B, 0)</f>
        <v>Low Risk</v>
      </c>
    </row>
    <row r="886" spans="1:14">
      <c r="A886" s="2">
        <v>0.46377314814814813</v>
      </c>
      <c r="B886" s="3">
        <v>44841</v>
      </c>
      <c r="C886" s="1">
        <v>3683639470</v>
      </c>
      <c r="D886" s="1">
        <v>3066321263</v>
      </c>
      <c r="E886" s="1">
        <v>13028.43</v>
      </c>
      <c r="F886" s="1" t="s">
        <v>12</v>
      </c>
      <c r="G886" s="1" t="s">
        <v>12</v>
      </c>
      <c r="H886" s="1" t="s">
        <v>13</v>
      </c>
      <c r="I886" s="1" t="s">
        <v>13</v>
      </c>
      <c r="J886" s="1" t="s">
        <v>22</v>
      </c>
      <c r="K886" s="1">
        <v>0</v>
      </c>
      <c r="L886" s="1" t="s">
        <v>23</v>
      </c>
      <c r="M886" s="1" t="str">
        <f t="shared" si="13"/>
        <v>Consistent</v>
      </c>
      <c r="N886" s="1" t="str">
        <f>_xlfn.XLOOKUP(H886, risk_score!A:A, risk_score!B:B, 0)</f>
        <v>Low Risk</v>
      </c>
    </row>
    <row r="887" spans="1:14">
      <c r="A887" s="2">
        <v>0.46381944444444445</v>
      </c>
      <c r="B887" s="3">
        <v>44841</v>
      </c>
      <c r="C887" s="1">
        <v>7385540908</v>
      </c>
      <c r="D887" s="1">
        <v>2714399420</v>
      </c>
      <c r="E887" s="1">
        <v>23282.12</v>
      </c>
      <c r="F887" s="1" t="s">
        <v>51</v>
      </c>
      <c r="G887" s="1" t="s">
        <v>12</v>
      </c>
      <c r="H887" s="1" t="s">
        <v>52</v>
      </c>
      <c r="I887" s="1" t="s">
        <v>13</v>
      </c>
      <c r="J887" s="1" t="s">
        <v>18</v>
      </c>
      <c r="K887" s="1">
        <v>0</v>
      </c>
      <c r="L887" s="1" t="s">
        <v>21</v>
      </c>
      <c r="M887" s="1" t="str">
        <f t="shared" si="13"/>
        <v>Potential Layering</v>
      </c>
      <c r="N887" s="1" t="str">
        <f>_xlfn.XLOOKUP(H887, risk_score!A:A, risk_score!B:B, 0)</f>
        <v>Medium Risk</v>
      </c>
    </row>
    <row r="888" spans="1:14">
      <c r="A888" s="2">
        <v>0.46384259259259258</v>
      </c>
      <c r="B888" s="3">
        <v>44841</v>
      </c>
      <c r="C888" s="1">
        <v>9670851538</v>
      </c>
      <c r="D888" s="1">
        <v>3555966786</v>
      </c>
      <c r="E888" s="1">
        <v>2299.85</v>
      </c>
      <c r="F888" s="1" t="s">
        <v>12</v>
      </c>
      <c r="G888" s="1" t="s">
        <v>12</v>
      </c>
      <c r="H888" s="1" t="s">
        <v>13</v>
      </c>
      <c r="I888" s="1" t="s">
        <v>13</v>
      </c>
      <c r="J888" s="1" t="s">
        <v>20</v>
      </c>
      <c r="K888" s="1">
        <v>0</v>
      </c>
      <c r="L888" s="1" t="s">
        <v>38</v>
      </c>
      <c r="M888" s="1" t="str">
        <f t="shared" si="13"/>
        <v>Consistent</v>
      </c>
      <c r="N888" s="1" t="str">
        <f>_xlfn.XLOOKUP(H888, risk_score!A:A, risk_score!B:B, 0)</f>
        <v>Low Risk</v>
      </c>
    </row>
    <row r="889" spans="1:14">
      <c r="A889" s="2">
        <v>0.46388888888888891</v>
      </c>
      <c r="B889" s="3">
        <v>44841</v>
      </c>
      <c r="C889" s="1">
        <v>2148442816</v>
      </c>
      <c r="D889" s="1">
        <v>7759603524</v>
      </c>
      <c r="E889" s="1">
        <v>125.5</v>
      </c>
      <c r="F889" s="1" t="s">
        <v>12</v>
      </c>
      <c r="G889" s="1" t="s">
        <v>12</v>
      </c>
      <c r="H889" s="1" t="s">
        <v>13</v>
      </c>
      <c r="I889" s="1" t="s">
        <v>13</v>
      </c>
      <c r="J889" s="1" t="s">
        <v>36</v>
      </c>
      <c r="K889" s="1">
        <v>0</v>
      </c>
      <c r="L889" s="1" t="s">
        <v>37</v>
      </c>
      <c r="M889" s="1" t="str">
        <f t="shared" si="13"/>
        <v>Consistent</v>
      </c>
      <c r="N889" s="1" t="str">
        <f>_xlfn.XLOOKUP(H889, risk_score!A:A, risk_score!B:B, 0)</f>
        <v>Low Risk</v>
      </c>
    </row>
    <row r="890" spans="1:14">
      <c r="A890" s="2">
        <v>0.46390046296296295</v>
      </c>
      <c r="B890" s="3">
        <v>44841</v>
      </c>
      <c r="C890" s="1">
        <v>65877661</v>
      </c>
      <c r="D890" s="1">
        <v>1426810755</v>
      </c>
      <c r="E890" s="1">
        <v>6747.2</v>
      </c>
      <c r="F890" s="1" t="s">
        <v>12</v>
      </c>
      <c r="G890" s="1" t="s">
        <v>12</v>
      </c>
      <c r="H890" s="1" t="s">
        <v>13</v>
      </c>
      <c r="I890" s="1" t="s">
        <v>13</v>
      </c>
      <c r="J890" s="1" t="s">
        <v>22</v>
      </c>
      <c r="K890" s="1">
        <v>0</v>
      </c>
      <c r="L890" s="1" t="s">
        <v>21</v>
      </c>
      <c r="M890" s="1" t="str">
        <f t="shared" si="13"/>
        <v>Consistent</v>
      </c>
      <c r="N890" s="1" t="str">
        <f>_xlfn.XLOOKUP(H890, risk_score!A:A, risk_score!B:B, 0)</f>
        <v>Low Risk</v>
      </c>
    </row>
    <row r="891" spans="1:14">
      <c r="A891" s="2">
        <v>0.46392361111111113</v>
      </c>
      <c r="B891" s="3">
        <v>44841</v>
      </c>
      <c r="C891" s="1">
        <v>8753052544</v>
      </c>
      <c r="D891" s="1">
        <v>5442384483</v>
      </c>
      <c r="E891" s="1">
        <v>14826.24</v>
      </c>
      <c r="F891" s="1" t="s">
        <v>12</v>
      </c>
      <c r="G891" s="1" t="s">
        <v>12</v>
      </c>
      <c r="H891" s="1" t="s">
        <v>13</v>
      </c>
      <c r="I891" s="1" t="s">
        <v>13</v>
      </c>
      <c r="J891" s="1" t="s">
        <v>27</v>
      </c>
      <c r="K891" s="1">
        <v>0</v>
      </c>
      <c r="L891" s="1" t="s">
        <v>24</v>
      </c>
      <c r="M891" s="1" t="str">
        <f t="shared" si="13"/>
        <v>Consistent</v>
      </c>
      <c r="N891" s="1" t="str">
        <f>_xlfn.XLOOKUP(H891, risk_score!A:A, risk_score!B:B, 0)</f>
        <v>Low Risk</v>
      </c>
    </row>
    <row r="892" spans="1:14">
      <c r="A892" s="2">
        <v>0.46393518518518517</v>
      </c>
      <c r="B892" s="3">
        <v>44841</v>
      </c>
      <c r="C892" s="1">
        <v>4592601612</v>
      </c>
      <c r="D892" s="1">
        <v>7633688538</v>
      </c>
      <c r="E892" s="1">
        <v>27227.599999999999</v>
      </c>
      <c r="F892" s="1" t="s">
        <v>12</v>
      </c>
      <c r="G892" s="1" t="s">
        <v>12</v>
      </c>
      <c r="H892" s="1" t="s">
        <v>13</v>
      </c>
      <c r="I892" s="1" t="s">
        <v>13</v>
      </c>
      <c r="J892" s="1" t="s">
        <v>27</v>
      </c>
      <c r="K892" s="1">
        <v>0</v>
      </c>
      <c r="L892" s="1" t="s">
        <v>21</v>
      </c>
      <c r="M892" s="1" t="str">
        <f t="shared" si="13"/>
        <v>Consistent</v>
      </c>
      <c r="N892" s="1" t="str">
        <f>_xlfn.XLOOKUP(H892, risk_score!A:A, risk_score!B:B, 0)</f>
        <v>Low Risk</v>
      </c>
    </row>
    <row r="893" spans="1:14">
      <c r="A893" s="2">
        <v>0.46399305555555553</v>
      </c>
      <c r="B893" s="3">
        <v>44841</v>
      </c>
      <c r="C893" s="1">
        <v>9207959583</v>
      </c>
      <c r="D893" s="1">
        <v>3540794456</v>
      </c>
      <c r="E893" s="1">
        <v>9417.49</v>
      </c>
      <c r="F893" s="1" t="s">
        <v>12</v>
      </c>
      <c r="G893" s="1" t="s">
        <v>12</v>
      </c>
      <c r="H893" s="1" t="s">
        <v>13</v>
      </c>
      <c r="I893" s="1" t="s">
        <v>13</v>
      </c>
      <c r="J893" s="1" t="s">
        <v>27</v>
      </c>
      <c r="K893" s="1">
        <v>0</v>
      </c>
      <c r="L893" s="1" t="s">
        <v>21</v>
      </c>
      <c r="M893" s="1" t="str">
        <f t="shared" si="13"/>
        <v>Consistent</v>
      </c>
      <c r="N893" s="1" t="str">
        <f>_xlfn.XLOOKUP(H893, risk_score!A:A, risk_score!B:B, 0)</f>
        <v>Low Risk</v>
      </c>
    </row>
    <row r="894" spans="1:14">
      <c r="A894" s="2">
        <v>0.46400462962962963</v>
      </c>
      <c r="B894" s="3">
        <v>44841</v>
      </c>
      <c r="C894" s="1">
        <v>4493197881</v>
      </c>
      <c r="D894" s="1">
        <v>7050327878</v>
      </c>
      <c r="E894" s="1">
        <v>1406.63</v>
      </c>
      <c r="F894" s="1" t="s">
        <v>12</v>
      </c>
      <c r="G894" s="1" t="s">
        <v>12</v>
      </c>
      <c r="H894" s="1" t="s">
        <v>13</v>
      </c>
      <c r="I894" s="1" t="s">
        <v>13</v>
      </c>
      <c r="J894" s="1" t="s">
        <v>27</v>
      </c>
      <c r="K894" s="1">
        <v>0</v>
      </c>
      <c r="L894" s="1" t="s">
        <v>21</v>
      </c>
      <c r="M894" s="1" t="str">
        <f t="shared" si="13"/>
        <v>Consistent</v>
      </c>
      <c r="N894" s="1" t="str">
        <f>_xlfn.XLOOKUP(H894, risk_score!A:A, risk_score!B:B, 0)</f>
        <v>Low Risk</v>
      </c>
    </row>
    <row r="895" spans="1:14">
      <c r="A895" s="2">
        <v>0.46402777777777776</v>
      </c>
      <c r="B895" s="3">
        <v>44841</v>
      </c>
      <c r="C895" s="1">
        <v>3072598521</v>
      </c>
      <c r="D895" s="1">
        <v>8630546365</v>
      </c>
      <c r="E895" s="1">
        <v>2472.19</v>
      </c>
      <c r="F895" s="1" t="s">
        <v>12</v>
      </c>
      <c r="G895" s="1" t="s">
        <v>12</v>
      </c>
      <c r="H895" s="1" t="s">
        <v>13</v>
      </c>
      <c r="I895" s="1" t="s">
        <v>13</v>
      </c>
      <c r="J895" s="1" t="s">
        <v>14</v>
      </c>
      <c r="K895" s="1">
        <v>0</v>
      </c>
      <c r="L895" s="1" t="s">
        <v>15</v>
      </c>
      <c r="M895" s="1" t="str">
        <f t="shared" si="13"/>
        <v>Consistent</v>
      </c>
      <c r="N895" s="1" t="str">
        <f>_xlfn.XLOOKUP(H895, risk_score!A:A, risk_score!B:B, 0)</f>
        <v>Low Risk</v>
      </c>
    </row>
    <row r="896" spans="1:14">
      <c r="A896" s="2">
        <v>0.46403935185185186</v>
      </c>
      <c r="B896" s="3">
        <v>44841</v>
      </c>
      <c r="C896" s="1">
        <v>9469442466</v>
      </c>
      <c r="D896" s="1">
        <v>3066321263</v>
      </c>
      <c r="E896" s="1">
        <v>18669.189999999999</v>
      </c>
      <c r="F896" s="1" t="s">
        <v>12</v>
      </c>
      <c r="G896" s="1" t="s">
        <v>12</v>
      </c>
      <c r="H896" s="1" t="s">
        <v>13</v>
      </c>
      <c r="I896" s="1" t="s">
        <v>13</v>
      </c>
      <c r="J896" s="1" t="s">
        <v>25</v>
      </c>
      <c r="K896" s="1">
        <v>0</v>
      </c>
      <c r="L896" s="1" t="s">
        <v>23</v>
      </c>
      <c r="M896" s="1" t="str">
        <f t="shared" si="13"/>
        <v>Consistent</v>
      </c>
      <c r="N896" s="1" t="str">
        <f>_xlfn.XLOOKUP(H896, risk_score!A:A, risk_score!B:B, 0)</f>
        <v>Low Risk</v>
      </c>
    </row>
    <row r="897" spans="1:14">
      <c r="A897" s="2">
        <v>0.46416666666666667</v>
      </c>
      <c r="B897" s="3">
        <v>44841</v>
      </c>
      <c r="C897" s="1">
        <v>3266138487</v>
      </c>
      <c r="D897" s="1">
        <v>9809273177</v>
      </c>
      <c r="E897" s="1">
        <v>6463.51</v>
      </c>
      <c r="F897" s="1" t="s">
        <v>12</v>
      </c>
      <c r="G897" s="1" t="s">
        <v>12</v>
      </c>
      <c r="H897" s="1" t="s">
        <v>13</v>
      </c>
      <c r="I897" s="1" t="s">
        <v>13</v>
      </c>
      <c r="J897" s="1" t="s">
        <v>20</v>
      </c>
      <c r="K897" s="1">
        <v>0</v>
      </c>
      <c r="L897" s="1" t="s">
        <v>21</v>
      </c>
      <c r="M897" s="1" t="str">
        <f t="shared" si="13"/>
        <v>Consistent</v>
      </c>
      <c r="N897" s="1" t="str">
        <f>_xlfn.XLOOKUP(H897, risk_score!A:A, risk_score!B:B, 0)</f>
        <v>Low Risk</v>
      </c>
    </row>
    <row r="898" spans="1:14">
      <c r="A898" s="2">
        <v>0.4642013888888889</v>
      </c>
      <c r="B898" s="3">
        <v>44841</v>
      </c>
      <c r="C898" s="1">
        <v>9598349393</v>
      </c>
      <c r="D898" s="1">
        <v>8518184956</v>
      </c>
      <c r="E898" s="1">
        <v>6965.77</v>
      </c>
      <c r="F898" s="1" t="s">
        <v>12</v>
      </c>
      <c r="G898" s="1" t="s">
        <v>12</v>
      </c>
      <c r="H898" s="1" t="s">
        <v>13</v>
      </c>
      <c r="I898" s="1" t="s">
        <v>13</v>
      </c>
      <c r="J898" s="1" t="s">
        <v>27</v>
      </c>
      <c r="K898" s="1">
        <v>0</v>
      </c>
      <c r="L898" s="1" t="s">
        <v>23</v>
      </c>
      <c r="M898" s="1" t="str">
        <f t="shared" si="13"/>
        <v>Consistent</v>
      </c>
      <c r="N898" s="1" t="str">
        <f>_xlfn.XLOOKUP(H898, risk_score!A:A, risk_score!B:B, 0)</f>
        <v>Low Risk</v>
      </c>
    </row>
    <row r="899" spans="1:14">
      <c r="A899" s="2">
        <v>0.46422453703703703</v>
      </c>
      <c r="B899" s="3">
        <v>44841</v>
      </c>
      <c r="C899" s="1">
        <v>8942092633</v>
      </c>
      <c r="D899" s="1">
        <v>9278139252</v>
      </c>
      <c r="E899" s="1">
        <v>85.91</v>
      </c>
      <c r="F899" s="1" t="s">
        <v>12</v>
      </c>
      <c r="G899" s="1" t="s">
        <v>29</v>
      </c>
      <c r="H899" s="1" t="s">
        <v>13</v>
      </c>
      <c r="I899" s="1" t="s">
        <v>50</v>
      </c>
      <c r="J899" s="1" t="s">
        <v>18</v>
      </c>
      <c r="K899" s="1">
        <v>0</v>
      </c>
      <c r="L899" s="1" t="s">
        <v>21</v>
      </c>
      <c r="M899" s="1" t="str">
        <f t="shared" ref="M899:M962" si="14">IF(F899=G899, "Consistent", "Potential Layering")</f>
        <v>Potential Layering</v>
      </c>
      <c r="N899" s="1" t="str">
        <f>_xlfn.XLOOKUP(H899, risk_score!A:A, risk_score!B:B, 0)</f>
        <v>Low Risk</v>
      </c>
    </row>
    <row r="900" spans="1:14">
      <c r="A900" s="2">
        <v>0.46424768518518517</v>
      </c>
      <c r="B900" s="3">
        <v>44841</v>
      </c>
      <c r="C900" s="1">
        <v>5611156657</v>
      </c>
      <c r="D900" s="1">
        <v>3697911326</v>
      </c>
      <c r="E900" s="1">
        <v>2231.29</v>
      </c>
      <c r="F900" s="1" t="s">
        <v>12</v>
      </c>
      <c r="G900" s="1" t="s">
        <v>12</v>
      </c>
      <c r="H900" s="1" t="s">
        <v>13</v>
      </c>
      <c r="I900" s="1" t="s">
        <v>13</v>
      </c>
      <c r="J900" s="1" t="s">
        <v>14</v>
      </c>
      <c r="K900" s="1">
        <v>0</v>
      </c>
      <c r="L900" s="1" t="s">
        <v>15</v>
      </c>
      <c r="M900" s="1" t="str">
        <f t="shared" si="14"/>
        <v>Consistent</v>
      </c>
      <c r="N900" s="1" t="str">
        <f>_xlfn.XLOOKUP(H900, risk_score!A:A, risk_score!B:B, 0)</f>
        <v>Low Risk</v>
      </c>
    </row>
    <row r="901" spans="1:14">
      <c r="A901" s="2">
        <v>0.46425925925925926</v>
      </c>
      <c r="B901" s="3">
        <v>44841</v>
      </c>
      <c r="C901" s="1">
        <v>6253425393</v>
      </c>
      <c r="D901" s="1">
        <v>4706850245</v>
      </c>
      <c r="E901" s="1">
        <v>2476.12</v>
      </c>
      <c r="F901" s="1" t="s">
        <v>12</v>
      </c>
      <c r="G901" s="1" t="s">
        <v>12</v>
      </c>
      <c r="H901" s="1" t="s">
        <v>13</v>
      </c>
      <c r="I901" s="1" t="s">
        <v>13</v>
      </c>
      <c r="J901" s="1" t="s">
        <v>27</v>
      </c>
      <c r="K901" s="1">
        <v>0</v>
      </c>
      <c r="L901" s="1" t="s">
        <v>21</v>
      </c>
      <c r="M901" s="1" t="str">
        <f t="shared" si="14"/>
        <v>Consistent</v>
      </c>
      <c r="N901" s="1" t="str">
        <f>_xlfn.XLOOKUP(H901, risk_score!A:A, risk_score!B:B, 0)</f>
        <v>Low Risk</v>
      </c>
    </row>
    <row r="902" spans="1:14">
      <c r="A902" s="2">
        <v>0.46425925925925926</v>
      </c>
      <c r="B902" s="3">
        <v>44841</v>
      </c>
      <c r="C902" s="1">
        <v>6781239823</v>
      </c>
      <c r="D902" s="1">
        <v>2514923246</v>
      </c>
      <c r="E902" s="1">
        <v>4445.74</v>
      </c>
      <c r="F902" s="1" t="s">
        <v>12</v>
      </c>
      <c r="G902" s="1" t="s">
        <v>12</v>
      </c>
      <c r="H902" s="1" t="s">
        <v>13</v>
      </c>
      <c r="I902" s="1" t="s">
        <v>13</v>
      </c>
      <c r="J902" s="1" t="s">
        <v>27</v>
      </c>
      <c r="K902" s="1">
        <v>0</v>
      </c>
      <c r="L902" s="1" t="s">
        <v>24</v>
      </c>
      <c r="M902" s="1" t="str">
        <f t="shared" si="14"/>
        <v>Consistent</v>
      </c>
      <c r="N902" s="1" t="str">
        <f>_xlfn.XLOOKUP(H902, risk_score!A:A, risk_score!B:B, 0)</f>
        <v>Low Risk</v>
      </c>
    </row>
    <row r="903" spans="1:14">
      <c r="A903" s="2">
        <v>0.46434027777777775</v>
      </c>
      <c r="B903" s="3">
        <v>44841</v>
      </c>
      <c r="C903" s="1">
        <v>161356780</v>
      </c>
      <c r="D903" s="1">
        <v>5522856978</v>
      </c>
      <c r="E903" s="1">
        <v>276.79000000000002</v>
      </c>
      <c r="F903" s="1" t="s">
        <v>12</v>
      </c>
      <c r="G903" s="1" t="s">
        <v>12</v>
      </c>
      <c r="H903" s="1" t="s">
        <v>13</v>
      </c>
      <c r="I903" s="1" t="s">
        <v>13</v>
      </c>
      <c r="J903" s="1" t="s">
        <v>27</v>
      </c>
      <c r="K903" s="1">
        <v>0</v>
      </c>
      <c r="L903" s="1" t="s">
        <v>21</v>
      </c>
      <c r="M903" s="1" t="str">
        <f t="shared" si="14"/>
        <v>Consistent</v>
      </c>
      <c r="N903" s="1" t="str">
        <f>_xlfn.XLOOKUP(H903, risk_score!A:A, risk_score!B:B, 0)</f>
        <v>Low Risk</v>
      </c>
    </row>
    <row r="904" spans="1:14">
      <c r="A904" s="2">
        <v>0.46434027777777775</v>
      </c>
      <c r="B904" s="3">
        <v>44841</v>
      </c>
      <c r="C904" s="1">
        <v>2865033012</v>
      </c>
      <c r="D904" s="1">
        <v>1320927231</v>
      </c>
      <c r="E904" s="1">
        <v>5273.31</v>
      </c>
      <c r="F904" s="1" t="s">
        <v>12</v>
      </c>
      <c r="G904" s="1" t="s">
        <v>12</v>
      </c>
      <c r="H904" s="1" t="s">
        <v>13</v>
      </c>
      <c r="I904" s="1" t="s">
        <v>13</v>
      </c>
      <c r="J904" s="1" t="s">
        <v>22</v>
      </c>
      <c r="K904" s="1">
        <v>0</v>
      </c>
      <c r="L904" s="1" t="s">
        <v>23</v>
      </c>
      <c r="M904" s="1" t="str">
        <f t="shared" si="14"/>
        <v>Consistent</v>
      </c>
      <c r="N904" s="1" t="str">
        <f>_xlfn.XLOOKUP(H904, risk_score!A:A, risk_score!B:B, 0)</f>
        <v>Low Risk</v>
      </c>
    </row>
    <row r="905" spans="1:14">
      <c r="A905" s="2">
        <v>0.46434027777777775</v>
      </c>
      <c r="B905" s="3">
        <v>44841</v>
      </c>
      <c r="C905" s="1">
        <v>8039556217</v>
      </c>
      <c r="D905" s="1">
        <v>2931562863</v>
      </c>
      <c r="E905" s="1">
        <v>1720.19</v>
      </c>
      <c r="F905" s="1" t="s">
        <v>12</v>
      </c>
      <c r="G905" s="1" t="s">
        <v>12</v>
      </c>
      <c r="H905" s="1" t="s">
        <v>13</v>
      </c>
      <c r="I905" s="1" t="s">
        <v>13</v>
      </c>
      <c r="J905" s="1" t="s">
        <v>22</v>
      </c>
      <c r="K905" s="1">
        <v>0</v>
      </c>
      <c r="L905" s="1" t="s">
        <v>24</v>
      </c>
      <c r="M905" s="1" t="str">
        <f t="shared" si="14"/>
        <v>Consistent</v>
      </c>
      <c r="N905" s="1" t="str">
        <f>_xlfn.XLOOKUP(H905, risk_score!A:A, risk_score!B:B, 0)</f>
        <v>Low Risk</v>
      </c>
    </row>
    <row r="906" spans="1:14">
      <c r="A906" s="2">
        <v>0.46435185185185185</v>
      </c>
      <c r="B906" s="3">
        <v>44841</v>
      </c>
      <c r="C906" s="1">
        <v>1074859180</v>
      </c>
      <c r="D906" s="1">
        <v>5363117119</v>
      </c>
      <c r="E906" s="1">
        <v>17314.95</v>
      </c>
      <c r="F906" s="1" t="s">
        <v>12</v>
      </c>
      <c r="G906" s="1" t="s">
        <v>12</v>
      </c>
      <c r="H906" s="1" t="s">
        <v>13</v>
      </c>
      <c r="I906" s="1" t="s">
        <v>13</v>
      </c>
      <c r="J906" s="1" t="s">
        <v>22</v>
      </c>
      <c r="K906" s="1">
        <v>0</v>
      </c>
      <c r="L906" s="1" t="s">
        <v>23</v>
      </c>
      <c r="M906" s="1" t="str">
        <f t="shared" si="14"/>
        <v>Consistent</v>
      </c>
      <c r="N906" s="1" t="str">
        <f>_xlfn.XLOOKUP(H906, risk_score!A:A, risk_score!B:B, 0)</f>
        <v>Low Risk</v>
      </c>
    </row>
    <row r="907" spans="1:14">
      <c r="A907" s="2">
        <v>0.46435185185185185</v>
      </c>
      <c r="B907" s="3">
        <v>44841</v>
      </c>
      <c r="C907" s="1">
        <v>6086421020</v>
      </c>
      <c r="D907" s="1">
        <v>4967072739</v>
      </c>
      <c r="E907" s="1">
        <v>4813.84</v>
      </c>
      <c r="F907" s="1" t="s">
        <v>12</v>
      </c>
      <c r="G907" s="1" t="s">
        <v>12</v>
      </c>
      <c r="H907" s="1" t="s">
        <v>13</v>
      </c>
      <c r="I907" s="1" t="s">
        <v>13</v>
      </c>
      <c r="J907" s="1" t="s">
        <v>25</v>
      </c>
      <c r="K907" s="1">
        <v>0</v>
      </c>
      <c r="L907" s="1" t="s">
        <v>19</v>
      </c>
      <c r="M907" s="1" t="str">
        <f t="shared" si="14"/>
        <v>Consistent</v>
      </c>
      <c r="N907" s="1" t="str">
        <f>_xlfn.XLOOKUP(H907, risk_score!A:A, risk_score!B:B, 0)</f>
        <v>Low Risk</v>
      </c>
    </row>
    <row r="908" spans="1:14">
      <c r="A908" s="2">
        <v>0.46437499999999998</v>
      </c>
      <c r="B908" s="3">
        <v>44841</v>
      </c>
      <c r="C908" s="1">
        <v>1378784400</v>
      </c>
      <c r="D908" s="1">
        <v>8410469287</v>
      </c>
      <c r="E908" s="1">
        <v>9035.0499999999993</v>
      </c>
      <c r="F908" s="1" t="s">
        <v>12</v>
      </c>
      <c r="G908" s="1" t="s">
        <v>12</v>
      </c>
      <c r="H908" s="1" t="s">
        <v>13</v>
      </c>
      <c r="I908" s="1" t="s">
        <v>13</v>
      </c>
      <c r="J908" s="1" t="s">
        <v>25</v>
      </c>
      <c r="K908" s="1">
        <v>0</v>
      </c>
      <c r="L908" s="1" t="s">
        <v>19</v>
      </c>
      <c r="M908" s="1" t="str">
        <f t="shared" si="14"/>
        <v>Consistent</v>
      </c>
      <c r="N908" s="1" t="str">
        <f>_xlfn.XLOOKUP(H908, risk_score!A:A, risk_score!B:B, 0)</f>
        <v>Low Risk</v>
      </c>
    </row>
    <row r="909" spans="1:14">
      <c r="A909" s="2">
        <v>0.46437499999999998</v>
      </c>
      <c r="B909" s="3">
        <v>44841</v>
      </c>
      <c r="C909" s="1">
        <v>9142095021</v>
      </c>
      <c r="D909" s="1">
        <v>9063994130</v>
      </c>
      <c r="E909" s="1">
        <v>1324.7</v>
      </c>
      <c r="F909" s="1" t="s">
        <v>12</v>
      </c>
      <c r="G909" s="1" t="s">
        <v>12</v>
      </c>
      <c r="H909" s="1" t="s">
        <v>13</v>
      </c>
      <c r="I909" s="1" t="s">
        <v>13</v>
      </c>
      <c r="J909" s="1" t="s">
        <v>20</v>
      </c>
      <c r="K909" s="1">
        <v>0</v>
      </c>
      <c r="L909" s="1" t="s">
        <v>21</v>
      </c>
      <c r="M909" s="1" t="str">
        <f t="shared" si="14"/>
        <v>Consistent</v>
      </c>
      <c r="N909" s="1" t="str">
        <f>_xlfn.XLOOKUP(H909, risk_score!A:A, risk_score!B:B, 0)</f>
        <v>Low Risk</v>
      </c>
    </row>
    <row r="910" spans="1:14">
      <c r="A910" s="2">
        <v>0.46437499999999998</v>
      </c>
      <c r="B910" s="3">
        <v>44841</v>
      </c>
      <c r="C910" s="1">
        <v>9261836642</v>
      </c>
      <c r="D910" s="1">
        <v>7080357663</v>
      </c>
      <c r="E910" s="1">
        <v>13679.33</v>
      </c>
      <c r="F910" s="1" t="s">
        <v>12</v>
      </c>
      <c r="G910" s="1" t="s">
        <v>12</v>
      </c>
      <c r="H910" s="1" t="s">
        <v>13</v>
      </c>
      <c r="I910" s="1" t="s">
        <v>13</v>
      </c>
      <c r="J910" s="1" t="s">
        <v>25</v>
      </c>
      <c r="K910" s="1">
        <v>0</v>
      </c>
      <c r="L910" s="1" t="s">
        <v>23</v>
      </c>
      <c r="M910" s="1" t="str">
        <f t="shared" si="14"/>
        <v>Consistent</v>
      </c>
      <c r="N910" s="1" t="str">
        <f>_xlfn.XLOOKUP(H910, risk_score!A:A, risk_score!B:B, 0)</f>
        <v>Low Risk</v>
      </c>
    </row>
    <row r="911" spans="1:14">
      <c r="A911" s="2">
        <v>0.46437499999999998</v>
      </c>
      <c r="B911" s="3">
        <v>44841</v>
      </c>
      <c r="C911" s="1">
        <v>2177044140</v>
      </c>
      <c r="D911" s="1">
        <v>8475316869</v>
      </c>
      <c r="E911" s="1">
        <v>7474.58</v>
      </c>
      <c r="F911" s="1" t="s">
        <v>12</v>
      </c>
      <c r="G911" s="1" t="s">
        <v>12</v>
      </c>
      <c r="H911" s="1" t="s">
        <v>13</v>
      </c>
      <c r="I911" s="1" t="s">
        <v>13</v>
      </c>
      <c r="J911" s="1" t="s">
        <v>20</v>
      </c>
      <c r="K911" s="1">
        <v>0</v>
      </c>
      <c r="L911" s="1" t="s">
        <v>24</v>
      </c>
      <c r="M911" s="1" t="str">
        <f t="shared" si="14"/>
        <v>Consistent</v>
      </c>
      <c r="N911" s="1" t="str">
        <f>_xlfn.XLOOKUP(H911, risk_score!A:A, risk_score!B:B, 0)</f>
        <v>Low Risk</v>
      </c>
    </row>
    <row r="912" spans="1:14">
      <c r="A912" s="2">
        <v>0.46439814814814817</v>
      </c>
      <c r="B912" s="3">
        <v>44841</v>
      </c>
      <c r="C912" s="1">
        <v>868568688</v>
      </c>
      <c r="D912" s="1">
        <v>5708936901</v>
      </c>
      <c r="E912" s="1">
        <v>12725.26</v>
      </c>
      <c r="F912" s="1" t="s">
        <v>12</v>
      </c>
      <c r="G912" s="1" t="s">
        <v>12</v>
      </c>
      <c r="H912" s="1" t="s">
        <v>13</v>
      </c>
      <c r="I912" s="1" t="s">
        <v>13</v>
      </c>
      <c r="J912" s="1" t="s">
        <v>25</v>
      </c>
      <c r="K912" s="1">
        <v>0</v>
      </c>
      <c r="L912" s="1" t="s">
        <v>23</v>
      </c>
      <c r="M912" s="1" t="str">
        <f t="shared" si="14"/>
        <v>Consistent</v>
      </c>
      <c r="N912" s="1" t="str">
        <f>_xlfn.XLOOKUP(H912, risk_score!A:A, risk_score!B:B, 0)</f>
        <v>Low Risk</v>
      </c>
    </row>
    <row r="913" spans="1:14">
      <c r="A913" s="2">
        <v>0.4645023148148148</v>
      </c>
      <c r="B913" s="3">
        <v>44841</v>
      </c>
      <c r="C913" s="1">
        <v>7613130988</v>
      </c>
      <c r="D913" s="1">
        <v>473341337</v>
      </c>
      <c r="E913" s="1">
        <v>3036.81</v>
      </c>
      <c r="F913" s="1" t="s">
        <v>12</v>
      </c>
      <c r="G913" s="1" t="s">
        <v>12</v>
      </c>
      <c r="H913" s="1" t="s">
        <v>13</v>
      </c>
      <c r="I913" s="1" t="s">
        <v>13</v>
      </c>
      <c r="J913" s="1" t="s">
        <v>22</v>
      </c>
      <c r="K913" s="1">
        <v>0</v>
      </c>
      <c r="L913" s="1" t="s">
        <v>21</v>
      </c>
      <c r="M913" s="1" t="str">
        <f t="shared" si="14"/>
        <v>Consistent</v>
      </c>
      <c r="N913" s="1" t="str">
        <f>_xlfn.XLOOKUP(H913, risk_score!A:A, risk_score!B:B, 0)</f>
        <v>Low Risk</v>
      </c>
    </row>
    <row r="914" spans="1:14">
      <c r="A914" s="2">
        <v>0.46451388888888889</v>
      </c>
      <c r="B914" s="3">
        <v>44841</v>
      </c>
      <c r="C914" s="1">
        <v>5464175742</v>
      </c>
      <c r="D914" s="1">
        <v>163477257</v>
      </c>
      <c r="E914" s="1">
        <v>7334.49</v>
      </c>
      <c r="F914" s="1" t="s">
        <v>12</v>
      </c>
      <c r="G914" s="1" t="s">
        <v>12</v>
      </c>
      <c r="H914" s="1" t="s">
        <v>13</v>
      </c>
      <c r="I914" s="1" t="s">
        <v>13</v>
      </c>
      <c r="J914" s="1" t="s">
        <v>22</v>
      </c>
      <c r="K914" s="1">
        <v>0</v>
      </c>
      <c r="L914" s="1" t="s">
        <v>21</v>
      </c>
      <c r="M914" s="1" t="str">
        <f t="shared" si="14"/>
        <v>Consistent</v>
      </c>
      <c r="N914" s="1" t="str">
        <f>_xlfn.XLOOKUP(H914, risk_score!A:A, risk_score!B:B, 0)</f>
        <v>Low Risk</v>
      </c>
    </row>
    <row r="915" spans="1:14">
      <c r="A915" s="2">
        <v>0.46454861111111112</v>
      </c>
      <c r="B915" s="3">
        <v>44841</v>
      </c>
      <c r="C915" s="1">
        <v>7590592049</v>
      </c>
      <c r="D915" s="1">
        <v>8355436243</v>
      </c>
      <c r="E915" s="1">
        <v>3231.15</v>
      </c>
      <c r="F915" s="1" t="s">
        <v>12</v>
      </c>
      <c r="G915" s="1" t="s">
        <v>12</v>
      </c>
      <c r="H915" s="1" t="s">
        <v>13</v>
      </c>
      <c r="I915" s="1" t="s">
        <v>13</v>
      </c>
      <c r="J915" s="1" t="s">
        <v>25</v>
      </c>
      <c r="K915" s="1">
        <v>0</v>
      </c>
      <c r="L915" s="1" t="s">
        <v>21</v>
      </c>
      <c r="M915" s="1" t="str">
        <f t="shared" si="14"/>
        <v>Consistent</v>
      </c>
      <c r="N915" s="1" t="str">
        <f>_xlfn.XLOOKUP(H915, risk_score!A:A, risk_score!B:B, 0)</f>
        <v>Low Risk</v>
      </c>
    </row>
    <row r="916" spans="1:14">
      <c r="A916" s="2">
        <v>0.46454861111111112</v>
      </c>
      <c r="B916" s="3">
        <v>44841</v>
      </c>
      <c r="C916" s="1">
        <v>6651217471</v>
      </c>
      <c r="D916" s="1">
        <v>7913365138</v>
      </c>
      <c r="E916" s="1">
        <v>42769.2</v>
      </c>
      <c r="F916" s="1" t="s">
        <v>12</v>
      </c>
      <c r="G916" s="1" t="s">
        <v>12</v>
      </c>
      <c r="H916" s="1" t="s">
        <v>13</v>
      </c>
      <c r="I916" s="1" t="s">
        <v>13</v>
      </c>
      <c r="J916" s="1" t="s">
        <v>25</v>
      </c>
      <c r="K916" s="1">
        <v>0</v>
      </c>
      <c r="L916" s="1" t="s">
        <v>21</v>
      </c>
      <c r="M916" s="1" t="str">
        <f t="shared" si="14"/>
        <v>Consistent</v>
      </c>
      <c r="N916" s="1" t="str">
        <f>_xlfn.XLOOKUP(H916, risk_score!A:A, risk_score!B:B, 0)</f>
        <v>Low Risk</v>
      </c>
    </row>
    <row r="917" spans="1:14">
      <c r="A917" s="2">
        <v>0.46456018518518516</v>
      </c>
      <c r="B917" s="3">
        <v>44841</v>
      </c>
      <c r="C917" s="1">
        <v>3636841696</v>
      </c>
      <c r="D917" s="1">
        <v>7570488238</v>
      </c>
      <c r="E917" s="1">
        <v>187.98</v>
      </c>
      <c r="F917" s="1" t="s">
        <v>12</v>
      </c>
      <c r="G917" s="1" t="s">
        <v>12</v>
      </c>
      <c r="H917" s="1" t="s">
        <v>13</v>
      </c>
      <c r="I917" s="1" t="s">
        <v>13</v>
      </c>
      <c r="J917" s="1" t="s">
        <v>36</v>
      </c>
      <c r="K917" s="1">
        <v>0</v>
      </c>
      <c r="L917" s="1" t="s">
        <v>37</v>
      </c>
      <c r="M917" s="1" t="str">
        <f t="shared" si="14"/>
        <v>Consistent</v>
      </c>
      <c r="N917" s="1" t="str">
        <f>_xlfn.XLOOKUP(H917, risk_score!A:A, risk_score!B:B, 0)</f>
        <v>Low Risk</v>
      </c>
    </row>
    <row r="918" spans="1:14">
      <c r="A918" s="2">
        <v>0.46457175925925925</v>
      </c>
      <c r="B918" s="3">
        <v>44841</v>
      </c>
      <c r="C918" s="1">
        <v>6485870030</v>
      </c>
      <c r="D918" s="1">
        <v>6051541355</v>
      </c>
      <c r="E918" s="1">
        <v>979.83</v>
      </c>
      <c r="F918" s="1" t="s">
        <v>12</v>
      </c>
      <c r="G918" s="1" t="s">
        <v>12</v>
      </c>
      <c r="H918" s="1" t="s">
        <v>13</v>
      </c>
      <c r="I918" s="1" t="s">
        <v>13</v>
      </c>
      <c r="J918" s="1" t="s">
        <v>22</v>
      </c>
      <c r="K918" s="1">
        <v>0</v>
      </c>
      <c r="L918" s="1" t="s">
        <v>21</v>
      </c>
      <c r="M918" s="1" t="str">
        <f t="shared" si="14"/>
        <v>Consistent</v>
      </c>
      <c r="N918" s="1" t="str">
        <f>_xlfn.XLOOKUP(H918, risk_score!A:A, risk_score!B:B, 0)</f>
        <v>Low Risk</v>
      </c>
    </row>
    <row r="919" spans="1:14">
      <c r="A919" s="2">
        <v>0.46458333333333335</v>
      </c>
      <c r="B919" s="3">
        <v>44841</v>
      </c>
      <c r="C919" s="1">
        <v>9711400591</v>
      </c>
      <c r="D919" s="1">
        <v>320635316</v>
      </c>
      <c r="E919" s="1">
        <v>159.87</v>
      </c>
      <c r="F919" s="1" t="s">
        <v>12</v>
      </c>
      <c r="G919" s="1" t="s">
        <v>12</v>
      </c>
      <c r="H919" s="1" t="s">
        <v>13</v>
      </c>
      <c r="I919" s="1" t="s">
        <v>13</v>
      </c>
      <c r="J919" s="1" t="s">
        <v>36</v>
      </c>
      <c r="K919" s="1">
        <v>0</v>
      </c>
      <c r="L919" s="1" t="s">
        <v>37</v>
      </c>
      <c r="M919" s="1" t="str">
        <f t="shared" si="14"/>
        <v>Consistent</v>
      </c>
      <c r="N919" s="1" t="str">
        <f>_xlfn.XLOOKUP(H919, risk_score!A:A, risk_score!B:B, 0)</f>
        <v>Low Risk</v>
      </c>
    </row>
    <row r="920" spans="1:14">
      <c r="A920" s="2">
        <v>0.46460648148148148</v>
      </c>
      <c r="B920" s="3">
        <v>44841</v>
      </c>
      <c r="C920" s="1">
        <v>8987848252</v>
      </c>
      <c r="D920" s="1">
        <v>338940099</v>
      </c>
      <c r="E920" s="1">
        <v>8440.4500000000007</v>
      </c>
      <c r="F920" s="1" t="s">
        <v>12</v>
      </c>
      <c r="G920" s="1" t="s">
        <v>12</v>
      </c>
      <c r="H920" s="1" t="s">
        <v>13</v>
      </c>
      <c r="I920" s="1" t="s">
        <v>13</v>
      </c>
      <c r="J920" s="1" t="s">
        <v>20</v>
      </c>
      <c r="K920" s="1">
        <v>0</v>
      </c>
      <c r="L920" s="1" t="s">
        <v>19</v>
      </c>
      <c r="M920" s="1" t="str">
        <f t="shared" si="14"/>
        <v>Consistent</v>
      </c>
      <c r="N920" s="1" t="str">
        <f>_xlfn.XLOOKUP(H920, risk_score!A:A, risk_score!B:B, 0)</f>
        <v>Low Risk</v>
      </c>
    </row>
    <row r="921" spans="1:14">
      <c r="A921" s="2">
        <v>0.46466435185185184</v>
      </c>
      <c r="B921" s="3">
        <v>44841</v>
      </c>
      <c r="C921" s="1">
        <v>9534729015</v>
      </c>
      <c r="D921" s="1">
        <v>6566600689</v>
      </c>
      <c r="E921" s="1">
        <v>20661.939999999999</v>
      </c>
      <c r="F921" s="1" t="s">
        <v>12</v>
      </c>
      <c r="G921" s="1" t="s">
        <v>12</v>
      </c>
      <c r="H921" s="1" t="s">
        <v>13</v>
      </c>
      <c r="I921" s="1" t="s">
        <v>13</v>
      </c>
      <c r="J921" s="1" t="s">
        <v>27</v>
      </c>
      <c r="K921" s="1">
        <v>0</v>
      </c>
      <c r="L921" s="1" t="s">
        <v>19</v>
      </c>
      <c r="M921" s="1" t="str">
        <f t="shared" si="14"/>
        <v>Consistent</v>
      </c>
      <c r="N921" s="1" t="str">
        <f>_xlfn.XLOOKUP(H921, risk_score!A:A, risk_score!B:B, 0)</f>
        <v>Low Risk</v>
      </c>
    </row>
    <row r="922" spans="1:14">
      <c r="A922" s="2">
        <v>0.46469907407407407</v>
      </c>
      <c r="B922" s="3">
        <v>44841</v>
      </c>
      <c r="C922" s="1">
        <v>3400999741</v>
      </c>
      <c r="D922" s="1">
        <v>4640981576</v>
      </c>
      <c r="E922" s="1">
        <v>1374.04</v>
      </c>
      <c r="F922" s="1" t="s">
        <v>12</v>
      </c>
      <c r="G922" s="1" t="s">
        <v>12</v>
      </c>
      <c r="H922" s="1" t="s">
        <v>13</v>
      </c>
      <c r="I922" s="1" t="s">
        <v>13</v>
      </c>
      <c r="J922" s="1" t="s">
        <v>27</v>
      </c>
      <c r="K922" s="1">
        <v>0</v>
      </c>
      <c r="L922" s="1" t="s">
        <v>21</v>
      </c>
      <c r="M922" s="1" t="str">
        <f t="shared" si="14"/>
        <v>Consistent</v>
      </c>
      <c r="N922" s="1" t="str">
        <f>_xlfn.XLOOKUP(H922, risk_score!A:A, risk_score!B:B, 0)</f>
        <v>Low Risk</v>
      </c>
    </row>
    <row r="923" spans="1:14">
      <c r="A923" s="2">
        <v>0.46471064814814816</v>
      </c>
      <c r="B923" s="3">
        <v>44841</v>
      </c>
      <c r="C923" s="1">
        <v>7222999901</v>
      </c>
      <c r="D923" s="1">
        <v>5621851649</v>
      </c>
      <c r="E923" s="1">
        <v>968.05</v>
      </c>
      <c r="F923" s="1" t="s">
        <v>12</v>
      </c>
      <c r="G923" s="1" t="s">
        <v>12</v>
      </c>
      <c r="H923" s="1" t="s">
        <v>13</v>
      </c>
      <c r="I923" s="1" t="s">
        <v>13</v>
      </c>
      <c r="J923" s="1" t="s">
        <v>22</v>
      </c>
      <c r="K923" s="1">
        <v>0</v>
      </c>
      <c r="L923" s="1" t="s">
        <v>21</v>
      </c>
      <c r="M923" s="1" t="str">
        <f t="shared" si="14"/>
        <v>Consistent</v>
      </c>
      <c r="N923" s="1" t="str">
        <f>_xlfn.XLOOKUP(H923, risk_score!A:A, risk_score!B:B, 0)</f>
        <v>Low Risk</v>
      </c>
    </row>
    <row r="924" spans="1:14">
      <c r="A924" s="2">
        <v>0.4647222222222222</v>
      </c>
      <c r="B924" s="3">
        <v>44841</v>
      </c>
      <c r="C924" s="1">
        <v>2126868617</v>
      </c>
      <c r="D924" s="1">
        <v>4539693457</v>
      </c>
      <c r="E924" s="1">
        <v>7394.15</v>
      </c>
      <c r="F924" s="1" t="s">
        <v>12</v>
      </c>
      <c r="G924" s="1" t="s">
        <v>12</v>
      </c>
      <c r="H924" s="1" t="s">
        <v>13</v>
      </c>
      <c r="I924" s="1" t="s">
        <v>13</v>
      </c>
      <c r="J924" s="1" t="s">
        <v>25</v>
      </c>
      <c r="K924" s="1">
        <v>0</v>
      </c>
      <c r="L924" s="1" t="s">
        <v>21</v>
      </c>
      <c r="M924" s="1" t="str">
        <f t="shared" si="14"/>
        <v>Consistent</v>
      </c>
      <c r="N924" s="1" t="str">
        <f>_xlfn.XLOOKUP(H924, risk_score!A:A, risk_score!B:B, 0)</f>
        <v>Low Risk</v>
      </c>
    </row>
    <row r="925" spans="1:14">
      <c r="A925" s="2">
        <v>0.4647222222222222</v>
      </c>
      <c r="B925" s="3">
        <v>44841</v>
      </c>
      <c r="C925" s="1">
        <v>6208213205</v>
      </c>
      <c r="D925" s="1">
        <v>2959192529</v>
      </c>
      <c r="E925" s="1">
        <v>2464.34</v>
      </c>
      <c r="F925" s="1" t="s">
        <v>12</v>
      </c>
      <c r="G925" s="1" t="s">
        <v>12</v>
      </c>
      <c r="H925" s="1" t="s">
        <v>13</v>
      </c>
      <c r="I925" s="1" t="s">
        <v>13</v>
      </c>
      <c r="J925" s="1" t="s">
        <v>22</v>
      </c>
      <c r="K925" s="1">
        <v>0</v>
      </c>
      <c r="L925" s="1" t="s">
        <v>21</v>
      </c>
      <c r="M925" s="1" t="str">
        <f t="shared" si="14"/>
        <v>Consistent</v>
      </c>
      <c r="N925" s="1" t="str">
        <f>_xlfn.XLOOKUP(H925, risk_score!A:A, risk_score!B:B, 0)</f>
        <v>Low Risk</v>
      </c>
    </row>
    <row r="926" spans="1:14">
      <c r="A926" s="2">
        <v>0.46476851851851853</v>
      </c>
      <c r="B926" s="3">
        <v>44841</v>
      </c>
      <c r="C926" s="1">
        <v>7107443050</v>
      </c>
      <c r="D926" s="1">
        <v>9307113198</v>
      </c>
      <c r="E926" s="1">
        <v>3133.86</v>
      </c>
      <c r="F926" s="1" t="s">
        <v>12</v>
      </c>
      <c r="G926" s="1" t="s">
        <v>12</v>
      </c>
      <c r="H926" s="1" t="s">
        <v>13</v>
      </c>
      <c r="I926" s="1" t="s">
        <v>13</v>
      </c>
      <c r="J926" s="1" t="s">
        <v>22</v>
      </c>
      <c r="K926" s="1">
        <v>0</v>
      </c>
      <c r="L926" s="1" t="s">
        <v>21</v>
      </c>
      <c r="M926" s="1" t="str">
        <f t="shared" si="14"/>
        <v>Consistent</v>
      </c>
      <c r="N926" s="1" t="str">
        <f>_xlfn.XLOOKUP(H926, risk_score!A:A, risk_score!B:B, 0)</f>
        <v>Low Risk</v>
      </c>
    </row>
    <row r="927" spans="1:14">
      <c r="A927" s="2">
        <v>0.46481481481481479</v>
      </c>
      <c r="B927" s="3">
        <v>44841</v>
      </c>
      <c r="C927" s="1">
        <v>2896584582</v>
      </c>
      <c r="D927" s="1">
        <v>6911723931</v>
      </c>
      <c r="E927" s="1">
        <v>1737.71</v>
      </c>
      <c r="F927" s="1" t="s">
        <v>12</v>
      </c>
      <c r="G927" s="1" t="s">
        <v>12</v>
      </c>
      <c r="H927" s="1" t="s">
        <v>13</v>
      </c>
      <c r="I927" s="1" t="s">
        <v>13</v>
      </c>
      <c r="J927" s="1" t="s">
        <v>22</v>
      </c>
      <c r="K927" s="1">
        <v>0</v>
      </c>
      <c r="L927" s="1" t="s">
        <v>21</v>
      </c>
      <c r="M927" s="1" t="str">
        <f t="shared" si="14"/>
        <v>Consistent</v>
      </c>
      <c r="N927" s="1" t="str">
        <f>_xlfn.XLOOKUP(H927, risk_score!A:A, risk_score!B:B, 0)</f>
        <v>Low Risk</v>
      </c>
    </row>
    <row r="928" spans="1:14">
      <c r="A928" s="2">
        <v>0.46488425925925925</v>
      </c>
      <c r="B928" s="3">
        <v>44841</v>
      </c>
      <c r="C928" s="1">
        <v>3011203127</v>
      </c>
      <c r="D928" s="1">
        <v>5858369125</v>
      </c>
      <c r="E928" s="1">
        <v>6005.88</v>
      </c>
      <c r="F928" s="1" t="s">
        <v>12</v>
      </c>
      <c r="G928" s="1" t="s">
        <v>12</v>
      </c>
      <c r="H928" s="1" t="s">
        <v>13</v>
      </c>
      <c r="I928" s="1" t="s">
        <v>13</v>
      </c>
      <c r="J928" s="1" t="s">
        <v>27</v>
      </c>
      <c r="K928" s="1">
        <v>0</v>
      </c>
      <c r="L928" s="1" t="s">
        <v>23</v>
      </c>
      <c r="M928" s="1" t="str">
        <f t="shared" si="14"/>
        <v>Consistent</v>
      </c>
      <c r="N928" s="1" t="str">
        <f>_xlfn.XLOOKUP(H928, risk_score!A:A, risk_score!B:B, 0)</f>
        <v>Low Risk</v>
      </c>
    </row>
    <row r="929" spans="1:14">
      <c r="A929" s="2">
        <v>0.46489583333333334</v>
      </c>
      <c r="B929" s="3">
        <v>44841</v>
      </c>
      <c r="C929" s="1">
        <v>2881514469</v>
      </c>
      <c r="D929" s="1">
        <v>9141049561</v>
      </c>
      <c r="E929" s="1">
        <v>265.26</v>
      </c>
      <c r="F929" s="1" t="s">
        <v>12</v>
      </c>
      <c r="G929" s="1" t="s">
        <v>12</v>
      </c>
      <c r="H929" s="1" t="s">
        <v>13</v>
      </c>
      <c r="I929" s="1" t="s">
        <v>13</v>
      </c>
      <c r="J929" s="1" t="s">
        <v>25</v>
      </c>
      <c r="K929" s="1">
        <v>0</v>
      </c>
      <c r="L929" s="1" t="s">
        <v>21</v>
      </c>
      <c r="M929" s="1" t="str">
        <f t="shared" si="14"/>
        <v>Consistent</v>
      </c>
      <c r="N929" s="1" t="str">
        <f>_xlfn.XLOOKUP(H929, risk_score!A:A, risk_score!B:B, 0)</f>
        <v>Low Risk</v>
      </c>
    </row>
    <row r="930" spans="1:14">
      <c r="A930" s="2">
        <v>0.46493055555555557</v>
      </c>
      <c r="B930" s="3">
        <v>44841</v>
      </c>
      <c r="C930" s="1">
        <v>9628306211</v>
      </c>
      <c r="D930" s="1">
        <v>9772730467</v>
      </c>
      <c r="E930" s="1">
        <v>41.66</v>
      </c>
      <c r="F930" s="1" t="s">
        <v>12</v>
      </c>
      <c r="G930" s="1" t="s">
        <v>12</v>
      </c>
      <c r="H930" s="1" t="s">
        <v>13</v>
      </c>
      <c r="I930" s="1" t="s">
        <v>13</v>
      </c>
      <c r="J930" s="1" t="s">
        <v>27</v>
      </c>
      <c r="K930" s="1">
        <v>0</v>
      </c>
      <c r="L930" s="1" t="s">
        <v>21</v>
      </c>
      <c r="M930" s="1" t="str">
        <f t="shared" si="14"/>
        <v>Consistent</v>
      </c>
      <c r="N930" s="1" t="str">
        <f>_xlfn.XLOOKUP(H930, risk_score!A:A, risk_score!B:B, 0)</f>
        <v>Low Risk</v>
      </c>
    </row>
    <row r="931" spans="1:14">
      <c r="A931" s="2">
        <v>0.4649652777777778</v>
      </c>
      <c r="B931" s="3">
        <v>44841</v>
      </c>
      <c r="C931" s="1">
        <v>3168051873</v>
      </c>
      <c r="D931" s="1">
        <v>9923312753</v>
      </c>
      <c r="E931" s="1">
        <v>12412.93</v>
      </c>
      <c r="F931" s="1" t="s">
        <v>12</v>
      </c>
      <c r="G931" s="1" t="s">
        <v>12</v>
      </c>
      <c r="H931" s="1" t="s">
        <v>13</v>
      </c>
      <c r="I931" s="1" t="s">
        <v>13</v>
      </c>
      <c r="J931" s="1" t="s">
        <v>22</v>
      </c>
      <c r="K931" s="1">
        <v>0</v>
      </c>
      <c r="L931" s="1" t="s">
        <v>19</v>
      </c>
      <c r="M931" s="1" t="str">
        <f t="shared" si="14"/>
        <v>Consistent</v>
      </c>
      <c r="N931" s="1" t="str">
        <f>_xlfn.XLOOKUP(H931, risk_score!A:A, risk_score!B:B, 0)</f>
        <v>Low Risk</v>
      </c>
    </row>
    <row r="932" spans="1:14">
      <c r="A932" s="2">
        <v>0.46497685185185184</v>
      </c>
      <c r="B932" s="3">
        <v>44841</v>
      </c>
      <c r="C932" s="1">
        <v>2797271466</v>
      </c>
      <c r="D932" s="1">
        <v>210242051</v>
      </c>
      <c r="E932" s="1">
        <v>7646.32</v>
      </c>
      <c r="F932" s="1" t="s">
        <v>12</v>
      </c>
      <c r="G932" s="1" t="s">
        <v>12</v>
      </c>
      <c r="H932" s="1" t="s">
        <v>13</v>
      </c>
      <c r="I932" s="1" t="s">
        <v>13</v>
      </c>
      <c r="J932" s="1" t="s">
        <v>25</v>
      </c>
      <c r="K932" s="1">
        <v>0</v>
      </c>
      <c r="L932" s="1" t="s">
        <v>19</v>
      </c>
      <c r="M932" s="1" t="str">
        <f t="shared" si="14"/>
        <v>Consistent</v>
      </c>
      <c r="N932" s="1" t="str">
        <f>_xlfn.XLOOKUP(H932, risk_score!A:A, risk_score!B:B, 0)</f>
        <v>Low Risk</v>
      </c>
    </row>
    <row r="933" spans="1:14">
      <c r="A933" s="2">
        <v>0.46498842592592593</v>
      </c>
      <c r="B933" s="3">
        <v>44841</v>
      </c>
      <c r="C933" s="1">
        <v>3168051873</v>
      </c>
      <c r="D933" s="1">
        <v>365650600</v>
      </c>
      <c r="E933" s="1">
        <v>8172.69</v>
      </c>
      <c r="F933" s="1" t="s">
        <v>12</v>
      </c>
      <c r="G933" s="1" t="s">
        <v>12</v>
      </c>
      <c r="H933" s="1" t="s">
        <v>13</v>
      </c>
      <c r="I933" s="1" t="s">
        <v>13</v>
      </c>
      <c r="J933" s="1" t="s">
        <v>27</v>
      </c>
      <c r="K933" s="1">
        <v>0</v>
      </c>
      <c r="L933" s="1" t="s">
        <v>19</v>
      </c>
      <c r="M933" s="1" t="str">
        <f t="shared" si="14"/>
        <v>Consistent</v>
      </c>
      <c r="N933" s="1" t="str">
        <f>_xlfn.XLOOKUP(H933, risk_score!A:A, risk_score!B:B, 0)</f>
        <v>Low Risk</v>
      </c>
    </row>
    <row r="934" spans="1:14">
      <c r="A934" s="2">
        <v>0.46498842592592593</v>
      </c>
      <c r="B934" s="3">
        <v>44841</v>
      </c>
      <c r="C934" s="1">
        <v>2591149052</v>
      </c>
      <c r="D934" s="1">
        <v>2952755323</v>
      </c>
      <c r="E934" s="1">
        <v>3902.28</v>
      </c>
      <c r="F934" s="1" t="s">
        <v>12</v>
      </c>
      <c r="G934" s="1" t="s">
        <v>12</v>
      </c>
      <c r="H934" s="1" t="s">
        <v>13</v>
      </c>
      <c r="I934" s="1" t="s">
        <v>13</v>
      </c>
      <c r="J934" s="1" t="s">
        <v>20</v>
      </c>
      <c r="K934" s="1">
        <v>0</v>
      </c>
      <c r="L934" s="1" t="s">
        <v>21</v>
      </c>
      <c r="M934" s="1" t="str">
        <f t="shared" si="14"/>
        <v>Consistent</v>
      </c>
      <c r="N934" s="1" t="str">
        <f>_xlfn.XLOOKUP(H934, risk_score!A:A, risk_score!B:B, 0)</f>
        <v>Low Risk</v>
      </c>
    </row>
    <row r="935" spans="1:14">
      <c r="A935" s="2">
        <v>0.46501157407407406</v>
      </c>
      <c r="B935" s="3">
        <v>44841</v>
      </c>
      <c r="C935" s="1">
        <v>8389148416</v>
      </c>
      <c r="D935" s="1">
        <v>2815444709</v>
      </c>
      <c r="E935" s="1">
        <v>5170.5</v>
      </c>
      <c r="F935" s="1" t="s">
        <v>12</v>
      </c>
      <c r="G935" s="1" t="s">
        <v>12</v>
      </c>
      <c r="H935" s="1" t="s">
        <v>13</v>
      </c>
      <c r="I935" s="1" t="s">
        <v>13</v>
      </c>
      <c r="J935" s="1" t="s">
        <v>27</v>
      </c>
      <c r="K935" s="1">
        <v>0</v>
      </c>
      <c r="L935" s="1" t="s">
        <v>19</v>
      </c>
      <c r="M935" s="1" t="str">
        <f t="shared" si="14"/>
        <v>Consistent</v>
      </c>
      <c r="N935" s="1" t="str">
        <f>_xlfn.XLOOKUP(H935, risk_score!A:A, risk_score!B:B, 0)</f>
        <v>Low Risk</v>
      </c>
    </row>
    <row r="936" spans="1:14">
      <c r="A936" s="2">
        <v>0.46502314814814816</v>
      </c>
      <c r="B936" s="3">
        <v>44841</v>
      </c>
      <c r="C936" s="1">
        <v>3168051873</v>
      </c>
      <c r="D936" s="1">
        <v>9923312753</v>
      </c>
      <c r="E936" s="1">
        <v>12276.99</v>
      </c>
      <c r="F936" s="1" t="s">
        <v>12</v>
      </c>
      <c r="G936" s="1" t="s">
        <v>12</v>
      </c>
      <c r="H936" s="1" t="s">
        <v>13</v>
      </c>
      <c r="I936" s="1" t="s">
        <v>13</v>
      </c>
      <c r="J936" s="1" t="s">
        <v>25</v>
      </c>
      <c r="K936" s="1">
        <v>0</v>
      </c>
      <c r="L936" s="1" t="s">
        <v>19</v>
      </c>
      <c r="M936" s="1" t="str">
        <f t="shared" si="14"/>
        <v>Consistent</v>
      </c>
      <c r="N936" s="1" t="str">
        <f>_xlfn.XLOOKUP(H936, risk_score!A:A, risk_score!B:B, 0)</f>
        <v>Low Risk</v>
      </c>
    </row>
    <row r="937" spans="1:14">
      <c r="A937" s="2">
        <v>0.46508101851851852</v>
      </c>
      <c r="B937" s="3">
        <v>44841</v>
      </c>
      <c r="C937" s="1">
        <v>9003685740</v>
      </c>
      <c r="D937" s="1">
        <v>3725179699</v>
      </c>
      <c r="E937" s="1">
        <v>3751.94</v>
      </c>
      <c r="F937" s="1" t="s">
        <v>12</v>
      </c>
      <c r="G937" s="1" t="s">
        <v>12</v>
      </c>
      <c r="H937" s="1" t="s">
        <v>13</v>
      </c>
      <c r="I937" s="1" t="s">
        <v>13</v>
      </c>
      <c r="J937" s="1" t="s">
        <v>14</v>
      </c>
      <c r="K937" s="1">
        <v>0</v>
      </c>
      <c r="L937" s="1" t="s">
        <v>15</v>
      </c>
      <c r="M937" s="1" t="str">
        <f t="shared" si="14"/>
        <v>Consistent</v>
      </c>
      <c r="N937" s="1" t="str">
        <f>_xlfn.XLOOKUP(H937, risk_score!A:A, risk_score!B:B, 0)</f>
        <v>Low Risk</v>
      </c>
    </row>
    <row r="938" spans="1:14">
      <c r="A938" s="2">
        <v>0.46508101851851852</v>
      </c>
      <c r="B938" s="3">
        <v>44841</v>
      </c>
      <c r="C938" s="1">
        <v>5982914936</v>
      </c>
      <c r="D938" s="1">
        <v>7629589738</v>
      </c>
      <c r="E938" s="1">
        <v>5727.58</v>
      </c>
      <c r="F938" s="1" t="s">
        <v>12</v>
      </c>
      <c r="G938" s="1" t="s">
        <v>12</v>
      </c>
      <c r="H938" s="1" t="s">
        <v>13</v>
      </c>
      <c r="I938" s="1" t="s">
        <v>13</v>
      </c>
      <c r="J938" s="1" t="s">
        <v>20</v>
      </c>
      <c r="K938" s="1">
        <v>0</v>
      </c>
      <c r="L938" s="1" t="s">
        <v>19</v>
      </c>
      <c r="M938" s="1" t="str">
        <f t="shared" si="14"/>
        <v>Consistent</v>
      </c>
      <c r="N938" s="1" t="str">
        <f>_xlfn.XLOOKUP(H938, risk_score!A:A, risk_score!B:B, 0)</f>
        <v>Low Risk</v>
      </c>
    </row>
    <row r="939" spans="1:14">
      <c r="A939" s="2">
        <v>0.46510416666666665</v>
      </c>
      <c r="B939" s="3">
        <v>44841</v>
      </c>
      <c r="C939" s="1">
        <v>1730350525</v>
      </c>
      <c r="D939" s="1">
        <v>4336977506</v>
      </c>
      <c r="E939" s="1">
        <v>7204.84</v>
      </c>
      <c r="F939" s="1" t="s">
        <v>12</v>
      </c>
      <c r="G939" s="1" t="s">
        <v>12</v>
      </c>
      <c r="H939" s="1" t="s">
        <v>13</v>
      </c>
      <c r="I939" s="1" t="s">
        <v>13</v>
      </c>
      <c r="J939" s="1" t="s">
        <v>22</v>
      </c>
      <c r="K939" s="1">
        <v>0</v>
      </c>
      <c r="L939" s="1" t="s">
        <v>23</v>
      </c>
      <c r="M939" s="1" t="str">
        <f t="shared" si="14"/>
        <v>Consistent</v>
      </c>
      <c r="N939" s="1" t="str">
        <f>_xlfn.XLOOKUP(H939, risk_score!A:A, risk_score!B:B, 0)</f>
        <v>Low Risk</v>
      </c>
    </row>
    <row r="940" spans="1:14">
      <c r="A940" s="2">
        <v>0.46513888888888888</v>
      </c>
      <c r="B940" s="3">
        <v>44841</v>
      </c>
      <c r="C940" s="1">
        <v>4121324384</v>
      </c>
      <c r="D940" s="1">
        <v>1321335569</v>
      </c>
      <c r="E940" s="1">
        <v>8452.5300000000007</v>
      </c>
      <c r="F940" s="1" t="s">
        <v>29</v>
      </c>
      <c r="G940" s="1" t="s">
        <v>12</v>
      </c>
      <c r="H940" s="1" t="s">
        <v>30</v>
      </c>
      <c r="I940" s="1" t="s">
        <v>13</v>
      </c>
      <c r="J940" s="1" t="s">
        <v>18</v>
      </c>
      <c r="K940" s="1">
        <v>0</v>
      </c>
      <c r="L940" s="1" t="s">
        <v>19</v>
      </c>
      <c r="M940" s="1" t="str">
        <f t="shared" si="14"/>
        <v>Potential Layering</v>
      </c>
      <c r="N940" s="1" t="str">
        <f>_xlfn.XLOOKUP(H940, risk_score!A:A, risk_score!B:B, 0)</f>
        <v>Low Risk</v>
      </c>
    </row>
    <row r="941" spans="1:14">
      <c r="A941" s="2">
        <v>0.46513888888888888</v>
      </c>
      <c r="B941" s="3">
        <v>44841</v>
      </c>
      <c r="C941" s="1">
        <v>1304411851</v>
      </c>
      <c r="D941" s="1">
        <v>5708936901</v>
      </c>
      <c r="E941" s="1">
        <v>10437.879999999999</v>
      </c>
      <c r="F941" s="1" t="s">
        <v>12</v>
      </c>
      <c r="G941" s="1" t="s">
        <v>12</v>
      </c>
      <c r="H941" s="1" t="s">
        <v>13</v>
      </c>
      <c r="I941" s="1" t="s">
        <v>13</v>
      </c>
      <c r="J941" s="1" t="s">
        <v>20</v>
      </c>
      <c r="K941" s="1">
        <v>0</v>
      </c>
      <c r="L941" s="1" t="s">
        <v>23</v>
      </c>
      <c r="M941" s="1" t="str">
        <f t="shared" si="14"/>
        <v>Consistent</v>
      </c>
      <c r="N941" s="1" t="str">
        <f>_xlfn.XLOOKUP(H941, risk_score!A:A, risk_score!B:B, 0)</f>
        <v>Low Risk</v>
      </c>
    </row>
    <row r="942" spans="1:14">
      <c r="A942" s="2">
        <v>0.46515046296296297</v>
      </c>
      <c r="B942" s="3">
        <v>44841</v>
      </c>
      <c r="C942" s="1">
        <v>5560320217</v>
      </c>
      <c r="D942" s="1">
        <v>7803705021</v>
      </c>
      <c r="E942" s="1">
        <v>1633.47</v>
      </c>
      <c r="F942" s="1" t="s">
        <v>12</v>
      </c>
      <c r="G942" s="1" t="s">
        <v>12</v>
      </c>
      <c r="H942" s="1" t="s">
        <v>13</v>
      </c>
      <c r="I942" s="1" t="s">
        <v>13</v>
      </c>
      <c r="J942" s="1" t="s">
        <v>14</v>
      </c>
      <c r="K942" s="1">
        <v>0</v>
      </c>
      <c r="L942" s="1" t="s">
        <v>15</v>
      </c>
      <c r="M942" s="1" t="str">
        <f t="shared" si="14"/>
        <v>Consistent</v>
      </c>
      <c r="N942" s="1" t="str">
        <f>_xlfn.XLOOKUP(H942, risk_score!A:A, risk_score!B:B, 0)</f>
        <v>Low Risk</v>
      </c>
    </row>
    <row r="943" spans="1:14">
      <c r="A943" s="2">
        <v>0.4651851851851852</v>
      </c>
      <c r="B943" s="3">
        <v>44841</v>
      </c>
      <c r="C943" s="1">
        <v>8523021855</v>
      </c>
      <c r="D943" s="1">
        <v>2534644942</v>
      </c>
      <c r="E943" s="1">
        <v>13405.1</v>
      </c>
      <c r="F943" s="1" t="s">
        <v>12</v>
      </c>
      <c r="G943" s="1" t="s">
        <v>29</v>
      </c>
      <c r="H943" s="1" t="s">
        <v>13</v>
      </c>
      <c r="I943" s="1" t="s">
        <v>31</v>
      </c>
      <c r="J943" s="1" t="s">
        <v>18</v>
      </c>
      <c r="K943" s="1">
        <v>0</v>
      </c>
      <c r="L943" s="1" t="s">
        <v>23</v>
      </c>
      <c r="M943" s="1" t="str">
        <f t="shared" si="14"/>
        <v>Potential Layering</v>
      </c>
      <c r="N943" s="1" t="str">
        <f>_xlfn.XLOOKUP(H943, risk_score!A:A, risk_score!B:B, 0)</f>
        <v>Low Risk</v>
      </c>
    </row>
    <row r="944" spans="1:14">
      <c r="A944" s="2">
        <v>0.46520833333333333</v>
      </c>
      <c r="B944" s="3">
        <v>44841</v>
      </c>
      <c r="C944" s="1">
        <v>9481318728</v>
      </c>
      <c r="D944" s="1">
        <v>4270865741</v>
      </c>
      <c r="E944" s="1">
        <v>8669.2000000000007</v>
      </c>
      <c r="F944" s="1" t="s">
        <v>12</v>
      </c>
      <c r="G944" s="1" t="s">
        <v>12</v>
      </c>
      <c r="H944" s="1" t="s">
        <v>13</v>
      </c>
      <c r="I944" s="1" t="s">
        <v>13</v>
      </c>
      <c r="J944" s="1" t="s">
        <v>25</v>
      </c>
      <c r="K944" s="1">
        <v>0</v>
      </c>
      <c r="L944" s="1" t="s">
        <v>23</v>
      </c>
      <c r="M944" s="1" t="str">
        <f t="shared" si="14"/>
        <v>Consistent</v>
      </c>
      <c r="N944" s="1" t="str">
        <f>_xlfn.XLOOKUP(H944, risk_score!A:A, risk_score!B:B, 0)</f>
        <v>Low Risk</v>
      </c>
    </row>
    <row r="945" spans="1:14">
      <c r="A945" s="2">
        <v>0.46523148148148147</v>
      </c>
      <c r="B945" s="3">
        <v>44841</v>
      </c>
      <c r="C945" s="1">
        <v>2335777366</v>
      </c>
      <c r="D945" s="1">
        <v>6278601433</v>
      </c>
      <c r="E945" s="1">
        <v>1095.8699999999999</v>
      </c>
      <c r="F945" s="1" t="s">
        <v>12</v>
      </c>
      <c r="G945" s="1" t="s">
        <v>12</v>
      </c>
      <c r="H945" s="1" t="s">
        <v>13</v>
      </c>
      <c r="I945" s="1" t="s">
        <v>13</v>
      </c>
      <c r="J945" s="1" t="s">
        <v>27</v>
      </c>
      <c r="K945" s="1">
        <v>0</v>
      </c>
      <c r="L945" s="1" t="s">
        <v>21</v>
      </c>
      <c r="M945" s="1" t="str">
        <f t="shared" si="14"/>
        <v>Consistent</v>
      </c>
      <c r="N945" s="1" t="str">
        <f>_xlfn.XLOOKUP(H945, risk_score!A:A, risk_score!B:B, 0)</f>
        <v>Low Risk</v>
      </c>
    </row>
    <row r="946" spans="1:14">
      <c r="A946" s="2">
        <v>0.46528935185185183</v>
      </c>
      <c r="B946" s="3">
        <v>44841</v>
      </c>
      <c r="C946" s="1">
        <v>7161168317</v>
      </c>
      <c r="D946" s="1">
        <v>152587544</v>
      </c>
      <c r="E946" s="1">
        <v>227.61</v>
      </c>
      <c r="F946" s="1" t="s">
        <v>12</v>
      </c>
      <c r="G946" s="1" t="s">
        <v>12</v>
      </c>
      <c r="H946" s="1" t="s">
        <v>13</v>
      </c>
      <c r="I946" s="1" t="s">
        <v>13</v>
      </c>
      <c r="J946" s="1" t="s">
        <v>22</v>
      </c>
      <c r="K946" s="1">
        <v>0</v>
      </c>
      <c r="L946" s="1" t="s">
        <v>21</v>
      </c>
      <c r="M946" s="1" t="str">
        <f t="shared" si="14"/>
        <v>Consistent</v>
      </c>
      <c r="N946" s="1" t="str">
        <f>_xlfn.XLOOKUP(H946, risk_score!A:A, risk_score!B:B, 0)</f>
        <v>Low Risk</v>
      </c>
    </row>
    <row r="947" spans="1:14">
      <c r="A947" s="2">
        <v>0.46531250000000002</v>
      </c>
      <c r="B947" s="3">
        <v>44841</v>
      </c>
      <c r="C947" s="1">
        <v>8052801346</v>
      </c>
      <c r="D947" s="1">
        <v>4175678432</v>
      </c>
      <c r="E947" s="1">
        <v>2027.11</v>
      </c>
      <c r="F947" s="1" t="s">
        <v>12</v>
      </c>
      <c r="G947" s="1" t="s">
        <v>34</v>
      </c>
      <c r="H947" s="1" t="s">
        <v>13</v>
      </c>
      <c r="I947" s="1" t="s">
        <v>13</v>
      </c>
      <c r="J947" s="1" t="s">
        <v>22</v>
      </c>
      <c r="K947" s="1">
        <v>0</v>
      </c>
      <c r="L947" s="1" t="s">
        <v>21</v>
      </c>
      <c r="M947" s="1" t="str">
        <f t="shared" si="14"/>
        <v>Potential Layering</v>
      </c>
      <c r="N947" s="1" t="str">
        <f>_xlfn.XLOOKUP(H947, risk_score!A:A, risk_score!B:B, 0)</f>
        <v>Low Risk</v>
      </c>
    </row>
    <row r="948" spans="1:14">
      <c r="A948" s="2">
        <v>0.46532407407407406</v>
      </c>
      <c r="B948" s="3">
        <v>44841</v>
      </c>
      <c r="C948" s="1">
        <v>2045644966</v>
      </c>
      <c r="D948" s="1">
        <v>621060264</v>
      </c>
      <c r="E948" s="1">
        <v>7017.58</v>
      </c>
      <c r="F948" s="1" t="s">
        <v>29</v>
      </c>
      <c r="G948" s="1" t="s">
        <v>12</v>
      </c>
      <c r="H948" s="1" t="s">
        <v>13</v>
      </c>
      <c r="I948" s="1" t="s">
        <v>13</v>
      </c>
      <c r="J948" s="1" t="s">
        <v>22</v>
      </c>
      <c r="K948" s="1">
        <v>0</v>
      </c>
      <c r="L948" s="1" t="s">
        <v>23</v>
      </c>
      <c r="M948" s="1" t="str">
        <f t="shared" si="14"/>
        <v>Potential Layering</v>
      </c>
      <c r="N948" s="1" t="str">
        <f>_xlfn.XLOOKUP(H948, risk_score!A:A, risk_score!B:B, 0)</f>
        <v>Low Risk</v>
      </c>
    </row>
    <row r="949" spans="1:14">
      <c r="A949" s="2">
        <v>0.46532407407407406</v>
      </c>
      <c r="B949" s="3">
        <v>44841</v>
      </c>
      <c r="C949" s="1">
        <v>5896510161</v>
      </c>
      <c r="D949" s="1">
        <v>1377603863</v>
      </c>
      <c r="E949" s="1">
        <v>7577.22</v>
      </c>
      <c r="F949" s="1" t="s">
        <v>12</v>
      </c>
      <c r="G949" s="1" t="s">
        <v>12</v>
      </c>
      <c r="H949" s="1" t="s">
        <v>13</v>
      </c>
      <c r="I949" s="1" t="s">
        <v>13</v>
      </c>
      <c r="J949" s="1" t="s">
        <v>25</v>
      </c>
      <c r="K949" s="1">
        <v>0</v>
      </c>
      <c r="L949" s="1" t="s">
        <v>23</v>
      </c>
      <c r="M949" s="1" t="str">
        <f t="shared" si="14"/>
        <v>Consistent</v>
      </c>
      <c r="N949" s="1" t="str">
        <f>_xlfn.XLOOKUP(H949, risk_score!A:A, risk_score!B:B, 0)</f>
        <v>Low Risk</v>
      </c>
    </row>
    <row r="950" spans="1:14">
      <c r="A950" s="2">
        <v>0.46533564814814815</v>
      </c>
      <c r="B950" s="3">
        <v>44841</v>
      </c>
      <c r="C950" s="1">
        <v>8003608688</v>
      </c>
      <c r="D950" s="1">
        <v>6034997194</v>
      </c>
      <c r="E950" s="1">
        <v>33667.870000000003</v>
      </c>
      <c r="F950" s="1" t="s">
        <v>12</v>
      </c>
      <c r="G950" s="1" t="s">
        <v>12</v>
      </c>
      <c r="H950" s="1" t="s">
        <v>13</v>
      </c>
      <c r="I950" s="1" t="s">
        <v>13</v>
      </c>
      <c r="J950" s="1" t="s">
        <v>20</v>
      </c>
      <c r="K950" s="1">
        <v>0</v>
      </c>
      <c r="L950" s="1" t="s">
        <v>23</v>
      </c>
      <c r="M950" s="1" t="str">
        <f t="shared" si="14"/>
        <v>Consistent</v>
      </c>
      <c r="N950" s="1" t="str">
        <f>_xlfn.XLOOKUP(H950, risk_score!A:A, risk_score!B:B, 0)</f>
        <v>Low Risk</v>
      </c>
    </row>
    <row r="951" spans="1:14">
      <c r="A951" s="2">
        <v>0.46534722222222225</v>
      </c>
      <c r="B951" s="3">
        <v>44841</v>
      </c>
      <c r="C951" s="1">
        <v>3709430533</v>
      </c>
      <c r="D951" s="1">
        <v>2300358725</v>
      </c>
      <c r="E951" s="1">
        <v>12497.1</v>
      </c>
      <c r="F951" s="1" t="s">
        <v>12</v>
      </c>
      <c r="G951" s="1" t="s">
        <v>12</v>
      </c>
      <c r="H951" s="1" t="s">
        <v>13</v>
      </c>
      <c r="I951" s="1" t="s">
        <v>13</v>
      </c>
      <c r="J951" s="1" t="s">
        <v>20</v>
      </c>
      <c r="K951" s="1">
        <v>0</v>
      </c>
      <c r="L951" s="1" t="s">
        <v>19</v>
      </c>
      <c r="M951" s="1" t="str">
        <f t="shared" si="14"/>
        <v>Consistent</v>
      </c>
      <c r="N951" s="1" t="str">
        <f>_xlfn.XLOOKUP(H951, risk_score!A:A, risk_score!B:B, 0)</f>
        <v>Low Risk</v>
      </c>
    </row>
    <row r="952" spans="1:14">
      <c r="A952" s="2">
        <v>0.46535879629629628</v>
      </c>
      <c r="B952" s="3">
        <v>44841</v>
      </c>
      <c r="C952" s="1">
        <v>5644780858</v>
      </c>
      <c r="D952" s="1">
        <v>5275284342</v>
      </c>
      <c r="E952" s="1">
        <v>1591.64</v>
      </c>
      <c r="F952" s="1" t="s">
        <v>12</v>
      </c>
      <c r="G952" s="1" t="s">
        <v>12</v>
      </c>
      <c r="H952" s="1" t="s">
        <v>13</v>
      </c>
      <c r="I952" s="1" t="s">
        <v>13</v>
      </c>
      <c r="J952" s="1" t="s">
        <v>20</v>
      </c>
      <c r="K952" s="1">
        <v>0</v>
      </c>
      <c r="L952" s="1" t="s">
        <v>24</v>
      </c>
      <c r="M952" s="1" t="str">
        <f t="shared" si="14"/>
        <v>Consistent</v>
      </c>
      <c r="N952" s="1" t="str">
        <f>_xlfn.XLOOKUP(H952, risk_score!A:A, risk_score!B:B, 0)</f>
        <v>Low Risk</v>
      </c>
    </row>
    <row r="953" spans="1:14">
      <c r="A953" s="2">
        <v>0.46538194444444442</v>
      </c>
      <c r="B953" s="3">
        <v>44841</v>
      </c>
      <c r="C953" s="1">
        <v>9371498931</v>
      </c>
      <c r="D953" s="1">
        <v>245020670</v>
      </c>
      <c r="E953" s="1">
        <v>331.57</v>
      </c>
      <c r="F953" s="1" t="s">
        <v>12</v>
      </c>
      <c r="G953" s="1" t="s">
        <v>12</v>
      </c>
      <c r="H953" s="1" t="s">
        <v>13</v>
      </c>
      <c r="I953" s="1" t="s">
        <v>13</v>
      </c>
      <c r="J953" s="1" t="s">
        <v>25</v>
      </c>
      <c r="K953" s="1">
        <v>0</v>
      </c>
      <c r="L953" s="1" t="s">
        <v>21</v>
      </c>
      <c r="M953" s="1" t="str">
        <f t="shared" si="14"/>
        <v>Consistent</v>
      </c>
      <c r="N953" s="1" t="str">
        <f>_xlfn.XLOOKUP(H953, risk_score!A:A, risk_score!B:B, 0)</f>
        <v>Low Risk</v>
      </c>
    </row>
    <row r="954" spans="1:14">
      <c r="A954" s="2">
        <v>0.46539351851851851</v>
      </c>
      <c r="B954" s="3">
        <v>44841</v>
      </c>
      <c r="C954" s="1">
        <v>7394568083</v>
      </c>
      <c r="D954" s="1">
        <v>8858401300</v>
      </c>
      <c r="E954" s="1">
        <v>2991.18</v>
      </c>
      <c r="F954" s="1" t="s">
        <v>12</v>
      </c>
      <c r="G954" s="1" t="s">
        <v>12</v>
      </c>
      <c r="H954" s="1" t="s">
        <v>13</v>
      </c>
      <c r="I954" s="1" t="s">
        <v>13</v>
      </c>
      <c r="J954" s="1" t="s">
        <v>14</v>
      </c>
      <c r="K954" s="1">
        <v>0</v>
      </c>
      <c r="L954" s="1" t="s">
        <v>15</v>
      </c>
      <c r="M954" s="1" t="str">
        <f t="shared" si="14"/>
        <v>Consistent</v>
      </c>
      <c r="N954" s="1" t="str">
        <f>_xlfn.XLOOKUP(H954, risk_score!A:A, risk_score!B:B, 0)</f>
        <v>Low Risk</v>
      </c>
    </row>
    <row r="955" spans="1:14">
      <c r="A955" s="2">
        <v>0.46540509259259261</v>
      </c>
      <c r="B955" s="3">
        <v>44841</v>
      </c>
      <c r="C955" s="1">
        <v>7507778325</v>
      </c>
      <c r="D955" s="1">
        <v>5233263857</v>
      </c>
      <c r="E955" s="1">
        <v>5627.25</v>
      </c>
      <c r="F955" s="1" t="s">
        <v>12</v>
      </c>
      <c r="G955" s="1" t="s">
        <v>12</v>
      </c>
      <c r="H955" s="1" t="s">
        <v>13</v>
      </c>
      <c r="I955" s="1" t="s">
        <v>13</v>
      </c>
      <c r="J955" s="1" t="s">
        <v>20</v>
      </c>
      <c r="K955" s="1">
        <v>0</v>
      </c>
      <c r="L955" s="1" t="s">
        <v>21</v>
      </c>
      <c r="M955" s="1" t="str">
        <f t="shared" si="14"/>
        <v>Consistent</v>
      </c>
      <c r="N955" s="1" t="str">
        <f>_xlfn.XLOOKUP(H955, risk_score!A:A, risk_score!B:B, 0)</f>
        <v>Low Risk</v>
      </c>
    </row>
    <row r="956" spans="1:14">
      <c r="A956" s="2">
        <v>0.46542824074074074</v>
      </c>
      <c r="B956" s="3">
        <v>44841</v>
      </c>
      <c r="C956" s="1">
        <v>2215405780</v>
      </c>
      <c r="D956" s="1">
        <v>3302664906</v>
      </c>
      <c r="E956" s="1">
        <v>12145.86</v>
      </c>
      <c r="F956" s="1" t="s">
        <v>12</v>
      </c>
      <c r="G956" s="1" t="s">
        <v>12</v>
      </c>
      <c r="H956" s="1" t="s">
        <v>13</v>
      </c>
      <c r="I956" s="1" t="s">
        <v>13</v>
      </c>
      <c r="J956" s="1" t="s">
        <v>25</v>
      </c>
      <c r="K956" s="1">
        <v>0</v>
      </c>
      <c r="L956" s="1" t="s">
        <v>21</v>
      </c>
      <c r="M956" s="1" t="str">
        <f t="shared" si="14"/>
        <v>Consistent</v>
      </c>
      <c r="N956" s="1" t="str">
        <f>_xlfn.XLOOKUP(H956, risk_score!A:A, risk_score!B:B, 0)</f>
        <v>Low Risk</v>
      </c>
    </row>
    <row r="957" spans="1:14">
      <c r="A957" s="2">
        <v>0.46555555555555556</v>
      </c>
      <c r="B957" s="3">
        <v>44841</v>
      </c>
      <c r="C957" s="1">
        <v>7551204703</v>
      </c>
      <c r="D957" s="1">
        <v>8851167144</v>
      </c>
      <c r="E957" s="1">
        <v>1462.57</v>
      </c>
      <c r="F957" s="1" t="s">
        <v>12</v>
      </c>
      <c r="G957" s="1" t="s">
        <v>12</v>
      </c>
      <c r="H957" s="1" t="s">
        <v>13</v>
      </c>
      <c r="I957" s="1" t="s">
        <v>13</v>
      </c>
      <c r="J957" s="1" t="s">
        <v>25</v>
      </c>
      <c r="K957" s="1">
        <v>0</v>
      </c>
      <c r="L957" s="1" t="s">
        <v>21</v>
      </c>
      <c r="M957" s="1" t="str">
        <f t="shared" si="14"/>
        <v>Consistent</v>
      </c>
      <c r="N957" s="1" t="str">
        <f>_xlfn.XLOOKUP(H957, risk_score!A:A, risk_score!B:B, 0)</f>
        <v>Low Risk</v>
      </c>
    </row>
    <row r="958" spans="1:14">
      <c r="A958" s="2">
        <v>0.46556712962962965</v>
      </c>
      <c r="B958" s="3">
        <v>44841</v>
      </c>
      <c r="C958" s="1">
        <v>5955159897</v>
      </c>
      <c r="D958" s="1">
        <v>6034997194</v>
      </c>
      <c r="E958" s="1">
        <v>13325.37</v>
      </c>
      <c r="F958" s="1" t="s">
        <v>29</v>
      </c>
      <c r="G958" s="1" t="s">
        <v>12</v>
      </c>
      <c r="H958" s="1" t="s">
        <v>50</v>
      </c>
      <c r="I958" s="1" t="s">
        <v>13</v>
      </c>
      <c r="J958" s="1" t="s">
        <v>18</v>
      </c>
      <c r="K958" s="1">
        <v>0</v>
      </c>
      <c r="L958" s="1" t="s">
        <v>23</v>
      </c>
      <c r="M958" s="1" t="str">
        <f t="shared" si="14"/>
        <v>Potential Layering</v>
      </c>
      <c r="N958" s="1" t="str">
        <f>_xlfn.XLOOKUP(H958, risk_score!A:A, risk_score!B:B, 0)</f>
        <v>Low Risk</v>
      </c>
    </row>
    <row r="959" spans="1:14">
      <c r="A959" s="2">
        <v>0.46556712962962965</v>
      </c>
      <c r="B959" s="3">
        <v>44841</v>
      </c>
      <c r="C959" s="1">
        <v>8952177221</v>
      </c>
      <c r="D959" s="1">
        <v>6424463145</v>
      </c>
      <c r="E959" s="1">
        <v>12477.96</v>
      </c>
      <c r="F959" s="1" t="s">
        <v>12</v>
      </c>
      <c r="G959" s="1" t="s">
        <v>12</v>
      </c>
      <c r="H959" s="1" t="s">
        <v>13</v>
      </c>
      <c r="I959" s="1" t="s">
        <v>13</v>
      </c>
      <c r="J959" s="1" t="s">
        <v>25</v>
      </c>
      <c r="K959" s="1">
        <v>0</v>
      </c>
      <c r="L959" s="1" t="s">
        <v>19</v>
      </c>
      <c r="M959" s="1" t="str">
        <f t="shared" si="14"/>
        <v>Consistent</v>
      </c>
      <c r="N959" s="1" t="str">
        <f>_xlfn.XLOOKUP(H959, risk_score!A:A, risk_score!B:B, 0)</f>
        <v>Low Risk</v>
      </c>
    </row>
    <row r="960" spans="1:14">
      <c r="A960" s="2">
        <v>0.46556712962962965</v>
      </c>
      <c r="B960" s="3">
        <v>44841</v>
      </c>
      <c r="C960" s="1">
        <v>8318954772</v>
      </c>
      <c r="D960" s="1">
        <v>9170792542</v>
      </c>
      <c r="E960" s="1">
        <v>1610.11</v>
      </c>
      <c r="F960" s="1" t="s">
        <v>12</v>
      </c>
      <c r="G960" s="1" t="s">
        <v>12</v>
      </c>
      <c r="H960" s="1" t="s">
        <v>13</v>
      </c>
      <c r="I960" s="1" t="s">
        <v>13</v>
      </c>
      <c r="J960" s="1" t="s">
        <v>20</v>
      </c>
      <c r="K960" s="1">
        <v>0</v>
      </c>
      <c r="L960" s="1" t="s">
        <v>24</v>
      </c>
      <c r="M960" s="1" t="str">
        <f t="shared" si="14"/>
        <v>Consistent</v>
      </c>
      <c r="N960" s="1" t="str">
        <f>_xlfn.XLOOKUP(H960, risk_score!A:A, risk_score!B:B, 0)</f>
        <v>Low Risk</v>
      </c>
    </row>
    <row r="961" spans="1:14">
      <c r="A961" s="2">
        <v>0.46557870370370369</v>
      </c>
      <c r="B961" s="3">
        <v>44841</v>
      </c>
      <c r="C961" s="1">
        <v>3168051873</v>
      </c>
      <c r="D961" s="1">
        <v>5677353991</v>
      </c>
      <c r="E961" s="1">
        <v>4878.1499999999996</v>
      </c>
      <c r="F961" s="1" t="s">
        <v>12</v>
      </c>
      <c r="G961" s="1" t="s">
        <v>12</v>
      </c>
      <c r="H961" s="1" t="s">
        <v>13</v>
      </c>
      <c r="I961" s="1" t="s">
        <v>13</v>
      </c>
      <c r="J961" s="1" t="s">
        <v>27</v>
      </c>
      <c r="K961" s="1">
        <v>0</v>
      </c>
      <c r="L961" s="1" t="s">
        <v>19</v>
      </c>
      <c r="M961" s="1" t="str">
        <f t="shared" si="14"/>
        <v>Consistent</v>
      </c>
      <c r="N961" s="1" t="str">
        <f>_xlfn.XLOOKUP(H961, risk_score!A:A, risk_score!B:B, 0)</f>
        <v>Low Risk</v>
      </c>
    </row>
    <row r="962" spans="1:14">
      <c r="A962" s="2">
        <v>0.46559027777777778</v>
      </c>
      <c r="B962" s="3">
        <v>44841</v>
      </c>
      <c r="C962" s="1">
        <v>9165074186</v>
      </c>
      <c r="D962" s="1">
        <v>3695545812</v>
      </c>
      <c r="E962" s="1">
        <v>7359.35</v>
      </c>
      <c r="F962" s="1" t="s">
        <v>12</v>
      </c>
      <c r="G962" s="1" t="s">
        <v>12</v>
      </c>
      <c r="H962" s="1" t="s">
        <v>13</v>
      </c>
      <c r="I962" s="1" t="s">
        <v>13</v>
      </c>
      <c r="J962" s="1" t="s">
        <v>25</v>
      </c>
      <c r="K962" s="1">
        <v>0</v>
      </c>
      <c r="L962" s="1" t="s">
        <v>23</v>
      </c>
      <c r="M962" s="1" t="str">
        <f t="shared" si="14"/>
        <v>Consistent</v>
      </c>
      <c r="N962" s="1" t="str">
        <f>_xlfn.XLOOKUP(H962, risk_score!A:A, risk_score!B:B, 0)</f>
        <v>Low Risk</v>
      </c>
    </row>
    <row r="963" spans="1:14">
      <c r="A963" s="2">
        <v>0.46564814814814814</v>
      </c>
      <c r="B963" s="3">
        <v>44841</v>
      </c>
      <c r="C963" s="1">
        <v>1929116626</v>
      </c>
      <c r="D963" s="1">
        <v>7892884492</v>
      </c>
      <c r="E963" s="1">
        <v>24469.22</v>
      </c>
      <c r="F963" s="1" t="s">
        <v>12</v>
      </c>
      <c r="G963" s="1" t="s">
        <v>32</v>
      </c>
      <c r="H963" s="1" t="s">
        <v>13</v>
      </c>
      <c r="I963" s="1" t="s">
        <v>33</v>
      </c>
      <c r="J963" s="1" t="s">
        <v>18</v>
      </c>
      <c r="K963" s="1">
        <v>0</v>
      </c>
      <c r="L963" s="1" t="s">
        <v>23</v>
      </c>
      <c r="M963" s="1" t="str">
        <f t="shared" ref="M963:M1026" si="15">IF(F963=G963, "Consistent", "Potential Layering")</f>
        <v>Potential Layering</v>
      </c>
      <c r="N963" s="1" t="str">
        <f>_xlfn.XLOOKUP(H963, risk_score!A:A, risk_score!B:B, 0)</f>
        <v>Low Risk</v>
      </c>
    </row>
    <row r="964" spans="1:14">
      <c r="A964" s="2">
        <v>0.46565972222222224</v>
      </c>
      <c r="B964" s="3">
        <v>44841</v>
      </c>
      <c r="C964" s="1">
        <v>5631378216</v>
      </c>
      <c r="D964" s="1">
        <v>5628674969</v>
      </c>
      <c r="E964" s="1">
        <v>8978.58</v>
      </c>
      <c r="F964" s="1" t="s">
        <v>12</v>
      </c>
      <c r="G964" s="1" t="s">
        <v>12</v>
      </c>
      <c r="H964" s="1" t="s">
        <v>13</v>
      </c>
      <c r="I964" s="1" t="s">
        <v>13</v>
      </c>
      <c r="J964" s="1" t="s">
        <v>22</v>
      </c>
      <c r="K964" s="1">
        <v>0</v>
      </c>
      <c r="L964" s="1" t="s">
        <v>23</v>
      </c>
      <c r="M964" s="1" t="str">
        <f t="shared" si="15"/>
        <v>Consistent</v>
      </c>
      <c r="N964" s="1" t="str">
        <f>_xlfn.XLOOKUP(H964, risk_score!A:A, risk_score!B:B, 0)</f>
        <v>Low Risk</v>
      </c>
    </row>
    <row r="965" spans="1:14">
      <c r="A965" s="2">
        <v>0.46565972222222224</v>
      </c>
      <c r="B965" s="3">
        <v>44841</v>
      </c>
      <c r="C965" s="1">
        <v>7758268667</v>
      </c>
      <c r="D965" s="1">
        <v>9088520781</v>
      </c>
      <c r="E965" s="1">
        <v>4509</v>
      </c>
      <c r="F965" s="1" t="s">
        <v>12</v>
      </c>
      <c r="G965" s="1" t="s">
        <v>12</v>
      </c>
      <c r="H965" s="1" t="s">
        <v>13</v>
      </c>
      <c r="I965" s="1" t="s">
        <v>13</v>
      </c>
      <c r="J965" s="1" t="s">
        <v>20</v>
      </c>
      <c r="K965" s="1">
        <v>0</v>
      </c>
      <c r="L965" s="1" t="s">
        <v>19</v>
      </c>
      <c r="M965" s="1" t="str">
        <f t="shared" si="15"/>
        <v>Consistent</v>
      </c>
      <c r="N965" s="1" t="str">
        <f>_xlfn.XLOOKUP(H965, risk_score!A:A, risk_score!B:B, 0)</f>
        <v>Low Risk</v>
      </c>
    </row>
    <row r="966" spans="1:14">
      <c r="A966" s="2">
        <v>0.46570601851851851</v>
      </c>
      <c r="B966" s="3">
        <v>44841</v>
      </c>
      <c r="C966" s="1">
        <v>2241044938</v>
      </c>
      <c r="D966" s="1">
        <v>4524191742</v>
      </c>
      <c r="E966" s="1">
        <v>2571.0700000000002</v>
      </c>
      <c r="F966" s="1" t="s">
        <v>12</v>
      </c>
      <c r="G966" s="1" t="s">
        <v>12</v>
      </c>
      <c r="H966" s="1" t="s">
        <v>13</v>
      </c>
      <c r="I966" s="1" t="s">
        <v>13</v>
      </c>
      <c r="J966" s="1" t="s">
        <v>25</v>
      </c>
      <c r="K966" s="1">
        <v>0</v>
      </c>
      <c r="L966" s="1" t="s">
        <v>21</v>
      </c>
      <c r="M966" s="1" t="str">
        <f t="shared" si="15"/>
        <v>Consistent</v>
      </c>
      <c r="N966" s="1" t="str">
        <f>_xlfn.XLOOKUP(H966, risk_score!A:A, risk_score!B:B, 0)</f>
        <v>Low Risk</v>
      </c>
    </row>
    <row r="967" spans="1:14">
      <c r="A967" s="2">
        <v>0.46570601851851851</v>
      </c>
      <c r="B967" s="3">
        <v>44841</v>
      </c>
      <c r="C967" s="1">
        <v>198403508</v>
      </c>
      <c r="D967" s="1">
        <v>1316458123</v>
      </c>
      <c r="E967" s="1">
        <v>4560.82</v>
      </c>
      <c r="F967" s="1" t="s">
        <v>12</v>
      </c>
      <c r="G967" s="1" t="s">
        <v>34</v>
      </c>
      <c r="H967" s="1" t="s">
        <v>13</v>
      </c>
      <c r="I967" s="1" t="s">
        <v>35</v>
      </c>
      <c r="J967" s="1" t="s">
        <v>18</v>
      </c>
      <c r="K967" s="1">
        <v>0</v>
      </c>
      <c r="L967" s="1" t="s">
        <v>23</v>
      </c>
      <c r="M967" s="1" t="str">
        <f t="shared" si="15"/>
        <v>Potential Layering</v>
      </c>
      <c r="N967" s="1" t="str">
        <f>_xlfn.XLOOKUP(H967, risk_score!A:A, risk_score!B:B, 0)</f>
        <v>Low Risk</v>
      </c>
    </row>
    <row r="968" spans="1:14">
      <c r="A968" s="2">
        <v>0.46574074074074073</v>
      </c>
      <c r="B968" s="3">
        <v>44841</v>
      </c>
      <c r="C968" s="1">
        <v>478240506</v>
      </c>
      <c r="D968" s="1">
        <v>1623849740</v>
      </c>
      <c r="E968" s="1">
        <v>2814.86</v>
      </c>
      <c r="F968" s="1" t="s">
        <v>12</v>
      </c>
      <c r="G968" s="1" t="s">
        <v>12</v>
      </c>
      <c r="H968" s="1" t="s">
        <v>13</v>
      </c>
      <c r="I968" s="1" t="s">
        <v>13</v>
      </c>
      <c r="J968" s="1" t="s">
        <v>20</v>
      </c>
      <c r="K968" s="1">
        <v>0</v>
      </c>
      <c r="L968" s="1" t="s">
        <v>21</v>
      </c>
      <c r="M968" s="1" t="str">
        <f t="shared" si="15"/>
        <v>Consistent</v>
      </c>
      <c r="N968" s="1" t="str">
        <f>_xlfn.XLOOKUP(H968, risk_score!A:A, risk_score!B:B, 0)</f>
        <v>Low Risk</v>
      </c>
    </row>
    <row r="969" spans="1:14">
      <c r="A969" s="2">
        <v>0.46575231481481483</v>
      </c>
      <c r="B969" s="3">
        <v>44841</v>
      </c>
      <c r="C969" s="1">
        <v>7827679101</v>
      </c>
      <c r="D969" s="1">
        <v>4270865741</v>
      </c>
      <c r="E969" s="1">
        <v>10555.19</v>
      </c>
      <c r="F969" s="1" t="s">
        <v>12</v>
      </c>
      <c r="G969" s="1" t="s">
        <v>12</v>
      </c>
      <c r="H969" s="1" t="s">
        <v>13</v>
      </c>
      <c r="I969" s="1" t="s">
        <v>13</v>
      </c>
      <c r="J969" s="1" t="s">
        <v>27</v>
      </c>
      <c r="K969" s="1">
        <v>0</v>
      </c>
      <c r="L969" s="1" t="s">
        <v>23</v>
      </c>
      <c r="M969" s="1" t="str">
        <f t="shared" si="15"/>
        <v>Consistent</v>
      </c>
      <c r="N969" s="1" t="str">
        <f>_xlfn.XLOOKUP(H969, risk_score!A:A, risk_score!B:B, 0)</f>
        <v>Low Risk</v>
      </c>
    </row>
    <row r="970" spans="1:14">
      <c r="A970" s="2">
        <v>0.46578703703703705</v>
      </c>
      <c r="B970" s="3">
        <v>44841</v>
      </c>
      <c r="C970" s="1">
        <v>4336547198</v>
      </c>
      <c r="D970" s="1">
        <v>329930572</v>
      </c>
      <c r="E970" s="1">
        <v>5160.59</v>
      </c>
      <c r="F970" s="1" t="s">
        <v>12</v>
      </c>
      <c r="G970" s="1" t="s">
        <v>12</v>
      </c>
      <c r="H970" s="1" t="s">
        <v>13</v>
      </c>
      <c r="I970" s="1" t="s">
        <v>13</v>
      </c>
      <c r="J970" s="1" t="s">
        <v>22</v>
      </c>
      <c r="K970" s="1">
        <v>0</v>
      </c>
      <c r="L970" s="1" t="s">
        <v>21</v>
      </c>
      <c r="M970" s="1" t="str">
        <f t="shared" si="15"/>
        <v>Consistent</v>
      </c>
      <c r="N970" s="1" t="str">
        <f>_xlfn.XLOOKUP(H970, risk_score!A:A, risk_score!B:B, 0)</f>
        <v>Low Risk</v>
      </c>
    </row>
    <row r="971" spans="1:14">
      <c r="A971" s="2">
        <v>0.46579861111111109</v>
      </c>
      <c r="B971" s="3">
        <v>44841</v>
      </c>
      <c r="C971" s="1">
        <v>7570914310</v>
      </c>
      <c r="D971" s="1">
        <v>3378942578</v>
      </c>
      <c r="E971" s="1">
        <v>63.14</v>
      </c>
      <c r="F971" s="1" t="s">
        <v>12</v>
      </c>
      <c r="G971" s="1" t="s">
        <v>12</v>
      </c>
      <c r="H971" s="1" t="s">
        <v>13</v>
      </c>
      <c r="I971" s="1" t="s">
        <v>13</v>
      </c>
      <c r="J971" s="1" t="s">
        <v>25</v>
      </c>
      <c r="K971" s="1">
        <v>0</v>
      </c>
      <c r="L971" s="1" t="s">
        <v>21</v>
      </c>
      <c r="M971" s="1" t="str">
        <f t="shared" si="15"/>
        <v>Consistent</v>
      </c>
      <c r="N971" s="1" t="str">
        <f>_xlfn.XLOOKUP(H971, risk_score!A:A, risk_score!B:B, 0)</f>
        <v>Low Risk</v>
      </c>
    </row>
    <row r="972" spans="1:14">
      <c r="A972" s="2">
        <v>0.46581018518518519</v>
      </c>
      <c r="B972" s="3">
        <v>44841</v>
      </c>
      <c r="C972" s="1">
        <v>9302522864</v>
      </c>
      <c r="D972" s="1">
        <v>5466123934</v>
      </c>
      <c r="E972" s="1">
        <v>8556.2800000000007</v>
      </c>
      <c r="F972" s="1" t="s">
        <v>12</v>
      </c>
      <c r="G972" s="1" t="s">
        <v>12</v>
      </c>
      <c r="H972" s="1" t="s">
        <v>13</v>
      </c>
      <c r="I972" s="1" t="s">
        <v>13</v>
      </c>
      <c r="J972" s="1" t="s">
        <v>27</v>
      </c>
      <c r="K972" s="1">
        <v>0</v>
      </c>
      <c r="L972" s="1" t="s">
        <v>23</v>
      </c>
      <c r="M972" s="1" t="str">
        <f t="shared" si="15"/>
        <v>Consistent</v>
      </c>
      <c r="N972" s="1" t="str">
        <f>_xlfn.XLOOKUP(H972, risk_score!A:A, risk_score!B:B, 0)</f>
        <v>Low Risk</v>
      </c>
    </row>
    <row r="973" spans="1:14">
      <c r="A973" s="2">
        <v>0.46585648148148145</v>
      </c>
      <c r="B973" s="3">
        <v>44841</v>
      </c>
      <c r="C973" s="1">
        <v>3029183605</v>
      </c>
      <c r="D973" s="1">
        <v>8966349114</v>
      </c>
      <c r="E973" s="1">
        <v>1965.61</v>
      </c>
      <c r="F973" s="1" t="s">
        <v>12</v>
      </c>
      <c r="G973" s="1" t="s">
        <v>12</v>
      </c>
      <c r="H973" s="1" t="s">
        <v>13</v>
      </c>
      <c r="I973" s="1" t="s">
        <v>13</v>
      </c>
      <c r="J973" s="1" t="s">
        <v>14</v>
      </c>
      <c r="K973" s="1">
        <v>0</v>
      </c>
      <c r="L973" s="1" t="s">
        <v>15</v>
      </c>
      <c r="M973" s="1" t="str">
        <f t="shared" si="15"/>
        <v>Consistent</v>
      </c>
      <c r="N973" s="1" t="str">
        <f>_xlfn.XLOOKUP(H973, risk_score!A:A, risk_score!B:B, 0)</f>
        <v>Low Risk</v>
      </c>
    </row>
    <row r="974" spans="1:14">
      <c r="A974" s="2">
        <v>0.46585648148148145</v>
      </c>
      <c r="B974" s="3">
        <v>44841</v>
      </c>
      <c r="C974" s="1">
        <v>7258656047</v>
      </c>
      <c r="D974" s="1">
        <v>1377603863</v>
      </c>
      <c r="E974" s="1">
        <v>10061.73</v>
      </c>
      <c r="F974" s="1" t="s">
        <v>12</v>
      </c>
      <c r="G974" s="1" t="s">
        <v>12</v>
      </c>
      <c r="H974" s="1" t="s">
        <v>13</v>
      </c>
      <c r="I974" s="1" t="s">
        <v>13</v>
      </c>
      <c r="J974" s="1" t="s">
        <v>22</v>
      </c>
      <c r="K974" s="1">
        <v>0</v>
      </c>
      <c r="L974" s="1" t="s">
        <v>23</v>
      </c>
      <c r="M974" s="1" t="str">
        <f t="shared" si="15"/>
        <v>Consistent</v>
      </c>
      <c r="N974" s="1" t="str">
        <f>_xlfn.XLOOKUP(H974, risk_score!A:A, risk_score!B:B, 0)</f>
        <v>Low Risk</v>
      </c>
    </row>
    <row r="975" spans="1:14">
      <c r="A975" s="2">
        <v>0.46589120370370368</v>
      </c>
      <c r="B975" s="3">
        <v>44841</v>
      </c>
      <c r="C975" s="1">
        <v>9534729015</v>
      </c>
      <c r="D975" s="1">
        <v>8950761727</v>
      </c>
      <c r="E975" s="1">
        <v>6906.88</v>
      </c>
      <c r="F975" s="1" t="s">
        <v>12</v>
      </c>
      <c r="G975" s="1" t="s">
        <v>12</v>
      </c>
      <c r="H975" s="1" t="s">
        <v>13</v>
      </c>
      <c r="I975" s="1" t="s">
        <v>13</v>
      </c>
      <c r="J975" s="1" t="s">
        <v>22</v>
      </c>
      <c r="K975" s="1">
        <v>0</v>
      </c>
      <c r="L975" s="1" t="s">
        <v>19</v>
      </c>
      <c r="M975" s="1" t="str">
        <f t="shared" si="15"/>
        <v>Consistent</v>
      </c>
      <c r="N975" s="1" t="str">
        <f>_xlfn.XLOOKUP(H975, risk_score!A:A, risk_score!B:B, 0)</f>
        <v>Low Risk</v>
      </c>
    </row>
    <row r="976" spans="1:14">
      <c r="A976" s="2">
        <v>0.46591435185185187</v>
      </c>
      <c r="B976" s="3">
        <v>44841</v>
      </c>
      <c r="C976" s="1">
        <v>8487080282</v>
      </c>
      <c r="D976" s="1">
        <v>5708936901</v>
      </c>
      <c r="E976" s="1">
        <v>5719.48</v>
      </c>
      <c r="F976" s="1" t="s">
        <v>12</v>
      </c>
      <c r="G976" s="1" t="s">
        <v>12</v>
      </c>
      <c r="H976" s="1" t="s">
        <v>13</v>
      </c>
      <c r="I976" s="1" t="s">
        <v>13</v>
      </c>
      <c r="J976" s="1" t="s">
        <v>27</v>
      </c>
      <c r="K976" s="1">
        <v>0</v>
      </c>
      <c r="L976" s="1" t="s">
        <v>23</v>
      </c>
      <c r="M976" s="1" t="str">
        <f t="shared" si="15"/>
        <v>Consistent</v>
      </c>
      <c r="N976" s="1" t="str">
        <f>_xlfn.XLOOKUP(H976, risk_score!A:A, risk_score!B:B, 0)</f>
        <v>Low Risk</v>
      </c>
    </row>
    <row r="977" spans="1:14">
      <c r="A977" s="2">
        <v>0.4659375</v>
      </c>
      <c r="B977" s="3">
        <v>44841</v>
      </c>
      <c r="C977" s="1">
        <v>3879485543</v>
      </c>
      <c r="D977" s="1">
        <v>2131509992</v>
      </c>
      <c r="E977" s="1">
        <v>23696.46</v>
      </c>
      <c r="F977" s="1" t="s">
        <v>44</v>
      </c>
      <c r="G977" s="1" t="s">
        <v>12</v>
      </c>
      <c r="H977" s="1" t="s">
        <v>13</v>
      </c>
      <c r="I977" s="1" t="s">
        <v>13</v>
      </c>
      <c r="J977" s="1" t="s">
        <v>25</v>
      </c>
      <c r="K977" s="1">
        <v>0</v>
      </c>
      <c r="L977" s="1" t="s">
        <v>21</v>
      </c>
      <c r="M977" s="1" t="str">
        <f t="shared" si="15"/>
        <v>Potential Layering</v>
      </c>
      <c r="N977" s="1" t="str">
        <f>_xlfn.XLOOKUP(H977, risk_score!A:A, risk_score!B:B, 0)</f>
        <v>Low Risk</v>
      </c>
    </row>
    <row r="978" spans="1:14">
      <c r="A978" s="2">
        <v>0.46597222222222223</v>
      </c>
      <c r="B978" s="3">
        <v>44841</v>
      </c>
      <c r="C978" s="1">
        <v>569631372</v>
      </c>
      <c r="D978" s="1">
        <v>8585368092</v>
      </c>
      <c r="E978" s="1">
        <v>6948.76</v>
      </c>
      <c r="F978" s="1" t="s">
        <v>12</v>
      </c>
      <c r="G978" s="1" t="s">
        <v>12</v>
      </c>
      <c r="H978" s="1" t="s">
        <v>13</v>
      </c>
      <c r="I978" s="1" t="s">
        <v>13</v>
      </c>
      <c r="J978" s="1" t="s">
        <v>20</v>
      </c>
      <c r="K978" s="1">
        <v>0</v>
      </c>
      <c r="L978" s="1" t="s">
        <v>21</v>
      </c>
      <c r="M978" s="1" t="str">
        <f t="shared" si="15"/>
        <v>Consistent</v>
      </c>
      <c r="N978" s="1" t="str">
        <f>_xlfn.XLOOKUP(H978, risk_score!A:A, risk_score!B:B, 0)</f>
        <v>Low Risk</v>
      </c>
    </row>
    <row r="979" spans="1:14">
      <c r="A979" s="2">
        <v>0.46599537037037037</v>
      </c>
      <c r="B979" s="3">
        <v>44841</v>
      </c>
      <c r="C979" s="1">
        <v>9836012215</v>
      </c>
      <c r="D979" s="1">
        <v>5886355580</v>
      </c>
      <c r="E979" s="1">
        <v>3189.41</v>
      </c>
      <c r="F979" s="1" t="s">
        <v>12</v>
      </c>
      <c r="G979" s="1" t="s">
        <v>12</v>
      </c>
      <c r="H979" s="1" t="s">
        <v>13</v>
      </c>
      <c r="I979" s="1" t="s">
        <v>13</v>
      </c>
      <c r="J979" s="1" t="s">
        <v>20</v>
      </c>
      <c r="K979" s="1">
        <v>0</v>
      </c>
      <c r="L979" s="1" t="s">
        <v>21</v>
      </c>
      <c r="M979" s="1" t="str">
        <f t="shared" si="15"/>
        <v>Consistent</v>
      </c>
      <c r="N979" s="1" t="str">
        <f>_xlfn.XLOOKUP(H979, risk_score!A:A, risk_score!B:B, 0)</f>
        <v>Low Risk</v>
      </c>
    </row>
    <row r="980" spans="1:14">
      <c r="A980" s="2">
        <v>0.46600694444444446</v>
      </c>
      <c r="B980" s="3">
        <v>44841</v>
      </c>
      <c r="C980" s="1">
        <v>3443340463</v>
      </c>
      <c r="D980" s="1">
        <v>7230775790</v>
      </c>
      <c r="E980" s="1">
        <v>1562.4</v>
      </c>
      <c r="F980" s="1" t="s">
        <v>12</v>
      </c>
      <c r="G980" s="1" t="s">
        <v>12</v>
      </c>
      <c r="H980" s="1" t="s">
        <v>13</v>
      </c>
      <c r="I980" s="1" t="s">
        <v>13</v>
      </c>
      <c r="J980" s="1" t="s">
        <v>25</v>
      </c>
      <c r="K980" s="1">
        <v>0</v>
      </c>
      <c r="L980" s="1" t="s">
        <v>24</v>
      </c>
      <c r="M980" s="1" t="str">
        <f t="shared" si="15"/>
        <v>Consistent</v>
      </c>
      <c r="N980" s="1" t="str">
        <f>_xlfn.XLOOKUP(H980, risk_score!A:A, risk_score!B:B, 0)</f>
        <v>Low Risk</v>
      </c>
    </row>
    <row r="981" spans="1:14">
      <c r="A981" s="2">
        <v>0.4660185185185185</v>
      </c>
      <c r="B981" s="3">
        <v>44841</v>
      </c>
      <c r="C981" s="1">
        <v>1378784400</v>
      </c>
      <c r="D981" s="1">
        <v>7897279705</v>
      </c>
      <c r="E981" s="1">
        <v>5268.26</v>
      </c>
      <c r="F981" s="1" t="s">
        <v>12</v>
      </c>
      <c r="G981" s="1" t="s">
        <v>12</v>
      </c>
      <c r="H981" s="1" t="s">
        <v>13</v>
      </c>
      <c r="I981" s="1" t="s">
        <v>13</v>
      </c>
      <c r="J981" s="1" t="s">
        <v>25</v>
      </c>
      <c r="K981" s="1">
        <v>0</v>
      </c>
      <c r="L981" s="1" t="s">
        <v>19</v>
      </c>
      <c r="M981" s="1" t="str">
        <f t="shared" si="15"/>
        <v>Consistent</v>
      </c>
      <c r="N981" s="1" t="str">
        <f>_xlfn.XLOOKUP(H981, risk_score!A:A, risk_score!B:B, 0)</f>
        <v>Low Risk</v>
      </c>
    </row>
    <row r="982" spans="1:14">
      <c r="A982" s="2">
        <v>0.46604166666666669</v>
      </c>
      <c r="B982" s="3">
        <v>44841</v>
      </c>
      <c r="C982" s="1">
        <v>7421451752</v>
      </c>
      <c r="D982" s="1">
        <v>3557538160</v>
      </c>
      <c r="E982" s="1">
        <v>4227.51</v>
      </c>
      <c r="F982" s="1" t="s">
        <v>12</v>
      </c>
      <c r="G982" s="1" t="s">
        <v>12</v>
      </c>
      <c r="H982" s="1" t="s">
        <v>13</v>
      </c>
      <c r="I982" s="1" t="s">
        <v>13</v>
      </c>
      <c r="J982" s="1" t="s">
        <v>22</v>
      </c>
      <c r="K982" s="1">
        <v>0</v>
      </c>
      <c r="L982" s="1" t="s">
        <v>19</v>
      </c>
      <c r="M982" s="1" t="str">
        <f t="shared" si="15"/>
        <v>Consistent</v>
      </c>
      <c r="N982" s="1" t="str">
        <f>_xlfn.XLOOKUP(H982, risk_score!A:A, risk_score!B:B, 0)</f>
        <v>Low Risk</v>
      </c>
    </row>
    <row r="983" spans="1:14">
      <c r="A983" s="2">
        <v>0.46604166666666669</v>
      </c>
      <c r="B983" s="3">
        <v>44841</v>
      </c>
      <c r="C983" s="1">
        <v>5589612608</v>
      </c>
      <c r="D983" s="1">
        <v>6071083181</v>
      </c>
      <c r="E983" s="1">
        <v>504.11</v>
      </c>
      <c r="F983" s="1" t="s">
        <v>12</v>
      </c>
      <c r="G983" s="1" t="s">
        <v>12</v>
      </c>
      <c r="H983" s="1" t="s">
        <v>13</v>
      </c>
      <c r="I983" s="1" t="s">
        <v>13</v>
      </c>
      <c r="J983" s="1" t="s">
        <v>25</v>
      </c>
      <c r="K983" s="1">
        <v>0</v>
      </c>
      <c r="L983" s="1" t="s">
        <v>21</v>
      </c>
      <c r="M983" s="1" t="str">
        <f t="shared" si="15"/>
        <v>Consistent</v>
      </c>
      <c r="N983" s="1" t="str">
        <f>_xlfn.XLOOKUP(H983, risk_score!A:A, risk_score!B:B, 0)</f>
        <v>Low Risk</v>
      </c>
    </row>
    <row r="984" spans="1:14">
      <c r="A984" s="2">
        <v>0.46607638888888892</v>
      </c>
      <c r="B984" s="3">
        <v>44841</v>
      </c>
      <c r="C984" s="1">
        <v>9456514108</v>
      </c>
      <c r="D984" s="1">
        <v>5109623450</v>
      </c>
      <c r="E984" s="1">
        <v>8411.73</v>
      </c>
      <c r="F984" s="1" t="s">
        <v>12</v>
      </c>
      <c r="G984" s="1" t="s">
        <v>12</v>
      </c>
      <c r="H984" s="1" t="s">
        <v>13</v>
      </c>
      <c r="I984" s="1" t="s">
        <v>13</v>
      </c>
      <c r="J984" s="1" t="s">
        <v>20</v>
      </c>
      <c r="K984" s="1">
        <v>0</v>
      </c>
      <c r="L984" s="1" t="s">
        <v>23</v>
      </c>
      <c r="M984" s="1" t="str">
        <f t="shared" si="15"/>
        <v>Consistent</v>
      </c>
      <c r="N984" s="1" t="str">
        <f>_xlfn.XLOOKUP(H984, risk_score!A:A, risk_score!B:B, 0)</f>
        <v>Low Risk</v>
      </c>
    </row>
    <row r="985" spans="1:14">
      <c r="A985" s="2">
        <v>0.46607638888888892</v>
      </c>
      <c r="B985" s="3">
        <v>44841</v>
      </c>
      <c r="C985" s="1">
        <v>963640486</v>
      </c>
      <c r="D985" s="1">
        <v>6325553499</v>
      </c>
      <c r="E985" s="1">
        <v>3186.59</v>
      </c>
      <c r="F985" s="1" t="s">
        <v>12</v>
      </c>
      <c r="G985" s="1" t="s">
        <v>12</v>
      </c>
      <c r="H985" s="1" t="s">
        <v>13</v>
      </c>
      <c r="I985" s="1" t="s">
        <v>13</v>
      </c>
      <c r="J985" s="1" t="s">
        <v>22</v>
      </c>
      <c r="K985" s="1">
        <v>0</v>
      </c>
      <c r="L985" s="1" t="s">
        <v>21</v>
      </c>
      <c r="M985" s="1" t="str">
        <f t="shared" si="15"/>
        <v>Consistent</v>
      </c>
      <c r="N985" s="1" t="str">
        <f>_xlfn.XLOOKUP(H985, risk_score!A:A, risk_score!B:B, 0)</f>
        <v>Low Risk</v>
      </c>
    </row>
    <row r="986" spans="1:14">
      <c r="A986" s="2">
        <v>0.46615740740740741</v>
      </c>
      <c r="B986" s="3">
        <v>44841</v>
      </c>
      <c r="C986" s="1">
        <v>2731219454</v>
      </c>
      <c r="D986" s="1">
        <v>1198080698</v>
      </c>
      <c r="E986" s="1">
        <v>148.26</v>
      </c>
      <c r="F986" s="1" t="s">
        <v>12</v>
      </c>
      <c r="G986" s="1" t="s">
        <v>12</v>
      </c>
      <c r="H986" s="1" t="s">
        <v>13</v>
      </c>
      <c r="I986" s="1" t="s">
        <v>13</v>
      </c>
      <c r="J986" s="1" t="s">
        <v>36</v>
      </c>
      <c r="K986" s="1">
        <v>0</v>
      </c>
      <c r="L986" s="1" t="s">
        <v>37</v>
      </c>
      <c r="M986" s="1" t="str">
        <f t="shared" si="15"/>
        <v>Consistent</v>
      </c>
      <c r="N986" s="1" t="str">
        <f>_xlfn.XLOOKUP(H986, risk_score!A:A, risk_score!B:B, 0)</f>
        <v>Low Risk</v>
      </c>
    </row>
    <row r="987" spans="1:14">
      <c r="A987" s="2">
        <v>0.46619212962962964</v>
      </c>
      <c r="B987" s="3">
        <v>44841</v>
      </c>
      <c r="C987" s="1">
        <v>8212330109</v>
      </c>
      <c r="D987" s="1">
        <v>2534644942</v>
      </c>
      <c r="E987" s="1">
        <v>5412.81</v>
      </c>
      <c r="F987" s="1" t="s">
        <v>12</v>
      </c>
      <c r="G987" s="1" t="s">
        <v>29</v>
      </c>
      <c r="H987" s="1" t="s">
        <v>13</v>
      </c>
      <c r="I987" s="1" t="s">
        <v>31</v>
      </c>
      <c r="J987" s="1" t="s">
        <v>18</v>
      </c>
      <c r="K987" s="1">
        <v>0</v>
      </c>
      <c r="L987" s="1" t="s">
        <v>23</v>
      </c>
      <c r="M987" s="1" t="str">
        <f t="shared" si="15"/>
        <v>Potential Layering</v>
      </c>
      <c r="N987" s="1" t="str">
        <f>_xlfn.XLOOKUP(H987, risk_score!A:A, risk_score!B:B, 0)</f>
        <v>Low Risk</v>
      </c>
    </row>
    <row r="988" spans="1:14">
      <c r="A988" s="2">
        <v>0.46628472222222223</v>
      </c>
      <c r="B988" s="3">
        <v>44841</v>
      </c>
      <c r="C988" s="1">
        <v>8986192248</v>
      </c>
      <c r="D988" s="1">
        <v>3731026923</v>
      </c>
      <c r="E988" s="1">
        <v>1721.68</v>
      </c>
      <c r="F988" s="1" t="s">
        <v>12</v>
      </c>
      <c r="G988" s="1" t="s">
        <v>12</v>
      </c>
      <c r="H988" s="1" t="s">
        <v>13</v>
      </c>
      <c r="I988" s="1" t="s">
        <v>13</v>
      </c>
      <c r="J988" s="1" t="s">
        <v>27</v>
      </c>
      <c r="K988" s="1">
        <v>0</v>
      </c>
      <c r="L988" s="1" t="s">
        <v>21</v>
      </c>
      <c r="M988" s="1" t="str">
        <f t="shared" si="15"/>
        <v>Consistent</v>
      </c>
      <c r="N988" s="1" t="str">
        <f>_xlfn.XLOOKUP(H988, risk_score!A:A, risk_score!B:B, 0)</f>
        <v>Low Risk</v>
      </c>
    </row>
    <row r="989" spans="1:14">
      <c r="A989" s="2">
        <v>0.46629629629629632</v>
      </c>
      <c r="B989" s="3">
        <v>44841</v>
      </c>
      <c r="C989" s="1">
        <v>9326182833</v>
      </c>
      <c r="D989" s="1">
        <v>8306180896</v>
      </c>
      <c r="E989" s="1">
        <v>126.53</v>
      </c>
      <c r="F989" s="1" t="s">
        <v>12</v>
      </c>
      <c r="G989" s="1" t="s">
        <v>12</v>
      </c>
      <c r="H989" s="1" t="s">
        <v>13</v>
      </c>
      <c r="I989" s="1" t="s">
        <v>13</v>
      </c>
      <c r="J989" s="1" t="s">
        <v>22</v>
      </c>
      <c r="K989" s="1">
        <v>0</v>
      </c>
      <c r="L989" s="1" t="s">
        <v>21</v>
      </c>
      <c r="M989" s="1" t="str">
        <f t="shared" si="15"/>
        <v>Consistent</v>
      </c>
      <c r="N989" s="1" t="str">
        <f>_xlfn.XLOOKUP(H989, risk_score!A:A, risk_score!B:B, 0)</f>
        <v>Low Risk</v>
      </c>
    </row>
    <row r="990" spans="1:14">
      <c r="A990" s="2">
        <v>0.46629629629629632</v>
      </c>
      <c r="B990" s="3">
        <v>44841</v>
      </c>
      <c r="C990" s="1">
        <v>7501327339</v>
      </c>
      <c r="D990" s="1">
        <v>8061984977</v>
      </c>
      <c r="E990" s="1">
        <v>9540.51</v>
      </c>
      <c r="F990" s="1" t="s">
        <v>12</v>
      </c>
      <c r="G990" s="1" t="s">
        <v>12</v>
      </c>
      <c r="H990" s="1" t="s">
        <v>13</v>
      </c>
      <c r="I990" s="1" t="s">
        <v>13</v>
      </c>
      <c r="J990" s="1" t="s">
        <v>22</v>
      </c>
      <c r="K990" s="1">
        <v>0</v>
      </c>
      <c r="L990" s="1" t="s">
        <v>19</v>
      </c>
      <c r="M990" s="1" t="str">
        <f t="shared" si="15"/>
        <v>Consistent</v>
      </c>
      <c r="N990" s="1" t="str">
        <f>_xlfn.XLOOKUP(H990, risk_score!A:A, risk_score!B:B, 0)</f>
        <v>Low Risk</v>
      </c>
    </row>
    <row r="991" spans="1:14">
      <c r="A991" s="2">
        <v>0.46630787037037036</v>
      </c>
      <c r="B991" s="3">
        <v>44841</v>
      </c>
      <c r="C991" s="1">
        <v>6511284387</v>
      </c>
      <c r="D991" s="1">
        <v>399899327</v>
      </c>
      <c r="E991" s="1">
        <v>3204.39</v>
      </c>
      <c r="F991" s="1" t="s">
        <v>12</v>
      </c>
      <c r="G991" s="1" t="s">
        <v>12</v>
      </c>
      <c r="H991" s="1" t="s">
        <v>13</v>
      </c>
      <c r="I991" s="1" t="s">
        <v>13</v>
      </c>
      <c r="J991" s="1" t="s">
        <v>27</v>
      </c>
      <c r="K991" s="1">
        <v>0</v>
      </c>
      <c r="L991" s="1" t="s">
        <v>21</v>
      </c>
      <c r="M991" s="1" t="str">
        <f t="shared" si="15"/>
        <v>Consistent</v>
      </c>
      <c r="N991" s="1" t="str">
        <f>_xlfn.XLOOKUP(H991, risk_score!A:A, risk_score!B:B, 0)</f>
        <v>Low Risk</v>
      </c>
    </row>
    <row r="992" spans="1:14">
      <c r="A992" s="2">
        <v>0.46630787037037036</v>
      </c>
      <c r="B992" s="3">
        <v>44841</v>
      </c>
      <c r="C992" s="1">
        <v>6831196529</v>
      </c>
      <c r="D992" s="1">
        <v>5551993114</v>
      </c>
      <c r="E992" s="1">
        <v>9837.2199999999993</v>
      </c>
      <c r="F992" s="1" t="s">
        <v>12</v>
      </c>
      <c r="G992" s="1" t="s">
        <v>12</v>
      </c>
      <c r="H992" s="1" t="s">
        <v>13</v>
      </c>
      <c r="I992" s="1" t="s">
        <v>13</v>
      </c>
      <c r="J992" s="1" t="s">
        <v>27</v>
      </c>
      <c r="K992" s="1">
        <v>0</v>
      </c>
      <c r="L992" s="1" t="s">
        <v>21</v>
      </c>
      <c r="M992" s="1" t="str">
        <f t="shared" si="15"/>
        <v>Consistent</v>
      </c>
      <c r="N992" s="1" t="str">
        <f>_xlfn.XLOOKUP(H992, risk_score!A:A, risk_score!B:B, 0)</f>
        <v>Low Risk</v>
      </c>
    </row>
    <row r="993" spans="1:14">
      <c r="A993" s="2">
        <v>0.46631944444444445</v>
      </c>
      <c r="B993" s="3">
        <v>44841</v>
      </c>
      <c r="C993" s="1">
        <v>3282155790</v>
      </c>
      <c r="D993" s="1">
        <v>8295014793</v>
      </c>
      <c r="E993" s="1">
        <v>6156.95</v>
      </c>
      <c r="F993" s="1" t="s">
        <v>12</v>
      </c>
      <c r="G993" s="1" t="s">
        <v>12</v>
      </c>
      <c r="H993" s="1" t="s">
        <v>13</v>
      </c>
      <c r="I993" s="1" t="s">
        <v>13</v>
      </c>
      <c r="J993" s="1" t="s">
        <v>25</v>
      </c>
      <c r="K993" s="1">
        <v>0</v>
      </c>
      <c r="L993" s="1" t="s">
        <v>24</v>
      </c>
      <c r="M993" s="1" t="str">
        <f t="shared" si="15"/>
        <v>Consistent</v>
      </c>
      <c r="N993" s="1" t="str">
        <f>_xlfn.XLOOKUP(H993, risk_score!A:A, risk_score!B:B, 0)</f>
        <v>Low Risk</v>
      </c>
    </row>
    <row r="994" spans="1:14">
      <c r="A994" s="2">
        <v>0.46633101851851849</v>
      </c>
      <c r="B994" s="3">
        <v>44841</v>
      </c>
      <c r="C994" s="1">
        <v>4261959518</v>
      </c>
      <c r="D994" s="1">
        <v>9721097883</v>
      </c>
      <c r="E994" s="1">
        <v>203.01</v>
      </c>
      <c r="F994" s="1" t="s">
        <v>12</v>
      </c>
      <c r="G994" s="1" t="s">
        <v>12</v>
      </c>
      <c r="H994" s="1" t="s">
        <v>13</v>
      </c>
      <c r="I994" s="1" t="s">
        <v>13</v>
      </c>
      <c r="J994" s="1" t="s">
        <v>14</v>
      </c>
      <c r="K994" s="1">
        <v>0</v>
      </c>
      <c r="L994" s="1" t="s">
        <v>15</v>
      </c>
      <c r="M994" s="1" t="str">
        <f t="shared" si="15"/>
        <v>Consistent</v>
      </c>
      <c r="N994" s="1" t="str">
        <f>_xlfn.XLOOKUP(H994, risk_score!A:A, risk_score!B:B, 0)</f>
        <v>Low Risk</v>
      </c>
    </row>
    <row r="995" spans="1:14">
      <c r="A995" s="2">
        <v>0.46636574074074072</v>
      </c>
      <c r="B995" s="3">
        <v>44841</v>
      </c>
      <c r="C995" s="1">
        <v>8694532419</v>
      </c>
      <c r="D995" s="1">
        <v>155800702</v>
      </c>
      <c r="E995" s="1">
        <v>4510.42</v>
      </c>
      <c r="F995" s="1" t="s">
        <v>12</v>
      </c>
      <c r="G995" s="1" t="s">
        <v>12</v>
      </c>
      <c r="H995" s="1" t="s">
        <v>13</v>
      </c>
      <c r="I995" s="1" t="s">
        <v>13</v>
      </c>
      <c r="J995" s="1" t="s">
        <v>22</v>
      </c>
      <c r="K995" s="1">
        <v>0</v>
      </c>
      <c r="L995" s="1" t="s">
        <v>21</v>
      </c>
      <c r="M995" s="1" t="str">
        <f t="shared" si="15"/>
        <v>Consistent</v>
      </c>
      <c r="N995" s="1" t="str">
        <f>_xlfn.XLOOKUP(H995, risk_score!A:A, risk_score!B:B, 0)</f>
        <v>Low Risk</v>
      </c>
    </row>
    <row r="996" spans="1:14">
      <c r="A996" s="2">
        <v>0.46638888888888891</v>
      </c>
      <c r="B996" s="3">
        <v>44841</v>
      </c>
      <c r="C996" s="1">
        <v>3849206129</v>
      </c>
      <c r="D996" s="1">
        <v>1592846762</v>
      </c>
      <c r="E996" s="1">
        <v>21854.15</v>
      </c>
      <c r="F996" s="1" t="s">
        <v>12</v>
      </c>
      <c r="G996" s="1" t="s">
        <v>12</v>
      </c>
      <c r="H996" s="1" t="s">
        <v>13</v>
      </c>
      <c r="I996" s="1" t="s">
        <v>13</v>
      </c>
      <c r="J996" s="1" t="s">
        <v>20</v>
      </c>
      <c r="K996" s="1">
        <v>0</v>
      </c>
      <c r="L996" s="1" t="s">
        <v>21</v>
      </c>
      <c r="M996" s="1" t="str">
        <f t="shared" si="15"/>
        <v>Consistent</v>
      </c>
      <c r="N996" s="1" t="str">
        <f>_xlfn.XLOOKUP(H996, risk_score!A:A, risk_score!B:B, 0)</f>
        <v>Low Risk</v>
      </c>
    </row>
    <row r="997" spans="1:14">
      <c r="A997" s="2">
        <v>0.46640046296296295</v>
      </c>
      <c r="B997" s="3">
        <v>44841</v>
      </c>
      <c r="C997" s="1">
        <v>4357702926</v>
      </c>
      <c r="D997" s="1">
        <v>5688491007</v>
      </c>
      <c r="E997" s="1">
        <v>21378.85</v>
      </c>
      <c r="F997" s="1" t="s">
        <v>12</v>
      </c>
      <c r="G997" s="1" t="s">
        <v>12</v>
      </c>
      <c r="H997" s="1" t="s">
        <v>13</v>
      </c>
      <c r="I997" s="1" t="s">
        <v>13</v>
      </c>
      <c r="J997" s="1" t="s">
        <v>20</v>
      </c>
      <c r="K997" s="1">
        <v>0</v>
      </c>
      <c r="L997" s="1" t="s">
        <v>21</v>
      </c>
      <c r="M997" s="1" t="str">
        <f t="shared" si="15"/>
        <v>Consistent</v>
      </c>
      <c r="N997" s="1" t="str">
        <f>_xlfn.XLOOKUP(H997, risk_score!A:A, risk_score!B:B, 0)</f>
        <v>Low Risk</v>
      </c>
    </row>
    <row r="998" spans="1:14">
      <c r="A998" s="2">
        <v>0.46641203703703704</v>
      </c>
      <c r="B998" s="3">
        <v>44841</v>
      </c>
      <c r="C998" s="1">
        <v>8333589663</v>
      </c>
      <c r="D998" s="1">
        <v>1465487567</v>
      </c>
      <c r="E998" s="1">
        <v>16467.689999999999</v>
      </c>
      <c r="F998" s="1" t="s">
        <v>12</v>
      </c>
      <c r="G998" s="1" t="s">
        <v>12</v>
      </c>
      <c r="H998" s="1" t="s">
        <v>13</v>
      </c>
      <c r="I998" s="1" t="s">
        <v>13</v>
      </c>
      <c r="J998" s="1" t="s">
        <v>25</v>
      </c>
      <c r="K998" s="1">
        <v>0</v>
      </c>
      <c r="L998" s="1" t="s">
        <v>23</v>
      </c>
      <c r="M998" s="1" t="str">
        <f t="shared" si="15"/>
        <v>Consistent</v>
      </c>
      <c r="N998" s="1" t="str">
        <f>_xlfn.XLOOKUP(H998, risk_score!A:A, risk_score!B:B, 0)</f>
        <v>Low Risk</v>
      </c>
    </row>
    <row r="999" spans="1:14">
      <c r="A999" s="2">
        <v>0.46641203703703704</v>
      </c>
      <c r="B999" s="3">
        <v>44841</v>
      </c>
      <c r="C999" s="1">
        <v>4622157955</v>
      </c>
      <c r="D999" s="1">
        <v>3091109715</v>
      </c>
      <c r="E999" s="1">
        <v>12104.43</v>
      </c>
      <c r="F999" s="1" t="s">
        <v>12</v>
      </c>
      <c r="G999" s="1" t="s">
        <v>12</v>
      </c>
      <c r="H999" s="1" t="s">
        <v>13</v>
      </c>
      <c r="I999" s="1" t="s">
        <v>13</v>
      </c>
      <c r="J999" s="1" t="s">
        <v>22</v>
      </c>
      <c r="K999" s="1">
        <v>0</v>
      </c>
      <c r="L999" s="1" t="s">
        <v>21</v>
      </c>
      <c r="M999" s="1" t="str">
        <f t="shared" si="15"/>
        <v>Consistent</v>
      </c>
      <c r="N999" s="1" t="str">
        <f>_xlfn.XLOOKUP(H999, risk_score!A:A, risk_score!B:B, 0)</f>
        <v>Low Risk</v>
      </c>
    </row>
    <row r="1000" spans="1:14">
      <c r="A1000" s="2">
        <v>0.46644675925925927</v>
      </c>
      <c r="B1000" s="3">
        <v>44841</v>
      </c>
      <c r="C1000" s="1">
        <v>7479901615</v>
      </c>
      <c r="D1000" s="1">
        <v>1102186400</v>
      </c>
      <c r="E1000" s="1">
        <v>317.29000000000002</v>
      </c>
      <c r="F1000" s="1" t="s">
        <v>12</v>
      </c>
      <c r="G1000" s="1" t="s">
        <v>12</v>
      </c>
      <c r="H1000" s="1" t="s">
        <v>13</v>
      </c>
      <c r="I1000" s="1" t="s">
        <v>13</v>
      </c>
      <c r="J1000" s="1" t="s">
        <v>20</v>
      </c>
      <c r="K1000" s="1">
        <v>0</v>
      </c>
      <c r="L1000" s="1" t="s">
        <v>21</v>
      </c>
      <c r="M1000" s="1" t="str">
        <f t="shared" si="15"/>
        <v>Consistent</v>
      </c>
      <c r="N1000" s="1" t="str">
        <f>_xlfn.XLOOKUP(H1000, risk_score!A:A, risk_score!B:B, 0)</f>
        <v>Low Risk</v>
      </c>
    </row>
    <row r="1001" spans="1:14">
      <c r="A1001" s="2">
        <v>0.46645833333333331</v>
      </c>
      <c r="B1001" s="3">
        <v>44841</v>
      </c>
      <c r="C1001" s="1">
        <v>8197072010</v>
      </c>
      <c r="D1001" s="1">
        <v>137271780</v>
      </c>
      <c r="E1001" s="1">
        <v>6503.94</v>
      </c>
      <c r="F1001" s="1" t="s">
        <v>12</v>
      </c>
      <c r="G1001" s="1" t="s">
        <v>12</v>
      </c>
      <c r="H1001" s="1" t="s">
        <v>13</v>
      </c>
      <c r="I1001" s="1" t="s">
        <v>13</v>
      </c>
      <c r="J1001" s="1" t="s">
        <v>22</v>
      </c>
      <c r="K1001" s="1">
        <v>0</v>
      </c>
      <c r="L1001" s="1" t="s">
        <v>24</v>
      </c>
      <c r="M1001" s="1" t="str">
        <f t="shared" si="15"/>
        <v>Consistent</v>
      </c>
      <c r="N1001" s="1" t="str">
        <f>_xlfn.XLOOKUP(H1001, risk_score!A:A, risk_score!B:B, 0)</f>
        <v>Low Risk</v>
      </c>
    </row>
    <row r="1002" spans="1:14">
      <c r="A1002" s="2">
        <v>0.4664699074074074</v>
      </c>
      <c r="B1002" s="3">
        <v>44841</v>
      </c>
      <c r="C1002" s="1">
        <v>8389148416</v>
      </c>
      <c r="D1002" s="1">
        <v>2753383263</v>
      </c>
      <c r="E1002" s="1">
        <v>5628.41</v>
      </c>
      <c r="F1002" s="1" t="s">
        <v>12</v>
      </c>
      <c r="G1002" s="1" t="s">
        <v>12</v>
      </c>
      <c r="H1002" s="1" t="s">
        <v>13</v>
      </c>
      <c r="I1002" s="1" t="s">
        <v>13</v>
      </c>
      <c r="J1002" s="1" t="s">
        <v>22</v>
      </c>
      <c r="K1002" s="1">
        <v>0</v>
      </c>
      <c r="L1002" s="1" t="s">
        <v>19</v>
      </c>
      <c r="M1002" s="1" t="str">
        <f t="shared" si="15"/>
        <v>Consistent</v>
      </c>
      <c r="N1002" s="1" t="str">
        <f>_xlfn.XLOOKUP(H1002, risk_score!A:A, risk_score!B:B, 0)</f>
        <v>Low Risk</v>
      </c>
    </row>
    <row r="1003" spans="1:14">
      <c r="A1003" s="2">
        <v>0.46651620370370372</v>
      </c>
      <c r="B1003" s="3">
        <v>44841</v>
      </c>
      <c r="C1003" s="1">
        <v>2831014523</v>
      </c>
      <c r="D1003" s="1">
        <v>9689826880</v>
      </c>
      <c r="E1003" s="1">
        <v>60840.88</v>
      </c>
      <c r="F1003" s="1" t="s">
        <v>12</v>
      </c>
      <c r="G1003" s="1" t="s">
        <v>12</v>
      </c>
      <c r="H1003" s="1" t="s">
        <v>13</v>
      </c>
      <c r="I1003" s="1" t="s">
        <v>13</v>
      </c>
      <c r="J1003" s="1" t="s">
        <v>25</v>
      </c>
      <c r="K1003" s="1">
        <v>0</v>
      </c>
      <c r="L1003" s="1" t="s">
        <v>58</v>
      </c>
      <c r="M1003" s="1" t="str">
        <f t="shared" si="15"/>
        <v>Consistent</v>
      </c>
      <c r="N1003" s="1" t="str">
        <f>_xlfn.XLOOKUP(H1003, risk_score!A:A, risk_score!B:B, 0)</f>
        <v>Low Risk</v>
      </c>
    </row>
    <row r="1004" spans="1:14">
      <c r="A1004" s="2">
        <v>0.46652777777777776</v>
      </c>
      <c r="B1004" s="3">
        <v>44841</v>
      </c>
      <c r="C1004" s="1">
        <v>9243779950</v>
      </c>
      <c r="D1004" s="1">
        <v>3448193802</v>
      </c>
      <c r="E1004" s="1">
        <v>2888.65</v>
      </c>
      <c r="F1004" s="1" t="s">
        <v>12</v>
      </c>
      <c r="G1004" s="1" t="s">
        <v>12</v>
      </c>
      <c r="H1004" s="1" t="s">
        <v>13</v>
      </c>
      <c r="I1004" s="1" t="s">
        <v>13</v>
      </c>
      <c r="J1004" s="1" t="s">
        <v>25</v>
      </c>
      <c r="K1004" s="1">
        <v>0</v>
      </c>
      <c r="L1004" s="1" t="s">
        <v>41</v>
      </c>
      <c r="M1004" s="1" t="str">
        <f t="shared" si="15"/>
        <v>Consistent</v>
      </c>
      <c r="N1004" s="1" t="str">
        <f>_xlfn.XLOOKUP(H1004, risk_score!A:A, risk_score!B:B, 0)</f>
        <v>Low Risk</v>
      </c>
    </row>
    <row r="1005" spans="1:14">
      <c r="A1005" s="2">
        <v>0.46653935185185186</v>
      </c>
      <c r="B1005" s="3">
        <v>44841</v>
      </c>
      <c r="C1005" s="1">
        <v>6057444675</v>
      </c>
      <c r="D1005" s="1">
        <v>9018284593</v>
      </c>
      <c r="E1005" s="1">
        <v>5706.9</v>
      </c>
      <c r="F1005" s="1" t="s">
        <v>12</v>
      </c>
      <c r="G1005" s="1" t="s">
        <v>12</v>
      </c>
      <c r="H1005" s="1" t="s">
        <v>13</v>
      </c>
      <c r="I1005" s="1" t="s">
        <v>13</v>
      </c>
      <c r="J1005" s="1" t="s">
        <v>25</v>
      </c>
      <c r="K1005" s="1">
        <v>0</v>
      </c>
      <c r="L1005" s="1" t="s">
        <v>19</v>
      </c>
      <c r="M1005" s="1" t="str">
        <f t="shared" si="15"/>
        <v>Consistent</v>
      </c>
      <c r="N1005" s="1" t="str">
        <f>_xlfn.XLOOKUP(H1005, risk_score!A:A, risk_score!B:B, 0)</f>
        <v>Low Risk</v>
      </c>
    </row>
    <row r="1006" spans="1:14">
      <c r="A1006" s="2">
        <v>0.46657407407407409</v>
      </c>
      <c r="B1006" s="3">
        <v>44841</v>
      </c>
      <c r="C1006" s="1">
        <v>5549289588</v>
      </c>
      <c r="D1006" s="1">
        <v>4336977506</v>
      </c>
      <c r="E1006" s="1">
        <v>6830.88</v>
      </c>
      <c r="F1006" s="1" t="s">
        <v>12</v>
      </c>
      <c r="G1006" s="1" t="s">
        <v>12</v>
      </c>
      <c r="H1006" s="1" t="s">
        <v>13</v>
      </c>
      <c r="I1006" s="1" t="s">
        <v>13</v>
      </c>
      <c r="J1006" s="1" t="s">
        <v>25</v>
      </c>
      <c r="K1006" s="1">
        <v>0</v>
      </c>
      <c r="L1006" s="1" t="s">
        <v>23</v>
      </c>
      <c r="M1006" s="1" t="str">
        <f t="shared" si="15"/>
        <v>Consistent</v>
      </c>
      <c r="N1006" s="1" t="str">
        <f>_xlfn.XLOOKUP(H1006, risk_score!A:A, risk_score!B:B, 0)</f>
        <v>Low Risk</v>
      </c>
    </row>
    <row r="1007" spans="1:14">
      <c r="A1007" s="2">
        <v>0.46662037037037035</v>
      </c>
      <c r="B1007" s="3">
        <v>44841</v>
      </c>
      <c r="C1007" s="1">
        <v>1399204216</v>
      </c>
      <c r="D1007" s="1">
        <v>709886403</v>
      </c>
      <c r="E1007" s="1">
        <v>1313.64</v>
      </c>
      <c r="F1007" s="1" t="s">
        <v>12</v>
      </c>
      <c r="G1007" s="1" t="s">
        <v>12</v>
      </c>
      <c r="H1007" s="1" t="s">
        <v>13</v>
      </c>
      <c r="I1007" s="1" t="s">
        <v>13</v>
      </c>
      <c r="J1007" s="1" t="s">
        <v>14</v>
      </c>
      <c r="K1007" s="1">
        <v>0</v>
      </c>
      <c r="L1007" s="1" t="s">
        <v>15</v>
      </c>
      <c r="M1007" s="1" t="str">
        <f t="shared" si="15"/>
        <v>Consistent</v>
      </c>
      <c r="N1007" s="1" t="str">
        <f>_xlfn.XLOOKUP(H1007, risk_score!A:A, risk_score!B:B, 0)</f>
        <v>Low Risk</v>
      </c>
    </row>
    <row r="1008" spans="1:14">
      <c r="A1008" s="2">
        <v>0.46665509259259258</v>
      </c>
      <c r="B1008" s="3">
        <v>44841</v>
      </c>
      <c r="C1008" s="1">
        <v>1220646142</v>
      </c>
      <c r="D1008" s="1">
        <v>8172080174</v>
      </c>
      <c r="E1008" s="1">
        <v>7759.82</v>
      </c>
      <c r="F1008" s="1" t="s">
        <v>28</v>
      </c>
      <c r="G1008" s="1" t="s">
        <v>12</v>
      </c>
      <c r="H1008" s="1" t="s">
        <v>57</v>
      </c>
      <c r="I1008" s="1" t="s">
        <v>13</v>
      </c>
      <c r="J1008" s="1" t="s">
        <v>18</v>
      </c>
      <c r="K1008" s="1">
        <v>0</v>
      </c>
      <c r="L1008" s="1" t="s">
        <v>23</v>
      </c>
      <c r="M1008" s="1" t="str">
        <f t="shared" si="15"/>
        <v>Potential Layering</v>
      </c>
      <c r="N1008" s="1" t="str">
        <f>_xlfn.XLOOKUP(H1008, risk_score!A:A, risk_score!B:B, 0)</f>
        <v>High Risk</v>
      </c>
    </row>
    <row r="1009" spans="1:14">
      <c r="A1009" s="2">
        <v>0.4667013888888889</v>
      </c>
      <c r="B1009" s="3">
        <v>44841</v>
      </c>
      <c r="C1009" s="1">
        <v>8694680183</v>
      </c>
      <c r="D1009" s="1">
        <v>7733136101</v>
      </c>
      <c r="E1009" s="1">
        <v>1203.01</v>
      </c>
      <c r="F1009" s="1" t="s">
        <v>12</v>
      </c>
      <c r="G1009" s="1" t="s">
        <v>12</v>
      </c>
      <c r="H1009" s="1" t="s">
        <v>13</v>
      </c>
      <c r="I1009" s="1" t="s">
        <v>13</v>
      </c>
      <c r="J1009" s="1" t="s">
        <v>22</v>
      </c>
      <c r="K1009" s="1">
        <v>0</v>
      </c>
      <c r="L1009" s="1" t="s">
        <v>21</v>
      </c>
      <c r="M1009" s="1" t="str">
        <f t="shared" si="15"/>
        <v>Consistent</v>
      </c>
      <c r="N1009" s="1" t="str">
        <f>_xlfn.XLOOKUP(H1009, risk_score!A:A, risk_score!B:B, 0)</f>
        <v>Low Risk</v>
      </c>
    </row>
    <row r="1010" spans="1:14">
      <c r="A1010" s="2">
        <v>0.4667013888888889</v>
      </c>
      <c r="B1010" s="3">
        <v>44841</v>
      </c>
      <c r="C1010" s="1">
        <v>544852282</v>
      </c>
      <c r="D1010" s="1">
        <v>4012599528</v>
      </c>
      <c r="E1010" s="1">
        <v>7095.39</v>
      </c>
      <c r="F1010" s="1" t="s">
        <v>12</v>
      </c>
      <c r="G1010" s="1" t="s">
        <v>12</v>
      </c>
      <c r="H1010" s="1" t="s">
        <v>13</v>
      </c>
      <c r="I1010" s="1" t="s">
        <v>13</v>
      </c>
      <c r="J1010" s="1" t="s">
        <v>22</v>
      </c>
      <c r="K1010" s="1">
        <v>0</v>
      </c>
      <c r="L1010" s="1" t="s">
        <v>21</v>
      </c>
      <c r="M1010" s="1" t="str">
        <f t="shared" si="15"/>
        <v>Consistent</v>
      </c>
      <c r="N1010" s="1" t="str">
        <f>_xlfn.XLOOKUP(H1010, risk_score!A:A, risk_score!B:B, 0)</f>
        <v>Low Risk</v>
      </c>
    </row>
    <row r="1011" spans="1:14">
      <c r="A1011" s="2">
        <v>0.46674768518518517</v>
      </c>
      <c r="B1011" s="3">
        <v>44841</v>
      </c>
      <c r="C1011" s="1">
        <v>6141403326</v>
      </c>
      <c r="D1011" s="1">
        <v>5103043844</v>
      </c>
      <c r="E1011" s="1">
        <v>4966.0600000000004</v>
      </c>
      <c r="F1011" s="1" t="s">
        <v>12</v>
      </c>
      <c r="G1011" s="1" t="s">
        <v>44</v>
      </c>
      <c r="H1011" s="1" t="s">
        <v>13</v>
      </c>
      <c r="I1011" s="1" t="s">
        <v>45</v>
      </c>
      <c r="J1011" s="1" t="s">
        <v>18</v>
      </c>
      <c r="K1011" s="1">
        <v>0</v>
      </c>
      <c r="L1011" s="1" t="s">
        <v>23</v>
      </c>
      <c r="M1011" s="1" t="str">
        <f t="shared" si="15"/>
        <v>Potential Layering</v>
      </c>
      <c r="N1011" s="1" t="str">
        <f>_xlfn.XLOOKUP(H1011, risk_score!A:A, risk_score!B:B, 0)</f>
        <v>Low Risk</v>
      </c>
    </row>
    <row r="1012" spans="1:14">
      <c r="A1012" s="2">
        <v>0.46680555555555553</v>
      </c>
      <c r="B1012" s="3">
        <v>44841</v>
      </c>
      <c r="C1012" s="1">
        <v>1374242794</v>
      </c>
      <c r="D1012" s="1">
        <v>8658528241</v>
      </c>
      <c r="E1012" s="1">
        <v>9141.73</v>
      </c>
      <c r="F1012" s="1" t="s">
        <v>12</v>
      </c>
      <c r="G1012" s="1" t="s">
        <v>12</v>
      </c>
      <c r="H1012" s="1" t="s">
        <v>13</v>
      </c>
      <c r="I1012" s="1" t="s">
        <v>13</v>
      </c>
      <c r="J1012" s="1" t="s">
        <v>25</v>
      </c>
      <c r="K1012" s="1">
        <v>0</v>
      </c>
      <c r="L1012" s="1" t="s">
        <v>21</v>
      </c>
      <c r="M1012" s="1" t="str">
        <f t="shared" si="15"/>
        <v>Consistent</v>
      </c>
      <c r="N1012" s="1" t="str">
        <f>_xlfn.XLOOKUP(H1012, risk_score!A:A, risk_score!B:B, 0)</f>
        <v>Low Risk</v>
      </c>
    </row>
    <row r="1013" spans="1:14">
      <c r="A1013" s="2">
        <v>0.46680555555555553</v>
      </c>
      <c r="B1013" s="3">
        <v>44841</v>
      </c>
      <c r="C1013" s="1">
        <v>328384744</v>
      </c>
      <c r="D1013" s="1">
        <v>1771641007</v>
      </c>
      <c r="E1013" s="1">
        <v>9455.77</v>
      </c>
      <c r="F1013" s="1" t="s">
        <v>12</v>
      </c>
      <c r="G1013" s="1" t="s">
        <v>12</v>
      </c>
      <c r="H1013" s="1" t="s">
        <v>13</v>
      </c>
      <c r="I1013" s="1" t="s">
        <v>13</v>
      </c>
      <c r="J1013" s="1" t="s">
        <v>22</v>
      </c>
      <c r="K1013" s="1">
        <v>0</v>
      </c>
      <c r="L1013" s="1" t="s">
        <v>21</v>
      </c>
      <c r="M1013" s="1" t="str">
        <f t="shared" si="15"/>
        <v>Consistent</v>
      </c>
      <c r="N1013" s="1" t="str">
        <f>_xlfn.XLOOKUP(H1013, risk_score!A:A, risk_score!B:B, 0)</f>
        <v>Low Risk</v>
      </c>
    </row>
    <row r="1014" spans="1:14">
      <c r="A1014" s="2">
        <v>0.46681712962962962</v>
      </c>
      <c r="B1014" s="3">
        <v>44841</v>
      </c>
      <c r="C1014" s="1">
        <v>4305368854</v>
      </c>
      <c r="D1014" s="1">
        <v>8126009332</v>
      </c>
      <c r="E1014" s="1">
        <v>47379.67</v>
      </c>
      <c r="F1014" s="1" t="s">
        <v>12</v>
      </c>
      <c r="G1014" s="1" t="s">
        <v>12</v>
      </c>
      <c r="H1014" s="1" t="s">
        <v>13</v>
      </c>
      <c r="I1014" s="1" t="s">
        <v>13</v>
      </c>
      <c r="J1014" s="1" t="s">
        <v>20</v>
      </c>
      <c r="K1014" s="1">
        <v>0</v>
      </c>
      <c r="L1014" s="1" t="s">
        <v>49</v>
      </c>
      <c r="M1014" s="1" t="str">
        <f t="shared" si="15"/>
        <v>Consistent</v>
      </c>
      <c r="N1014" s="1" t="str">
        <f>_xlfn.XLOOKUP(H1014, risk_score!A:A, risk_score!B:B, 0)</f>
        <v>Low Risk</v>
      </c>
    </row>
    <row r="1015" spans="1:14">
      <c r="A1015" s="2">
        <v>0.46684027777777776</v>
      </c>
      <c r="B1015" s="3">
        <v>44841</v>
      </c>
      <c r="C1015" s="1">
        <v>2365007895</v>
      </c>
      <c r="D1015" s="1">
        <v>2695185687</v>
      </c>
      <c r="E1015" s="1">
        <v>7981.01</v>
      </c>
      <c r="F1015" s="1" t="s">
        <v>12</v>
      </c>
      <c r="G1015" s="1" t="s">
        <v>12</v>
      </c>
      <c r="H1015" s="1" t="s">
        <v>13</v>
      </c>
      <c r="I1015" s="1" t="s">
        <v>13</v>
      </c>
      <c r="J1015" s="1" t="s">
        <v>22</v>
      </c>
      <c r="K1015" s="1">
        <v>0</v>
      </c>
      <c r="L1015" s="1" t="s">
        <v>19</v>
      </c>
      <c r="M1015" s="1" t="str">
        <f t="shared" si="15"/>
        <v>Consistent</v>
      </c>
      <c r="N1015" s="1" t="str">
        <f>_xlfn.XLOOKUP(H1015, risk_score!A:A, risk_score!B:B, 0)</f>
        <v>Low Risk</v>
      </c>
    </row>
    <row r="1016" spans="1:14">
      <c r="A1016" s="2">
        <v>0.46699074074074076</v>
      </c>
      <c r="B1016" s="3">
        <v>44841</v>
      </c>
      <c r="C1016" s="1">
        <v>1490260385</v>
      </c>
      <c r="D1016" s="1">
        <v>1377603863</v>
      </c>
      <c r="E1016" s="1">
        <v>7469.35</v>
      </c>
      <c r="F1016" s="1" t="s">
        <v>12</v>
      </c>
      <c r="G1016" s="1" t="s">
        <v>12</v>
      </c>
      <c r="H1016" s="1" t="s">
        <v>13</v>
      </c>
      <c r="I1016" s="1" t="s">
        <v>13</v>
      </c>
      <c r="J1016" s="1" t="s">
        <v>22</v>
      </c>
      <c r="K1016" s="1">
        <v>0</v>
      </c>
      <c r="L1016" s="1" t="s">
        <v>23</v>
      </c>
      <c r="M1016" s="1" t="str">
        <f t="shared" si="15"/>
        <v>Consistent</v>
      </c>
      <c r="N1016" s="1" t="str">
        <f>_xlfn.XLOOKUP(H1016, risk_score!A:A, risk_score!B:B, 0)</f>
        <v>Low Risk</v>
      </c>
    </row>
    <row r="1017" spans="1:14">
      <c r="A1017" s="2">
        <v>0.4670023148148148</v>
      </c>
      <c r="B1017" s="3">
        <v>44841</v>
      </c>
      <c r="C1017" s="1">
        <v>6972138581</v>
      </c>
      <c r="D1017" s="1">
        <v>1018744300</v>
      </c>
      <c r="E1017" s="1">
        <v>59.81</v>
      </c>
      <c r="F1017" s="1" t="s">
        <v>12</v>
      </c>
      <c r="G1017" s="1" t="s">
        <v>12</v>
      </c>
      <c r="H1017" s="1" t="s">
        <v>13</v>
      </c>
      <c r="I1017" s="1" t="s">
        <v>13</v>
      </c>
      <c r="J1017" s="1" t="s">
        <v>20</v>
      </c>
      <c r="K1017" s="1">
        <v>0</v>
      </c>
      <c r="L1017" s="1" t="s">
        <v>21</v>
      </c>
      <c r="M1017" s="1" t="str">
        <f t="shared" si="15"/>
        <v>Consistent</v>
      </c>
      <c r="N1017" s="1" t="str">
        <f>_xlfn.XLOOKUP(H1017, risk_score!A:A, risk_score!B:B, 0)</f>
        <v>Low Risk</v>
      </c>
    </row>
    <row r="1018" spans="1:14">
      <c r="A1018" s="2">
        <v>0.4670138888888889</v>
      </c>
      <c r="B1018" s="3">
        <v>44841</v>
      </c>
      <c r="C1018" s="1">
        <v>7758268667</v>
      </c>
      <c r="D1018" s="1">
        <v>4313894778</v>
      </c>
      <c r="E1018" s="1">
        <v>6617.37</v>
      </c>
      <c r="F1018" s="1" t="s">
        <v>12</v>
      </c>
      <c r="G1018" s="1" t="s">
        <v>12</v>
      </c>
      <c r="H1018" s="1" t="s">
        <v>13</v>
      </c>
      <c r="I1018" s="1" t="s">
        <v>13</v>
      </c>
      <c r="J1018" s="1" t="s">
        <v>22</v>
      </c>
      <c r="K1018" s="1">
        <v>0</v>
      </c>
      <c r="L1018" s="1" t="s">
        <v>19</v>
      </c>
      <c r="M1018" s="1" t="str">
        <f t="shared" si="15"/>
        <v>Consistent</v>
      </c>
      <c r="N1018" s="1" t="str">
        <f>_xlfn.XLOOKUP(H1018, risk_score!A:A, risk_score!B:B, 0)</f>
        <v>Low Risk</v>
      </c>
    </row>
    <row r="1019" spans="1:14">
      <c r="A1019" s="2">
        <v>0.4670138888888889</v>
      </c>
      <c r="B1019" s="3">
        <v>44841</v>
      </c>
      <c r="C1019" s="1">
        <v>6923804165</v>
      </c>
      <c r="D1019" s="1">
        <v>3765235312</v>
      </c>
      <c r="E1019" s="1">
        <v>2924.66</v>
      </c>
      <c r="F1019" s="1" t="s">
        <v>12</v>
      </c>
      <c r="G1019" s="1" t="s">
        <v>12</v>
      </c>
      <c r="H1019" s="1" t="s">
        <v>13</v>
      </c>
      <c r="I1019" s="1" t="s">
        <v>13</v>
      </c>
      <c r="J1019" s="1" t="s">
        <v>14</v>
      </c>
      <c r="K1019" s="1">
        <v>0</v>
      </c>
      <c r="L1019" s="1" t="s">
        <v>15</v>
      </c>
      <c r="M1019" s="1" t="str">
        <f t="shared" si="15"/>
        <v>Consistent</v>
      </c>
      <c r="N1019" s="1" t="str">
        <f>_xlfn.XLOOKUP(H1019, risk_score!A:A, risk_score!B:B, 0)</f>
        <v>Low Risk</v>
      </c>
    </row>
    <row r="1020" spans="1:14">
      <c r="A1020" s="2">
        <v>0.46710648148148148</v>
      </c>
      <c r="B1020" s="3">
        <v>44841</v>
      </c>
      <c r="C1020" s="1">
        <v>2206902878</v>
      </c>
      <c r="D1020" s="1">
        <v>5109623450</v>
      </c>
      <c r="E1020" s="1">
        <v>9850.16</v>
      </c>
      <c r="F1020" s="1" t="s">
        <v>12</v>
      </c>
      <c r="G1020" s="1" t="s">
        <v>12</v>
      </c>
      <c r="H1020" s="1" t="s">
        <v>13</v>
      </c>
      <c r="I1020" s="1" t="s">
        <v>13</v>
      </c>
      <c r="J1020" s="1" t="s">
        <v>20</v>
      </c>
      <c r="K1020" s="1">
        <v>0</v>
      </c>
      <c r="L1020" s="1" t="s">
        <v>23</v>
      </c>
      <c r="M1020" s="1" t="str">
        <f t="shared" si="15"/>
        <v>Consistent</v>
      </c>
      <c r="N1020" s="1" t="str">
        <f>_xlfn.XLOOKUP(H1020, risk_score!A:A, risk_score!B:B, 0)</f>
        <v>Low Risk</v>
      </c>
    </row>
    <row r="1021" spans="1:14">
      <c r="A1021" s="2">
        <v>0.46711805555555558</v>
      </c>
      <c r="B1021" s="3">
        <v>44841</v>
      </c>
      <c r="C1021" s="1">
        <v>1953954268</v>
      </c>
      <c r="D1021" s="1">
        <v>3449625647</v>
      </c>
      <c r="E1021" s="1">
        <v>5494.69</v>
      </c>
      <c r="F1021" s="1" t="s">
        <v>12</v>
      </c>
      <c r="G1021" s="1" t="s">
        <v>12</v>
      </c>
      <c r="H1021" s="1" t="s">
        <v>13</v>
      </c>
      <c r="I1021" s="1" t="s">
        <v>13</v>
      </c>
      <c r="J1021" s="1" t="s">
        <v>22</v>
      </c>
      <c r="K1021" s="1">
        <v>0</v>
      </c>
      <c r="L1021" s="1" t="s">
        <v>24</v>
      </c>
      <c r="M1021" s="1" t="str">
        <f t="shared" si="15"/>
        <v>Consistent</v>
      </c>
      <c r="N1021" s="1" t="str">
        <f>_xlfn.XLOOKUP(H1021, risk_score!A:A, risk_score!B:B, 0)</f>
        <v>Low Risk</v>
      </c>
    </row>
    <row r="1022" spans="1:14">
      <c r="A1022" s="2">
        <v>0.46715277777777775</v>
      </c>
      <c r="B1022" s="3">
        <v>44841</v>
      </c>
      <c r="C1022" s="1">
        <v>6404844146</v>
      </c>
      <c r="D1022" s="1">
        <v>5628674969</v>
      </c>
      <c r="E1022" s="1">
        <v>6634.66</v>
      </c>
      <c r="F1022" s="1" t="s">
        <v>12</v>
      </c>
      <c r="G1022" s="1" t="s">
        <v>12</v>
      </c>
      <c r="H1022" s="1" t="s">
        <v>13</v>
      </c>
      <c r="I1022" s="1" t="s">
        <v>13</v>
      </c>
      <c r="J1022" s="1" t="s">
        <v>25</v>
      </c>
      <c r="K1022" s="1">
        <v>0</v>
      </c>
      <c r="L1022" s="1" t="s">
        <v>23</v>
      </c>
      <c r="M1022" s="1" t="str">
        <f t="shared" si="15"/>
        <v>Consistent</v>
      </c>
      <c r="N1022" s="1" t="str">
        <f>_xlfn.XLOOKUP(H1022, risk_score!A:A, risk_score!B:B, 0)</f>
        <v>Low Risk</v>
      </c>
    </row>
    <row r="1023" spans="1:14">
      <c r="A1023" s="2">
        <v>0.46725694444444443</v>
      </c>
      <c r="B1023" s="3">
        <v>44841</v>
      </c>
      <c r="C1023" s="1">
        <v>8033812709</v>
      </c>
      <c r="D1023" s="1">
        <v>1233768601</v>
      </c>
      <c r="E1023" s="1">
        <v>7367.42</v>
      </c>
      <c r="F1023" s="1" t="s">
        <v>12</v>
      </c>
      <c r="G1023" s="1" t="s">
        <v>12</v>
      </c>
      <c r="H1023" s="1" t="s">
        <v>13</v>
      </c>
      <c r="I1023" s="1" t="s">
        <v>13</v>
      </c>
      <c r="J1023" s="1" t="s">
        <v>20</v>
      </c>
      <c r="K1023" s="1">
        <v>0</v>
      </c>
      <c r="L1023" s="1" t="s">
        <v>21</v>
      </c>
      <c r="M1023" s="1" t="str">
        <f t="shared" si="15"/>
        <v>Consistent</v>
      </c>
      <c r="N1023" s="1" t="str">
        <f>_xlfn.XLOOKUP(H1023, risk_score!A:A, risk_score!B:B, 0)</f>
        <v>Low Risk</v>
      </c>
    </row>
    <row r="1024" spans="1:14">
      <c r="A1024" s="2">
        <v>0.46726851851851853</v>
      </c>
      <c r="B1024" s="3">
        <v>44841</v>
      </c>
      <c r="C1024" s="1">
        <v>8987848252</v>
      </c>
      <c r="D1024" s="1">
        <v>4344045246</v>
      </c>
      <c r="E1024" s="1">
        <v>10024.19</v>
      </c>
      <c r="F1024" s="1" t="s">
        <v>12</v>
      </c>
      <c r="G1024" s="1" t="s">
        <v>46</v>
      </c>
      <c r="H1024" s="1" t="s">
        <v>13</v>
      </c>
      <c r="I1024" s="1" t="s">
        <v>47</v>
      </c>
      <c r="J1024" s="1" t="s">
        <v>18</v>
      </c>
      <c r="K1024" s="1">
        <v>0</v>
      </c>
      <c r="L1024" s="1" t="s">
        <v>19</v>
      </c>
      <c r="M1024" s="1" t="str">
        <f t="shared" si="15"/>
        <v>Potential Layering</v>
      </c>
      <c r="N1024" s="1" t="str">
        <f>_xlfn.XLOOKUP(H1024, risk_score!A:A, risk_score!B:B, 0)</f>
        <v>Low Risk</v>
      </c>
    </row>
    <row r="1025" spans="1:14">
      <c r="A1025" s="2">
        <v>0.46731481481481479</v>
      </c>
      <c r="B1025" s="3">
        <v>44841</v>
      </c>
      <c r="C1025" s="1">
        <v>8197302577</v>
      </c>
      <c r="D1025" s="1">
        <v>8365819134</v>
      </c>
      <c r="E1025" s="1">
        <v>6123.14</v>
      </c>
      <c r="F1025" s="1" t="s">
        <v>12</v>
      </c>
      <c r="G1025" s="1" t="s">
        <v>12</v>
      </c>
      <c r="H1025" s="1" t="s">
        <v>13</v>
      </c>
      <c r="I1025" s="1" t="s">
        <v>13</v>
      </c>
      <c r="J1025" s="1" t="s">
        <v>25</v>
      </c>
      <c r="K1025" s="1">
        <v>0</v>
      </c>
      <c r="L1025" s="1" t="s">
        <v>21</v>
      </c>
      <c r="M1025" s="1" t="str">
        <f t="shared" si="15"/>
        <v>Consistent</v>
      </c>
      <c r="N1025" s="1" t="str">
        <f>_xlfn.XLOOKUP(H1025, risk_score!A:A, risk_score!B:B, 0)</f>
        <v>Low Risk</v>
      </c>
    </row>
    <row r="1026" spans="1:14">
      <c r="A1026" s="2">
        <v>0.46733796296296298</v>
      </c>
      <c r="B1026" s="3">
        <v>44841</v>
      </c>
      <c r="C1026" s="1">
        <v>8413340671</v>
      </c>
      <c r="D1026" s="1">
        <v>2138505015</v>
      </c>
      <c r="E1026" s="1">
        <v>6689.59</v>
      </c>
      <c r="F1026" s="1" t="s">
        <v>12</v>
      </c>
      <c r="G1026" s="1" t="s">
        <v>16</v>
      </c>
      <c r="H1026" s="1" t="s">
        <v>13</v>
      </c>
      <c r="I1026" s="1" t="s">
        <v>17</v>
      </c>
      <c r="J1026" s="1" t="s">
        <v>18</v>
      </c>
      <c r="K1026" s="1">
        <v>0</v>
      </c>
      <c r="L1026" s="1" t="s">
        <v>23</v>
      </c>
      <c r="M1026" s="1" t="str">
        <f t="shared" si="15"/>
        <v>Potential Layering</v>
      </c>
      <c r="N1026" s="1" t="str">
        <f>_xlfn.XLOOKUP(H1026, risk_score!A:A, risk_score!B:B, 0)</f>
        <v>Low Risk</v>
      </c>
    </row>
    <row r="1027" spans="1:14">
      <c r="A1027" s="2">
        <v>0.46733796296296298</v>
      </c>
      <c r="B1027" s="3">
        <v>44841</v>
      </c>
      <c r="C1027" s="1">
        <v>6116657264</v>
      </c>
      <c r="D1027" s="1">
        <v>4551716885</v>
      </c>
      <c r="E1027" s="1">
        <v>9369.4599999999991</v>
      </c>
      <c r="F1027" s="1" t="s">
        <v>12</v>
      </c>
      <c r="G1027" s="1" t="s">
        <v>12</v>
      </c>
      <c r="H1027" s="1" t="s">
        <v>13</v>
      </c>
      <c r="I1027" s="1" t="s">
        <v>13</v>
      </c>
      <c r="J1027" s="1" t="s">
        <v>20</v>
      </c>
      <c r="K1027" s="1">
        <v>0</v>
      </c>
      <c r="L1027" s="1" t="s">
        <v>19</v>
      </c>
      <c r="M1027" s="1" t="str">
        <f t="shared" ref="M1027:M1090" si="16">IF(F1027=G1027, "Consistent", "Potential Layering")</f>
        <v>Consistent</v>
      </c>
      <c r="N1027" s="1" t="str">
        <f>_xlfn.XLOOKUP(H1027, risk_score!A:A, risk_score!B:B, 0)</f>
        <v>Low Risk</v>
      </c>
    </row>
    <row r="1028" spans="1:14">
      <c r="A1028" s="2">
        <v>0.46736111111111112</v>
      </c>
      <c r="B1028" s="3">
        <v>44841</v>
      </c>
      <c r="C1028" s="1">
        <v>4244137850</v>
      </c>
      <c r="D1028" s="1">
        <v>6491106472</v>
      </c>
      <c r="E1028" s="1">
        <v>998453.63</v>
      </c>
      <c r="F1028" s="1" t="s">
        <v>12</v>
      </c>
      <c r="G1028" s="1" t="s">
        <v>12</v>
      </c>
      <c r="H1028" s="1" t="s">
        <v>13</v>
      </c>
      <c r="I1028" s="1" t="s">
        <v>13</v>
      </c>
      <c r="J1028" s="1" t="s">
        <v>27</v>
      </c>
      <c r="K1028" s="1">
        <v>0</v>
      </c>
      <c r="L1028" s="1" t="s">
        <v>61</v>
      </c>
      <c r="M1028" s="1" t="str">
        <f t="shared" si="16"/>
        <v>Consistent</v>
      </c>
      <c r="N1028" s="1" t="str">
        <f>_xlfn.XLOOKUP(H1028, risk_score!A:A, risk_score!B:B, 0)</f>
        <v>Low Risk</v>
      </c>
    </row>
    <row r="1029" spans="1:14">
      <c r="A1029" s="2">
        <v>0.46736111111111112</v>
      </c>
      <c r="B1029" s="3">
        <v>44841</v>
      </c>
      <c r="C1029" s="1">
        <v>5982914936</v>
      </c>
      <c r="D1029" s="1">
        <v>6615626527</v>
      </c>
      <c r="E1029" s="1">
        <v>22304.23</v>
      </c>
      <c r="F1029" s="1" t="s">
        <v>12</v>
      </c>
      <c r="G1029" s="1" t="s">
        <v>12</v>
      </c>
      <c r="H1029" s="1" t="s">
        <v>13</v>
      </c>
      <c r="I1029" s="1" t="s">
        <v>13</v>
      </c>
      <c r="J1029" s="1" t="s">
        <v>22</v>
      </c>
      <c r="K1029" s="1">
        <v>0</v>
      </c>
      <c r="L1029" s="1" t="s">
        <v>19</v>
      </c>
      <c r="M1029" s="1" t="str">
        <f t="shared" si="16"/>
        <v>Consistent</v>
      </c>
      <c r="N1029" s="1" t="str">
        <f>_xlfn.XLOOKUP(H1029, risk_score!A:A, risk_score!B:B, 0)</f>
        <v>Low Risk</v>
      </c>
    </row>
    <row r="1030" spans="1:14">
      <c r="A1030" s="2">
        <v>0.46737268518518521</v>
      </c>
      <c r="B1030" s="3">
        <v>44841</v>
      </c>
      <c r="C1030" s="1">
        <v>9520717225</v>
      </c>
      <c r="D1030" s="1">
        <v>166463576</v>
      </c>
      <c r="E1030" s="1">
        <v>27855.54</v>
      </c>
      <c r="F1030" s="1" t="s">
        <v>12</v>
      </c>
      <c r="G1030" s="1" t="s">
        <v>12</v>
      </c>
      <c r="H1030" s="1" t="s">
        <v>13</v>
      </c>
      <c r="I1030" s="1" t="s">
        <v>13</v>
      </c>
      <c r="J1030" s="1" t="s">
        <v>27</v>
      </c>
      <c r="K1030" s="1">
        <v>0</v>
      </c>
      <c r="L1030" s="1" t="s">
        <v>21</v>
      </c>
      <c r="M1030" s="1" t="str">
        <f t="shared" si="16"/>
        <v>Consistent</v>
      </c>
      <c r="N1030" s="1" t="str">
        <f>_xlfn.XLOOKUP(H1030, risk_score!A:A, risk_score!B:B, 0)</f>
        <v>Low Risk</v>
      </c>
    </row>
    <row r="1031" spans="1:14">
      <c r="A1031" s="2">
        <v>0.46738425925925925</v>
      </c>
      <c r="B1031" s="3">
        <v>44841</v>
      </c>
      <c r="C1031" s="1">
        <v>4548707055</v>
      </c>
      <c r="D1031" s="1">
        <v>6601473562</v>
      </c>
      <c r="E1031" s="1">
        <v>5452.58</v>
      </c>
      <c r="F1031" s="1" t="s">
        <v>12</v>
      </c>
      <c r="G1031" s="1" t="s">
        <v>12</v>
      </c>
      <c r="H1031" s="1" t="s">
        <v>13</v>
      </c>
      <c r="I1031" s="1" t="s">
        <v>13</v>
      </c>
      <c r="J1031" s="1" t="s">
        <v>14</v>
      </c>
      <c r="K1031" s="1">
        <v>0</v>
      </c>
      <c r="L1031" s="1" t="s">
        <v>15</v>
      </c>
      <c r="M1031" s="1" t="str">
        <f t="shared" si="16"/>
        <v>Consistent</v>
      </c>
      <c r="N1031" s="1" t="str">
        <f>_xlfn.XLOOKUP(H1031, risk_score!A:A, risk_score!B:B, 0)</f>
        <v>Low Risk</v>
      </c>
    </row>
    <row r="1032" spans="1:14">
      <c r="A1032" s="2">
        <v>0.46738425925925925</v>
      </c>
      <c r="B1032" s="3">
        <v>44841</v>
      </c>
      <c r="C1032" s="1">
        <v>7671695099</v>
      </c>
      <c r="D1032" s="1">
        <v>5312740443</v>
      </c>
      <c r="E1032" s="1">
        <v>3071.63</v>
      </c>
      <c r="F1032" s="1" t="s">
        <v>12</v>
      </c>
      <c r="G1032" s="1" t="s">
        <v>12</v>
      </c>
      <c r="H1032" s="1" t="s">
        <v>13</v>
      </c>
      <c r="I1032" s="1" t="s">
        <v>13</v>
      </c>
      <c r="J1032" s="1" t="s">
        <v>25</v>
      </c>
      <c r="K1032" s="1">
        <v>0</v>
      </c>
      <c r="L1032" s="1" t="s">
        <v>21</v>
      </c>
      <c r="M1032" s="1" t="str">
        <f t="shared" si="16"/>
        <v>Consistent</v>
      </c>
      <c r="N1032" s="1" t="str">
        <f>_xlfn.XLOOKUP(H1032, risk_score!A:A, risk_score!B:B, 0)</f>
        <v>Low Risk</v>
      </c>
    </row>
    <row r="1033" spans="1:14">
      <c r="A1033" s="2">
        <v>0.46739583333333334</v>
      </c>
      <c r="B1033" s="3">
        <v>44841</v>
      </c>
      <c r="C1033" s="1">
        <v>1843365823</v>
      </c>
      <c r="D1033" s="1">
        <v>5466123934</v>
      </c>
      <c r="E1033" s="1">
        <v>9154.39</v>
      </c>
      <c r="F1033" s="1" t="s">
        <v>12</v>
      </c>
      <c r="G1033" s="1" t="s">
        <v>12</v>
      </c>
      <c r="H1033" s="1" t="s">
        <v>13</v>
      </c>
      <c r="I1033" s="1" t="s">
        <v>13</v>
      </c>
      <c r="J1033" s="1" t="s">
        <v>20</v>
      </c>
      <c r="K1033" s="1">
        <v>0</v>
      </c>
      <c r="L1033" s="1" t="s">
        <v>23</v>
      </c>
      <c r="M1033" s="1" t="str">
        <f t="shared" si="16"/>
        <v>Consistent</v>
      </c>
      <c r="N1033" s="1" t="str">
        <f>_xlfn.XLOOKUP(H1033, risk_score!A:A, risk_score!B:B, 0)</f>
        <v>Low Risk</v>
      </c>
    </row>
    <row r="1034" spans="1:14">
      <c r="A1034" s="2">
        <v>0.46740740740740738</v>
      </c>
      <c r="B1034" s="3">
        <v>44841</v>
      </c>
      <c r="C1034" s="1">
        <v>2969955007</v>
      </c>
      <c r="D1034" s="1">
        <v>3221983588</v>
      </c>
      <c r="E1034" s="1">
        <v>1156.92</v>
      </c>
      <c r="F1034" s="1" t="s">
        <v>12</v>
      </c>
      <c r="G1034" s="1" t="s">
        <v>12</v>
      </c>
      <c r="H1034" s="1" t="s">
        <v>13</v>
      </c>
      <c r="I1034" s="1" t="s">
        <v>13</v>
      </c>
      <c r="J1034" s="1" t="s">
        <v>22</v>
      </c>
      <c r="K1034" s="1">
        <v>0</v>
      </c>
      <c r="L1034" s="1" t="s">
        <v>24</v>
      </c>
      <c r="M1034" s="1" t="str">
        <f t="shared" si="16"/>
        <v>Consistent</v>
      </c>
      <c r="N1034" s="1" t="str">
        <f>_xlfn.XLOOKUP(H1034, risk_score!A:A, risk_score!B:B, 0)</f>
        <v>Low Risk</v>
      </c>
    </row>
    <row r="1035" spans="1:14">
      <c r="A1035" s="2">
        <v>0.46743055555555557</v>
      </c>
      <c r="B1035" s="3">
        <v>44841</v>
      </c>
      <c r="C1035" s="1">
        <v>4121324384</v>
      </c>
      <c r="D1035" s="1">
        <v>8135174919</v>
      </c>
      <c r="E1035" s="1">
        <v>10781.3</v>
      </c>
      <c r="F1035" s="1" t="s">
        <v>29</v>
      </c>
      <c r="G1035" s="1" t="s">
        <v>12</v>
      </c>
      <c r="H1035" s="1" t="s">
        <v>30</v>
      </c>
      <c r="I1035" s="1" t="s">
        <v>13</v>
      </c>
      <c r="J1035" s="1" t="s">
        <v>18</v>
      </c>
      <c r="K1035" s="1">
        <v>0</v>
      </c>
      <c r="L1035" s="1" t="s">
        <v>19</v>
      </c>
      <c r="M1035" s="1" t="str">
        <f t="shared" si="16"/>
        <v>Potential Layering</v>
      </c>
      <c r="N1035" s="1" t="str">
        <f>_xlfn.XLOOKUP(H1035, risk_score!A:A, risk_score!B:B, 0)</f>
        <v>Low Risk</v>
      </c>
    </row>
    <row r="1036" spans="1:14">
      <c r="A1036" s="2">
        <v>0.4674537037037037</v>
      </c>
      <c r="B1036" s="3">
        <v>44841</v>
      </c>
      <c r="C1036" s="1">
        <v>5021785800</v>
      </c>
      <c r="D1036" s="1">
        <v>9745680135</v>
      </c>
      <c r="E1036" s="1">
        <v>12703.36</v>
      </c>
      <c r="F1036" s="1" t="s">
        <v>12</v>
      </c>
      <c r="G1036" s="1" t="s">
        <v>51</v>
      </c>
      <c r="H1036" s="1" t="s">
        <v>13</v>
      </c>
      <c r="I1036" s="1" t="s">
        <v>52</v>
      </c>
      <c r="J1036" s="1" t="s">
        <v>18</v>
      </c>
      <c r="K1036" s="1">
        <v>0</v>
      </c>
      <c r="L1036" s="1" t="s">
        <v>19</v>
      </c>
      <c r="M1036" s="1" t="str">
        <f t="shared" si="16"/>
        <v>Potential Layering</v>
      </c>
      <c r="N1036" s="1" t="str">
        <f>_xlfn.XLOOKUP(H1036, risk_score!A:A, risk_score!B:B, 0)</f>
        <v>Low Risk</v>
      </c>
    </row>
    <row r="1037" spans="1:14">
      <c r="A1037" s="2">
        <v>0.4674652777777778</v>
      </c>
      <c r="B1037" s="3">
        <v>44841</v>
      </c>
      <c r="C1037" s="1">
        <v>8775795941</v>
      </c>
      <c r="D1037" s="1">
        <v>5735522529</v>
      </c>
      <c r="E1037" s="1">
        <v>321.91000000000003</v>
      </c>
      <c r="F1037" s="1" t="s">
        <v>12</v>
      </c>
      <c r="G1037" s="1" t="s">
        <v>12</v>
      </c>
      <c r="H1037" s="1" t="s">
        <v>13</v>
      </c>
      <c r="I1037" s="1" t="s">
        <v>13</v>
      </c>
      <c r="J1037" s="1" t="s">
        <v>22</v>
      </c>
      <c r="K1037" s="1">
        <v>0</v>
      </c>
      <c r="L1037" s="1" t="s">
        <v>21</v>
      </c>
      <c r="M1037" s="1" t="str">
        <f t="shared" si="16"/>
        <v>Consistent</v>
      </c>
      <c r="N1037" s="1" t="str">
        <f>_xlfn.XLOOKUP(H1037, risk_score!A:A, risk_score!B:B, 0)</f>
        <v>Low Risk</v>
      </c>
    </row>
    <row r="1038" spans="1:14">
      <c r="A1038" s="2">
        <v>0.46752314814814816</v>
      </c>
      <c r="B1038" s="3">
        <v>44841</v>
      </c>
      <c r="C1038" s="1">
        <v>2667904128</v>
      </c>
      <c r="D1038" s="1">
        <v>444750223</v>
      </c>
      <c r="E1038" s="1">
        <v>8351.66</v>
      </c>
      <c r="F1038" s="1" t="s">
        <v>12</v>
      </c>
      <c r="G1038" s="1" t="s">
        <v>12</v>
      </c>
      <c r="H1038" s="1" t="s">
        <v>13</v>
      </c>
      <c r="I1038" s="1" t="s">
        <v>13</v>
      </c>
      <c r="J1038" s="1" t="s">
        <v>27</v>
      </c>
      <c r="K1038" s="1">
        <v>0</v>
      </c>
      <c r="L1038" s="1" t="s">
        <v>24</v>
      </c>
      <c r="M1038" s="1" t="str">
        <f t="shared" si="16"/>
        <v>Consistent</v>
      </c>
      <c r="N1038" s="1" t="str">
        <f>_xlfn.XLOOKUP(H1038, risk_score!A:A, risk_score!B:B, 0)</f>
        <v>Low Risk</v>
      </c>
    </row>
    <row r="1039" spans="1:14">
      <c r="A1039" s="2">
        <v>0.46754629629629629</v>
      </c>
      <c r="B1039" s="3">
        <v>44841</v>
      </c>
      <c r="C1039" s="1">
        <v>1915450576</v>
      </c>
      <c r="D1039" s="1">
        <v>3772874052</v>
      </c>
      <c r="E1039" s="1">
        <v>11173.36</v>
      </c>
      <c r="F1039" s="1" t="s">
        <v>12</v>
      </c>
      <c r="G1039" s="1" t="s">
        <v>42</v>
      </c>
      <c r="H1039" s="1" t="s">
        <v>13</v>
      </c>
      <c r="I1039" s="1" t="s">
        <v>43</v>
      </c>
      <c r="J1039" s="1" t="s">
        <v>18</v>
      </c>
      <c r="K1039" s="1">
        <v>0</v>
      </c>
      <c r="L1039" s="1" t="s">
        <v>19</v>
      </c>
      <c r="M1039" s="1" t="str">
        <f t="shared" si="16"/>
        <v>Potential Layering</v>
      </c>
      <c r="N1039" s="1" t="str">
        <f>_xlfn.XLOOKUP(H1039, risk_score!A:A, risk_score!B:B, 0)</f>
        <v>Low Risk</v>
      </c>
    </row>
    <row r="1040" spans="1:14">
      <c r="A1040" s="2">
        <v>0.46756944444444443</v>
      </c>
      <c r="B1040" s="3">
        <v>44841</v>
      </c>
      <c r="C1040" s="1">
        <v>6904668523</v>
      </c>
      <c r="D1040" s="1">
        <v>2055564858</v>
      </c>
      <c r="E1040" s="1">
        <v>4407.8500000000004</v>
      </c>
      <c r="F1040" s="1" t="s">
        <v>12</v>
      </c>
      <c r="G1040" s="1" t="s">
        <v>12</v>
      </c>
      <c r="H1040" s="1" t="s">
        <v>13</v>
      </c>
      <c r="I1040" s="1" t="s">
        <v>13</v>
      </c>
      <c r="J1040" s="1" t="s">
        <v>20</v>
      </c>
      <c r="K1040" s="1">
        <v>0</v>
      </c>
      <c r="L1040" s="1" t="s">
        <v>19</v>
      </c>
      <c r="M1040" s="1" t="str">
        <f t="shared" si="16"/>
        <v>Consistent</v>
      </c>
      <c r="N1040" s="1" t="str">
        <f>_xlfn.XLOOKUP(H1040, risk_score!A:A, risk_score!B:B, 0)</f>
        <v>Low Risk</v>
      </c>
    </row>
    <row r="1041" spans="1:14">
      <c r="A1041" s="2">
        <v>0.46761574074074075</v>
      </c>
      <c r="B1041" s="3">
        <v>44841</v>
      </c>
      <c r="C1041" s="1">
        <v>2040906068</v>
      </c>
      <c r="D1041" s="1">
        <v>7357970931</v>
      </c>
      <c r="E1041" s="1">
        <v>37.799999999999997</v>
      </c>
      <c r="F1041" s="1" t="s">
        <v>12</v>
      </c>
      <c r="G1041" s="1" t="s">
        <v>12</v>
      </c>
      <c r="H1041" s="1" t="s">
        <v>13</v>
      </c>
      <c r="I1041" s="1" t="s">
        <v>13</v>
      </c>
      <c r="J1041" s="1" t="s">
        <v>36</v>
      </c>
      <c r="K1041" s="1">
        <v>0</v>
      </c>
      <c r="L1041" s="1" t="s">
        <v>37</v>
      </c>
      <c r="M1041" s="1" t="str">
        <f t="shared" si="16"/>
        <v>Consistent</v>
      </c>
      <c r="N1041" s="1" t="str">
        <f>_xlfn.XLOOKUP(H1041, risk_score!A:A, risk_score!B:B, 0)</f>
        <v>Low Risk</v>
      </c>
    </row>
    <row r="1042" spans="1:14">
      <c r="A1042" s="2">
        <v>0.46762731481481479</v>
      </c>
      <c r="B1042" s="3">
        <v>44841</v>
      </c>
      <c r="C1042" s="1">
        <v>1290703625</v>
      </c>
      <c r="D1042" s="1">
        <v>7764825563</v>
      </c>
      <c r="E1042" s="1">
        <v>7205.61</v>
      </c>
      <c r="F1042" s="1" t="s">
        <v>12</v>
      </c>
      <c r="G1042" s="1" t="s">
        <v>12</v>
      </c>
      <c r="H1042" s="1" t="s">
        <v>13</v>
      </c>
      <c r="I1042" s="1" t="s">
        <v>13</v>
      </c>
      <c r="J1042" s="1" t="s">
        <v>27</v>
      </c>
      <c r="K1042" s="1">
        <v>0</v>
      </c>
      <c r="L1042" s="1" t="s">
        <v>21</v>
      </c>
      <c r="M1042" s="1" t="str">
        <f t="shared" si="16"/>
        <v>Consistent</v>
      </c>
      <c r="N1042" s="1" t="str">
        <f>_xlfn.XLOOKUP(H1042, risk_score!A:A, risk_score!B:B, 0)</f>
        <v>Low Risk</v>
      </c>
    </row>
    <row r="1043" spans="1:14">
      <c r="A1043" s="2">
        <v>0.46763888888888888</v>
      </c>
      <c r="B1043" s="3">
        <v>44841</v>
      </c>
      <c r="C1043" s="1">
        <v>9460711215</v>
      </c>
      <c r="D1043" s="1">
        <v>8352571580</v>
      </c>
      <c r="E1043" s="1">
        <v>5857.02</v>
      </c>
      <c r="F1043" s="1" t="s">
        <v>12</v>
      </c>
      <c r="G1043" s="1" t="s">
        <v>12</v>
      </c>
      <c r="H1043" s="1" t="s">
        <v>13</v>
      </c>
      <c r="I1043" s="1" t="s">
        <v>13</v>
      </c>
      <c r="J1043" s="1" t="s">
        <v>25</v>
      </c>
      <c r="K1043" s="1">
        <v>0</v>
      </c>
      <c r="L1043" s="1" t="s">
        <v>23</v>
      </c>
      <c r="M1043" s="1" t="str">
        <f t="shared" si="16"/>
        <v>Consistent</v>
      </c>
      <c r="N1043" s="1" t="str">
        <f>_xlfn.XLOOKUP(H1043, risk_score!A:A, risk_score!B:B, 0)</f>
        <v>Low Risk</v>
      </c>
    </row>
    <row r="1044" spans="1:14">
      <c r="A1044" s="2">
        <v>0.46765046296296298</v>
      </c>
      <c r="B1044" s="3">
        <v>44841</v>
      </c>
      <c r="C1044" s="1">
        <v>3452368468</v>
      </c>
      <c r="D1044" s="1">
        <v>5517479211</v>
      </c>
      <c r="E1044" s="1">
        <v>13467.44</v>
      </c>
      <c r="F1044" s="1" t="s">
        <v>12</v>
      </c>
      <c r="G1044" s="1" t="s">
        <v>12</v>
      </c>
      <c r="H1044" s="1" t="s">
        <v>13</v>
      </c>
      <c r="I1044" s="1" t="s">
        <v>13</v>
      </c>
      <c r="J1044" s="1" t="s">
        <v>27</v>
      </c>
      <c r="K1044" s="1">
        <v>0</v>
      </c>
      <c r="L1044" s="1" t="s">
        <v>19</v>
      </c>
      <c r="M1044" s="1" t="str">
        <f t="shared" si="16"/>
        <v>Consistent</v>
      </c>
      <c r="N1044" s="1" t="str">
        <f>_xlfn.XLOOKUP(H1044, risk_score!A:A, risk_score!B:B, 0)</f>
        <v>Low Risk</v>
      </c>
    </row>
    <row r="1045" spans="1:14">
      <c r="A1045" s="2">
        <v>0.46765046296296298</v>
      </c>
      <c r="B1045" s="3">
        <v>44841</v>
      </c>
      <c r="C1045" s="1">
        <v>5881364295</v>
      </c>
      <c r="D1045" s="1">
        <v>5466123934</v>
      </c>
      <c r="E1045" s="1">
        <v>7486.2</v>
      </c>
      <c r="F1045" s="1" t="s">
        <v>12</v>
      </c>
      <c r="G1045" s="1" t="s">
        <v>12</v>
      </c>
      <c r="H1045" s="1" t="s">
        <v>13</v>
      </c>
      <c r="I1045" s="1" t="s">
        <v>13</v>
      </c>
      <c r="J1045" s="1" t="s">
        <v>22</v>
      </c>
      <c r="K1045" s="1">
        <v>0</v>
      </c>
      <c r="L1045" s="1" t="s">
        <v>23</v>
      </c>
      <c r="M1045" s="1" t="str">
        <f t="shared" si="16"/>
        <v>Consistent</v>
      </c>
      <c r="N1045" s="1" t="str">
        <f>_xlfn.XLOOKUP(H1045, risk_score!A:A, risk_score!B:B, 0)</f>
        <v>Low Risk</v>
      </c>
    </row>
    <row r="1046" spans="1:14">
      <c r="A1046" s="2">
        <v>0.46770833333333334</v>
      </c>
      <c r="B1046" s="3">
        <v>44841</v>
      </c>
      <c r="C1046" s="1">
        <v>5042064131</v>
      </c>
      <c r="D1046" s="1">
        <v>5628674969</v>
      </c>
      <c r="E1046" s="1">
        <v>5522.27</v>
      </c>
      <c r="F1046" s="1" t="s">
        <v>12</v>
      </c>
      <c r="G1046" s="1" t="s">
        <v>12</v>
      </c>
      <c r="H1046" s="1" t="s">
        <v>13</v>
      </c>
      <c r="I1046" s="1" t="s">
        <v>13</v>
      </c>
      <c r="J1046" s="1" t="s">
        <v>27</v>
      </c>
      <c r="K1046" s="1">
        <v>0</v>
      </c>
      <c r="L1046" s="1" t="s">
        <v>23</v>
      </c>
      <c r="M1046" s="1" t="str">
        <f t="shared" si="16"/>
        <v>Consistent</v>
      </c>
      <c r="N1046" s="1" t="str">
        <f>_xlfn.XLOOKUP(H1046, risk_score!A:A, risk_score!B:B, 0)</f>
        <v>Low Risk</v>
      </c>
    </row>
    <row r="1047" spans="1:14">
      <c r="A1047" s="2">
        <v>0.46774305555555556</v>
      </c>
      <c r="B1047" s="3">
        <v>44841</v>
      </c>
      <c r="C1047" s="1">
        <v>5498237402</v>
      </c>
      <c r="D1047" s="1">
        <v>3724841177</v>
      </c>
      <c r="E1047" s="1">
        <v>16750.3</v>
      </c>
      <c r="F1047" s="1" t="s">
        <v>12</v>
      </c>
      <c r="G1047" s="1" t="s">
        <v>12</v>
      </c>
      <c r="H1047" s="1" t="s">
        <v>13</v>
      </c>
      <c r="I1047" s="1" t="s">
        <v>13</v>
      </c>
      <c r="J1047" s="1" t="s">
        <v>25</v>
      </c>
      <c r="K1047" s="1">
        <v>0</v>
      </c>
      <c r="L1047" s="1" t="s">
        <v>21</v>
      </c>
      <c r="M1047" s="1" t="str">
        <f t="shared" si="16"/>
        <v>Consistent</v>
      </c>
      <c r="N1047" s="1" t="str">
        <f>_xlfn.XLOOKUP(H1047, risk_score!A:A, risk_score!B:B, 0)</f>
        <v>Low Risk</v>
      </c>
    </row>
    <row r="1048" spans="1:14">
      <c r="A1048" s="2">
        <v>0.4677546296296296</v>
      </c>
      <c r="B1048" s="3">
        <v>44841</v>
      </c>
      <c r="C1048" s="1">
        <v>7421451752</v>
      </c>
      <c r="D1048" s="1">
        <v>3557538160</v>
      </c>
      <c r="E1048" s="1">
        <v>4277.92</v>
      </c>
      <c r="F1048" s="1" t="s">
        <v>12</v>
      </c>
      <c r="G1048" s="1" t="s">
        <v>12</v>
      </c>
      <c r="H1048" s="1" t="s">
        <v>13</v>
      </c>
      <c r="I1048" s="1" t="s">
        <v>13</v>
      </c>
      <c r="J1048" s="1" t="s">
        <v>25</v>
      </c>
      <c r="K1048" s="1">
        <v>0</v>
      </c>
      <c r="L1048" s="1" t="s">
        <v>19</v>
      </c>
      <c r="M1048" s="1" t="str">
        <f t="shared" si="16"/>
        <v>Consistent</v>
      </c>
      <c r="N1048" s="1" t="str">
        <f>_xlfn.XLOOKUP(H1048, risk_score!A:A, risk_score!B:B, 0)</f>
        <v>Low Risk</v>
      </c>
    </row>
    <row r="1049" spans="1:14">
      <c r="A1049" s="2">
        <v>0.46778935185185183</v>
      </c>
      <c r="B1049" s="3">
        <v>44841</v>
      </c>
      <c r="C1049" s="1">
        <v>8713878179</v>
      </c>
      <c r="D1049" s="1">
        <v>6855935396</v>
      </c>
      <c r="E1049" s="1">
        <v>8401.77</v>
      </c>
      <c r="F1049" s="1" t="s">
        <v>12</v>
      </c>
      <c r="G1049" s="1" t="s">
        <v>12</v>
      </c>
      <c r="H1049" s="1" t="s">
        <v>13</v>
      </c>
      <c r="I1049" s="1" t="s">
        <v>13</v>
      </c>
      <c r="J1049" s="1" t="s">
        <v>25</v>
      </c>
      <c r="K1049" s="1">
        <v>0</v>
      </c>
      <c r="L1049" s="1" t="s">
        <v>23</v>
      </c>
      <c r="M1049" s="1" t="str">
        <f t="shared" si="16"/>
        <v>Consistent</v>
      </c>
      <c r="N1049" s="1" t="str">
        <f>_xlfn.XLOOKUP(H1049, risk_score!A:A, risk_score!B:B, 0)</f>
        <v>Low Risk</v>
      </c>
    </row>
    <row r="1050" spans="1:14">
      <c r="A1050" s="2">
        <v>0.46778935185185183</v>
      </c>
      <c r="B1050" s="3">
        <v>44841</v>
      </c>
      <c r="C1050" s="1">
        <v>2365007895</v>
      </c>
      <c r="D1050" s="1">
        <v>7142479189</v>
      </c>
      <c r="E1050" s="1">
        <v>24477.15</v>
      </c>
      <c r="F1050" s="1" t="s">
        <v>12</v>
      </c>
      <c r="G1050" s="1" t="s">
        <v>12</v>
      </c>
      <c r="H1050" s="1" t="s">
        <v>13</v>
      </c>
      <c r="I1050" s="1" t="s">
        <v>13</v>
      </c>
      <c r="J1050" s="1" t="s">
        <v>22</v>
      </c>
      <c r="K1050" s="1">
        <v>0</v>
      </c>
      <c r="L1050" s="1" t="s">
        <v>19</v>
      </c>
      <c r="M1050" s="1" t="str">
        <f t="shared" si="16"/>
        <v>Consistent</v>
      </c>
      <c r="N1050" s="1" t="str">
        <f>_xlfn.XLOOKUP(H1050, risk_score!A:A, risk_score!B:B, 0)</f>
        <v>Low Risk</v>
      </c>
    </row>
    <row r="1051" spans="1:14">
      <c r="A1051" s="2">
        <v>0.46780092592592593</v>
      </c>
      <c r="B1051" s="3">
        <v>44841</v>
      </c>
      <c r="C1051" s="1">
        <v>675669049</v>
      </c>
      <c r="D1051" s="1">
        <v>6705037126</v>
      </c>
      <c r="E1051" s="1">
        <v>10964.74</v>
      </c>
      <c r="F1051" s="1" t="s">
        <v>12</v>
      </c>
      <c r="G1051" s="1" t="s">
        <v>12</v>
      </c>
      <c r="H1051" s="1" t="s">
        <v>13</v>
      </c>
      <c r="I1051" s="1" t="s">
        <v>13</v>
      </c>
      <c r="J1051" s="1" t="s">
        <v>25</v>
      </c>
      <c r="K1051" s="1">
        <v>0</v>
      </c>
      <c r="L1051" s="1" t="s">
        <v>19</v>
      </c>
      <c r="M1051" s="1" t="str">
        <f t="shared" si="16"/>
        <v>Consistent</v>
      </c>
      <c r="N1051" s="1" t="str">
        <f>_xlfn.XLOOKUP(H1051, risk_score!A:A, risk_score!B:B, 0)</f>
        <v>Low Risk</v>
      </c>
    </row>
    <row r="1052" spans="1:14">
      <c r="A1052" s="2">
        <v>0.46780092592592593</v>
      </c>
      <c r="B1052" s="3">
        <v>44841</v>
      </c>
      <c r="C1052" s="1">
        <v>5021785800</v>
      </c>
      <c r="D1052" s="1">
        <v>3167188969</v>
      </c>
      <c r="E1052" s="1">
        <v>5652.02</v>
      </c>
      <c r="F1052" s="1" t="s">
        <v>12</v>
      </c>
      <c r="G1052" s="1" t="s">
        <v>12</v>
      </c>
      <c r="H1052" s="1" t="s">
        <v>13</v>
      </c>
      <c r="I1052" s="1" t="s">
        <v>13</v>
      </c>
      <c r="J1052" s="1" t="s">
        <v>27</v>
      </c>
      <c r="K1052" s="1">
        <v>0</v>
      </c>
      <c r="L1052" s="1" t="s">
        <v>19</v>
      </c>
      <c r="M1052" s="1" t="str">
        <f t="shared" si="16"/>
        <v>Consistent</v>
      </c>
      <c r="N1052" s="1" t="str">
        <f>_xlfn.XLOOKUP(H1052, risk_score!A:A, risk_score!B:B, 0)</f>
        <v>Low Risk</v>
      </c>
    </row>
    <row r="1053" spans="1:14">
      <c r="A1053" s="2">
        <v>0.46785879629629629</v>
      </c>
      <c r="B1053" s="3">
        <v>44841</v>
      </c>
      <c r="C1053" s="1">
        <v>1025527300</v>
      </c>
      <c r="D1053" s="1">
        <v>9729451408</v>
      </c>
      <c r="E1053" s="1">
        <v>11232.99</v>
      </c>
      <c r="F1053" s="1" t="s">
        <v>12</v>
      </c>
      <c r="G1053" s="1" t="s">
        <v>12</v>
      </c>
      <c r="H1053" s="1" t="s">
        <v>13</v>
      </c>
      <c r="I1053" s="1" t="s">
        <v>13</v>
      </c>
      <c r="J1053" s="1" t="s">
        <v>27</v>
      </c>
      <c r="K1053" s="1">
        <v>0</v>
      </c>
      <c r="L1053" s="1" t="s">
        <v>24</v>
      </c>
      <c r="M1053" s="1" t="str">
        <f t="shared" si="16"/>
        <v>Consistent</v>
      </c>
      <c r="N1053" s="1" t="str">
        <f>_xlfn.XLOOKUP(H1053, risk_score!A:A, risk_score!B:B, 0)</f>
        <v>Low Risk</v>
      </c>
    </row>
    <row r="1054" spans="1:14">
      <c r="A1054" s="2">
        <v>0.46789351851851851</v>
      </c>
      <c r="B1054" s="3">
        <v>44841</v>
      </c>
      <c r="C1054" s="1">
        <v>3293686547</v>
      </c>
      <c r="D1054" s="1">
        <v>3637796552</v>
      </c>
      <c r="E1054" s="1">
        <v>725.32</v>
      </c>
      <c r="F1054" s="1" t="s">
        <v>12</v>
      </c>
      <c r="G1054" s="1" t="s">
        <v>12</v>
      </c>
      <c r="H1054" s="1" t="s">
        <v>13</v>
      </c>
      <c r="I1054" s="1" t="s">
        <v>13</v>
      </c>
      <c r="J1054" s="1" t="s">
        <v>27</v>
      </c>
      <c r="K1054" s="1">
        <v>0</v>
      </c>
      <c r="L1054" s="1" t="s">
        <v>21</v>
      </c>
      <c r="M1054" s="1" t="str">
        <f t="shared" si="16"/>
        <v>Consistent</v>
      </c>
      <c r="N1054" s="1" t="str">
        <f>_xlfn.XLOOKUP(H1054, risk_score!A:A, risk_score!B:B, 0)</f>
        <v>Low Risk</v>
      </c>
    </row>
    <row r="1055" spans="1:14">
      <c r="A1055" s="2">
        <v>0.46789351851851851</v>
      </c>
      <c r="B1055" s="3">
        <v>44841</v>
      </c>
      <c r="C1055" s="1">
        <v>2446822729</v>
      </c>
      <c r="D1055" s="1">
        <v>5708936901</v>
      </c>
      <c r="E1055" s="1">
        <v>5017.46</v>
      </c>
      <c r="F1055" s="1" t="s">
        <v>12</v>
      </c>
      <c r="G1055" s="1" t="s">
        <v>12</v>
      </c>
      <c r="H1055" s="1" t="s">
        <v>13</v>
      </c>
      <c r="I1055" s="1" t="s">
        <v>13</v>
      </c>
      <c r="J1055" s="1" t="s">
        <v>22</v>
      </c>
      <c r="K1055" s="1">
        <v>0</v>
      </c>
      <c r="L1055" s="1" t="s">
        <v>23</v>
      </c>
      <c r="M1055" s="1" t="str">
        <f t="shared" si="16"/>
        <v>Consistent</v>
      </c>
      <c r="N1055" s="1" t="str">
        <f>_xlfn.XLOOKUP(H1055, risk_score!A:A, risk_score!B:B, 0)</f>
        <v>Low Risk</v>
      </c>
    </row>
    <row r="1056" spans="1:14">
      <c r="A1056" s="2">
        <v>0.46790509259259261</v>
      </c>
      <c r="B1056" s="3">
        <v>44841</v>
      </c>
      <c r="C1056" s="1">
        <v>3933129163</v>
      </c>
      <c r="D1056" s="1">
        <v>8247392100</v>
      </c>
      <c r="E1056" s="1">
        <v>3205.85</v>
      </c>
      <c r="F1056" s="1" t="s">
        <v>12</v>
      </c>
      <c r="G1056" s="1" t="s">
        <v>12</v>
      </c>
      <c r="H1056" s="1" t="s">
        <v>13</v>
      </c>
      <c r="I1056" s="1" t="s">
        <v>13</v>
      </c>
      <c r="J1056" s="1" t="s">
        <v>27</v>
      </c>
      <c r="K1056" s="1">
        <v>0</v>
      </c>
      <c r="L1056" s="1" t="s">
        <v>24</v>
      </c>
      <c r="M1056" s="1" t="str">
        <f t="shared" si="16"/>
        <v>Consistent</v>
      </c>
      <c r="N1056" s="1" t="str">
        <f>_xlfn.XLOOKUP(H1056, risk_score!A:A, risk_score!B:B, 0)</f>
        <v>Low Risk</v>
      </c>
    </row>
    <row r="1057" spans="1:14">
      <c r="A1057" s="2">
        <v>0.46793981481481484</v>
      </c>
      <c r="B1057" s="3">
        <v>44841</v>
      </c>
      <c r="C1057" s="1">
        <v>9021870555</v>
      </c>
      <c r="D1057" s="1">
        <v>3695545812</v>
      </c>
      <c r="E1057" s="1">
        <v>6029.34</v>
      </c>
      <c r="F1057" s="1" t="s">
        <v>12</v>
      </c>
      <c r="G1057" s="1" t="s">
        <v>12</v>
      </c>
      <c r="H1057" s="1" t="s">
        <v>13</v>
      </c>
      <c r="I1057" s="1" t="s">
        <v>13</v>
      </c>
      <c r="J1057" s="1" t="s">
        <v>20</v>
      </c>
      <c r="K1057" s="1">
        <v>0</v>
      </c>
      <c r="L1057" s="1" t="s">
        <v>23</v>
      </c>
      <c r="M1057" s="1" t="str">
        <f t="shared" si="16"/>
        <v>Consistent</v>
      </c>
      <c r="N1057" s="1" t="str">
        <f>_xlfn.XLOOKUP(H1057, risk_score!A:A, risk_score!B:B, 0)</f>
        <v>Low Risk</v>
      </c>
    </row>
    <row r="1058" spans="1:14">
      <c r="A1058" s="2">
        <v>0.46797453703703706</v>
      </c>
      <c r="B1058" s="3">
        <v>44841</v>
      </c>
      <c r="C1058" s="1">
        <v>5982914936</v>
      </c>
      <c r="D1058" s="1">
        <v>7629589738</v>
      </c>
      <c r="E1058" s="1">
        <v>5671.45</v>
      </c>
      <c r="F1058" s="1" t="s">
        <v>12</v>
      </c>
      <c r="G1058" s="1" t="s">
        <v>12</v>
      </c>
      <c r="H1058" s="1" t="s">
        <v>13</v>
      </c>
      <c r="I1058" s="1" t="s">
        <v>13</v>
      </c>
      <c r="J1058" s="1" t="s">
        <v>25</v>
      </c>
      <c r="K1058" s="1">
        <v>0</v>
      </c>
      <c r="L1058" s="1" t="s">
        <v>19</v>
      </c>
      <c r="M1058" s="1" t="str">
        <f t="shared" si="16"/>
        <v>Consistent</v>
      </c>
      <c r="N1058" s="1" t="str">
        <f>_xlfn.XLOOKUP(H1058, risk_score!A:A, risk_score!B:B, 0)</f>
        <v>Low Risk</v>
      </c>
    </row>
    <row r="1059" spans="1:14">
      <c r="A1059" s="2">
        <v>0.4679976851851852</v>
      </c>
      <c r="B1059" s="3">
        <v>44841</v>
      </c>
      <c r="C1059" s="1">
        <v>675669049</v>
      </c>
      <c r="D1059" s="1">
        <v>4348868412</v>
      </c>
      <c r="E1059" s="1">
        <v>7285.9</v>
      </c>
      <c r="F1059" s="1" t="s">
        <v>12</v>
      </c>
      <c r="G1059" s="1" t="s">
        <v>12</v>
      </c>
      <c r="H1059" s="1" t="s">
        <v>13</v>
      </c>
      <c r="I1059" s="1" t="s">
        <v>13</v>
      </c>
      <c r="J1059" s="1" t="s">
        <v>20</v>
      </c>
      <c r="K1059" s="1">
        <v>0</v>
      </c>
      <c r="L1059" s="1" t="s">
        <v>19</v>
      </c>
      <c r="M1059" s="1" t="str">
        <f t="shared" si="16"/>
        <v>Consistent</v>
      </c>
      <c r="N1059" s="1" t="str">
        <f>_xlfn.XLOOKUP(H1059, risk_score!A:A, risk_score!B:B, 0)</f>
        <v>Low Risk</v>
      </c>
    </row>
    <row r="1060" spans="1:14">
      <c r="A1060" s="2">
        <v>0.46800925925925924</v>
      </c>
      <c r="B1060" s="3">
        <v>44841</v>
      </c>
      <c r="C1060" s="1">
        <v>2365007895</v>
      </c>
      <c r="D1060" s="1">
        <v>9797294707</v>
      </c>
      <c r="E1060" s="1">
        <v>8940.51</v>
      </c>
      <c r="F1060" s="1" t="s">
        <v>12</v>
      </c>
      <c r="G1060" s="1" t="s">
        <v>12</v>
      </c>
      <c r="H1060" s="1" t="s">
        <v>13</v>
      </c>
      <c r="I1060" s="1" t="s">
        <v>13</v>
      </c>
      <c r="J1060" s="1" t="s">
        <v>25</v>
      </c>
      <c r="K1060" s="1">
        <v>0</v>
      </c>
      <c r="L1060" s="1" t="s">
        <v>19</v>
      </c>
      <c r="M1060" s="1" t="str">
        <f t="shared" si="16"/>
        <v>Consistent</v>
      </c>
      <c r="N1060" s="1" t="str">
        <f>_xlfn.XLOOKUP(H1060, risk_score!A:A, risk_score!B:B, 0)</f>
        <v>Low Risk</v>
      </c>
    </row>
    <row r="1061" spans="1:14">
      <c r="A1061" s="2">
        <v>0.46802083333333333</v>
      </c>
      <c r="B1061" s="3">
        <v>44841</v>
      </c>
      <c r="C1061" s="1">
        <v>3871712319</v>
      </c>
      <c r="D1061" s="1">
        <v>6289259988</v>
      </c>
      <c r="E1061" s="1">
        <v>1503.64</v>
      </c>
      <c r="F1061" s="1" t="s">
        <v>12</v>
      </c>
      <c r="G1061" s="1" t="s">
        <v>12</v>
      </c>
      <c r="H1061" s="1" t="s">
        <v>13</v>
      </c>
      <c r="I1061" s="1" t="s">
        <v>13</v>
      </c>
      <c r="J1061" s="1" t="s">
        <v>22</v>
      </c>
      <c r="K1061" s="1">
        <v>0</v>
      </c>
      <c r="L1061" s="1" t="s">
        <v>21</v>
      </c>
      <c r="M1061" s="1" t="str">
        <f t="shared" si="16"/>
        <v>Consistent</v>
      </c>
      <c r="N1061" s="1" t="str">
        <f>_xlfn.XLOOKUP(H1061, risk_score!A:A, risk_score!B:B, 0)</f>
        <v>Low Risk</v>
      </c>
    </row>
    <row r="1062" spans="1:14">
      <c r="A1062" s="2">
        <v>0.46803240740740742</v>
      </c>
      <c r="B1062" s="3">
        <v>44841</v>
      </c>
      <c r="C1062" s="1">
        <v>4584388496</v>
      </c>
      <c r="D1062" s="1">
        <v>621060264</v>
      </c>
      <c r="E1062" s="1">
        <v>6841.29</v>
      </c>
      <c r="F1062" s="1" t="s">
        <v>12</v>
      </c>
      <c r="G1062" s="1" t="s">
        <v>12</v>
      </c>
      <c r="H1062" s="1" t="s">
        <v>13</v>
      </c>
      <c r="I1062" s="1" t="s">
        <v>13</v>
      </c>
      <c r="J1062" s="1" t="s">
        <v>27</v>
      </c>
      <c r="K1062" s="1">
        <v>0</v>
      </c>
      <c r="L1062" s="1" t="s">
        <v>23</v>
      </c>
      <c r="M1062" s="1" t="str">
        <f t="shared" si="16"/>
        <v>Consistent</v>
      </c>
      <c r="N1062" s="1" t="str">
        <f>_xlfn.XLOOKUP(H1062, risk_score!A:A, risk_score!B:B, 0)</f>
        <v>Low Risk</v>
      </c>
    </row>
    <row r="1063" spans="1:14">
      <c r="A1063" s="2">
        <v>0.46803240740740742</v>
      </c>
      <c r="B1063" s="3">
        <v>44841</v>
      </c>
      <c r="C1063" s="1">
        <v>815197860</v>
      </c>
      <c r="D1063" s="1">
        <v>1786927494</v>
      </c>
      <c r="E1063" s="1">
        <v>15615.19</v>
      </c>
      <c r="F1063" s="1" t="s">
        <v>12</v>
      </c>
      <c r="G1063" s="1" t="s">
        <v>12</v>
      </c>
      <c r="H1063" s="1" t="s">
        <v>13</v>
      </c>
      <c r="I1063" s="1" t="s">
        <v>13</v>
      </c>
      <c r="J1063" s="1" t="s">
        <v>20</v>
      </c>
      <c r="K1063" s="1">
        <v>0</v>
      </c>
      <c r="L1063" s="1" t="s">
        <v>21</v>
      </c>
      <c r="M1063" s="1" t="str">
        <f t="shared" si="16"/>
        <v>Consistent</v>
      </c>
      <c r="N1063" s="1" t="str">
        <f>_xlfn.XLOOKUP(H1063, risk_score!A:A, risk_score!B:B, 0)</f>
        <v>Low Risk</v>
      </c>
    </row>
    <row r="1064" spans="1:14">
      <c r="A1064" s="2">
        <v>0.46804398148148146</v>
      </c>
      <c r="B1064" s="3">
        <v>44841</v>
      </c>
      <c r="C1064" s="1">
        <v>907425485</v>
      </c>
      <c r="D1064" s="1">
        <v>4125306791</v>
      </c>
      <c r="E1064" s="1">
        <v>708.92</v>
      </c>
      <c r="F1064" s="1" t="s">
        <v>12</v>
      </c>
      <c r="G1064" s="1" t="s">
        <v>12</v>
      </c>
      <c r="H1064" s="1" t="s">
        <v>13</v>
      </c>
      <c r="I1064" s="1" t="s">
        <v>13</v>
      </c>
      <c r="J1064" s="1" t="s">
        <v>20</v>
      </c>
      <c r="K1064" s="1">
        <v>0</v>
      </c>
      <c r="L1064" s="1" t="s">
        <v>21</v>
      </c>
      <c r="M1064" s="1" t="str">
        <f t="shared" si="16"/>
        <v>Consistent</v>
      </c>
      <c r="N1064" s="1" t="str">
        <f>_xlfn.XLOOKUP(H1064, risk_score!A:A, risk_score!B:B, 0)</f>
        <v>Low Risk</v>
      </c>
    </row>
    <row r="1065" spans="1:14">
      <c r="A1065" s="2">
        <v>0.46804398148148146</v>
      </c>
      <c r="B1065" s="3">
        <v>44841</v>
      </c>
      <c r="C1065" s="1">
        <v>1378784400</v>
      </c>
      <c r="D1065" s="1">
        <v>5224271258</v>
      </c>
      <c r="E1065" s="1">
        <v>17067.84</v>
      </c>
      <c r="F1065" s="1" t="s">
        <v>12</v>
      </c>
      <c r="G1065" s="1" t="s">
        <v>12</v>
      </c>
      <c r="H1065" s="1" t="s">
        <v>13</v>
      </c>
      <c r="I1065" s="1" t="s">
        <v>13</v>
      </c>
      <c r="J1065" s="1" t="s">
        <v>20</v>
      </c>
      <c r="K1065" s="1">
        <v>0</v>
      </c>
      <c r="L1065" s="1" t="s">
        <v>19</v>
      </c>
      <c r="M1065" s="1" t="str">
        <f t="shared" si="16"/>
        <v>Consistent</v>
      </c>
      <c r="N1065" s="1" t="str">
        <f>_xlfn.XLOOKUP(H1065, risk_score!A:A, risk_score!B:B, 0)</f>
        <v>Low Risk</v>
      </c>
    </row>
    <row r="1066" spans="1:14">
      <c r="A1066" s="2">
        <v>0.46806712962962965</v>
      </c>
      <c r="B1066" s="3">
        <v>44841</v>
      </c>
      <c r="C1066" s="1">
        <v>7758268667</v>
      </c>
      <c r="D1066" s="1">
        <v>9940921949</v>
      </c>
      <c r="E1066" s="1">
        <v>9079.43</v>
      </c>
      <c r="F1066" s="1" t="s">
        <v>12</v>
      </c>
      <c r="G1066" s="1" t="s">
        <v>12</v>
      </c>
      <c r="H1066" s="1" t="s">
        <v>13</v>
      </c>
      <c r="I1066" s="1" t="s">
        <v>13</v>
      </c>
      <c r="J1066" s="1" t="s">
        <v>20</v>
      </c>
      <c r="K1066" s="1">
        <v>0</v>
      </c>
      <c r="L1066" s="1" t="s">
        <v>19</v>
      </c>
      <c r="M1066" s="1" t="str">
        <f t="shared" si="16"/>
        <v>Consistent</v>
      </c>
      <c r="N1066" s="1" t="str">
        <f>_xlfn.XLOOKUP(H1066, risk_score!A:A, risk_score!B:B, 0)</f>
        <v>Low Risk</v>
      </c>
    </row>
    <row r="1067" spans="1:14">
      <c r="A1067" s="2">
        <v>0.46809027777777779</v>
      </c>
      <c r="B1067" s="3">
        <v>44841</v>
      </c>
      <c r="C1067" s="1">
        <v>4228895512</v>
      </c>
      <c r="D1067" s="1">
        <v>5457238392</v>
      </c>
      <c r="E1067" s="1">
        <v>132.88</v>
      </c>
      <c r="F1067" s="1" t="s">
        <v>12</v>
      </c>
      <c r="G1067" s="1" t="s">
        <v>12</v>
      </c>
      <c r="H1067" s="1" t="s">
        <v>13</v>
      </c>
      <c r="I1067" s="1" t="s">
        <v>13</v>
      </c>
      <c r="J1067" s="1" t="s">
        <v>36</v>
      </c>
      <c r="K1067" s="1">
        <v>0</v>
      </c>
      <c r="L1067" s="1" t="s">
        <v>37</v>
      </c>
      <c r="M1067" s="1" t="str">
        <f t="shared" si="16"/>
        <v>Consistent</v>
      </c>
      <c r="N1067" s="1" t="str">
        <f>_xlfn.XLOOKUP(H1067, risk_score!A:A, risk_score!B:B, 0)</f>
        <v>Low Risk</v>
      </c>
    </row>
    <row r="1068" spans="1:14">
      <c r="A1068" s="2">
        <v>0.46813657407407405</v>
      </c>
      <c r="B1068" s="3">
        <v>44841</v>
      </c>
      <c r="C1068" s="1">
        <v>1998445733</v>
      </c>
      <c r="D1068" s="1">
        <v>2454620686</v>
      </c>
      <c r="E1068" s="1">
        <v>897.19</v>
      </c>
      <c r="F1068" s="1" t="s">
        <v>12</v>
      </c>
      <c r="G1068" s="1" t="s">
        <v>12</v>
      </c>
      <c r="H1068" s="1" t="s">
        <v>13</v>
      </c>
      <c r="I1068" s="1" t="s">
        <v>13</v>
      </c>
      <c r="J1068" s="1" t="s">
        <v>20</v>
      </c>
      <c r="K1068" s="1">
        <v>0</v>
      </c>
      <c r="L1068" s="1" t="s">
        <v>21</v>
      </c>
      <c r="M1068" s="1" t="str">
        <f t="shared" si="16"/>
        <v>Consistent</v>
      </c>
      <c r="N1068" s="1" t="str">
        <f>_xlfn.XLOOKUP(H1068, risk_score!A:A, risk_score!B:B, 0)</f>
        <v>Low Risk</v>
      </c>
    </row>
    <row r="1069" spans="1:14">
      <c r="A1069" s="2">
        <v>0.46813657407407405</v>
      </c>
      <c r="B1069" s="3">
        <v>44841</v>
      </c>
      <c r="C1069" s="1">
        <v>2009014329</v>
      </c>
      <c r="D1069" s="1">
        <v>1785963713</v>
      </c>
      <c r="E1069" s="1">
        <v>3493.89</v>
      </c>
      <c r="F1069" s="1" t="s">
        <v>12</v>
      </c>
      <c r="G1069" s="1" t="s">
        <v>12</v>
      </c>
      <c r="H1069" s="1" t="s">
        <v>13</v>
      </c>
      <c r="I1069" s="1" t="s">
        <v>13</v>
      </c>
      <c r="J1069" s="1" t="s">
        <v>20</v>
      </c>
      <c r="K1069" s="1">
        <v>0</v>
      </c>
      <c r="L1069" s="1" t="s">
        <v>21</v>
      </c>
      <c r="M1069" s="1" t="str">
        <f t="shared" si="16"/>
        <v>Consistent</v>
      </c>
      <c r="N1069" s="1" t="str">
        <f>_xlfn.XLOOKUP(H1069, risk_score!A:A, risk_score!B:B, 0)</f>
        <v>Low Risk</v>
      </c>
    </row>
    <row r="1070" spans="1:14">
      <c r="A1070" s="2">
        <v>0.46814814814814815</v>
      </c>
      <c r="B1070" s="3">
        <v>44841</v>
      </c>
      <c r="C1070" s="1">
        <v>5399789604</v>
      </c>
      <c r="D1070" s="1">
        <v>6476585772</v>
      </c>
      <c r="E1070" s="1">
        <v>2502.46</v>
      </c>
      <c r="F1070" s="1" t="s">
        <v>12</v>
      </c>
      <c r="G1070" s="1" t="s">
        <v>12</v>
      </c>
      <c r="H1070" s="1" t="s">
        <v>13</v>
      </c>
      <c r="I1070" s="1" t="s">
        <v>13</v>
      </c>
      <c r="J1070" s="1" t="s">
        <v>14</v>
      </c>
      <c r="K1070" s="1">
        <v>0</v>
      </c>
      <c r="L1070" s="1" t="s">
        <v>15</v>
      </c>
      <c r="M1070" s="1" t="str">
        <f t="shared" si="16"/>
        <v>Consistent</v>
      </c>
      <c r="N1070" s="1" t="str">
        <f>_xlfn.XLOOKUP(H1070, risk_score!A:A, risk_score!B:B, 0)</f>
        <v>Low Risk</v>
      </c>
    </row>
    <row r="1071" spans="1:14">
      <c r="A1071" s="2">
        <v>0.46815972222222224</v>
      </c>
      <c r="B1071" s="3">
        <v>44841</v>
      </c>
      <c r="C1071" s="1">
        <v>5557880033</v>
      </c>
      <c r="D1071" s="1">
        <v>399407811</v>
      </c>
      <c r="E1071" s="1">
        <v>1835.76</v>
      </c>
      <c r="F1071" s="1" t="s">
        <v>12</v>
      </c>
      <c r="G1071" s="1" t="s">
        <v>12</v>
      </c>
      <c r="H1071" s="1" t="s">
        <v>13</v>
      </c>
      <c r="I1071" s="1" t="s">
        <v>13</v>
      </c>
      <c r="J1071" s="1" t="s">
        <v>20</v>
      </c>
      <c r="K1071" s="1">
        <v>0</v>
      </c>
      <c r="L1071" s="1" t="s">
        <v>21</v>
      </c>
      <c r="M1071" s="1" t="str">
        <f t="shared" si="16"/>
        <v>Consistent</v>
      </c>
      <c r="N1071" s="1" t="str">
        <f>_xlfn.XLOOKUP(H1071, risk_score!A:A, risk_score!B:B, 0)</f>
        <v>Low Risk</v>
      </c>
    </row>
    <row r="1072" spans="1:14">
      <c r="A1072" s="2">
        <v>0.46817129629629628</v>
      </c>
      <c r="B1072" s="3">
        <v>44841</v>
      </c>
      <c r="C1072" s="1">
        <v>7160736915</v>
      </c>
      <c r="D1072" s="1">
        <v>7738246427</v>
      </c>
      <c r="E1072" s="1">
        <v>2777.32</v>
      </c>
      <c r="F1072" s="1" t="s">
        <v>12</v>
      </c>
      <c r="G1072" s="1" t="s">
        <v>12</v>
      </c>
      <c r="H1072" s="1" t="s">
        <v>13</v>
      </c>
      <c r="I1072" s="1" t="s">
        <v>13</v>
      </c>
      <c r="J1072" s="1" t="s">
        <v>27</v>
      </c>
      <c r="K1072" s="1">
        <v>0</v>
      </c>
      <c r="L1072" s="1" t="s">
        <v>21</v>
      </c>
      <c r="M1072" s="1" t="str">
        <f t="shared" si="16"/>
        <v>Consistent</v>
      </c>
      <c r="N1072" s="1" t="str">
        <f>_xlfn.XLOOKUP(H1072, risk_score!A:A, risk_score!B:B, 0)</f>
        <v>Low Risk</v>
      </c>
    </row>
    <row r="1073" spans="1:14">
      <c r="A1073" s="2">
        <v>0.46819444444444447</v>
      </c>
      <c r="B1073" s="3">
        <v>44841</v>
      </c>
      <c r="C1073" s="1">
        <v>2711608236</v>
      </c>
      <c r="D1073" s="1">
        <v>8985341710</v>
      </c>
      <c r="E1073" s="1">
        <v>979.89</v>
      </c>
      <c r="F1073" s="1" t="s">
        <v>12</v>
      </c>
      <c r="G1073" s="1" t="s">
        <v>12</v>
      </c>
      <c r="H1073" s="1" t="s">
        <v>13</v>
      </c>
      <c r="I1073" s="1" t="s">
        <v>13</v>
      </c>
      <c r="J1073" s="1" t="s">
        <v>25</v>
      </c>
      <c r="K1073" s="1">
        <v>0</v>
      </c>
      <c r="L1073" s="1" t="s">
        <v>21</v>
      </c>
      <c r="M1073" s="1" t="str">
        <f t="shared" si="16"/>
        <v>Consistent</v>
      </c>
      <c r="N1073" s="1" t="str">
        <f>_xlfn.XLOOKUP(H1073, risk_score!A:A, risk_score!B:B, 0)</f>
        <v>Low Risk</v>
      </c>
    </row>
    <row r="1074" spans="1:14">
      <c r="A1074" s="2">
        <v>0.4682175925925926</v>
      </c>
      <c r="B1074" s="3">
        <v>44841</v>
      </c>
      <c r="C1074" s="1">
        <v>1378784400</v>
      </c>
      <c r="D1074" s="1">
        <v>9278521151</v>
      </c>
      <c r="E1074" s="1">
        <v>6887.36</v>
      </c>
      <c r="F1074" s="1" t="s">
        <v>12</v>
      </c>
      <c r="G1074" s="1" t="s">
        <v>12</v>
      </c>
      <c r="H1074" s="1" t="s">
        <v>13</v>
      </c>
      <c r="I1074" s="1" t="s">
        <v>13</v>
      </c>
      <c r="J1074" s="1" t="s">
        <v>25</v>
      </c>
      <c r="K1074" s="1">
        <v>0</v>
      </c>
      <c r="L1074" s="1" t="s">
        <v>19</v>
      </c>
      <c r="M1074" s="1" t="str">
        <f t="shared" si="16"/>
        <v>Consistent</v>
      </c>
      <c r="N1074" s="1" t="str">
        <f>_xlfn.XLOOKUP(H1074, risk_score!A:A, risk_score!B:B, 0)</f>
        <v>Low Risk</v>
      </c>
    </row>
    <row r="1075" spans="1:14">
      <c r="A1075" s="2">
        <v>0.46822916666666664</v>
      </c>
      <c r="B1075" s="3">
        <v>44841</v>
      </c>
      <c r="C1075" s="1">
        <v>1779161997</v>
      </c>
      <c r="D1075" s="1">
        <v>9972129920</v>
      </c>
      <c r="E1075" s="1">
        <v>825.71</v>
      </c>
      <c r="F1075" s="1" t="s">
        <v>12</v>
      </c>
      <c r="G1075" s="1" t="s">
        <v>12</v>
      </c>
      <c r="H1075" s="1" t="s">
        <v>13</v>
      </c>
      <c r="I1075" s="1" t="s">
        <v>13</v>
      </c>
      <c r="J1075" s="1" t="s">
        <v>27</v>
      </c>
      <c r="K1075" s="1">
        <v>0</v>
      </c>
      <c r="L1075" s="1" t="s">
        <v>21</v>
      </c>
      <c r="M1075" s="1" t="str">
        <f t="shared" si="16"/>
        <v>Consistent</v>
      </c>
      <c r="N1075" s="1" t="str">
        <f>_xlfn.XLOOKUP(H1075, risk_score!A:A, risk_score!B:B, 0)</f>
        <v>Low Risk</v>
      </c>
    </row>
    <row r="1076" spans="1:14">
      <c r="A1076" s="2">
        <v>0.46824074074074074</v>
      </c>
      <c r="B1076" s="3">
        <v>44841</v>
      </c>
      <c r="C1076" s="1">
        <v>7501327339</v>
      </c>
      <c r="D1076" s="1">
        <v>3230579354</v>
      </c>
      <c r="E1076" s="1">
        <v>11179.46</v>
      </c>
      <c r="F1076" s="1" t="s">
        <v>12</v>
      </c>
      <c r="G1076" s="1" t="s">
        <v>12</v>
      </c>
      <c r="H1076" s="1" t="s">
        <v>13</v>
      </c>
      <c r="I1076" s="1" t="s">
        <v>13</v>
      </c>
      <c r="J1076" s="1" t="s">
        <v>20</v>
      </c>
      <c r="K1076" s="1">
        <v>0</v>
      </c>
      <c r="L1076" s="1" t="s">
        <v>19</v>
      </c>
      <c r="M1076" s="1" t="str">
        <f t="shared" si="16"/>
        <v>Consistent</v>
      </c>
      <c r="N1076" s="1" t="str">
        <f>_xlfn.XLOOKUP(H1076, risk_score!A:A, risk_score!B:B, 0)</f>
        <v>Low Risk</v>
      </c>
    </row>
    <row r="1077" spans="1:14">
      <c r="A1077" s="2">
        <v>0.46826388888888887</v>
      </c>
      <c r="B1077" s="3">
        <v>44841</v>
      </c>
      <c r="C1077" s="1">
        <v>2312005653</v>
      </c>
      <c r="D1077" s="1">
        <v>7400128597</v>
      </c>
      <c r="E1077" s="1">
        <v>9614.2900000000009</v>
      </c>
      <c r="F1077" s="1" t="s">
        <v>12</v>
      </c>
      <c r="G1077" s="1" t="s">
        <v>12</v>
      </c>
      <c r="H1077" s="1" t="s">
        <v>13</v>
      </c>
      <c r="I1077" s="1" t="s">
        <v>13</v>
      </c>
      <c r="J1077" s="1" t="s">
        <v>25</v>
      </c>
      <c r="K1077" s="1">
        <v>0</v>
      </c>
      <c r="L1077" s="1" t="s">
        <v>21</v>
      </c>
      <c r="M1077" s="1" t="str">
        <f t="shared" si="16"/>
        <v>Consistent</v>
      </c>
      <c r="N1077" s="1" t="str">
        <f>_xlfn.XLOOKUP(H1077, risk_score!A:A, risk_score!B:B, 0)</f>
        <v>Low Risk</v>
      </c>
    </row>
    <row r="1078" spans="1:14">
      <c r="A1078" s="2">
        <v>0.46840277777777778</v>
      </c>
      <c r="B1078" s="3">
        <v>44841</v>
      </c>
      <c r="C1078" s="1">
        <v>3098762122</v>
      </c>
      <c r="D1078" s="1">
        <v>398142807</v>
      </c>
      <c r="E1078" s="1">
        <v>122.3</v>
      </c>
      <c r="F1078" s="1" t="s">
        <v>12</v>
      </c>
      <c r="G1078" s="1" t="s">
        <v>12</v>
      </c>
      <c r="H1078" s="1" t="s">
        <v>13</v>
      </c>
      <c r="I1078" s="1" t="s">
        <v>13</v>
      </c>
      <c r="J1078" s="1" t="s">
        <v>36</v>
      </c>
      <c r="K1078" s="1">
        <v>0</v>
      </c>
      <c r="L1078" s="1" t="s">
        <v>37</v>
      </c>
      <c r="M1078" s="1" t="str">
        <f t="shared" si="16"/>
        <v>Consistent</v>
      </c>
      <c r="N1078" s="1" t="str">
        <f>_xlfn.XLOOKUP(H1078, risk_score!A:A, risk_score!B:B, 0)</f>
        <v>Low Risk</v>
      </c>
    </row>
    <row r="1079" spans="1:14">
      <c r="A1079" s="2">
        <v>0.46840277777777778</v>
      </c>
      <c r="B1079" s="3">
        <v>44841</v>
      </c>
      <c r="C1079" s="1">
        <v>6090011316</v>
      </c>
      <c r="D1079" s="1">
        <v>1228571638</v>
      </c>
      <c r="E1079" s="1">
        <v>679.34</v>
      </c>
      <c r="F1079" s="1" t="s">
        <v>12</v>
      </c>
      <c r="G1079" s="1" t="s">
        <v>12</v>
      </c>
      <c r="H1079" s="1" t="s">
        <v>13</v>
      </c>
      <c r="I1079" s="1" t="s">
        <v>13</v>
      </c>
      <c r="J1079" s="1" t="s">
        <v>27</v>
      </c>
      <c r="K1079" s="1">
        <v>0</v>
      </c>
      <c r="L1079" s="1" t="s">
        <v>21</v>
      </c>
      <c r="M1079" s="1" t="str">
        <f t="shared" si="16"/>
        <v>Consistent</v>
      </c>
      <c r="N1079" s="1" t="str">
        <f>_xlfn.XLOOKUP(H1079, risk_score!A:A, risk_score!B:B, 0)</f>
        <v>Low Risk</v>
      </c>
    </row>
    <row r="1080" spans="1:14">
      <c r="A1080" s="2">
        <v>0.4684490740740741</v>
      </c>
      <c r="B1080" s="3">
        <v>44841</v>
      </c>
      <c r="C1080" s="1">
        <v>4834180279</v>
      </c>
      <c r="D1080" s="1">
        <v>2582312191</v>
      </c>
      <c r="E1080" s="1">
        <v>1473.24</v>
      </c>
      <c r="F1080" s="1" t="s">
        <v>12</v>
      </c>
      <c r="G1080" s="1" t="s">
        <v>12</v>
      </c>
      <c r="H1080" s="1" t="s">
        <v>13</v>
      </c>
      <c r="I1080" s="1" t="s">
        <v>13</v>
      </c>
      <c r="J1080" s="1" t="s">
        <v>22</v>
      </c>
      <c r="K1080" s="1">
        <v>0</v>
      </c>
      <c r="L1080" s="1" t="s">
        <v>21</v>
      </c>
      <c r="M1080" s="1" t="str">
        <f t="shared" si="16"/>
        <v>Consistent</v>
      </c>
      <c r="N1080" s="1" t="str">
        <f>_xlfn.XLOOKUP(H1080, risk_score!A:A, risk_score!B:B, 0)</f>
        <v>Low Risk</v>
      </c>
    </row>
    <row r="1081" spans="1:14">
      <c r="A1081" s="2">
        <v>0.46850694444444446</v>
      </c>
      <c r="B1081" s="3">
        <v>44841</v>
      </c>
      <c r="C1081" s="1">
        <v>2698592594</v>
      </c>
      <c r="D1081" s="1">
        <v>3695545812</v>
      </c>
      <c r="E1081" s="1">
        <v>4594.26</v>
      </c>
      <c r="F1081" s="1" t="s">
        <v>12</v>
      </c>
      <c r="G1081" s="1" t="s">
        <v>12</v>
      </c>
      <c r="H1081" s="1" t="s">
        <v>13</v>
      </c>
      <c r="I1081" s="1" t="s">
        <v>13</v>
      </c>
      <c r="J1081" s="1" t="s">
        <v>22</v>
      </c>
      <c r="K1081" s="1">
        <v>0</v>
      </c>
      <c r="L1081" s="1" t="s">
        <v>23</v>
      </c>
      <c r="M1081" s="1" t="str">
        <f t="shared" si="16"/>
        <v>Consistent</v>
      </c>
      <c r="N1081" s="1" t="str">
        <f>_xlfn.XLOOKUP(H1081, risk_score!A:A, risk_score!B:B, 0)</f>
        <v>Low Risk</v>
      </c>
    </row>
    <row r="1082" spans="1:14">
      <c r="A1082" s="2">
        <v>0.4685300925925926</v>
      </c>
      <c r="B1082" s="3">
        <v>44841</v>
      </c>
      <c r="C1082" s="1">
        <v>6126968725</v>
      </c>
      <c r="D1082" s="1">
        <v>8264808687</v>
      </c>
      <c r="E1082" s="1">
        <v>2677.84</v>
      </c>
      <c r="F1082" s="1" t="s">
        <v>12</v>
      </c>
      <c r="G1082" s="1" t="s">
        <v>12</v>
      </c>
      <c r="H1082" s="1" t="s">
        <v>13</v>
      </c>
      <c r="I1082" s="1" t="s">
        <v>13</v>
      </c>
      <c r="J1082" s="1" t="s">
        <v>20</v>
      </c>
      <c r="K1082" s="1">
        <v>0</v>
      </c>
      <c r="L1082" s="1" t="s">
        <v>21</v>
      </c>
      <c r="M1082" s="1" t="str">
        <f t="shared" si="16"/>
        <v>Consistent</v>
      </c>
      <c r="N1082" s="1" t="str">
        <f>_xlfn.XLOOKUP(H1082, risk_score!A:A, risk_score!B:B, 0)</f>
        <v>Low Risk</v>
      </c>
    </row>
    <row r="1083" spans="1:14">
      <c r="A1083" s="2">
        <v>0.46856481481481482</v>
      </c>
      <c r="B1083" s="3">
        <v>44841</v>
      </c>
      <c r="C1083" s="1">
        <v>127154492</v>
      </c>
      <c r="D1083" s="1">
        <v>5103043844</v>
      </c>
      <c r="E1083" s="1">
        <v>5048.04</v>
      </c>
      <c r="F1083" s="1" t="s">
        <v>12</v>
      </c>
      <c r="G1083" s="1" t="s">
        <v>44</v>
      </c>
      <c r="H1083" s="1" t="s">
        <v>13</v>
      </c>
      <c r="I1083" s="1" t="s">
        <v>45</v>
      </c>
      <c r="J1083" s="1" t="s">
        <v>18</v>
      </c>
      <c r="K1083" s="1">
        <v>0</v>
      </c>
      <c r="L1083" s="1" t="s">
        <v>23</v>
      </c>
      <c r="M1083" s="1" t="str">
        <f t="shared" si="16"/>
        <v>Potential Layering</v>
      </c>
      <c r="N1083" s="1" t="str">
        <f>_xlfn.XLOOKUP(H1083, risk_score!A:A, risk_score!B:B, 0)</f>
        <v>Low Risk</v>
      </c>
    </row>
    <row r="1084" spans="1:14">
      <c r="A1084" s="2">
        <v>0.46857638888888886</v>
      </c>
      <c r="B1084" s="3">
        <v>44841</v>
      </c>
      <c r="C1084" s="1">
        <v>3526097821</v>
      </c>
      <c r="D1084" s="1">
        <v>1013392507</v>
      </c>
      <c r="E1084" s="1">
        <v>649.29999999999995</v>
      </c>
      <c r="F1084" s="1" t="s">
        <v>12</v>
      </c>
      <c r="G1084" s="1" t="s">
        <v>12</v>
      </c>
      <c r="H1084" s="1" t="s">
        <v>13</v>
      </c>
      <c r="I1084" s="1" t="s">
        <v>13</v>
      </c>
      <c r="J1084" s="1" t="s">
        <v>27</v>
      </c>
      <c r="K1084" s="1">
        <v>0</v>
      </c>
      <c r="L1084" s="1" t="s">
        <v>21</v>
      </c>
      <c r="M1084" s="1" t="str">
        <f t="shared" si="16"/>
        <v>Consistent</v>
      </c>
      <c r="N1084" s="1" t="str">
        <f>_xlfn.XLOOKUP(H1084, risk_score!A:A, risk_score!B:B, 0)</f>
        <v>Low Risk</v>
      </c>
    </row>
    <row r="1085" spans="1:14">
      <c r="A1085" s="2">
        <v>0.46858796296296296</v>
      </c>
      <c r="B1085" s="3">
        <v>44841</v>
      </c>
      <c r="C1085" s="1">
        <v>1491989064</v>
      </c>
      <c r="D1085" s="1">
        <v>7160767531</v>
      </c>
      <c r="E1085" s="1">
        <v>8284.5300000000007</v>
      </c>
      <c r="F1085" s="1" t="s">
        <v>12</v>
      </c>
      <c r="G1085" s="1" t="s">
        <v>12</v>
      </c>
      <c r="H1085" s="1" t="s">
        <v>13</v>
      </c>
      <c r="I1085" s="1" t="s">
        <v>13</v>
      </c>
      <c r="J1085" s="1" t="s">
        <v>20</v>
      </c>
      <c r="K1085" s="1">
        <v>0</v>
      </c>
      <c r="L1085" s="1" t="s">
        <v>19</v>
      </c>
      <c r="M1085" s="1" t="str">
        <f t="shared" si="16"/>
        <v>Consistent</v>
      </c>
      <c r="N1085" s="1" t="str">
        <f>_xlfn.XLOOKUP(H1085, risk_score!A:A, risk_score!B:B, 0)</f>
        <v>Low Risk</v>
      </c>
    </row>
    <row r="1086" spans="1:14">
      <c r="A1086" s="2">
        <v>0.46859953703703705</v>
      </c>
      <c r="B1086" s="3">
        <v>44841</v>
      </c>
      <c r="C1086" s="1">
        <v>5848220020</v>
      </c>
      <c r="D1086" s="1">
        <v>286799236</v>
      </c>
      <c r="E1086" s="1">
        <v>1952.01</v>
      </c>
      <c r="F1086" s="1" t="s">
        <v>12</v>
      </c>
      <c r="G1086" s="1" t="s">
        <v>12</v>
      </c>
      <c r="H1086" s="1" t="s">
        <v>13</v>
      </c>
      <c r="I1086" s="1" t="s">
        <v>13</v>
      </c>
      <c r="J1086" s="1" t="s">
        <v>20</v>
      </c>
      <c r="K1086" s="1">
        <v>0</v>
      </c>
      <c r="L1086" s="1" t="s">
        <v>21</v>
      </c>
      <c r="M1086" s="1" t="str">
        <f t="shared" si="16"/>
        <v>Consistent</v>
      </c>
      <c r="N1086" s="1" t="str">
        <f>_xlfn.XLOOKUP(H1086, risk_score!A:A, risk_score!B:B, 0)</f>
        <v>Low Risk</v>
      </c>
    </row>
    <row r="1087" spans="1:14">
      <c r="A1087" s="2">
        <v>0.46863425925925928</v>
      </c>
      <c r="B1087" s="3">
        <v>44841</v>
      </c>
      <c r="C1087" s="1">
        <v>6499777292</v>
      </c>
      <c r="D1087" s="1">
        <v>1377603863</v>
      </c>
      <c r="E1087" s="1">
        <v>10539.29</v>
      </c>
      <c r="F1087" s="1" t="s">
        <v>12</v>
      </c>
      <c r="G1087" s="1" t="s">
        <v>12</v>
      </c>
      <c r="H1087" s="1" t="s">
        <v>13</v>
      </c>
      <c r="I1087" s="1" t="s">
        <v>13</v>
      </c>
      <c r="J1087" s="1" t="s">
        <v>22</v>
      </c>
      <c r="K1087" s="1">
        <v>0</v>
      </c>
      <c r="L1087" s="1" t="s">
        <v>23</v>
      </c>
      <c r="M1087" s="1" t="str">
        <f t="shared" si="16"/>
        <v>Consistent</v>
      </c>
      <c r="N1087" s="1" t="str">
        <f>_xlfn.XLOOKUP(H1087, risk_score!A:A, risk_score!B:B, 0)</f>
        <v>Low Risk</v>
      </c>
    </row>
    <row r="1088" spans="1:14">
      <c r="A1088" s="2">
        <v>0.46864583333333332</v>
      </c>
      <c r="B1088" s="3">
        <v>44841</v>
      </c>
      <c r="C1088" s="1">
        <v>3452368468</v>
      </c>
      <c r="D1088" s="1">
        <v>4889103394</v>
      </c>
      <c r="E1088" s="1">
        <v>14667.66</v>
      </c>
      <c r="F1088" s="1" t="s">
        <v>12</v>
      </c>
      <c r="G1088" s="1" t="s">
        <v>12</v>
      </c>
      <c r="H1088" s="1" t="s">
        <v>13</v>
      </c>
      <c r="I1088" s="1" t="s">
        <v>13</v>
      </c>
      <c r="J1088" s="1" t="s">
        <v>27</v>
      </c>
      <c r="K1088" s="1">
        <v>0</v>
      </c>
      <c r="L1088" s="1" t="s">
        <v>19</v>
      </c>
      <c r="M1088" s="1" t="str">
        <f t="shared" si="16"/>
        <v>Consistent</v>
      </c>
      <c r="N1088" s="1" t="str">
        <f>_xlfn.XLOOKUP(H1088, risk_score!A:A, risk_score!B:B, 0)</f>
        <v>Low Risk</v>
      </c>
    </row>
    <row r="1089" spans="1:14">
      <c r="A1089" s="2">
        <v>0.46864583333333332</v>
      </c>
      <c r="B1089" s="3">
        <v>44841</v>
      </c>
      <c r="C1089" s="1">
        <v>6904668523</v>
      </c>
      <c r="D1089" s="1">
        <v>2361327503</v>
      </c>
      <c r="E1089" s="1">
        <v>7445.22</v>
      </c>
      <c r="F1089" s="1" t="s">
        <v>12</v>
      </c>
      <c r="G1089" s="1" t="s">
        <v>12</v>
      </c>
      <c r="H1089" s="1" t="s">
        <v>13</v>
      </c>
      <c r="I1089" s="1" t="s">
        <v>13</v>
      </c>
      <c r="J1089" s="1" t="s">
        <v>20</v>
      </c>
      <c r="K1089" s="1">
        <v>0</v>
      </c>
      <c r="L1089" s="1" t="s">
        <v>19</v>
      </c>
      <c r="M1089" s="1" t="str">
        <f t="shared" si="16"/>
        <v>Consistent</v>
      </c>
      <c r="N1089" s="1" t="str">
        <f>_xlfn.XLOOKUP(H1089, risk_score!A:A, risk_score!B:B, 0)</f>
        <v>Low Risk</v>
      </c>
    </row>
    <row r="1090" spans="1:14">
      <c r="A1090" s="2">
        <v>0.46866898148148151</v>
      </c>
      <c r="B1090" s="3">
        <v>44841</v>
      </c>
      <c r="C1090" s="1">
        <v>4117345189</v>
      </c>
      <c r="D1090" s="1">
        <v>4575475794</v>
      </c>
      <c r="E1090" s="1">
        <v>938.67</v>
      </c>
      <c r="F1090" s="1" t="s">
        <v>12</v>
      </c>
      <c r="G1090" s="1" t="s">
        <v>12</v>
      </c>
      <c r="H1090" s="1" t="s">
        <v>13</v>
      </c>
      <c r="I1090" s="1" t="s">
        <v>13</v>
      </c>
      <c r="J1090" s="1" t="s">
        <v>14</v>
      </c>
      <c r="K1090" s="1">
        <v>0</v>
      </c>
      <c r="L1090" s="1" t="s">
        <v>15</v>
      </c>
      <c r="M1090" s="1" t="str">
        <f t="shared" si="16"/>
        <v>Consistent</v>
      </c>
      <c r="N1090" s="1" t="str">
        <f>_xlfn.XLOOKUP(H1090, risk_score!A:A, risk_score!B:B, 0)</f>
        <v>Low Risk</v>
      </c>
    </row>
    <row r="1091" spans="1:14">
      <c r="A1091" s="2">
        <v>0.46866898148148151</v>
      </c>
      <c r="B1091" s="3">
        <v>44841</v>
      </c>
      <c r="C1091" s="1">
        <v>2797271466</v>
      </c>
      <c r="D1091" s="1">
        <v>3623805856</v>
      </c>
      <c r="E1091" s="1">
        <v>4975.25</v>
      </c>
      <c r="F1091" s="1" t="s">
        <v>12</v>
      </c>
      <c r="G1091" s="1" t="s">
        <v>12</v>
      </c>
      <c r="H1091" s="1" t="s">
        <v>13</v>
      </c>
      <c r="I1091" s="1" t="s">
        <v>13</v>
      </c>
      <c r="J1091" s="1" t="s">
        <v>25</v>
      </c>
      <c r="K1091" s="1">
        <v>0</v>
      </c>
      <c r="L1091" s="1" t="s">
        <v>19</v>
      </c>
      <c r="M1091" s="1" t="str">
        <f t="shared" ref="M1091:M1154" si="17">IF(F1091=G1091, "Consistent", "Potential Layering")</f>
        <v>Consistent</v>
      </c>
      <c r="N1091" s="1" t="str">
        <f>_xlfn.XLOOKUP(H1091, risk_score!A:A, risk_score!B:B, 0)</f>
        <v>Low Risk</v>
      </c>
    </row>
    <row r="1092" spans="1:14">
      <c r="A1092" s="2">
        <v>0.46868055555555554</v>
      </c>
      <c r="B1092" s="3">
        <v>44841</v>
      </c>
      <c r="C1092" s="1">
        <v>6401579612</v>
      </c>
      <c r="D1092" s="1">
        <v>8678802420</v>
      </c>
      <c r="E1092" s="1">
        <v>10562.1</v>
      </c>
      <c r="F1092" s="1" t="s">
        <v>12</v>
      </c>
      <c r="G1092" s="1" t="s">
        <v>12</v>
      </c>
      <c r="H1092" s="1" t="s">
        <v>13</v>
      </c>
      <c r="I1092" s="1" t="s">
        <v>13</v>
      </c>
      <c r="J1092" s="1" t="s">
        <v>25</v>
      </c>
      <c r="K1092" s="1">
        <v>0</v>
      </c>
      <c r="L1092" s="1" t="s">
        <v>23</v>
      </c>
      <c r="M1092" s="1" t="str">
        <f t="shared" si="17"/>
        <v>Consistent</v>
      </c>
      <c r="N1092" s="1" t="str">
        <f>_xlfn.XLOOKUP(H1092, risk_score!A:A, risk_score!B:B, 0)</f>
        <v>Low Risk</v>
      </c>
    </row>
    <row r="1093" spans="1:14">
      <c r="A1093" s="2">
        <v>0.46868055555555554</v>
      </c>
      <c r="B1093" s="3">
        <v>44841</v>
      </c>
      <c r="C1093" s="1">
        <v>5802257583</v>
      </c>
      <c r="D1093" s="1">
        <v>5466123934</v>
      </c>
      <c r="E1093" s="1">
        <v>7655.97</v>
      </c>
      <c r="F1093" s="1" t="s">
        <v>12</v>
      </c>
      <c r="G1093" s="1" t="s">
        <v>12</v>
      </c>
      <c r="H1093" s="1" t="s">
        <v>13</v>
      </c>
      <c r="I1093" s="1" t="s">
        <v>13</v>
      </c>
      <c r="J1093" s="1" t="s">
        <v>20</v>
      </c>
      <c r="K1093" s="1">
        <v>0</v>
      </c>
      <c r="L1093" s="1" t="s">
        <v>23</v>
      </c>
      <c r="M1093" s="1" t="str">
        <f t="shared" si="17"/>
        <v>Consistent</v>
      </c>
      <c r="N1093" s="1" t="str">
        <f>_xlfn.XLOOKUP(H1093, risk_score!A:A, risk_score!B:B, 0)</f>
        <v>Low Risk</v>
      </c>
    </row>
    <row r="1094" spans="1:14">
      <c r="A1094" s="2">
        <v>0.46870370370370368</v>
      </c>
      <c r="B1094" s="3">
        <v>44841</v>
      </c>
      <c r="C1094" s="1">
        <v>8456279067</v>
      </c>
      <c r="D1094" s="1">
        <v>3889335486</v>
      </c>
      <c r="E1094" s="1">
        <v>14545.75</v>
      </c>
      <c r="F1094" s="1" t="s">
        <v>12</v>
      </c>
      <c r="G1094" s="1" t="s">
        <v>12</v>
      </c>
      <c r="H1094" s="1" t="s">
        <v>13</v>
      </c>
      <c r="I1094" s="1" t="s">
        <v>13</v>
      </c>
      <c r="J1094" s="1" t="s">
        <v>20</v>
      </c>
      <c r="K1094" s="1">
        <v>0</v>
      </c>
      <c r="L1094" s="1" t="s">
        <v>19</v>
      </c>
      <c r="M1094" s="1" t="str">
        <f t="shared" si="17"/>
        <v>Consistent</v>
      </c>
      <c r="N1094" s="1" t="str">
        <f>_xlfn.XLOOKUP(H1094, risk_score!A:A, risk_score!B:B, 0)</f>
        <v>Low Risk</v>
      </c>
    </row>
    <row r="1095" spans="1:14">
      <c r="A1095" s="2">
        <v>0.46870370370370368</v>
      </c>
      <c r="B1095" s="3">
        <v>44841</v>
      </c>
      <c r="C1095" s="1">
        <v>581151126</v>
      </c>
      <c r="D1095" s="1">
        <v>6855935396</v>
      </c>
      <c r="E1095" s="1">
        <v>5065.1000000000004</v>
      </c>
      <c r="F1095" s="1" t="s">
        <v>12</v>
      </c>
      <c r="G1095" s="1" t="s">
        <v>12</v>
      </c>
      <c r="H1095" s="1" t="s">
        <v>13</v>
      </c>
      <c r="I1095" s="1" t="s">
        <v>13</v>
      </c>
      <c r="J1095" s="1" t="s">
        <v>20</v>
      </c>
      <c r="K1095" s="1">
        <v>0</v>
      </c>
      <c r="L1095" s="1" t="s">
        <v>23</v>
      </c>
      <c r="M1095" s="1" t="str">
        <f t="shared" si="17"/>
        <v>Consistent</v>
      </c>
      <c r="N1095" s="1" t="str">
        <f>_xlfn.XLOOKUP(H1095, risk_score!A:A, risk_score!B:B, 0)</f>
        <v>Low Risk</v>
      </c>
    </row>
    <row r="1096" spans="1:14">
      <c r="A1096" s="2">
        <v>0.46872685185185187</v>
      </c>
      <c r="B1096" s="3">
        <v>44841</v>
      </c>
      <c r="C1096" s="1">
        <v>8591892399</v>
      </c>
      <c r="D1096" s="1">
        <v>7214622038</v>
      </c>
      <c r="E1096" s="1">
        <v>4921.93</v>
      </c>
      <c r="F1096" s="1" t="s">
        <v>12</v>
      </c>
      <c r="G1096" s="1" t="s">
        <v>12</v>
      </c>
      <c r="H1096" s="1" t="s">
        <v>13</v>
      </c>
      <c r="I1096" s="1" t="s">
        <v>13</v>
      </c>
      <c r="J1096" s="1" t="s">
        <v>20</v>
      </c>
      <c r="K1096" s="1">
        <v>0</v>
      </c>
      <c r="L1096" s="1" t="s">
        <v>41</v>
      </c>
      <c r="M1096" s="1" t="str">
        <f t="shared" si="17"/>
        <v>Consistent</v>
      </c>
      <c r="N1096" s="1" t="str">
        <f>_xlfn.XLOOKUP(H1096, risk_score!A:A, risk_score!B:B, 0)</f>
        <v>Low Risk</v>
      </c>
    </row>
    <row r="1097" spans="1:14">
      <c r="A1097" s="2">
        <v>0.46873842592592591</v>
      </c>
      <c r="B1097" s="3">
        <v>44841</v>
      </c>
      <c r="C1097" s="1">
        <v>6280994711</v>
      </c>
      <c r="D1097" s="1">
        <v>5853162563</v>
      </c>
      <c r="E1097" s="1">
        <v>56.21</v>
      </c>
      <c r="F1097" s="1" t="s">
        <v>12</v>
      </c>
      <c r="G1097" s="1" t="s">
        <v>12</v>
      </c>
      <c r="H1097" s="1" t="s">
        <v>13</v>
      </c>
      <c r="I1097" s="1" t="s">
        <v>13</v>
      </c>
      <c r="J1097" s="1" t="s">
        <v>36</v>
      </c>
      <c r="K1097" s="1">
        <v>0</v>
      </c>
      <c r="L1097" s="1" t="s">
        <v>37</v>
      </c>
      <c r="M1097" s="1" t="str">
        <f t="shared" si="17"/>
        <v>Consistent</v>
      </c>
      <c r="N1097" s="1" t="str">
        <f>_xlfn.XLOOKUP(H1097, risk_score!A:A, risk_score!B:B, 0)</f>
        <v>Low Risk</v>
      </c>
    </row>
    <row r="1098" spans="1:14">
      <c r="A1098" s="2">
        <v>0.46873842592592591</v>
      </c>
      <c r="B1098" s="3">
        <v>44841</v>
      </c>
      <c r="C1098" s="1">
        <v>315360773</v>
      </c>
      <c r="D1098" s="1">
        <v>9673720029</v>
      </c>
      <c r="E1098" s="1">
        <v>2487.73</v>
      </c>
      <c r="F1098" s="1" t="s">
        <v>12</v>
      </c>
      <c r="G1098" s="1" t="s">
        <v>12</v>
      </c>
      <c r="H1098" s="1" t="s">
        <v>13</v>
      </c>
      <c r="I1098" s="1" t="s">
        <v>13</v>
      </c>
      <c r="J1098" s="1" t="s">
        <v>25</v>
      </c>
      <c r="K1098" s="1">
        <v>0</v>
      </c>
      <c r="L1098" s="1" t="s">
        <v>21</v>
      </c>
      <c r="M1098" s="1" t="str">
        <f t="shared" si="17"/>
        <v>Consistent</v>
      </c>
      <c r="N1098" s="1" t="str">
        <f>_xlfn.XLOOKUP(H1098, risk_score!A:A, risk_score!B:B, 0)</f>
        <v>Low Risk</v>
      </c>
    </row>
    <row r="1099" spans="1:14">
      <c r="A1099" s="2">
        <v>0.46878472222222223</v>
      </c>
      <c r="B1099" s="3">
        <v>44841</v>
      </c>
      <c r="C1099" s="1">
        <v>6431038386</v>
      </c>
      <c r="D1099" s="1">
        <v>4336977506</v>
      </c>
      <c r="E1099" s="1">
        <v>12747.4</v>
      </c>
      <c r="F1099" s="1" t="s">
        <v>12</v>
      </c>
      <c r="G1099" s="1" t="s">
        <v>12</v>
      </c>
      <c r="H1099" s="1" t="s">
        <v>13</v>
      </c>
      <c r="I1099" s="1" t="s">
        <v>13</v>
      </c>
      <c r="J1099" s="1" t="s">
        <v>20</v>
      </c>
      <c r="K1099" s="1">
        <v>0</v>
      </c>
      <c r="L1099" s="1" t="s">
        <v>23</v>
      </c>
      <c r="M1099" s="1" t="str">
        <f t="shared" si="17"/>
        <v>Consistent</v>
      </c>
      <c r="N1099" s="1" t="str">
        <f>_xlfn.XLOOKUP(H1099, risk_score!A:A, risk_score!B:B, 0)</f>
        <v>Low Risk</v>
      </c>
    </row>
    <row r="1100" spans="1:14">
      <c r="A1100" s="2">
        <v>0.46880787037037036</v>
      </c>
      <c r="B1100" s="3">
        <v>44841</v>
      </c>
      <c r="C1100" s="1">
        <v>5751050781</v>
      </c>
      <c r="D1100" s="1">
        <v>1105549394</v>
      </c>
      <c r="E1100" s="1">
        <v>14659.86</v>
      </c>
      <c r="F1100" s="1" t="s">
        <v>12</v>
      </c>
      <c r="G1100" s="1" t="s">
        <v>12</v>
      </c>
      <c r="H1100" s="1" t="s">
        <v>13</v>
      </c>
      <c r="I1100" s="1" t="s">
        <v>13</v>
      </c>
      <c r="J1100" s="1" t="s">
        <v>20</v>
      </c>
      <c r="K1100" s="1">
        <v>0</v>
      </c>
      <c r="L1100" s="1" t="s">
        <v>49</v>
      </c>
      <c r="M1100" s="1" t="str">
        <f t="shared" si="17"/>
        <v>Consistent</v>
      </c>
      <c r="N1100" s="1" t="str">
        <f>_xlfn.XLOOKUP(H1100, risk_score!A:A, risk_score!B:B, 0)</f>
        <v>Low Risk</v>
      </c>
    </row>
    <row r="1101" spans="1:14">
      <c r="A1101" s="2">
        <v>0.46880787037037036</v>
      </c>
      <c r="B1101" s="3">
        <v>44841</v>
      </c>
      <c r="C1101" s="1">
        <v>2797271466</v>
      </c>
      <c r="D1101" s="1">
        <v>4528663768</v>
      </c>
      <c r="E1101" s="1">
        <v>7433.53</v>
      </c>
      <c r="F1101" s="1" t="s">
        <v>12</v>
      </c>
      <c r="G1101" s="1" t="s">
        <v>12</v>
      </c>
      <c r="H1101" s="1" t="s">
        <v>13</v>
      </c>
      <c r="I1101" s="1" t="s">
        <v>13</v>
      </c>
      <c r="J1101" s="1" t="s">
        <v>27</v>
      </c>
      <c r="K1101" s="1">
        <v>0</v>
      </c>
      <c r="L1101" s="1" t="s">
        <v>19</v>
      </c>
      <c r="M1101" s="1" t="str">
        <f t="shared" si="17"/>
        <v>Consistent</v>
      </c>
      <c r="N1101" s="1" t="str">
        <f>_xlfn.XLOOKUP(H1101, risk_score!A:A, risk_score!B:B, 0)</f>
        <v>Low Risk</v>
      </c>
    </row>
    <row r="1102" spans="1:14">
      <c r="A1102" s="2">
        <v>0.46881944444444446</v>
      </c>
      <c r="B1102" s="3">
        <v>44841</v>
      </c>
      <c r="C1102" s="1">
        <v>7252414916</v>
      </c>
      <c r="D1102" s="1">
        <v>621060264</v>
      </c>
      <c r="E1102" s="1">
        <v>35549.08</v>
      </c>
      <c r="F1102" s="1" t="s">
        <v>12</v>
      </c>
      <c r="G1102" s="1" t="s">
        <v>12</v>
      </c>
      <c r="H1102" s="1" t="s">
        <v>13</v>
      </c>
      <c r="I1102" s="1" t="s">
        <v>13</v>
      </c>
      <c r="J1102" s="1" t="s">
        <v>22</v>
      </c>
      <c r="K1102" s="1">
        <v>0</v>
      </c>
      <c r="L1102" s="1" t="s">
        <v>23</v>
      </c>
      <c r="M1102" s="1" t="str">
        <f t="shared" si="17"/>
        <v>Consistent</v>
      </c>
      <c r="N1102" s="1" t="str">
        <f>_xlfn.XLOOKUP(H1102, risk_score!A:A, risk_score!B:B, 0)</f>
        <v>Low Risk</v>
      </c>
    </row>
    <row r="1103" spans="1:14">
      <c r="A1103" s="2">
        <v>0.46883101851851849</v>
      </c>
      <c r="B1103" s="3">
        <v>44841</v>
      </c>
      <c r="C1103" s="1">
        <v>438735012</v>
      </c>
      <c r="D1103" s="1">
        <v>5970426514</v>
      </c>
      <c r="E1103" s="1">
        <v>153.15</v>
      </c>
      <c r="F1103" s="1" t="s">
        <v>12</v>
      </c>
      <c r="G1103" s="1" t="s">
        <v>12</v>
      </c>
      <c r="H1103" s="1" t="s">
        <v>13</v>
      </c>
      <c r="I1103" s="1" t="s">
        <v>13</v>
      </c>
      <c r="J1103" s="1" t="s">
        <v>25</v>
      </c>
      <c r="K1103" s="1">
        <v>0</v>
      </c>
      <c r="L1103" s="1" t="s">
        <v>21</v>
      </c>
      <c r="M1103" s="1" t="str">
        <f t="shared" si="17"/>
        <v>Consistent</v>
      </c>
      <c r="N1103" s="1" t="str">
        <f>_xlfn.XLOOKUP(H1103, risk_score!A:A, risk_score!B:B, 0)</f>
        <v>Low Risk</v>
      </c>
    </row>
    <row r="1104" spans="1:14">
      <c r="A1104" s="2">
        <v>0.46884259259259259</v>
      </c>
      <c r="B1104" s="3">
        <v>44841</v>
      </c>
      <c r="C1104" s="1">
        <v>3930127189</v>
      </c>
      <c r="D1104" s="1">
        <v>3220735304</v>
      </c>
      <c r="E1104" s="1">
        <v>19856.68</v>
      </c>
      <c r="F1104" s="1" t="s">
        <v>12</v>
      </c>
      <c r="G1104" s="1" t="s">
        <v>12</v>
      </c>
      <c r="H1104" s="1" t="s">
        <v>13</v>
      </c>
      <c r="I1104" s="1" t="s">
        <v>13</v>
      </c>
      <c r="J1104" s="1" t="s">
        <v>27</v>
      </c>
      <c r="K1104" s="1">
        <v>0</v>
      </c>
      <c r="L1104" s="1" t="s">
        <v>23</v>
      </c>
      <c r="M1104" s="1" t="str">
        <f t="shared" si="17"/>
        <v>Consistent</v>
      </c>
      <c r="N1104" s="1" t="str">
        <f>_xlfn.XLOOKUP(H1104, risk_score!A:A, risk_score!B:B, 0)</f>
        <v>Low Risk</v>
      </c>
    </row>
    <row r="1105" spans="1:14">
      <c r="A1105" s="2">
        <v>0.46886574074074072</v>
      </c>
      <c r="B1105" s="3">
        <v>44841</v>
      </c>
      <c r="C1105" s="1">
        <v>8333589663</v>
      </c>
      <c r="D1105" s="1">
        <v>1465487567</v>
      </c>
      <c r="E1105" s="1">
        <v>16576.310000000001</v>
      </c>
      <c r="F1105" s="1" t="s">
        <v>12</v>
      </c>
      <c r="G1105" s="1" t="s">
        <v>12</v>
      </c>
      <c r="H1105" s="1" t="s">
        <v>13</v>
      </c>
      <c r="I1105" s="1" t="s">
        <v>13</v>
      </c>
      <c r="J1105" s="1" t="s">
        <v>27</v>
      </c>
      <c r="K1105" s="1">
        <v>0</v>
      </c>
      <c r="L1105" s="1" t="s">
        <v>23</v>
      </c>
      <c r="M1105" s="1" t="str">
        <f t="shared" si="17"/>
        <v>Consistent</v>
      </c>
      <c r="N1105" s="1" t="str">
        <f>_xlfn.XLOOKUP(H1105, risk_score!A:A, risk_score!B:B, 0)</f>
        <v>Low Risk</v>
      </c>
    </row>
    <row r="1106" spans="1:14">
      <c r="A1106" s="2">
        <v>0.46890046296296295</v>
      </c>
      <c r="B1106" s="3">
        <v>44841</v>
      </c>
      <c r="C1106" s="1">
        <v>7832023136</v>
      </c>
      <c r="D1106" s="1">
        <v>3960072922</v>
      </c>
      <c r="E1106" s="1">
        <v>2682.16</v>
      </c>
      <c r="F1106" s="1" t="s">
        <v>12</v>
      </c>
      <c r="G1106" s="1" t="s">
        <v>12</v>
      </c>
      <c r="H1106" s="1" t="s">
        <v>13</v>
      </c>
      <c r="I1106" s="1" t="s">
        <v>13</v>
      </c>
      <c r="J1106" s="1" t="s">
        <v>14</v>
      </c>
      <c r="K1106" s="1">
        <v>0</v>
      </c>
      <c r="L1106" s="1" t="s">
        <v>15</v>
      </c>
      <c r="M1106" s="1" t="str">
        <f t="shared" si="17"/>
        <v>Consistent</v>
      </c>
      <c r="N1106" s="1" t="str">
        <f>_xlfn.XLOOKUP(H1106, risk_score!A:A, risk_score!B:B, 0)</f>
        <v>Low Risk</v>
      </c>
    </row>
    <row r="1107" spans="1:14">
      <c r="A1107" s="2">
        <v>0.46890046296296295</v>
      </c>
      <c r="B1107" s="3">
        <v>44841</v>
      </c>
      <c r="C1107" s="1">
        <v>7758268667</v>
      </c>
      <c r="D1107" s="1">
        <v>7889074144</v>
      </c>
      <c r="E1107" s="1">
        <v>26492</v>
      </c>
      <c r="F1107" s="1" t="s">
        <v>12</v>
      </c>
      <c r="G1107" s="1" t="s">
        <v>12</v>
      </c>
      <c r="H1107" s="1" t="s">
        <v>13</v>
      </c>
      <c r="I1107" s="1" t="s">
        <v>13</v>
      </c>
      <c r="J1107" s="1" t="s">
        <v>22</v>
      </c>
      <c r="K1107" s="1">
        <v>0</v>
      </c>
      <c r="L1107" s="1" t="s">
        <v>19</v>
      </c>
      <c r="M1107" s="1" t="str">
        <f t="shared" si="17"/>
        <v>Consistent</v>
      </c>
      <c r="N1107" s="1" t="str">
        <f>_xlfn.XLOOKUP(H1107, risk_score!A:A, risk_score!B:B, 0)</f>
        <v>Low Risk</v>
      </c>
    </row>
    <row r="1108" spans="1:14">
      <c r="A1108" s="2">
        <v>0.4689699074074074</v>
      </c>
      <c r="B1108" s="3">
        <v>44841</v>
      </c>
      <c r="C1108" s="1">
        <v>9848316613</v>
      </c>
      <c r="D1108" s="1">
        <v>7080357663</v>
      </c>
      <c r="E1108" s="1">
        <v>7586.59</v>
      </c>
      <c r="F1108" s="1" t="s">
        <v>12</v>
      </c>
      <c r="G1108" s="1" t="s">
        <v>12</v>
      </c>
      <c r="H1108" s="1" t="s">
        <v>13</v>
      </c>
      <c r="I1108" s="1" t="s">
        <v>13</v>
      </c>
      <c r="J1108" s="1" t="s">
        <v>22</v>
      </c>
      <c r="K1108" s="1">
        <v>0</v>
      </c>
      <c r="L1108" s="1" t="s">
        <v>23</v>
      </c>
      <c r="M1108" s="1" t="str">
        <f t="shared" si="17"/>
        <v>Consistent</v>
      </c>
      <c r="N1108" s="1" t="str">
        <f>_xlfn.XLOOKUP(H1108, risk_score!A:A, risk_score!B:B, 0)</f>
        <v>Low Risk</v>
      </c>
    </row>
    <row r="1109" spans="1:14">
      <c r="A1109" s="2">
        <v>0.46899305555555554</v>
      </c>
      <c r="B1109" s="3">
        <v>44841</v>
      </c>
      <c r="C1109" s="1">
        <v>2028959593</v>
      </c>
      <c r="D1109" s="1">
        <v>5466123934</v>
      </c>
      <c r="E1109" s="1">
        <v>4744.68</v>
      </c>
      <c r="F1109" s="1" t="s">
        <v>12</v>
      </c>
      <c r="G1109" s="1" t="s">
        <v>12</v>
      </c>
      <c r="H1109" s="1" t="s">
        <v>13</v>
      </c>
      <c r="I1109" s="1" t="s">
        <v>13</v>
      </c>
      <c r="J1109" s="1" t="s">
        <v>27</v>
      </c>
      <c r="K1109" s="1">
        <v>0</v>
      </c>
      <c r="L1109" s="1" t="s">
        <v>23</v>
      </c>
      <c r="M1109" s="1" t="str">
        <f t="shared" si="17"/>
        <v>Consistent</v>
      </c>
      <c r="N1109" s="1" t="str">
        <f>_xlfn.XLOOKUP(H1109, risk_score!A:A, risk_score!B:B, 0)</f>
        <v>Low Risk</v>
      </c>
    </row>
    <row r="1110" spans="1:14">
      <c r="A1110" s="2">
        <v>0.46907407407407409</v>
      </c>
      <c r="B1110" s="3">
        <v>44841</v>
      </c>
      <c r="C1110" s="1">
        <v>3146144627</v>
      </c>
      <c r="D1110" s="1">
        <v>8352571580</v>
      </c>
      <c r="E1110" s="1">
        <v>9730.27</v>
      </c>
      <c r="F1110" s="1" t="s">
        <v>12</v>
      </c>
      <c r="G1110" s="1" t="s">
        <v>12</v>
      </c>
      <c r="H1110" s="1" t="s">
        <v>13</v>
      </c>
      <c r="I1110" s="1" t="s">
        <v>13</v>
      </c>
      <c r="J1110" s="1" t="s">
        <v>27</v>
      </c>
      <c r="K1110" s="1">
        <v>0</v>
      </c>
      <c r="L1110" s="1" t="s">
        <v>23</v>
      </c>
      <c r="M1110" s="1" t="str">
        <f t="shared" si="17"/>
        <v>Consistent</v>
      </c>
      <c r="N1110" s="1" t="str">
        <f>_xlfn.XLOOKUP(H1110, risk_score!A:A, risk_score!B:B, 0)</f>
        <v>Low Risk</v>
      </c>
    </row>
    <row r="1111" spans="1:14">
      <c r="A1111" s="2">
        <v>0.4692013888888889</v>
      </c>
      <c r="B1111" s="3">
        <v>44841</v>
      </c>
      <c r="C1111" s="1">
        <v>2312860929</v>
      </c>
      <c r="D1111" s="1">
        <v>5677524970</v>
      </c>
      <c r="E1111" s="1">
        <v>39761.17</v>
      </c>
      <c r="F1111" s="1" t="s">
        <v>12</v>
      </c>
      <c r="G1111" s="1" t="s">
        <v>12</v>
      </c>
      <c r="H1111" s="1" t="s">
        <v>13</v>
      </c>
      <c r="I1111" s="1" t="s">
        <v>13</v>
      </c>
      <c r="J1111" s="1" t="s">
        <v>27</v>
      </c>
      <c r="K1111" s="1">
        <v>0</v>
      </c>
      <c r="L1111" s="1" t="s">
        <v>21</v>
      </c>
      <c r="M1111" s="1" t="str">
        <f t="shared" si="17"/>
        <v>Consistent</v>
      </c>
      <c r="N1111" s="1" t="str">
        <f>_xlfn.XLOOKUP(H1111, risk_score!A:A, risk_score!B:B, 0)</f>
        <v>Low Risk</v>
      </c>
    </row>
    <row r="1112" spans="1:14">
      <c r="A1112" s="2">
        <v>0.4692013888888889</v>
      </c>
      <c r="B1112" s="3">
        <v>44841</v>
      </c>
      <c r="C1112" s="1">
        <v>6877733892</v>
      </c>
      <c r="D1112" s="1">
        <v>8570419342</v>
      </c>
      <c r="E1112" s="1">
        <v>4016.43</v>
      </c>
      <c r="F1112" s="1" t="s">
        <v>12</v>
      </c>
      <c r="G1112" s="1" t="s">
        <v>46</v>
      </c>
      <c r="H1112" s="1" t="s">
        <v>13</v>
      </c>
      <c r="I1112" s="1" t="s">
        <v>47</v>
      </c>
      <c r="J1112" s="1" t="s">
        <v>18</v>
      </c>
      <c r="K1112" s="1">
        <v>0</v>
      </c>
      <c r="L1112" s="1" t="s">
        <v>21</v>
      </c>
      <c r="M1112" s="1" t="str">
        <f t="shared" si="17"/>
        <v>Potential Layering</v>
      </c>
      <c r="N1112" s="1" t="str">
        <f>_xlfn.XLOOKUP(H1112, risk_score!A:A, risk_score!B:B, 0)</f>
        <v>Low Risk</v>
      </c>
    </row>
    <row r="1113" spans="1:14">
      <c r="A1113" s="2">
        <v>0.46927083333333336</v>
      </c>
      <c r="B1113" s="3">
        <v>44841</v>
      </c>
      <c r="C1113" s="1">
        <v>6988928906</v>
      </c>
      <c r="D1113" s="1">
        <v>6953672776</v>
      </c>
      <c r="E1113" s="1">
        <v>8598.6</v>
      </c>
      <c r="F1113" s="1" t="s">
        <v>12</v>
      </c>
      <c r="G1113" s="1" t="s">
        <v>34</v>
      </c>
      <c r="H1113" s="1" t="s">
        <v>13</v>
      </c>
      <c r="I1113" s="1" t="s">
        <v>35</v>
      </c>
      <c r="J1113" s="1" t="s">
        <v>18</v>
      </c>
      <c r="K1113" s="1">
        <v>0</v>
      </c>
      <c r="L1113" s="1" t="s">
        <v>23</v>
      </c>
      <c r="M1113" s="1" t="str">
        <f t="shared" si="17"/>
        <v>Potential Layering</v>
      </c>
      <c r="N1113" s="1" t="str">
        <f>_xlfn.XLOOKUP(H1113, risk_score!A:A, risk_score!B:B, 0)</f>
        <v>Low Risk</v>
      </c>
    </row>
    <row r="1114" spans="1:14">
      <c r="A1114" s="2">
        <v>0.4692824074074074</v>
      </c>
      <c r="B1114" s="3">
        <v>44841</v>
      </c>
      <c r="C1114" s="1">
        <v>4535762652</v>
      </c>
      <c r="D1114" s="1">
        <v>4276741351</v>
      </c>
      <c r="E1114" s="1">
        <v>44824.58</v>
      </c>
      <c r="F1114" s="1" t="s">
        <v>12</v>
      </c>
      <c r="G1114" s="1" t="s">
        <v>12</v>
      </c>
      <c r="H1114" s="1" t="s">
        <v>13</v>
      </c>
      <c r="I1114" s="1" t="s">
        <v>13</v>
      </c>
      <c r="J1114" s="1" t="s">
        <v>22</v>
      </c>
      <c r="K1114" s="1">
        <v>0</v>
      </c>
      <c r="L1114" s="1" t="s">
        <v>21</v>
      </c>
      <c r="M1114" s="1" t="str">
        <f t="shared" si="17"/>
        <v>Consistent</v>
      </c>
      <c r="N1114" s="1" t="str">
        <f>_xlfn.XLOOKUP(H1114, risk_score!A:A, risk_score!B:B, 0)</f>
        <v>Low Risk</v>
      </c>
    </row>
    <row r="1115" spans="1:14">
      <c r="A1115" s="2">
        <v>0.46931712962962963</v>
      </c>
      <c r="B1115" s="3">
        <v>44841</v>
      </c>
      <c r="C1115" s="1">
        <v>6232885366</v>
      </c>
      <c r="D1115" s="1">
        <v>3079818547</v>
      </c>
      <c r="E1115" s="1">
        <v>6074.5</v>
      </c>
      <c r="F1115" s="1" t="s">
        <v>12</v>
      </c>
      <c r="G1115" s="1" t="s">
        <v>12</v>
      </c>
      <c r="H1115" s="1" t="s">
        <v>13</v>
      </c>
      <c r="I1115" s="1" t="s">
        <v>13</v>
      </c>
      <c r="J1115" s="1" t="s">
        <v>20</v>
      </c>
      <c r="K1115" s="1">
        <v>0</v>
      </c>
      <c r="L1115" s="1" t="s">
        <v>23</v>
      </c>
      <c r="M1115" s="1" t="str">
        <f t="shared" si="17"/>
        <v>Consistent</v>
      </c>
      <c r="N1115" s="1" t="str">
        <f>_xlfn.XLOOKUP(H1115, risk_score!A:A, risk_score!B:B, 0)</f>
        <v>Low Risk</v>
      </c>
    </row>
    <row r="1116" spans="1:14">
      <c r="A1116" s="2">
        <v>0.46934027777777776</v>
      </c>
      <c r="B1116" s="3">
        <v>44841</v>
      </c>
      <c r="C1116" s="1">
        <v>675669049</v>
      </c>
      <c r="D1116" s="1">
        <v>4348868412</v>
      </c>
      <c r="E1116" s="1">
        <v>7312.72</v>
      </c>
      <c r="F1116" s="1" t="s">
        <v>12</v>
      </c>
      <c r="G1116" s="1" t="s">
        <v>12</v>
      </c>
      <c r="H1116" s="1" t="s">
        <v>13</v>
      </c>
      <c r="I1116" s="1" t="s">
        <v>13</v>
      </c>
      <c r="J1116" s="1" t="s">
        <v>20</v>
      </c>
      <c r="K1116" s="1">
        <v>0</v>
      </c>
      <c r="L1116" s="1" t="s">
        <v>19</v>
      </c>
      <c r="M1116" s="1" t="str">
        <f t="shared" si="17"/>
        <v>Consistent</v>
      </c>
      <c r="N1116" s="1" t="str">
        <f>_xlfn.XLOOKUP(H1116, risk_score!A:A, risk_score!B:B, 0)</f>
        <v>Low Risk</v>
      </c>
    </row>
    <row r="1117" spans="1:14">
      <c r="A1117" s="2">
        <v>0.46934027777777776</v>
      </c>
      <c r="B1117" s="3">
        <v>44841</v>
      </c>
      <c r="C1117" s="1">
        <v>7526322785</v>
      </c>
      <c r="D1117" s="1">
        <v>8135523919</v>
      </c>
      <c r="E1117" s="1">
        <v>4081.01</v>
      </c>
      <c r="F1117" s="1" t="s">
        <v>12</v>
      </c>
      <c r="G1117" s="1" t="s">
        <v>12</v>
      </c>
      <c r="H1117" s="1" t="s">
        <v>13</v>
      </c>
      <c r="I1117" s="1" t="s">
        <v>13</v>
      </c>
      <c r="J1117" s="1" t="s">
        <v>20</v>
      </c>
      <c r="K1117" s="1">
        <v>0</v>
      </c>
      <c r="L1117" s="1" t="s">
        <v>21</v>
      </c>
      <c r="M1117" s="1" t="str">
        <f t="shared" si="17"/>
        <v>Consistent</v>
      </c>
      <c r="N1117" s="1" t="str">
        <f>_xlfn.XLOOKUP(H1117, risk_score!A:A, risk_score!B:B, 0)</f>
        <v>Low Risk</v>
      </c>
    </row>
    <row r="1118" spans="1:14">
      <c r="A1118" s="2">
        <v>0.46935185185185185</v>
      </c>
      <c r="B1118" s="3">
        <v>44841</v>
      </c>
      <c r="C1118" s="1">
        <v>3834666529</v>
      </c>
      <c r="D1118" s="1">
        <v>5858369125</v>
      </c>
      <c r="E1118" s="1">
        <v>9390.18</v>
      </c>
      <c r="F1118" s="1" t="s">
        <v>12</v>
      </c>
      <c r="G1118" s="1" t="s">
        <v>12</v>
      </c>
      <c r="H1118" s="1" t="s">
        <v>13</v>
      </c>
      <c r="I1118" s="1" t="s">
        <v>13</v>
      </c>
      <c r="J1118" s="1" t="s">
        <v>27</v>
      </c>
      <c r="K1118" s="1">
        <v>0</v>
      </c>
      <c r="L1118" s="1" t="s">
        <v>23</v>
      </c>
      <c r="M1118" s="1" t="str">
        <f t="shared" si="17"/>
        <v>Consistent</v>
      </c>
      <c r="N1118" s="1" t="str">
        <f>_xlfn.XLOOKUP(H1118, risk_score!A:A, risk_score!B:B, 0)</f>
        <v>Low Risk</v>
      </c>
    </row>
    <row r="1119" spans="1:14">
      <c r="A1119" s="2">
        <v>0.46939814814814818</v>
      </c>
      <c r="B1119" s="3">
        <v>44841</v>
      </c>
      <c r="C1119" s="1">
        <v>3529676195</v>
      </c>
      <c r="D1119" s="1">
        <v>410990902</v>
      </c>
      <c r="E1119" s="1">
        <v>6407.78</v>
      </c>
      <c r="F1119" s="1" t="s">
        <v>12</v>
      </c>
      <c r="G1119" s="1" t="s">
        <v>12</v>
      </c>
      <c r="H1119" s="1" t="s">
        <v>13</v>
      </c>
      <c r="I1119" s="1" t="s">
        <v>13</v>
      </c>
      <c r="J1119" s="1" t="s">
        <v>25</v>
      </c>
      <c r="K1119" s="1">
        <v>0</v>
      </c>
      <c r="L1119" s="1" t="s">
        <v>21</v>
      </c>
      <c r="M1119" s="1" t="str">
        <f t="shared" si="17"/>
        <v>Consistent</v>
      </c>
      <c r="N1119" s="1" t="str">
        <f>_xlfn.XLOOKUP(H1119, risk_score!A:A, risk_score!B:B, 0)</f>
        <v>Low Risk</v>
      </c>
    </row>
    <row r="1120" spans="1:14">
      <c r="A1120" s="2">
        <v>0.46942129629629631</v>
      </c>
      <c r="B1120" s="3">
        <v>44841</v>
      </c>
      <c r="C1120" s="1">
        <v>2946146551</v>
      </c>
      <c r="D1120" s="1">
        <v>4336819054</v>
      </c>
      <c r="E1120" s="1">
        <v>451.8</v>
      </c>
      <c r="F1120" s="1" t="s">
        <v>12</v>
      </c>
      <c r="G1120" s="1" t="s">
        <v>12</v>
      </c>
      <c r="H1120" s="1" t="s">
        <v>13</v>
      </c>
      <c r="I1120" s="1" t="s">
        <v>13</v>
      </c>
      <c r="J1120" s="1" t="s">
        <v>25</v>
      </c>
      <c r="K1120" s="1">
        <v>0</v>
      </c>
      <c r="L1120" s="1" t="s">
        <v>21</v>
      </c>
      <c r="M1120" s="1" t="str">
        <f t="shared" si="17"/>
        <v>Consistent</v>
      </c>
      <c r="N1120" s="1" t="str">
        <f>_xlfn.XLOOKUP(H1120, risk_score!A:A, risk_score!B:B, 0)</f>
        <v>Low Risk</v>
      </c>
    </row>
    <row r="1121" spans="1:14">
      <c r="A1121" s="2">
        <v>0.46942129629629631</v>
      </c>
      <c r="B1121" s="3">
        <v>44841</v>
      </c>
      <c r="C1121" s="1">
        <v>922815369</v>
      </c>
      <c r="D1121" s="1">
        <v>9187930371</v>
      </c>
      <c r="E1121" s="1">
        <v>3676.42</v>
      </c>
      <c r="F1121" s="1" t="s">
        <v>12</v>
      </c>
      <c r="G1121" s="1" t="s">
        <v>12</v>
      </c>
      <c r="H1121" s="1" t="s">
        <v>13</v>
      </c>
      <c r="I1121" s="1" t="s">
        <v>13</v>
      </c>
      <c r="J1121" s="1" t="s">
        <v>22</v>
      </c>
      <c r="K1121" s="1">
        <v>0</v>
      </c>
      <c r="L1121" s="1" t="s">
        <v>21</v>
      </c>
      <c r="M1121" s="1" t="str">
        <f t="shared" si="17"/>
        <v>Consistent</v>
      </c>
      <c r="N1121" s="1" t="str">
        <f>_xlfn.XLOOKUP(H1121, risk_score!A:A, risk_score!B:B, 0)</f>
        <v>Low Risk</v>
      </c>
    </row>
    <row r="1122" spans="1:14">
      <c r="A1122" s="2">
        <v>0.46944444444444444</v>
      </c>
      <c r="B1122" s="3">
        <v>44841</v>
      </c>
      <c r="C1122" s="1">
        <v>7669236826</v>
      </c>
      <c r="D1122" s="1">
        <v>9544469020</v>
      </c>
      <c r="E1122" s="1">
        <v>7319.29</v>
      </c>
      <c r="F1122" s="1" t="s">
        <v>12</v>
      </c>
      <c r="G1122" s="1" t="s">
        <v>12</v>
      </c>
      <c r="H1122" s="1" t="s">
        <v>13</v>
      </c>
      <c r="I1122" s="1" t="s">
        <v>13</v>
      </c>
      <c r="J1122" s="1" t="s">
        <v>27</v>
      </c>
      <c r="K1122" s="1">
        <v>0</v>
      </c>
      <c r="L1122" s="1" t="s">
        <v>19</v>
      </c>
      <c r="M1122" s="1" t="str">
        <f t="shared" si="17"/>
        <v>Consistent</v>
      </c>
      <c r="N1122" s="1" t="str">
        <f>_xlfn.XLOOKUP(H1122, risk_score!A:A, risk_score!B:B, 0)</f>
        <v>Low Risk</v>
      </c>
    </row>
    <row r="1123" spans="1:14">
      <c r="A1123" s="2">
        <v>0.46946759259259258</v>
      </c>
      <c r="B1123" s="3">
        <v>44841</v>
      </c>
      <c r="C1123" s="1">
        <v>5074132271</v>
      </c>
      <c r="D1123" s="1">
        <v>5290760855</v>
      </c>
      <c r="E1123" s="1">
        <v>136.49</v>
      </c>
      <c r="F1123" s="1" t="s">
        <v>12</v>
      </c>
      <c r="G1123" s="1" t="s">
        <v>12</v>
      </c>
      <c r="H1123" s="1" t="s">
        <v>13</v>
      </c>
      <c r="I1123" s="1" t="s">
        <v>13</v>
      </c>
      <c r="J1123" s="1" t="s">
        <v>25</v>
      </c>
      <c r="K1123" s="1">
        <v>0</v>
      </c>
      <c r="L1123" s="1" t="s">
        <v>21</v>
      </c>
      <c r="M1123" s="1" t="str">
        <f t="shared" si="17"/>
        <v>Consistent</v>
      </c>
      <c r="N1123" s="1" t="str">
        <f>_xlfn.XLOOKUP(H1123, risk_score!A:A, risk_score!B:B, 0)</f>
        <v>Low Risk</v>
      </c>
    </row>
    <row r="1124" spans="1:14">
      <c r="A1124" s="2">
        <v>0.4695138888888889</v>
      </c>
      <c r="B1124" s="3">
        <v>44841</v>
      </c>
      <c r="C1124" s="1">
        <v>1224012174</v>
      </c>
      <c r="D1124" s="1">
        <v>3383662247</v>
      </c>
      <c r="E1124" s="1">
        <v>1381.34</v>
      </c>
      <c r="F1124" s="1" t="s">
        <v>12</v>
      </c>
      <c r="G1124" s="1" t="s">
        <v>12</v>
      </c>
      <c r="H1124" s="1" t="s">
        <v>13</v>
      </c>
      <c r="I1124" s="1" t="s">
        <v>13</v>
      </c>
      <c r="J1124" s="1" t="s">
        <v>25</v>
      </c>
      <c r="K1124" s="1">
        <v>0</v>
      </c>
      <c r="L1124" s="1" t="s">
        <v>21</v>
      </c>
      <c r="M1124" s="1" t="str">
        <f t="shared" si="17"/>
        <v>Consistent</v>
      </c>
      <c r="N1124" s="1" t="str">
        <f>_xlfn.XLOOKUP(H1124, risk_score!A:A, risk_score!B:B, 0)</f>
        <v>Low Risk</v>
      </c>
    </row>
    <row r="1125" spans="1:14">
      <c r="A1125" s="2">
        <v>0.46954861111111112</v>
      </c>
      <c r="B1125" s="3">
        <v>44841</v>
      </c>
      <c r="C1125" s="1">
        <v>6057444675</v>
      </c>
      <c r="D1125" s="1">
        <v>8861171324</v>
      </c>
      <c r="E1125" s="1">
        <v>10802.03</v>
      </c>
      <c r="F1125" s="1" t="s">
        <v>12</v>
      </c>
      <c r="G1125" s="1" t="s">
        <v>12</v>
      </c>
      <c r="H1125" s="1" t="s">
        <v>13</v>
      </c>
      <c r="I1125" s="1" t="s">
        <v>13</v>
      </c>
      <c r="J1125" s="1" t="s">
        <v>22</v>
      </c>
      <c r="K1125" s="1">
        <v>0</v>
      </c>
      <c r="L1125" s="1" t="s">
        <v>19</v>
      </c>
      <c r="M1125" s="1" t="str">
        <f t="shared" si="17"/>
        <v>Consistent</v>
      </c>
      <c r="N1125" s="1" t="str">
        <f>_xlfn.XLOOKUP(H1125, risk_score!A:A, risk_score!B:B, 0)</f>
        <v>Low Risk</v>
      </c>
    </row>
    <row r="1126" spans="1:14">
      <c r="A1126" s="2">
        <v>0.46957175925925926</v>
      </c>
      <c r="B1126" s="3">
        <v>44841</v>
      </c>
      <c r="C1126" s="1">
        <v>1817675963</v>
      </c>
      <c r="D1126" s="1">
        <v>6646502650</v>
      </c>
      <c r="E1126" s="1">
        <v>14309.19</v>
      </c>
      <c r="F1126" s="1" t="s">
        <v>12</v>
      </c>
      <c r="G1126" s="1" t="s">
        <v>29</v>
      </c>
      <c r="H1126" s="1" t="s">
        <v>13</v>
      </c>
      <c r="I1126" s="1" t="s">
        <v>31</v>
      </c>
      <c r="J1126" s="1" t="s">
        <v>18</v>
      </c>
      <c r="K1126" s="1">
        <v>0</v>
      </c>
      <c r="L1126" s="1" t="s">
        <v>23</v>
      </c>
      <c r="M1126" s="1" t="str">
        <f t="shared" si="17"/>
        <v>Potential Layering</v>
      </c>
      <c r="N1126" s="1" t="str">
        <f>_xlfn.XLOOKUP(H1126, risk_score!A:A, risk_score!B:B, 0)</f>
        <v>Low Risk</v>
      </c>
    </row>
    <row r="1127" spans="1:14">
      <c r="A1127" s="2">
        <v>0.46960648148148149</v>
      </c>
      <c r="B1127" s="3">
        <v>44841</v>
      </c>
      <c r="C1127" s="1">
        <v>6124368301</v>
      </c>
      <c r="D1127" s="1">
        <v>170086039</v>
      </c>
      <c r="E1127" s="1">
        <v>1209.82</v>
      </c>
      <c r="F1127" s="1" t="s">
        <v>12</v>
      </c>
      <c r="G1127" s="1" t="s">
        <v>12</v>
      </c>
      <c r="H1127" s="1" t="s">
        <v>13</v>
      </c>
      <c r="I1127" s="1" t="s">
        <v>13</v>
      </c>
      <c r="J1127" s="1" t="s">
        <v>27</v>
      </c>
      <c r="K1127" s="1">
        <v>0</v>
      </c>
      <c r="L1127" s="1" t="s">
        <v>38</v>
      </c>
      <c r="M1127" s="1" t="str">
        <f t="shared" si="17"/>
        <v>Consistent</v>
      </c>
      <c r="N1127" s="1" t="str">
        <f>_xlfn.XLOOKUP(H1127, risk_score!A:A, risk_score!B:B, 0)</f>
        <v>Low Risk</v>
      </c>
    </row>
    <row r="1128" spans="1:14">
      <c r="A1128" s="2">
        <v>0.46964120370370371</v>
      </c>
      <c r="B1128" s="3">
        <v>44841</v>
      </c>
      <c r="C1128" s="1">
        <v>8465013530</v>
      </c>
      <c r="D1128" s="1">
        <v>2534644942</v>
      </c>
      <c r="E1128" s="1">
        <v>16768.39</v>
      </c>
      <c r="F1128" s="1" t="s">
        <v>12</v>
      </c>
      <c r="G1128" s="1" t="s">
        <v>29</v>
      </c>
      <c r="H1128" s="1" t="s">
        <v>13</v>
      </c>
      <c r="I1128" s="1" t="s">
        <v>31</v>
      </c>
      <c r="J1128" s="1" t="s">
        <v>18</v>
      </c>
      <c r="K1128" s="1">
        <v>0</v>
      </c>
      <c r="L1128" s="1" t="s">
        <v>23</v>
      </c>
      <c r="M1128" s="1" t="str">
        <f t="shared" si="17"/>
        <v>Potential Layering</v>
      </c>
      <c r="N1128" s="1" t="str">
        <f>_xlfn.XLOOKUP(H1128, risk_score!A:A, risk_score!B:B, 0)</f>
        <v>Low Risk</v>
      </c>
    </row>
    <row r="1129" spans="1:14">
      <c r="A1129" s="2">
        <v>0.46969907407407407</v>
      </c>
      <c r="B1129" s="3">
        <v>44841</v>
      </c>
      <c r="C1129" s="1">
        <v>396140622</v>
      </c>
      <c r="D1129" s="1">
        <v>9921675572</v>
      </c>
      <c r="E1129" s="1">
        <v>374.31</v>
      </c>
      <c r="F1129" s="1" t="s">
        <v>12</v>
      </c>
      <c r="G1129" s="1" t="s">
        <v>12</v>
      </c>
      <c r="H1129" s="1" t="s">
        <v>13</v>
      </c>
      <c r="I1129" s="1" t="s">
        <v>13</v>
      </c>
      <c r="J1129" s="1" t="s">
        <v>14</v>
      </c>
      <c r="K1129" s="1">
        <v>0</v>
      </c>
      <c r="L1129" s="1" t="s">
        <v>15</v>
      </c>
      <c r="M1129" s="1" t="str">
        <f t="shared" si="17"/>
        <v>Consistent</v>
      </c>
      <c r="N1129" s="1" t="str">
        <f>_xlfn.XLOOKUP(H1129, risk_score!A:A, risk_score!B:B, 0)</f>
        <v>Low Risk</v>
      </c>
    </row>
    <row r="1130" spans="1:14">
      <c r="A1130" s="2">
        <v>0.46979166666666666</v>
      </c>
      <c r="B1130" s="3">
        <v>44841</v>
      </c>
      <c r="C1130" s="1">
        <v>4139151352</v>
      </c>
      <c r="D1130" s="1">
        <v>8217526210</v>
      </c>
      <c r="E1130" s="1">
        <v>4855.72</v>
      </c>
      <c r="F1130" s="1" t="s">
        <v>12</v>
      </c>
      <c r="G1130" s="1" t="s">
        <v>12</v>
      </c>
      <c r="H1130" s="1" t="s">
        <v>13</v>
      </c>
      <c r="I1130" s="1" t="s">
        <v>13</v>
      </c>
      <c r="J1130" s="1" t="s">
        <v>22</v>
      </c>
      <c r="K1130" s="1">
        <v>0</v>
      </c>
      <c r="L1130" s="1" t="s">
        <v>21</v>
      </c>
      <c r="M1130" s="1" t="str">
        <f t="shared" si="17"/>
        <v>Consistent</v>
      </c>
      <c r="N1130" s="1" t="str">
        <f>_xlfn.XLOOKUP(H1130, risk_score!A:A, risk_score!B:B, 0)</f>
        <v>Low Risk</v>
      </c>
    </row>
    <row r="1131" spans="1:14">
      <c r="A1131" s="2">
        <v>0.4698148148148148</v>
      </c>
      <c r="B1131" s="3">
        <v>44841</v>
      </c>
      <c r="C1131" s="1">
        <v>6057444675</v>
      </c>
      <c r="D1131" s="1">
        <v>8237840407</v>
      </c>
      <c r="E1131" s="1">
        <v>7485.71</v>
      </c>
      <c r="F1131" s="1" t="s">
        <v>12</v>
      </c>
      <c r="G1131" s="1" t="s">
        <v>12</v>
      </c>
      <c r="H1131" s="1" t="s">
        <v>13</v>
      </c>
      <c r="I1131" s="1" t="s">
        <v>13</v>
      </c>
      <c r="J1131" s="1" t="s">
        <v>25</v>
      </c>
      <c r="K1131" s="1">
        <v>0</v>
      </c>
      <c r="L1131" s="1" t="s">
        <v>19</v>
      </c>
      <c r="M1131" s="1" t="str">
        <f t="shared" si="17"/>
        <v>Consistent</v>
      </c>
      <c r="N1131" s="1" t="str">
        <f>_xlfn.XLOOKUP(H1131, risk_score!A:A, risk_score!B:B, 0)</f>
        <v>Low Risk</v>
      </c>
    </row>
    <row r="1132" spans="1:14">
      <c r="A1132" s="2">
        <v>0.46983796296296299</v>
      </c>
      <c r="B1132" s="3">
        <v>44841</v>
      </c>
      <c r="C1132" s="1">
        <v>9442180171</v>
      </c>
      <c r="D1132" s="1">
        <v>6223365730</v>
      </c>
      <c r="E1132" s="1">
        <v>11926.21</v>
      </c>
      <c r="F1132" s="1" t="s">
        <v>12</v>
      </c>
      <c r="G1132" s="1" t="s">
        <v>12</v>
      </c>
      <c r="H1132" s="1" t="s">
        <v>13</v>
      </c>
      <c r="I1132" s="1" t="s">
        <v>13</v>
      </c>
      <c r="J1132" s="1" t="s">
        <v>27</v>
      </c>
      <c r="K1132" s="1">
        <v>0</v>
      </c>
      <c r="L1132" s="1" t="s">
        <v>23</v>
      </c>
      <c r="M1132" s="1" t="str">
        <f t="shared" si="17"/>
        <v>Consistent</v>
      </c>
      <c r="N1132" s="1" t="str">
        <f>_xlfn.XLOOKUP(H1132, risk_score!A:A, risk_score!B:B, 0)</f>
        <v>Low Risk</v>
      </c>
    </row>
    <row r="1133" spans="1:14">
      <c r="A1133" s="2">
        <v>0.46989583333333335</v>
      </c>
      <c r="B1133" s="3">
        <v>44841</v>
      </c>
      <c r="C1133" s="1">
        <v>9195060952</v>
      </c>
      <c r="D1133" s="1">
        <v>4270865741</v>
      </c>
      <c r="E1133" s="1">
        <v>12275.31</v>
      </c>
      <c r="F1133" s="1" t="s">
        <v>12</v>
      </c>
      <c r="G1133" s="1" t="s">
        <v>12</v>
      </c>
      <c r="H1133" s="1" t="s">
        <v>13</v>
      </c>
      <c r="I1133" s="1" t="s">
        <v>13</v>
      </c>
      <c r="J1133" s="1" t="s">
        <v>25</v>
      </c>
      <c r="K1133" s="1">
        <v>0</v>
      </c>
      <c r="L1133" s="1" t="s">
        <v>23</v>
      </c>
      <c r="M1133" s="1" t="str">
        <f t="shared" si="17"/>
        <v>Consistent</v>
      </c>
      <c r="N1133" s="1" t="str">
        <f>_xlfn.XLOOKUP(H1133, risk_score!A:A, risk_score!B:B, 0)</f>
        <v>Low Risk</v>
      </c>
    </row>
    <row r="1134" spans="1:14">
      <c r="A1134" s="2">
        <v>0.46993055555555557</v>
      </c>
      <c r="B1134" s="3">
        <v>44841</v>
      </c>
      <c r="C1134" s="1">
        <v>6413930803</v>
      </c>
      <c r="D1134" s="1">
        <v>6409276743</v>
      </c>
      <c r="E1134" s="1">
        <v>14602.96</v>
      </c>
      <c r="F1134" s="1" t="s">
        <v>12</v>
      </c>
      <c r="G1134" s="1" t="s">
        <v>12</v>
      </c>
      <c r="H1134" s="1" t="s">
        <v>13</v>
      </c>
      <c r="I1134" s="1" t="s">
        <v>13</v>
      </c>
      <c r="J1134" s="1" t="s">
        <v>22</v>
      </c>
      <c r="K1134" s="1">
        <v>0</v>
      </c>
      <c r="L1134" s="1" t="s">
        <v>21</v>
      </c>
      <c r="M1134" s="1" t="str">
        <f t="shared" si="17"/>
        <v>Consistent</v>
      </c>
      <c r="N1134" s="1" t="str">
        <f>_xlfn.XLOOKUP(H1134, risk_score!A:A, risk_score!B:B, 0)</f>
        <v>Low Risk</v>
      </c>
    </row>
    <row r="1135" spans="1:14">
      <c r="A1135" s="2">
        <v>0.46995370370370371</v>
      </c>
      <c r="B1135" s="3">
        <v>44841</v>
      </c>
      <c r="C1135" s="1">
        <v>166015829</v>
      </c>
      <c r="D1135" s="1">
        <v>4185592767</v>
      </c>
      <c r="E1135" s="1">
        <v>3891.48</v>
      </c>
      <c r="F1135" s="1" t="s">
        <v>12</v>
      </c>
      <c r="G1135" s="1" t="s">
        <v>12</v>
      </c>
      <c r="H1135" s="1" t="s">
        <v>13</v>
      </c>
      <c r="I1135" s="1" t="s">
        <v>13</v>
      </c>
      <c r="J1135" s="1" t="s">
        <v>22</v>
      </c>
      <c r="K1135" s="1">
        <v>0</v>
      </c>
      <c r="L1135" s="1" t="s">
        <v>21</v>
      </c>
      <c r="M1135" s="1" t="str">
        <f t="shared" si="17"/>
        <v>Consistent</v>
      </c>
      <c r="N1135" s="1" t="str">
        <f>_xlfn.XLOOKUP(H1135, risk_score!A:A, risk_score!B:B, 0)</f>
        <v>Low Risk</v>
      </c>
    </row>
    <row r="1136" spans="1:14">
      <c r="A1136" s="2">
        <v>0.4699652777777778</v>
      </c>
      <c r="B1136" s="3">
        <v>44841</v>
      </c>
      <c r="C1136" s="1">
        <v>5395048723</v>
      </c>
      <c r="D1136" s="1">
        <v>3013629202</v>
      </c>
      <c r="E1136" s="1">
        <v>287.62</v>
      </c>
      <c r="F1136" s="1" t="s">
        <v>12</v>
      </c>
      <c r="G1136" s="1" t="s">
        <v>12</v>
      </c>
      <c r="H1136" s="1" t="s">
        <v>13</v>
      </c>
      <c r="I1136" s="1" t="s">
        <v>13</v>
      </c>
      <c r="J1136" s="1" t="s">
        <v>36</v>
      </c>
      <c r="K1136" s="1">
        <v>0</v>
      </c>
      <c r="L1136" s="1" t="s">
        <v>37</v>
      </c>
      <c r="M1136" s="1" t="str">
        <f t="shared" si="17"/>
        <v>Consistent</v>
      </c>
      <c r="N1136" s="1" t="str">
        <f>_xlfn.XLOOKUP(H1136, risk_score!A:A, risk_score!B:B, 0)</f>
        <v>Low Risk</v>
      </c>
    </row>
    <row r="1137" spans="1:14">
      <c r="A1137" s="2">
        <v>0.47</v>
      </c>
      <c r="B1137" s="3">
        <v>44841</v>
      </c>
      <c r="C1137" s="1">
        <v>6834477393</v>
      </c>
      <c r="D1137" s="1">
        <v>6444220418</v>
      </c>
      <c r="E1137" s="1">
        <v>8166.92</v>
      </c>
      <c r="F1137" s="1" t="s">
        <v>12</v>
      </c>
      <c r="G1137" s="1" t="s">
        <v>12</v>
      </c>
      <c r="H1137" s="1" t="s">
        <v>13</v>
      </c>
      <c r="I1137" s="1" t="s">
        <v>13</v>
      </c>
      <c r="J1137" s="1" t="s">
        <v>25</v>
      </c>
      <c r="K1137" s="1">
        <v>0</v>
      </c>
      <c r="L1137" s="1" t="s">
        <v>23</v>
      </c>
      <c r="M1137" s="1" t="str">
        <f t="shared" si="17"/>
        <v>Consistent</v>
      </c>
      <c r="N1137" s="1" t="str">
        <f>_xlfn.XLOOKUP(H1137, risk_score!A:A, risk_score!B:B, 0)</f>
        <v>Low Risk</v>
      </c>
    </row>
    <row r="1138" spans="1:14">
      <c r="A1138" s="2">
        <v>0.47001157407407407</v>
      </c>
      <c r="B1138" s="3">
        <v>44841</v>
      </c>
      <c r="C1138" s="1">
        <v>3168051873</v>
      </c>
      <c r="D1138" s="1">
        <v>7611326985</v>
      </c>
      <c r="E1138" s="1">
        <v>4298.88</v>
      </c>
      <c r="F1138" s="1" t="s">
        <v>12</v>
      </c>
      <c r="G1138" s="1" t="s">
        <v>26</v>
      </c>
      <c r="H1138" s="1" t="s">
        <v>13</v>
      </c>
      <c r="I1138" s="1" t="s">
        <v>56</v>
      </c>
      <c r="J1138" s="1" t="s">
        <v>18</v>
      </c>
      <c r="K1138" s="1">
        <v>0</v>
      </c>
      <c r="L1138" s="1" t="s">
        <v>19</v>
      </c>
      <c r="M1138" s="1" t="str">
        <f t="shared" si="17"/>
        <v>Potential Layering</v>
      </c>
      <c r="N1138" s="1" t="str">
        <f>_xlfn.XLOOKUP(H1138, risk_score!A:A, risk_score!B:B, 0)</f>
        <v>Low Risk</v>
      </c>
    </row>
    <row r="1139" spans="1:14">
      <c r="A1139" s="2">
        <v>0.4700347222222222</v>
      </c>
      <c r="B1139" s="3">
        <v>44841</v>
      </c>
      <c r="C1139" s="1">
        <v>4994594454</v>
      </c>
      <c r="D1139" s="1">
        <v>6849298455</v>
      </c>
      <c r="E1139" s="1">
        <v>290.39999999999998</v>
      </c>
      <c r="F1139" s="1" t="s">
        <v>12</v>
      </c>
      <c r="G1139" s="1" t="s">
        <v>12</v>
      </c>
      <c r="H1139" s="1" t="s">
        <v>13</v>
      </c>
      <c r="I1139" s="1" t="s">
        <v>13</v>
      </c>
      <c r="J1139" s="1" t="s">
        <v>20</v>
      </c>
      <c r="K1139" s="1">
        <v>0</v>
      </c>
      <c r="L1139" s="1" t="s">
        <v>21</v>
      </c>
      <c r="M1139" s="1" t="str">
        <f t="shared" si="17"/>
        <v>Consistent</v>
      </c>
      <c r="N1139" s="1" t="str">
        <f>_xlfn.XLOOKUP(H1139, risk_score!A:A, risk_score!B:B, 0)</f>
        <v>Low Risk</v>
      </c>
    </row>
    <row r="1140" spans="1:14">
      <c r="A1140" s="2">
        <v>0.4700347222222222</v>
      </c>
      <c r="B1140" s="3">
        <v>44841</v>
      </c>
      <c r="C1140" s="1">
        <v>8519589873</v>
      </c>
      <c r="D1140" s="1">
        <v>5775263176</v>
      </c>
      <c r="E1140" s="1">
        <v>11357.6</v>
      </c>
      <c r="F1140" s="1" t="s">
        <v>12</v>
      </c>
      <c r="G1140" s="1" t="s">
        <v>12</v>
      </c>
      <c r="H1140" s="1" t="s">
        <v>13</v>
      </c>
      <c r="I1140" s="1" t="s">
        <v>13</v>
      </c>
      <c r="J1140" s="1" t="s">
        <v>27</v>
      </c>
      <c r="K1140" s="1">
        <v>0</v>
      </c>
      <c r="L1140" s="1" t="s">
        <v>49</v>
      </c>
      <c r="M1140" s="1" t="str">
        <f t="shared" si="17"/>
        <v>Consistent</v>
      </c>
      <c r="N1140" s="1" t="str">
        <f>_xlfn.XLOOKUP(H1140, risk_score!A:A, risk_score!B:B, 0)</f>
        <v>Low Risk</v>
      </c>
    </row>
    <row r="1141" spans="1:14">
      <c r="A1141" s="2">
        <v>0.47010416666666666</v>
      </c>
      <c r="B1141" s="3">
        <v>44841</v>
      </c>
      <c r="C1141" s="1">
        <v>1382513766</v>
      </c>
      <c r="D1141" s="1">
        <v>6444220418</v>
      </c>
      <c r="E1141" s="1">
        <v>8530.3700000000008</v>
      </c>
      <c r="F1141" s="1" t="s">
        <v>12</v>
      </c>
      <c r="G1141" s="1" t="s">
        <v>12</v>
      </c>
      <c r="H1141" s="1" t="s">
        <v>13</v>
      </c>
      <c r="I1141" s="1" t="s">
        <v>13</v>
      </c>
      <c r="J1141" s="1" t="s">
        <v>20</v>
      </c>
      <c r="K1141" s="1">
        <v>0</v>
      </c>
      <c r="L1141" s="1" t="s">
        <v>23</v>
      </c>
      <c r="M1141" s="1" t="str">
        <f t="shared" si="17"/>
        <v>Consistent</v>
      </c>
      <c r="N1141" s="1" t="str">
        <f>_xlfn.XLOOKUP(H1141, risk_score!A:A, risk_score!B:B, 0)</f>
        <v>Low Risk</v>
      </c>
    </row>
    <row r="1142" spans="1:14">
      <c r="A1142" s="2">
        <v>0.47011574074074075</v>
      </c>
      <c r="B1142" s="3">
        <v>44841</v>
      </c>
      <c r="C1142" s="1">
        <v>3896145797</v>
      </c>
      <c r="D1142" s="1">
        <v>2748710907</v>
      </c>
      <c r="E1142" s="1">
        <v>164.42</v>
      </c>
      <c r="F1142" s="1" t="s">
        <v>12</v>
      </c>
      <c r="G1142" s="1" t="s">
        <v>12</v>
      </c>
      <c r="H1142" s="1" t="s">
        <v>13</v>
      </c>
      <c r="I1142" s="1" t="s">
        <v>13</v>
      </c>
      <c r="J1142" s="1" t="s">
        <v>22</v>
      </c>
      <c r="K1142" s="1">
        <v>0</v>
      </c>
      <c r="L1142" s="1" t="s">
        <v>21</v>
      </c>
      <c r="M1142" s="1" t="str">
        <f t="shared" si="17"/>
        <v>Consistent</v>
      </c>
      <c r="N1142" s="1" t="str">
        <f>_xlfn.XLOOKUP(H1142, risk_score!A:A, risk_score!B:B, 0)</f>
        <v>Low Risk</v>
      </c>
    </row>
    <row r="1143" spans="1:14">
      <c r="A1143" s="2">
        <v>0.47020833333333334</v>
      </c>
      <c r="B1143" s="3">
        <v>44841</v>
      </c>
      <c r="C1143" s="1">
        <v>5188677620</v>
      </c>
      <c r="D1143" s="1">
        <v>8172080174</v>
      </c>
      <c r="E1143" s="1">
        <v>7895.65</v>
      </c>
      <c r="F1143" s="1" t="s">
        <v>12</v>
      </c>
      <c r="G1143" s="1" t="s">
        <v>12</v>
      </c>
      <c r="H1143" s="1" t="s">
        <v>13</v>
      </c>
      <c r="I1143" s="1" t="s">
        <v>13</v>
      </c>
      <c r="J1143" s="1" t="s">
        <v>27</v>
      </c>
      <c r="K1143" s="1">
        <v>0</v>
      </c>
      <c r="L1143" s="1" t="s">
        <v>23</v>
      </c>
      <c r="M1143" s="1" t="str">
        <f t="shared" si="17"/>
        <v>Consistent</v>
      </c>
      <c r="N1143" s="1" t="str">
        <f>_xlfn.XLOOKUP(H1143, risk_score!A:A, risk_score!B:B, 0)</f>
        <v>Low Risk</v>
      </c>
    </row>
    <row r="1144" spans="1:14">
      <c r="A1144" s="2">
        <v>0.47023148148148147</v>
      </c>
      <c r="B1144" s="3">
        <v>44841</v>
      </c>
      <c r="C1144" s="1">
        <v>8201605808</v>
      </c>
      <c r="D1144" s="1">
        <v>9600420220</v>
      </c>
      <c r="E1144" s="1">
        <v>7261.89</v>
      </c>
      <c r="F1144" s="1" t="s">
        <v>12</v>
      </c>
      <c r="G1144" s="1" t="s">
        <v>12</v>
      </c>
      <c r="H1144" s="1" t="s">
        <v>13</v>
      </c>
      <c r="I1144" s="1" t="s">
        <v>13</v>
      </c>
      <c r="J1144" s="1" t="s">
        <v>27</v>
      </c>
      <c r="K1144" s="1">
        <v>0</v>
      </c>
      <c r="L1144" s="1" t="s">
        <v>23</v>
      </c>
      <c r="M1144" s="1" t="str">
        <f t="shared" si="17"/>
        <v>Consistent</v>
      </c>
      <c r="N1144" s="1" t="str">
        <f>_xlfn.XLOOKUP(H1144, risk_score!A:A, risk_score!B:B, 0)</f>
        <v>Low Risk</v>
      </c>
    </row>
    <row r="1145" spans="1:14">
      <c r="A1145" s="2">
        <v>0.47024305555555557</v>
      </c>
      <c r="B1145" s="3">
        <v>44841</v>
      </c>
      <c r="C1145" s="1">
        <v>4059338874</v>
      </c>
      <c r="D1145" s="1">
        <v>1117735790</v>
      </c>
      <c r="E1145" s="1">
        <v>752.61</v>
      </c>
      <c r="F1145" s="1" t="s">
        <v>12</v>
      </c>
      <c r="G1145" s="1" t="s">
        <v>12</v>
      </c>
      <c r="H1145" s="1" t="s">
        <v>13</v>
      </c>
      <c r="I1145" s="1" t="s">
        <v>13</v>
      </c>
      <c r="J1145" s="1" t="s">
        <v>14</v>
      </c>
      <c r="K1145" s="1">
        <v>0</v>
      </c>
      <c r="L1145" s="1" t="s">
        <v>15</v>
      </c>
      <c r="M1145" s="1" t="str">
        <f t="shared" si="17"/>
        <v>Consistent</v>
      </c>
      <c r="N1145" s="1" t="str">
        <f>_xlfn.XLOOKUP(H1145, risk_score!A:A, risk_score!B:B, 0)</f>
        <v>Low Risk</v>
      </c>
    </row>
    <row r="1146" spans="1:14">
      <c r="A1146" s="2">
        <v>0.47035879629629629</v>
      </c>
      <c r="B1146" s="3">
        <v>44841</v>
      </c>
      <c r="C1146" s="1">
        <v>852237169</v>
      </c>
      <c r="D1146" s="1">
        <v>5748489103</v>
      </c>
      <c r="E1146" s="1">
        <v>11278.46</v>
      </c>
      <c r="F1146" s="1" t="s">
        <v>12</v>
      </c>
      <c r="G1146" s="1" t="s">
        <v>12</v>
      </c>
      <c r="H1146" s="1" t="s">
        <v>13</v>
      </c>
      <c r="I1146" s="1" t="s">
        <v>13</v>
      </c>
      <c r="J1146" s="1" t="s">
        <v>20</v>
      </c>
      <c r="K1146" s="1">
        <v>0</v>
      </c>
      <c r="L1146" s="1" t="s">
        <v>24</v>
      </c>
      <c r="M1146" s="1" t="str">
        <f t="shared" si="17"/>
        <v>Consistent</v>
      </c>
      <c r="N1146" s="1" t="str">
        <f>_xlfn.XLOOKUP(H1146, risk_score!A:A, risk_score!B:B, 0)</f>
        <v>Low Risk</v>
      </c>
    </row>
    <row r="1147" spans="1:14">
      <c r="A1147" s="2">
        <v>0.47038194444444442</v>
      </c>
      <c r="B1147" s="3">
        <v>44841</v>
      </c>
      <c r="C1147" s="1">
        <v>5021785800</v>
      </c>
      <c r="D1147" s="1">
        <v>4135708880</v>
      </c>
      <c r="E1147" s="1">
        <v>7782.37</v>
      </c>
      <c r="F1147" s="1" t="s">
        <v>12</v>
      </c>
      <c r="G1147" s="1" t="s">
        <v>12</v>
      </c>
      <c r="H1147" s="1" t="s">
        <v>13</v>
      </c>
      <c r="I1147" s="1" t="s">
        <v>13</v>
      </c>
      <c r="J1147" s="1" t="s">
        <v>22</v>
      </c>
      <c r="K1147" s="1">
        <v>0</v>
      </c>
      <c r="L1147" s="1" t="s">
        <v>19</v>
      </c>
      <c r="M1147" s="1" t="str">
        <f t="shared" si="17"/>
        <v>Consistent</v>
      </c>
      <c r="N1147" s="1" t="str">
        <f>_xlfn.XLOOKUP(H1147, risk_score!A:A, risk_score!B:B, 0)</f>
        <v>Low Risk</v>
      </c>
    </row>
    <row r="1148" spans="1:14">
      <c r="A1148" s="2">
        <v>0.47043981481481484</v>
      </c>
      <c r="B1148" s="3">
        <v>44841</v>
      </c>
      <c r="C1148" s="1">
        <v>4788624750</v>
      </c>
      <c r="D1148" s="1">
        <v>4967318432</v>
      </c>
      <c r="E1148" s="1">
        <v>470.71</v>
      </c>
      <c r="F1148" s="1" t="s">
        <v>12</v>
      </c>
      <c r="G1148" s="1" t="s">
        <v>12</v>
      </c>
      <c r="H1148" s="1" t="s">
        <v>13</v>
      </c>
      <c r="I1148" s="1" t="s">
        <v>13</v>
      </c>
      <c r="J1148" s="1" t="s">
        <v>25</v>
      </c>
      <c r="K1148" s="1">
        <v>0</v>
      </c>
      <c r="L1148" s="1" t="s">
        <v>21</v>
      </c>
      <c r="M1148" s="1" t="str">
        <f t="shared" si="17"/>
        <v>Consistent</v>
      </c>
      <c r="N1148" s="1" t="str">
        <f>_xlfn.XLOOKUP(H1148, risk_score!A:A, risk_score!B:B, 0)</f>
        <v>Low Risk</v>
      </c>
    </row>
    <row r="1149" spans="1:14">
      <c r="A1149" s="2">
        <v>0.47055555555555556</v>
      </c>
      <c r="B1149" s="3">
        <v>44841</v>
      </c>
      <c r="C1149" s="1">
        <v>8121014003</v>
      </c>
      <c r="D1149" s="1">
        <v>1316458123</v>
      </c>
      <c r="E1149" s="1">
        <v>6451.27</v>
      </c>
      <c r="F1149" s="1" t="s">
        <v>12</v>
      </c>
      <c r="G1149" s="1" t="s">
        <v>34</v>
      </c>
      <c r="H1149" s="1" t="s">
        <v>13</v>
      </c>
      <c r="I1149" s="1" t="s">
        <v>35</v>
      </c>
      <c r="J1149" s="1" t="s">
        <v>18</v>
      </c>
      <c r="K1149" s="1">
        <v>0</v>
      </c>
      <c r="L1149" s="1" t="s">
        <v>23</v>
      </c>
      <c r="M1149" s="1" t="str">
        <f t="shared" si="17"/>
        <v>Potential Layering</v>
      </c>
      <c r="N1149" s="1" t="str">
        <f>_xlfn.XLOOKUP(H1149, risk_score!A:A, risk_score!B:B, 0)</f>
        <v>Low Risk</v>
      </c>
    </row>
    <row r="1150" spans="1:14">
      <c r="A1150" s="2">
        <v>0.47060185185185183</v>
      </c>
      <c r="B1150" s="3">
        <v>44841</v>
      </c>
      <c r="C1150" s="1">
        <v>8389148416</v>
      </c>
      <c r="D1150" s="1">
        <v>2392468436</v>
      </c>
      <c r="E1150" s="1">
        <v>15873.34</v>
      </c>
      <c r="F1150" s="1" t="s">
        <v>12</v>
      </c>
      <c r="G1150" s="1" t="s">
        <v>12</v>
      </c>
      <c r="H1150" s="1" t="s">
        <v>13</v>
      </c>
      <c r="I1150" s="1" t="s">
        <v>13</v>
      </c>
      <c r="J1150" s="1" t="s">
        <v>25</v>
      </c>
      <c r="K1150" s="1">
        <v>0</v>
      </c>
      <c r="L1150" s="1" t="s">
        <v>19</v>
      </c>
      <c r="M1150" s="1" t="str">
        <f t="shared" si="17"/>
        <v>Consistent</v>
      </c>
      <c r="N1150" s="1" t="str">
        <f>_xlfn.XLOOKUP(H1150, risk_score!A:A, risk_score!B:B, 0)</f>
        <v>Low Risk</v>
      </c>
    </row>
    <row r="1151" spans="1:14">
      <c r="A1151" s="2">
        <v>0.47062500000000002</v>
      </c>
      <c r="B1151" s="3">
        <v>44841</v>
      </c>
      <c r="C1151" s="1">
        <v>4256692934</v>
      </c>
      <c r="D1151" s="1">
        <v>7715749367</v>
      </c>
      <c r="E1151" s="1">
        <v>788.4</v>
      </c>
      <c r="F1151" s="1" t="s">
        <v>12</v>
      </c>
      <c r="G1151" s="1" t="s">
        <v>12</v>
      </c>
      <c r="H1151" s="1" t="s">
        <v>13</v>
      </c>
      <c r="I1151" s="1" t="s">
        <v>13</v>
      </c>
      <c r="J1151" s="1" t="s">
        <v>25</v>
      </c>
      <c r="K1151" s="1">
        <v>0</v>
      </c>
      <c r="L1151" s="1" t="s">
        <v>21</v>
      </c>
      <c r="M1151" s="1" t="str">
        <f t="shared" si="17"/>
        <v>Consistent</v>
      </c>
      <c r="N1151" s="1" t="str">
        <f>_xlfn.XLOOKUP(H1151, risk_score!A:A, risk_score!B:B, 0)</f>
        <v>Low Risk</v>
      </c>
    </row>
    <row r="1152" spans="1:14">
      <c r="A1152" s="2">
        <v>0.47065972222222224</v>
      </c>
      <c r="B1152" s="3">
        <v>44841</v>
      </c>
      <c r="C1152" s="1">
        <v>5264015348</v>
      </c>
      <c r="D1152" s="1">
        <v>6646502650</v>
      </c>
      <c r="E1152" s="1">
        <v>8451.6299999999992</v>
      </c>
      <c r="F1152" s="1" t="s">
        <v>12</v>
      </c>
      <c r="G1152" s="1" t="s">
        <v>29</v>
      </c>
      <c r="H1152" s="1" t="s">
        <v>13</v>
      </c>
      <c r="I1152" s="1" t="s">
        <v>31</v>
      </c>
      <c r="J1152" s="1" t="s">
        <v>18</v>
      </c>
      <c r="K1152" s="1">
        <v>0</v>
      </c>
      <c r="L1152" s="1" t="s">
        <v>23</v>
      </c>
      <c r="M1152" s="1" t="str">
        <f t="shared" si="17"/>
        <v>Potential Layering</v>
      </c>
      <c r="N1152" s="1" t="str">
        <f>_xlfn.XLOOKUP(H1152, risk_score!A:A, risk_score!B:B, 0)</f>
        <v>Low Risk</v>
      </c>
    </row>
    <row r="1153" spans="1:14">
      <c r="A1153" s="2">
        <v>0.47067129629629628</v>
      </c>
      <c r="B1153" s="3">
        <v>44841</v>
      </c>
      <c r="C1153" s="1">
        <v>2242627172</v>
      </c>
      <c r="D1153" s="1">
        <v>6077418943</v>
      </c>
      <c r="E1153" s="1">
        <v>373.49</v>
      </c>
      <c r="F1153" s="1" t="s">
        <v>12</v>
      </c>
      <c r="G1153" s="1" t="s">
        <v>12</v>
      </c>
      <c r="H1153" s="1" t="s">
        <v>13</v>
      </c>
      <c r="I1153" s="1" t="s">
        <v>13</v>
      </c>
      <c r="J1153" s="1" t="s">
        <v>25</v>
      </c>
      <c r="K1153" s="1">
        <v>0</v>
      </c>
      <c r="L1153" s="1" t="s">
        <v>21</v>
      </c>
      <c r="M1153" s="1" t="str">
        <f t="shared" si="17"/>
        <v>Consistent</v>
      </c>
      <c r="N1153" s="1" t="str">
        <f>_xlfn.XLOOKUP(H1153, risk_score!A:A, risk_score!B:B, 0)</f>
        <v>Low Risk</v>
      </c>
    </row>
    <row r="1154" spans="1:14">
      <c r="A1154" s="2">
        <v>0.47068287037037038</v>
      </c>
      <c r="B1154" s="3">
        <v>44841</v>
      </c>
      <c r="C1154" s="1">
        <v>787064572</v>
      </c>
      <c r="D1154" s="1">
        <v>6034997194</v>
      </c>
      <c r="E1154" s="1">
        <v>7061.09</v>
      </c>
      <c r="F1154" s="1" t="s">
        <v>12</v>
      </c>
      <c r="G1154" s="1" t="s">
        <v>12</v>
      </c>
      <c r="H1154" s="1" t="s">
        <v>13</v>
      </c>
      <c r="I1154" s="1" t="s">
        <v>13</v>
      </c>
      <c r="J1154" s="1" t="s">
        <v>22</v>
      </c>
      <c r="K1154" s="1">
        <v>0</v>
      </c>
      <c r="L1154" s="1" t="s">
        <v>23</v>
      </c>
      <c r="M1154" s="1" t="str">
        <f t="shared" si="17"/>
        <v>Consistent</v>
      </c>
      <c r="N1154" s="1" t="str">
        <f>_xlfn.XLOOKUP(H1154, risk_score!A:A, risk_score!B:B, 0)</f>
        <v>Low Risk</v>
      </c>
    </row>
    <row r="1155" spans="1:14">
      <c r="A1155" s="2">
        <v>0.47070601851851851</v>
      </c>
      <c r="B1155" s="3">
        <v>44841</v>
      </c>
      <c r="C1155" s="1">
        <v>2484231014</v>
      </c>
      <c r="D1155" s="1">
        <v>1465487567</v>
      </c>
      <c r="E1155" s="1">
        <v>7266.37</v>
      </c>
      <c r="F1155" s="1" t="s">
        <v>12</v>
      </c>
      <c r="G1155" s="1" t="s">
        <v>12</v>
      </c>
      <c r="H1155" s="1" t="s">
        <v>13</v>
      </c>
      <c r="I1155" s="1" t="s">
        <v>13</v>
      </c>
      <c r="J1155" s="1" t="s">
        <v>27</v>
      </c>
      <c r="K1155" s="1">
        <v>0</v>
      </c>
      <c r="L1155" s="1" t="s">
        <v>23</v>
      </c>
      <c r="M1155" s="1" t="str">
        <f t="shared" ref="M1155:M1218" si="18">IF(F1155=G1155, "Consistent", "Potential Layering")</f>
        <v>Consistent</v>
      </c>
      <c r="N1155" s="1" t="str">
        <f>_xlfn.XLOOKUP(H1155, risk_score!A:A, risk_score!B:B, 0)</f>
        <v>Low Risk</v>
      </c>
    </row>
    <row r="1156" spans="1:14">
      <c r="A1156" s="2">
        <v>0.47072916666666664</v>
      </c>
      <c r="B1156" s="3">
        <v>44841</v>
      </c>
      <c r="C1156" s="1">
        <v>7391973347</v>
      </c>
      <c r="D1156" s="1">
        <v>3339772548</v>
      </c>
      <c r="E1156" s="1">
        <v>118.83</v>
      </c>
      <c r="F1156" s="1" t="s">
        <v>12</v>
      </c>
      <c r="G1156" s="1" t="s">
        <v>29</v>
      </c>
      <c r="H1156" s="1" t="s">
        <v>13</v>
      </c>
      <c r="I1156" s="1" t="s">
        <v>55</v>
      </c>
      <c r="J1156" s="1" t="s">
        <v>18</v>
      </c>
      <c r="K1156" s="1">
        <v>0</v>
      </c>
      <c r="L1156" s="1" t="s">
        <v>37</v>
      </c>
      <c r="M1156" s="1" t="str">
        <f t="shared" si="18"/>
        <v>Potential Layering</v>
      </c>
      <c r="N1156" s="1" t="str">
        <f>_xlfn.XLOOKUP(H1156, risk_score!A:A, risk_score!B:B, 0)</f>
        <v>Low Risk</v>
      </c>
    </row>
    <row r="1157" spans="1:14">
      <c r="A1157" s="2">
        <v>0.47076388888888887</v>
      </c>
      <c r="B1157" s="3">
        <v>44841</v>
      </c>
      <c r="C1157" s="1">
        <v>6630041445</v>
      </c>
      <c r="D1157" s="1">
        <v>1316458123</v>
      </c>
      <c r="E1157" s="1">
        <v>12801.57</v>
      </c>
      <c r="F1157" s="1" t="s">
        <v>12</v>
      </c>
      <c r="G1157" s="1" t="s">
        <v>34</v>
      </c>
      <c r="H1157" s="1" t="s">
        <v>13</v>
      </c>
      <c r="I1157" s="1" t="s">
        <v>35</v>
      </c>
      <c r="J1157" s="1" t="s">
        <v>18</v>
      </c>
      <c r="K1157" s="1">
        <v>0</v>
      </c>
      <c r="L1157" s="1" t="s">
        <v>23</v>
      </c>
      <c r="M1157" s="1" t="str">
        <f t="shared" si="18"/>
        <v>Potential Layering</v>
      </c>
      <c r="N1157" s="1" t="str">
        <f>_xlfn.XLOOKUP(H1157, risk_score!A:A, risk_score!B:B, 0)</f>
        <v>Low Risk</v>
      </c>
    </row>
    <row r="1158" spans="1:14">
      <c r="A1158" s="2">
        <v>0.47083333333333333</v>
      </c>
      <c r="B1158" s="3">
        <v>44841</v>
      </c>
      <c r="C1158" s="1">
        <v>3254720589</v>
      </c>
      <c r="D1158" s="1">
        <v>8804997596</v>
      </c>
      <c r="E1158" s="1">
        <v>5851.03</v>
      </c>
      <c r="F1158" s="1" t="s">
        <v>12</v>
      </c>
      <c r="G1158" s="1" t="s">
        <v>12</v>
      </c>
      <c r="H1158" s="1" t="s">
        <v>13</v>
      </c>
      <c r="I1158" s="1" t="s">
        <v>13</v>
      </c>
      <c r="J1158" s="1" t="s">
        <v>20</v>
      </c>
      <c r="K1158" s="1">
        <v>0</v>
      </c>
      <c r="L1158" s="1" t="s">
        <v>21</v>
      </c>
      <c r="M1158" s="1" t="str">
        <f t="shared" si="18"/>
        <v>Consistent</v>
      </c>
      <c r="N1158" s="1" t="str">
        <f>_xlfn.XLOOKUP(H1158, risk_score!A:A, risk_score!B:B, 0)</f>
        <v>Low Risk</v>
      </c>
    </row>
    <row r="1159" spans="1:14">
      <c r="A1159" s="2">
        <v>0.47087962962962965</v>
      </c>
      <c r="B1159" s="3">
        <v>44841</v>
      </c>
      <c r="C1159" s="1">
        <v>7758268667</v>
      </c>
      <c r="D1159" s="1">
        <v>5660302132</v>
      </c>
      <c r="E1159" s="1">
        <v>5083.33</v>
      </c>
      <c r="F1159" s="1" t="s">
        <v>12</v>
      </c>
      <c r="G1159" s="1" t="s">
        <v>12</v>
      </c>
      <c r="H1159" s="1" t="s">
        <v>13</v>
      </c>
      <c r="I1159" s="1" t="s">
        <v>13</v>
      </c>
      <c r="J1159" s="1" t="s">
        <v>27</v>
      </c>
      <c r="K1159" s="1">
        <v>0</v>
      </c>
      <c r="L1159" s="1" t="s">
        <v>19</v>
      </c>
      <c r="M1159" s="1" t="str">
        <f t="shared" si="18"/>
        <v>Consistent</v>
      </c>
      <c r="N1159" s="1" t="str">
        <f>_xlfn.XLOOKUP(H1159, risk_score!A:A, risk_score!B:B, 0)</f>
        <v>Low Risk</v>
      </c>
    </row>
    <row r="1160" spans="1:14">
      <c r="A1160" s="2">
        <v>0.47090277777777778</v>
      </c>
      <c r="B1160" s="3">
        <v>44841</v>
      </c>
      <c r="C1160" s="1">
        <v>7497361323</v>
      </c>
      <c r="D1160" s="1">
        <v>1531726841</v>
      </c>
      <c r="E1160" s="1">
        <v>60.08</v>
      </c>
      <c r="F1160" s="1" t="s">
        <v>12</v>
      </c>
      <c r="G1160" s="1" t="s">
        <v>12</v>
      </c>
      <c r="H1160" s="1" t="s">
        <v>13</v>
      </c>
      <c r="I1160" s="1" t="s">
        <v>13</v>
      </c>
      <c r="J1160" s="1" t="s">
        <v>36</v>
      </c>
      <c r="K1160" s="1">
        <v>0</v>
      </c>
      <c r="L1160" s="1" t="s">
        <v>37</v>
      </c>
      <c r="M1160" s="1" t="str">
        <f t="shared" si="18"/>
        <v>Consistent</v>
      </c>
      <c r="N1160" s="1" t="str">
        <f>_xlfn.XLOOKUP(H1160, risk_score!A:A, risk_score!B:B, 0)</f>
        <v>Low Risk</v>
      </c>
    </row>
    <row r="1161" spans="1:14">
      <c r="A1161" s="2">
        <v>0.47093750000000001</v>
      </c>
      <c r="B1161" s="3">
        <v>44841</v>
      </c>
      <c r="C1161" s="1">
        <v>1706196950</v>
      </c>
      <c r="D1161" s="1">
        <v>3695545812</v>
      </c>
      <c r="E1161" s="1">
        <v>4890.95</v>
      </c>
      <c r="F1161" s="1" t="s">
        <v>12</v>
      </c>
      <c r="G1161" s="1" t="s">
        <v>12</v>
      </c>
      <c r="H1161" s="1" t="s">
        <v>13</v>
      </c>
      <c r="I1161" s="1" t="s">
        <v>13</v>
      </c>
      <c r="J1161" s="1" t="s">
        <v>27</v>
      </c>
      <c r="K1161" s="1">
        <v>0</v>
      </c>
      <c r="L1161" s="1" t="s">
        <v>23</v>
      </c>
      <c r="M1161" s="1" t="str">
        <f t="shared" si="18"/>
        <v>Consistent</v>
      </c>
      <c r="N1161" s="1" t="str">
        <f>_xlfn.XLOOKUP(H1161, risk_score!A:A, risk_score!B:B, 0)</f>
        <v>Low Risk</v>
      </c>
    </row>
    <row r="1162" spans="1:14">
      <c r="A1162" s="2">
        <v>0.47094907407407405</v>
      </c>
      <c r="B1162" s="3">
        <v>44841</v>
      </c>
      <c r="C1162" s="1">
        <v>1999169946</v>
      </c>
      <c r="D1162" s="1">
        <v>791543661</v>
      </c>
      <c r="E1162" s="1">
        <v>718.79</v>
      </c>
      <c r="F1162" s="1" t="s">
        <v>12</v>
      </c>
      <c r="G1162" s="1" t="s">
        <v>12</v>
      </c>
      <c r="H1162" s="1" t="s">
        <v>13</v>
      </c>
      <c r="I1162" s="1" t="s">
        <v>13</v>
      </c>
      <c r="J1162" s="1" t="s">
        <v>27</v>
      </c>
      <c r="K1162" s="1">
        <v>0</v>
      </c>
      <c r="L1162" s="1" t="s">
        <v>21</v>
      </c>
      <c r="M1162" s="1" t="str">
        <f t="shared" si="18"/>
        <v>Consistent</v>
      </c>
      <c r="N1162" s="1" t="str">
        <f>_xlfn.XLOOKUP(H1162, risk_score!A:A, risk_score!B:B, 0)</f>
        <v>Low Risk</v>
      </c>
    </row>
    <row r="1163" spans="1:14">
      <c r="A1163" s="2">
        <v>0.47096064814814814</v>
      </c>
      <c r="B1163" s="3">
        <v>44841</v>
      </c>
      <c r="C1163" s="1">
        <v>6086421020</v>
      </c>
      <c r="D1163" s="1">
        <v>8140432476</v>
      </c>
      <c r="E1163" s="1">
        <v>7878.22</v>
      </c>
      <c r="F1163" s="1" t="s">
        <v>12</v>
      </c>
      <c r="G1163" s="1" t="s">
        <v>12</v>
      </c>
      <c r="H1163" s="1" t="s">
        <v>13</v>
      </c>
      <c r="I1163" s="1" t="s">
        <v>13</v>
      </c>
      <c r="J1163" s="1" t="s">
        <v>22</v>
      </c>
      <c r="K1163" s="1">
        <v>0</v>
      </c>
      <c r="L1163" s="1" t="s">
        <v>19</v>
      </c>
      <c r="M1163" s="1" t="str">
        <f t="shared" si="18"/>
        <v>Consistent</v>
      </c>
      <c r="N1163" s="1" t="str">
        <f>_xlfn.XLOOKUP(H1163, risk_score!A:A, risk_score!B:B, 0)</f>
        <v>Low Risk</v>
      </c>
    </row>
    <row r="1164" spans="1:14">
      <c r="A1164" s="2">
        <v>0.47097222222222224</v>
      </c>
      <c r="B1164" s="3">
        <v>44841</v>
      </c>
      <c r="C1164" s="1">
        <v>7758268667</v>
      </c>
      <c r="D1164" s="1">
        <v>7505089539</v>
      </c>
      <c r="E1164" s="1">
        <v>8475.6299999999992</v>
      </c>
      <c r="F1164" s="1" t="s">
        <v>12</v>
      </c>
      <c r="G1164" s="1" t="s">
        <v>12</v>
      </c>
      <c r="H1164" s="1" t="s">
        <v>13</v>
      </c>
      <c r="I1164" s="1" t="s">
        <v>13</v>
      </c>
      <c r="J1164" s="1" t="s">
        <v>25</v>
      </c>
      <c r="K1164" s="1">
        <v>0</v>
      </c>
      <c r="L1164" s="1" t="s">
        <v>19</v>
      </c>
      <c r="M1164" s="1" t="str">
        <f t="shared" si="18"/>
        <v>Consistent</v>
      </c>
      <c r="N1164" s="1" t="str">
        <f>_xlfn.XLOOKUP(H1164, risk_score!A:A, risk_score!B:B, 0)</f>
        <v>Low Risk</v>
      </c>
    </row>
    <row r="1165" spans="1:14">
      <c r="A1165" s="2">
        <v>0.47098379629629628</v>
      </c>
      <c r="B1165" s="3">
        <v>44841</v>
      </c>
      <c r="C1165" s="1">
        <v>6598028529</v>
      </c>
      <c r="D1165" s="1">
        <v>8589673226</v>
      </c>
      <c r="E1165" s="1">
        <v>399.25</v>
      </c>
      <c r="F1165" s="1" t="s">
        <v>12</v>
      </c>
      <c r="G1165" s="1" t="s">
        <v>12</v>
      </c>
      <c r="H1165" s="1" t="s">
        <v>13</v>
      </c>
      <c r="I1165" s="1" t="s">
        <v>13</v>
      </c>
      <c r="J1165" s="1" t="s">
        <v>22</v>
      </c>
      <c r="K1165" s="1">
        <v>0</v>
      </c>
      <c r="L1165" s="1" t="s">
        <v>21</v>
      </c>
      <c r="M1165" s="1" t="str">
        <f t="shared" si="18"/>
        <v>Consistent</v>
      </c>
      <c r="N1165" s="1" t="str">
        <f>_xlfn.XLOOKUP(H1165, risk_score!A:A, risk_score!B:B, 0)</f>
        <v>Low Risk</v>
      </c>
    </row>
    <row r="1166" spans="1:14">
      <c r="A1166" s="2">
        <v>0.47099537037037037</v>
      </c>
      <c r="B1166" s="3">
        <v>44841</v>
      </c>
      <c r="C1166" s="1">
        <v>4922814117</v>
      </c>
      <c r="D1166" s="1">
        <v>3690749166</v>
      </c>
      <c r="E1166" s="1">
        <v>613.41</v>
      </c>
      <c r="F1166" s="1" t="s">
        <v>12</v>
      </c>
      <c r="G1166" s="1" t="s">
        <v>12</v>
      </c>
      <c r="H1166" s="1" t="s">
        <v>13</v>
      </c>
      <c r="I1166" s="1" t="s">
        <v>13</v>
      </c>
      <c r="J1166" s="1" t="s">
        <v>25</v>
      </c>
      <c r="K1166" s="1">
        <v>0</v>
      </c>
      <c r="L1166" s="1" t="s">
        <v>21</v>
      </c>
      <c r="M1166" s="1" t="str">
        <f t="shared" si="18"/>
        <v>Consistent</v>
      </c>
      <c r="N1166" s="1" t="str">
        <f>_xlfn.XLOOKUP(H1166, risk_score!A:A, risk_score!B:B, 0)</f>
        <v>Low Risk</v>
      </c>
    </row>
    <row r="1167" spans="1:14">
      <c r="A1167" s="2">
        <v>0.4710300925925926</v>
      </c>
      <c r="B1167" s="3">
        <v>44841</v>
      </c>
      <c r="C1167" s="1">
        <v>7036019108</v>
      </c>
      <c r="D1167" s="1">
        <v>5858369125</v>
      </c>
      <c r="E1167" s="1">
        <v>6855.15</v>
      </c>
      <c r="F1167" s="1" t="s">
        <v>12</v>
      </c>
      <c r="G1167" s="1" t="s">
        <v>12</v>
      </c>
      <c r="H1167" s="1" t="s">
        <v>13</v>
      </c>
      <c r="I1167" s="1" t="s">
        <v>13</v>
      </c>
      <c r="J1167" s="1" t="s">
        <v>20</v>
      </c>
      <c r="K1167" s="1">
        <v>0</v>
      </c>
      <c r="L1167" s="1" t="s">
        <v>23</v>
      </c>
      <c r="M1167" s="1" t="str">
        <f t="shared" si="18"/>
        <v>Consistent</v>
      </c>
      <c r="N1167" s="1" t="str">
        <f>_xlfn.XLOOKUP(H1167, risk_score!A:A, risk_score!B:B, 0)</f>
        <v>Low Risk</v>
      </c>
    </row>
    <row r="1168" spans="1:14">
      <c r="A1168" s="2">
        <v>0.47104166666666669</v>
      </c>
      <c r="B1168" s="3">
        <v>44841</v>
      </c>
      <c r="C1168" s="1">
        <v>2797271466</v>
      </c>
      <c r="D1168" s="1">
        <v>9982628328</v>
      </c>
      <c r="E1168" s="1">
        <v>7257.23</v>
      </c>
      <c r="F1168" s="1" t="s">
        <v>12</v>
      </c>
      <c r="G1168" s="1" t="s">
        <v>12</v>
      </c>
      <c r="H1168" s="1" t="s">
        <v>13</v>
      </c>
      <c r="I1168" s="1" t="s">
        <v>13</v>
      </c>
      <c r="J1168" s="1" t="s">
        <v>22</v>
      </c>
      <c r="K1168" s="1">
        <v>0</v>
      </c>
      <c r="L1168" s="1" t="s">
        <v>19</v>
      </c>
      <c r="M1168" s="1" t="str">
        <f t="shared" si="18"/>
        <v>Consistent</v>
      </c>
      <c r="N1168" s="1" t="str">
        <f>_xlfn.XLOOKUP(H1168, risk_score!A:A, risk_score!B:B, 0)</f>
        <v>Low Risk</v>
      </c>
    </row>
    <row r="1169" spans="1:14">
      <c r="A1169" s="2">
        <v>0.47105324074074073</v>
      </c>
      <c r="B1169" s="3">
        <v>44841</v>
      </c>
      <c r="C1169" s="1">
        <v>6216316627</v>
      </c>
      <c r="D1169" s="1">
        <v>5466123934</v>
      </c>
      <c r="E1169" s="1">
        <v>7896.44</v>
      </c>
      <c r="F1169" s="1" t="s">
        <v>12</v>
      </c>
      <c r="G1169" s="1" t="s">
        <v>12</v>
      </c>
      <c r="H1169" s="1" t="s">
        <v>13</v>
      </c>
      <c r="I1169" s="1" t="s">
        <v>13</v>
      </c>
      <c r="J1169" s="1" t="s">
        <v>20</v>
      </c>
      <c r="K1169" s="1">
        <v>0</v>
      </c>
      <c r="L1169" s="1" t="s">
        <v>23</v>
      </c>
      <c r="M1169" s="1" t="str">
        <f t="shared" si="18"/>
        <v>Consistent</v>
      </c>
      <c r="N1169" s="1" t="str">
        <f>_xlfn.XLOOKUP(H1169, risk_score!A:A, risk_score!B:B, 0)</f>
        <v>Low Risk</v>
      </c>
    </row>
    <row r="1170" spans="1:14">
      <c r="A1170" s="2">
        <v>0.47109953703703705</v>
      </c>
      <c r="B1170" s="3">
        <v>44841</v>
      </c>
      <c r="C1170" s="1">
        <v>4373080213</v>
      </c>
      <c r="D1170" s="1">
        <v>5097110343</v>
      </c>
      <c r="E1170" s="1">
        <v>10007.41</v>
      </c>
      <c r="F1170" s="1" t="s">
        <v>12</v>
      </c>
      <c r="G1170" s="1" t="s">
        <v>12</v>
      </c>
      <c r="H1170" s="1" t="s">
        <v>13</v>
      </c>
      <c r="I1170" s="1" t="s">
        <v>13</v>
      </c>
      <c r="J1170" s="1" t="s">
        <v>20</v>
      </c>
      <c r="K1170" s="1">
        <v>0</v>
      </c>
      <c r="L1170" s="1" t="s">
        <v>21</v>
      </c>
      <c r="M1170" s="1" t="str">
        <f t="shared" si="18"/>
        <v>Consistent</v>
      </c>
      <c r="N1170" s="1" t="str">
        <f>_xlfn.XLOOKUP(H1170, risk_score!A:A, risk_score!B:B, 0)</f>
        <v>Low Risk</v>
      </c>
    </row>
    <row r="1171" spans="1:14">
      <c r="A1171" s="2">
        <v>0.47116898148148151</v>
      </c>
      <c r="B1171" s="3">
        <v>44841</v>
      </c>
      <c r="C1171" s="1">
        <v>3407919855</v>
      </c>
      <c r="D1171" s="1">
        <v>8953782028</v>
      </c>
      <c r="E1171" s="1">
        <v>944.5</v>
      </c>
      <c r="F1171" s="1" t="s">
        <v>12</v>
      </c>
      <c r="G1171" s="1" t="s">
        <v>12</v>
      </c>
      <c r="H1171" s="1" t="s">
        <v>13</v>
      </c>
      <c r="I1171" s="1" t="s">
        <v>13</v>
      </c>
      <c r="J1171" s="1" t="s">
        <v>27</v>
      </c>
      <c r="K1171" s="1">
        <v>0</v>
      </c>
      <c r="L1171" s="1" t="s">
        <v>21</v>
      </c>
      <c r="M1171" s="1" t="str">
        <f t="shared" si="18"/>
        <v>Consistent</v>
      </c>
      <c r="N1171" s="1" t="str">
        <f>_xlfn.XLOOKUP(H1171, risk_score!A:A, risk_score!B:B, 0)</f>
        <v>Low Risk</v>
      </c>
    </row>
    <row r="1172" spans="1:14">
      <c r="A1172" s="2">
        <v>0.47119212962962964</v>
      </c>
      <c r="B1172" s="3">
        <v>44841</v>
      </c>
      <c r="C1172" s="1">
        <v>9302522864</v>
      </c>
      <c r="D1172" s="1">
        <v>5466123934</v>
      </c>
      <c r="E1172" s="1">
        <v>8402.32</v>
      </c>
      <c r="F1172" s="1" t="s">
        <v>12</v>
      </c>
      <c r="G1172" s="1" t="s">
        <v>12</v>
      </c>
      <c r="H1172" s="1" t="s">
        <v>13</v>
      </c>
      <c r="I1172" s="1" t="s">
        <v>13</v>
      </c>
      <c r="J1172" s="1" t="s">
        <v>22</v>
      </c>
      <c r="K1172" s="1">
        <v>0</v>
      </c>
      <c r="L1172" s="1" t="s">
        <v>23</v>
      </c>
      <c r="M1172" s="1" t="str">
        <f t="shared" si="18"/>
        <v>Consistent</v>
      </c>
      <c r="N1172" s="1" t="str">
        <f>_xlfn.XLOOKUP(H1172, risk_score!A:A, risk_score!B:B, 0)</f>
        <v>Low Risk</v>
      </c>
    </row>
    <row r="1173" spans="1:14">
      <c r="A1173" s="2">
        <v>0.47121527777777777</v>
      </c>
      <c r="B1173" s="3">
        <v>44841</v>
      </c>
      <c r="C1173" s="1">
        <v>4174231376</v>
      </c>
      <c r="D1173" s="1">
        <v>6562641535</v>
      </c>
      <c r="E1173" s="1">
        <v>2460.71</v>
      </c>
      <c r="F1173" s="1" t="s">
        <v>12</v>
      </c>
      <c r="G1173" s="1" t="s">
        <v>12</v>
      </c>
      <c r="H1173" s="1" t="s">
        <v>13</v>
      </c>
      <c r="I1173" s="1" t="s">
        <v>13</v>
      </c>
      <c r="J1173" s="1" t="s">
        <v>25</v>
      </c>
      <c r="K1173" s="1">
        <v>0</v>
      </c>
      <c r="L1173" s="1" t="s">
        <v>21</v>
      </c>
      <c r="M1173" s="1" t="str">
        <f t="shared" si="18"/>
        <v>Consistent</v>
      </c>
      <c r="N1173" s="1" t="str">
        <f>_xlfn.XLOOKUP(H1173, risk_score!A:A, risk_score!B:B, 0)</f>
        <v>Low Risk</v>
      </c>
    </row>
    <row r="1174" spans="1:14">
      <c r="A1174" s="2">
        <v>0.47122685185185187</v>
      </c>
      <c r="B1174" s="3">
        <v>44841</v>
      </c>
      <c r="C1174" s="1">
        <v>9508047658</v>
      </c>
      <c r="D1174" s="1">
        <v>2512444633</v>
      </c>
      <c r="E1174" s="1">
        <v>2931.94</v>
      </c>
      <c r="F1174" s="1" t="s">
        <v>12</v>
      </c>
      <c r="G1174" s="1" t="s">
        <v>12</v>
      </c>
      <c r="H1174" s="1" t="s">
        <v>13</v>
      </c>
      <c r="I1174" s="1" t="s">
        <v>13</v>
      </c>
      <c r="J1174" s="1" t="s">
        <v>25</v>
      </c>
      <c r="K1174" s="1">
        <v>0</v>
      </c>
      <c r="L1174" s="1" t="s">
        <v>21</v>
      </c>
      <c r="M1174" s="1" t="str">
        <f t="shared" si="18"/>
        <v>Consistent</v>
      </c>
      <c r="N1174" s="1" t="str">
        <f>_xlfn.XLOOKUP(H1174, risk_score!A:A, risk_score!B:B, 0)</f>
        <v>Low Risk</v>
      </c>
    </row>
    <row r="1175" spans="1:14">
      <c r="A1175" s="2">
        <v>0.4713310185185185</v>
      </c>
      <c r="B1175" s="3">
        <v>44841</v>
      </c>
      <c r="C1175" s="1">
        <v>9081133856</v>
      </c>
      <c r="D1175" s="1">
        <v>6444220418</v>
      </c>
      <c r="E1175" s="1">
        <v>9536.5300000000007</v>
      </c>
      <c r="F1175" s="1" t="s">
        <v>12</v>
      </c>
      <c r="G1175" s="1" t="s">
        <v>12</v>
      </c>
      <c r="H1175" s="1" t="s">
        <v>13</v>
      </c>
      <c r="I1175" s="1" t="s">
        <v>13</v>
      </c>
      <c r="J1175" s="1" t="s">
        <v>25</v>
      </c>
      <c r="K1175" s="1">
        <v>0</v>
      </c>
      <c r="L1175" s="1" t="s">
        <v>23</v>
      </c>
      <c r="M1175" s="1" t="str">
        <f t="shared" si="18"/>
        <v>Consistent</v>
      </c>
      <c r="N1175" s="1" t="str">
        <f>_xlfn.XLOOKUP(H1175, risk_score!A:A, risk_score!B:B, 0)</f>
        <v>Low Risk</v>
      </c>
    </row>
    <row r="1176" spans="1:14">
      <c r="A1176" s="2">
        <v>0.47137731481481482</v>
      </c>
      <c r="B1176" s="3">
        <v>44841</v>
      </c>
      <c r="C1176" s="1">
        <v>2797998245</v>
      </c>
      <c r="D1176" s="1">
        <v>7311790898</v>
      </c>
      <c r="E1176" s="1">
        <v>154.1</v>
      </c>
      <c r="F1176" s="1" t="s">
        <v>12</v>
      </c>
      <c r="G1176" s="1" t="s">
        <v>12</v>
      </c>
      <c r="H1176" s="1" t="s">
        <v>13</v>
      </c>
      <c r="I1176" s="1" t="s">
        <v>13</v>
      </c>
      <c r="J1176" s="1" t="s">
        <v>27</v>
      </c>
      <c r="K1176" s="1">
        <v>0</v>
      </c>
      <c r="L1176" s="1" t="s">
        <v>21</v>
      </c>
      <c r="M1176" s="1" t="str">
        <f t="shared" si="18"/>
        <v>Consistent</v>
      </c>
      <c r="N1176" s="1" t="str">
        <f>_xlfn.XLOOKUP(H1176, risk_score!A:A, risk_score!B:B, 0)</f>
        <v>Low Risk</v>
      </c>
    </row>
    <row r="1177" spans="1:14">
      <c r="A1177" s="2">
        <v>0.47137731481481482</v>
      </c>
      <c r="B1177" s="3">
        <v>44841</v>
      </c>
      <c r="C1177" s="1">
        <v>4724128387</v>
      </c>
      <c r="D1177" s="1">
        <v>7080357663</v>
      </c>
      <c r="E1177" s="1">
        <v>13780.22</v>
      </c>
      <c r="F1177" s="1" t="s">
        <v>12</v>
      </c>
      <c r="G1177" s="1" t="s">
        <v>12</v>
      </c>
      <c r="H1177" s="1" t="s">
        <v>13</v>
      </c>
      <c r="I1177" s="1" t="s">
        <v>13</v>
      </c>
      <c r="J1177" s="1" t="s">
        <v>27</v>
      </c>
      <c r="K1177" s="1">
        <v>0</v>
      </c>
      <c r="L1177" s="1" t="s">
        <v>23</v>
      </c>
      <c r="M1177" s="1" t="str">
        <f t="shared" si="18"/>
        <v>Consistent</v>
      </c>
      <c r="N1177" s="1" t="str">
        <f>_xlfn.XLOOKUP(H1177, risk_score!A:A, risk_score!B:B, 0)</f>
        <v>Low Risk</v>
      </c>
    </row>
    <row r="1178" spans="1:14">
      <c r="A1178" s="2">
        <v>0.47137731481481482</v>
      </c>
      <c r="B1178" s="3">
        <v>44841</v>
      </c>
      <c r="C1178" s="1">
        <v>2648217197</v>
      </c>
      <c r="D1178" s="1">
        <v>8323355303</v>
      </c>
      <c r="E1178" s="1">
        <v>1478.61</v>
      </c>
      <c r="F1178" s="1" t="s">
        <v>12</v>
      </c>
      <c r="G1178" s="1" t="s">
        <v>12</v>
      </c>
      <c r="H1178" s="1" t="s">
        <v>13</v>
      </c>
      <c r="I1178" s="1" t="s">
        <v>13</v>
      </c>
      <c r="J1178" s="1" t="s">
        <v>22</v>
      </c>
      <c r="K1178" s="1">
        <v>0</v>
      </c>
      <c r="L1178" s="1" t="s">
        <v>24</v>
      </c>
      <c r="M1178" s="1" t="str">
        <f t="shared" si="18"/>
        <v>Consistent</v>
      </c>
      <c r="N1178" s="1" t="str">
        <f>_xlfn.XLOOKUP(H1178, risk_score!A:A, risk_score!B:B, 0)</f>
        <v>Low Risk</v>
      </c>
    </row>
    <row r="1179" spans="1:14">
      <c r="A1179" s="2">
        <v>0.47140046296296295</v>
      </c>
      <c r="B1179" s="3">
        <v>44841</v>
      </c>
      <c r="C1179" s="1">
        <v>1408017543</v>
      </c>
      <c r="D1179" s="1">
        <v>8944568728</v>
      </c>
      <c r="E1179" s="1">
        <v>26766.03</v>
      </c>
      <c r="F1179" s="1" t="s">
        <v>12</v>
      </c>
      <c r="G1179" s="1" t="s">
        <v>12</v>
      </c>
      <c r="H1179" s="1" t="s">
        <v>13</v>
      </c>
      <c r="I1179" s="1" t="s">
        <v>13</v>
      </c>
      <c r="J1179" s="1" t="s">
        <v>27</v>
      </c>
      <c r="K1179" s="1">
        <v>0</v>
      </c>
      <c r="L1179" s="1" t="s">
        <v>21</v>
      </c>
      <c r="M1179" s="1" t="str">
        <f t="shared" si="18"/>
        <v>Consistent</v>
      </c>
      <c r="N1179" s="1" t="str">
        <f>_xlfn.XLOOKUP(H1179, risk_score!A:A, risk_score!B:B, 0)</f>
        <v>Low Risk</v>
      </c>
    </row>
    <row r="1180" spans="1:14">
      <c r="A1180" s="2">
        <v>0.47141203703703705</v>
      </c>
      <c r="B1180" s="3">
        <v>44841</v>
      </c>
      <c r="C1180" s="1">
        <v>6320582455</v>
      </c>
      <c r="D1180" s="1">
        <v>8673917867</v>
      </c>
      <c r="E1180" s="1">
        <v>8321.74</v>
      </c>
      <c r="F1180" s="1" t="s">
        <v>12</v>
      </c>
      <c r="G1180" s="1" t="s">
        <v>12</v>
      </c>
      <c r="H1180" s="1" t="s">
        <v>13</v>
      </c>
      <c r="I1180" s="1" t="s">
        <v>13</v>
      </c>
      <c r="J1180" s="1" t="s">
        <v>20</v>
      </c>
      <c r="K1180" s="1">
        <v>0</v>
      </c>
      <c r="L1180" s="1" t="s">
        <v>23</v>
      </c>
      <c r="M1180" s="1" t="str">
        <f t="shared" si="18"/>
        <v>Consistent</v>
      </c>
      <c r="N1180" s="1" t="str">
        <f>_xlfn.XLOOKUP(H1180, risk_score!A:A, risk_score!B:B, 0)</f>
        <v>Low Risk</v>
      </c>
    </row>
    <row r="1181" spans="1:14">
      <c r="A1181" s="2">
        <v>0.47142361111111108</v>
      </c>
      <c r="B1181" s="3">
        <v>44841</v>
      </c>
      <c r="C1181" s="1">
        <v>1368491162</v>
      </c>
      <c r="D1181" s="1">
        <v>8617716810</v>
      </c>
      <c r="E1181" s="1">
        <v>2264.23</v>
      </c>
      <c r="F1181" s="1" t="s">
        <v>12</v>
      </c>
      <c r="G1181" s="1" t="s">
        <v>12</v>
      </c>
      <c r="H1181" s="1" t="s">
        <v>13</v>
      </c>
      <c r="I1181" s="1" t="s">
        <v>13</v>
      </c>
      <c r="J1181" s="1" t="s">
        <v>20</v>
      </c>
      <c r="K1181" s="1">
        <v>0</v>
      </c>
      <c r="L1181" s="1" t="s">
        <v>24</v>
      </c>
      <c r="M1181" s="1" t="str">
        <f t="shared" si="18"/>
        <v>Consistent</v>
      </c>
      <c r="N1181" s="1" t="str">
        <f>_xlfn.XLOOKUP(H1181, risk_score!A:A, risk_score!B:B, 0)</f>
        <v>Low Risk</v>
      </c>
    </row>
    <row r="1182" spans="1:14">
      <c r="A1182" s="2">
        <v>0.47145833333333331</v>
      </c>
      <c r="B1182" s="3">
        <v>44841</v>
      </c>
      <c r="C1182" s="1">
        <v>4572902827</v>
      </c>
      <c r="D1182" s="1">
        <v>8656044056</v>
      </c>
      <c r="E1182" s="1">
        <v>2217.73</v>
      </c>
      <c r="F1182" s="1" t="s">
        <v>12</v>
      </c>
      <c r="G1182" s="1" t="s">
        <v>12</v>
      </c>
      <c r="H1182" s="1" t="s">
        <v>13</v>
      </c>
      <c r="I1182" s="1" t="s">
        <v>13</v>
      </c>
      <c r="J1182" s="1" t="s">
        <v>22</v>
      </c>
      <c r="K1182" s="1">
        <v>0</v>
      </c>
      <c r="L1182" s="1" t="s">
        <v>21</v>
      </c>
      <c r="M1182" s="1" t="str">
        <f t="shared" si="18"/>
        <v>Consistent</v>
      </c>
      <c r="N1182" s="1" t="str">
        <f>_xlfn.XLOOKUP(H1182, risk_score!A:A, risk_score!B:B, 0)</f>
        <v>Low Risk</v>
      </c>
    </row>
    <row r="1183" spans="1:14">
      <c r="A1183" s="2">
        <v>0.47146990740740741</v>
      </c>
      <c r="B1183" s="3">
        <v>44841</v>
      </c>
      <c r="C1183" s="1">
        <v>9508689417</v>
      </c>
      <c r="D1183" s="1">
        <v>5103043844</v>
      </c>
      <c r="E1183" s="1">
        <v>7367.11</v>
      </c>
      <c r="F1183" s="1" t="s">
        <v>12</v>
      </c>
      <c r="G1183" s="1" t="s">
        <v>44</v>
      </c>
      <c r="H1183" s="1" t="s">
        <v>13</v>
      </c>
      <c r="I1183" s="1" t="s">
        <v>45</v>
      </c>
      <c r="J1183" s="1" t="s">
        <v>18</v>
      </c>
      <c r="K1183" s="1">
        <v>0</v>
      </c>
      <c r="L1183" s="1" t="s">
        <v>23</v>
      </c>
      <c r="M1183" s="1" t="str">
        <f t="shared" si="18"/>
        <v>Potential Layering</v>
      </c>
      <c r="N1183" s="1" t="str">
        <f>_xlfn.XLOOKUP(H1183, risk_score!A:A, risk_score!B:B, 0)</f>
        <v>Low Risk</v>
      </c>
    </row>
    <row r="1184" spans="1:14">
      <c r="A1184" s="2">
        <v>0.4714814814814815</v>
      </c>
      <c r="B1184" s="3">
        <v>44841</v>
      </c>
      <c r="C1184" s="1">
        <v>9938882588</v>
      </c>
      <c r="D1184" s="1">
        <v>7388995962</v>
      </c>
      <c r="E1184" s="1">
        <v>772.84</v>
      </c>
      <c r="F1184" s="1" t="s">
        <v>12</v>
      </c>
      <c r="G1184" s="1" t="s">
        <v>12</v>
      </c>
      <c r="H1184" s="1" t="s">
        <v>13</v>
      </c>
      <c r="I1184" s="1" t="s">
        <v>13</v>
      </c>
      <c r="J1184" s="1" t="s">
        <v>22</v>
      </c>
      <c r="K1184" s="1">
        <v>0</v>
      </c>
      <c r="L1184" s="1" t="s">
        <v>21</v>
      </c>
      <c r="M1184" s="1" t="str">
        <f t="shared" si="18"/>
        <v>Consistent</v>
      </c>
      <c r="N1184" s="1" t="str">
        <f>_xlfn.XLOOKUP(H1184, risk_score!A:A, risk_score!B:B, 0)</f>
        <v>Low Risk</v>
      </c>
    </row>
    <row r="1185" spans="1:14">
      <c r="A1185" s="2">
        <v>0.47149305555555554</v>
      </c>
      <c r="B1185" s="3">
        <v>44841</v>
      </c>
      <c r="C1185" s="1">
        <v>3440654296</v>
      </c>
      <c r="D1185" s="1">
        <v>8172080174</v>
      </c>
      <c r="E1185" s="1">
        <v>5594</v>
      </c>
      <c r="F1185" s="1" t="s">
        <v>12</v>
      </c>
      <c r="G1185" s="1" t="s">
        <v>12</v>
      </c>
      <c r="H1185" s="1" t="s">
        <v>13</v>
      </c>
      <c r="I1185" s="1" t="s">
        <v>13</v>
      </c>
      <c r="J1185" s="1" t="s">
        <v>25</v>
      </c>
      <c r="K1185" s="1">
        <v>0</v>
      </c>
      <c r="L1185" s="1" t="s">
        <v>23</v>
      </c>
      <c r="M1185" s="1" t="str">
        <f t="shared" si="18"/>
        <v>Consistent</v>
      </c>
      <c r="N1185" s="1" t="str">
        <f>_xlfn.XLOOKUP(H1185, risk_score!A:A, risk_score!B:B, 0)</f>
        <v>Low Risk</v>
      </c>
    </row>
    <row r="1186" spans="1:14">
      <c r="A1186" s="2">
        <v>0.47150462962962963</v>
      </c>
      <c r="B1186" s="3">
        <v>44841</v>
      </c>
      <c r="C1186" s="1">
        <v>712466523</v>
      </c>
      <c r="D1186" s="1">
        <v>8518184956</v>
      </c>
      <c r="E1186" s="1">
        <v>7499.42</v>
      </c>
      <c r="F1186" s="1" t="s">
        <v>12</v>
      </c>
      <c r="G1186" s="1" t="s">
        <v>12</v>
      </c>
      <c r="H1186" s="1" t="s">
        <v>13</v>
      </c>
      <c r="I1186" s="1" t="s">
        <v>13</v>
      </c>
      <c r="J1186" s="1" t="s">
        <v>20</v>
      </c>
      <c r="K1186" s="1">
        <v>0</v>
      </c>
      <c r="L1186" s="1" t="s">
        <v>23</v>
      </c>
      <c r="M1186" s="1" t="str">
        <f t="shared" si="18"/>
        <v>Consistent</v>
      </c>
      <c r="N1186" s="1" t="str">
        <f>_xlfn.XLOOKUP(H1186, risk_score!A:A, risk_score!B:B, 0)</f>
        <v>Low Risk</v>
      </c>
    </row>
    <row r="1187" spans="1:14">
      <c r="A1187" s="2">
        <v>0.4715625</v>
      </c>
      <c r="B1187" s="3">
        <v>44841</v>
      </c>
      <c r="C1187" s="1">
        <v>3510078932</v>
      </c>
      <c r="D1187" s="1">
        <v>1625701030</v>
      </c>
      <c r="E1187" s="1">
        <v>6276.88</v>
      </c>
      <c r="F1187" s="1" t="s">
        <v>12</v>
      </c>
      <c r="G1187" s="1" t="s">
        <v>12</v>
      </c>
      <c r="H1187" s="1" t="s">
        <v>13</v>
      </c>
      <c r="I1187" s="1" t="s">
        <v>13</v>
      </c>
      <c r="J1187" s="1" t="s">
        <v>22</v>
      </c>
      <c r="K1187" s="1">
        <v>0</v>
      </c>
      <c r="L1187" s="1" t="s">
        <v>19</v>
      </c>
      <c r="M1187" s="1" t="str">
        <f t="shared" si="18"/>
        <v>Consistent</v>
      </c>
      <c r="N1187" s="1" t="str">
        <f>_xlfn.XLOOKUP(H1187, risk_score!A:A, risk_score!B:B, 0)</f>
        <v>Low Risk</v>
      </c>
    </row>
    <row r="1188" spans="1:14">
      <c r="A1188" s="2">
        <v>0.47157407407407409</v>
      </c>
      <c r="B1188" s="3">
        <v>44841</v>
      </c>
      <c r="C1188" s="1">
        <v>2158196009</v>
      </c>
      <c r="D1188" s="1">
        <v>2191071426</v>
      </c>
      <c r="E1188" s="1">
        <v>1942.78</v>
      </c>
      <c r="F1188" s="1" t="s">
        <v>12</v>
      </c>
      <c r="G1188" s="1" t="s">
        <v>12</v>
      </c>
      <c r="H1188" s="1" t="s">
        <v>13</v>
      </c>
      <c r="I1188" s="1" t="s">
        <v>13</v>
      </c>
      <c r="J1188" s="1" t="s">
        <v>27</v>
      </c>
      <c r="K1188" s="1">
        <v>0</v>
      </c>
      <c r="L1188" s="1" t="s">
        <v>21</v>
      </c>
      <c r="M1188" s="1" t="str">
        <f t="shared" si="18"/>
        <v>Consistent</v>
      </c>
      <c r="N1188" s="1" t="str">
        <f>_xlfn.XLOOKUP(H1188, risk_score!A:A, risk_score!B:B, 0)</f>
        <v>Low Risk</v>
      </c>
    </row>
    <row r="1189" spans="1:14">
      <c r="A1189" s="2">
        <v>0.47159722222222222</v>
      </c>
      <c r="B1189" s="3">
        <v>44841</v>
      </c>
      <c r="C1189" s="1">
        <v>1225080541</v>
      </c>
      <c r="D1189" s="1">
        <v>3163618355</v>
      </c>
      <c r="E1189" s="1">
        <v>12554.48</v>
      </c>
      <c r="F1189" s="1" t="s">
        <v>12</v>
      </c>
      <c r="G1189" s="1" t="s">
        <v>12</v>
      </c>
      <c r="H1189" s="1" t="s">
        <v>13</v>
      </c>
      <c r="I1189" s="1" t="s">
        <v>13</v>
      </c>
      <c r="J1189" s="1" t="s">
        <v>25</v>
      </c>
      <c r="K1189" s="1">
        <v>0</v>
      </c>
      <c r="L1189" s="1" t="s">
        <v>21</v>
      </c>
      <c r="M1189" s="1" t="str">
        <f t="shared" si="18"/>
        <v>Consistent</v>
      </c>
      <c r="N1189" s="1" t="str">
        <f>_xlfn.XLOOKUP(H1189, risk_score!A:A, risk_score!B:B, 0)</f>
        <v>Low Risk</v>
      </c>
    </row>
    <row r="1190" spans="1:14">
      <c r="A1190" s="2">
        <v>0.47159722222222222</v>
      </c>
      <c r="B1190" s="3">
        <v>44841</v>
      </c>
      <c r="C1190" s="1">
        <v>4703595147</v>
      </c>
      <c r="D1190" s="1">
        <v>7080357663</v>
      </c>
      <c r="E1190" s="1">
        <v>5907.95</v>
      </c>
      <c r="F1190" s="1" t="s">
        <v>12</v>
      </c>
      <c r="G1190" s="1" t="s">
        <v>12</v>
      </c>
      <c r="H1190" s="1" t="s">
        <v>13</v>
      </c>
      <c r="I1190" s="1" t="s">
        <v>13</v>
      </c>
      <c r="J1190" s="1" t="s">
        <v>20</v>
      </c>
      <c r="K1190" s="1">
        <v>0</v>
      </c>
      <c r="L1190" s="1" t="s">
        <v>23</v>
      </c>
      <c r="M1190" s="1" t="str">
        <f t="shared" si="18"/>
        <v>Consistent</v>
      </c>
      <c r="N1190" s="1" t="str">
        <f>_xlfn.XLOOKUP(H1190, risk_score!A:A, risk_score!B:B, 0)</f>
        <v>Low Risk</v>
      </c>
    </row>
    <row r="1191" spans="1:14">
      <c r="A1191" s="2">
        <v>0.47163194444444445</v>
      </c>
      <c r="B1191" s="3">
        <v>44841</v>
      </c>
      <c r="C1191" s="1">
        <v>1378784400</v>
      </c>
      <c r="D1191" s="1">
        <v>8430883282</v>
      </c>
      <c r="E1191" s="1">
        <v>4968.6099999999997</v>
      </c>
      <c r="F1191" s="1" t="s">
        <v>12</v>
      </c>
      <c r="G1191" s="1" t="s">
        <v>34</v>
      </c>
      <c r="H1191" s="1" t="s">
        <v>13</v>
      </c>
      <c r="I1191" s="1" t="s">
        <v>35</v>
      </c>
      <c r="J1191" s="1" t="s">
        <v>18</v>
      </c>
      <c r="K1191" s="1">
        <v>0</v>
      </c>
      <c r="L1191" s="1" t="s">
        <v>19</v>
      </c>
      <c r="M1191" s="1" t="str">
        <f t="shared" si="18"/>
        <v>Potential Layering</v>
      </c>
      <c r="N1191" s="1" t="str">
        <f>_xlfn.XLOOKUP(H1191, risk_score!A:A, risk_score!B:B, 0)</f>
        <v>Low Risk</v>
      </c>
    </row>
    <row r="1192" spans="1:14">
      <c r="A1192" s="2">
        <v>0.47165509259259258</v>
      </c>
      <c r="B1192" s="3">
        <v>44841</v>
      </c>
      <c r="C1192" s="1">
        <v>2913996500</v>
      </c>
      <c r="D1192" s="1">
        <v>1431561040</v>
      </c>
      <c r="E1192" s="1">
        <v>12170.92</v>
      </c>
      <c r="F1192" s="1" t="s">
        <v>12</v>
      </c>
      <c r="G1192" s="1" t="s">
        <v>12</v>
      </c>
      <c r="H1192" s="1" t="s">
        <v>13</v>
      </c>
      <c r="I1192" s="1" t="s">
        <v>13</v>
      </c>
      <c r="J1192" s="1" t="s">
        <v>20</v>
      </c>
      <c r="K1192" s="1">
        <v>0</v>
      </c>
      <c r="L1192" s="1" t="s">
        <v>23</v>
      </c>
      <c r="M1192" s="1" t="str">
        <f t="shared" si="18"/>
        <v>Consistent</v>
      </c>
      <c r="N1192" s="1" t="str">
        <f>_xlfn.XLOOKUP(H1192, risk_score!A:A, risk_score!B:B, 0)</f>
        <v>Low Risk</v>
      </c>
    </row>
    <row r="1193" spans="1:14">
      <c r="A1193" s="2">
        <v>0.47165509259259258</v>
      </c>
      <c r="B1193" s="3">
        <v>44841</v>
      </c>
      <c r="C1193" s="1">
        <v>6834477393</v>
      </c>
      <c r="D1193" s="1">
        <v>6444220418</v>
      </c>
      <c r="E1193" s="1">
        <v>8138.3</v>
      </c>
      <c r="F1193" s="1" t="s">
        <v>12</v>
      </c>
      <c r="G1193" s="1" t="s">
        <v>12</v>
      </c>
      <c r="H1193" s="1" t="s">
        <v>13</v>
      </c>
      <c r="I1193" s="1" t="s">
        <v>13</v>
      </c>
      <c r="J1193" s="1" t="s">
        <v>25</v>
      </c>
      <c r="K1193" s="1">
        <v>0</v>
      </c>
      <c r="L1193" s="1" t="s">
        <v>23</v>
      </c>
      <c r="M1193" s="1" t="str">
        <f t="shared" si="18"/>
        <v>Consistent</v>
      </c>
      <c r="N1193" s="1" t="str">
        <f>_xlfn.XLOOKUP(H1193, risk_score!A:A, risk_score!B:B, 0)</f>
        <v>Low Risk</v>
      </c>
    </row>
    <row r="1194" spans="1:14">
      <c r="A1194" s="2">
        <v>0.47165509259259258</v>
      </c>
      <c r="B1194" s="3">
        <v>44841</v>
      </c>
      <c r="C1194" s="1">
        <v>1041875273</v>
      </c>
      <c r="D1194" s="1">
        <v>9880450680</v>
      </c>
      <c r="E1194" s="1">
        <v>551.16</v>
      </c>
      <c r="F1194" s="1" t="s">
        <v>12</v>
      </c>
      <c r="G1194" s="1" t="s">
        <v>12</v>
      </c>
      <c r="H1194" s="1" t="s">
        <v>13</v>
      </c>
      <c r="I1194" s="1" t="s">
        <v>13</v>
      </c>
      <c r="J1194" s="1" t="s">
        <v>25</v>
      </c>
      <c r="K1194" s="1">
        <v>0</v>
      </c>
      <c r="L1194" s="1" t="s">
        <v>21</v>
      </c>
      <c r="M1194" s="1" t="str">
        <f t="shared" si="18"/>
        <v>Consistent</v>
      </c>
      <c r="N1194" s="1" t="str">
        <f>_xlfn.XLOOKUP(H1194, risk_score!A:A, risk_score!B:B, 0)</f>
        <v>Low Risk</v>
      </c>
    </row>
    <row r="1195" spans="1:14">
      <c r="A1195" s="2">
        <v>0.47166666666666668</v>
      </c>
      <c r="B1195" s="3">
        <v>44841</v>
      </c>
      <c r="C1195" s="1">
        <v>4831893174</v>
      </c>
      <c r="D1195" s="1">
        <v>2192295697</v>
      </c>
      <c r="E1195" s="1">
        <v>797.33</v>
      </c>
      <c r="F1195" s="1" t="s">
        <v>12</v>
      </c>
      <c r="G1195" s="1" t="s">
        <v>12</v>
      </c>
      <c r="H1195" s="1" t="s">
        <v>13</v>
      </c>
      <c r="I1195" s="1" t="s">
        <v>13</v>
      </c>
      <c r="J1195" s="1" t="s">
        <v>14</v>
      </c>
      <c r="K1195" s="1">
        <v>0</v>
      </c>
      <c r="L1195" s="1" t="s">
        <v>15</v>
      </c>
      <c r="M1195" s="1" t="str">
        <f t="shared" si="18"/>
        <v>Consistent</v>
      </c>
      <c r="N1195" s="1" t="str">
        <f>_xlfn.XLOOKUP(H1195, risk_score!A:A, risk_score!B:B, 0)</f>
        <v>Low Risk</v>
      </c>
    </row>
    <row r="1196" spans="1:14">
      <c r="A1196" s="2">
        <v>0.47167824074074072</v>
      </c>
      <c r="B1196" s="3">
        <v>44841</v>
      </c>
      <c r="C1196" s="1">
        <v>1716006167</v>
      </c>
      <c r="D1196" s="1">
        <v>1783791298</v>
      </c>
      <c r="E1196" s="1">
        <v>288.11</v>
      </c>
      <c r="F1196" s="1" t="s">
        <v>12</v>
      </c>
      <c r="G1196" s="1" t="s">
        <v>12</v>
      </c>
      <c r="H1196" s="1" t="s">
        <v>13</v>
      </c>
      <c r="I1196" s="1" t="s">
        <v>13</v>
      </c>
      <c r="J1196" s="1" t="s">
        <v>20</v>
      </c>
      <c r="K1196" s="1">
        <v>0</v>
      </c>
      <c r="L1196" s="1" t="s">
        <v>21</v>
      </c>
      <c r="M1196" s="1" t="str">
        <f t="shared" si="18"/>
        <v>Consistent</v>
      </c>
      <c r="N1196" s="1" t="str">
        <f>_xlfn.XLOOKUP(H1196, risk_score!A:A, risk_score!B:B, 0)</f>
        <v>Low Risk</v>
      </c>
    </row>
    <row r="1197" spans="1:14">
      <c r="A1197" s="2">
        <v>0.47167824074074072</v>
      </c>
      <c r="B1197" s="3">
        <v>44841</v>
      </c>
      <c r="C1197" s="1">
        <v>6148992716</v>
      </c>
      <c r="D1197" s="1">
        <v>5628674969</v>
      </c>
      <c r="E1197" s="1">
        <v>7401.24</v>
      </c>
      <c r="F1197" s="1" t="s">
        <v>12</v>
      </c>
      <c r="G1197" s="1" t="s">
        <v>12</v>
      </c>
      <c r="H1197" s="1" t="s">
        <v>13</v>
      </c>
      <c r="I1197" s="1" t="s">
        <v>13</v>
      </c>
      <c r="J1197" s="1" t="s">
        <v>20</v>
      </c>
      <c r="K1197" s="1">
        <v>0</v>
      </c>
      <c r="L1197" s="1" t="s">
        <v>23</v>
      </c>
      <c r="M1197" s="1" t="str">
        <f t="shared" si="18"/>
        <v>Consistent</v>
      </c>
      <c r="N1197" s="1" t="str">
        <f>_xlfn.XLOOKUP(H1197, risk_score!A:A, risk_score!B:B, 0)</f>
        <v>Low Risk</v>
      </c>
    </row>
    <row r="1198" spans="1:14">
      <c r="A1198" s="2">
        <v>0.47168981481481481</v>
      </c>
      <c r="B1198" s="3">
        <v>44841</v>
      </c>
      <c r="C1198" s="1">
        <v>4684563438</v>
      </c>
      <c r="D1198" s="1">
        <v>1320927231</v>
      </c>
      <c r="E1198" s="1">
        <v>9660.19</v>
      </c>
      <c r="F1198" s="1" t="s">
        <v>12</v>
      </c>
      <c r="G1198" s="1" t="s">
        <v>12</v>
      </c>
      <c r="H1198" s="1" t="s">
        <v>13</v>
      </c>
      <c r="I1198" s="1" t="s">
        <v>13</v>
      </c>
      <c r="J1198" s="1" t="s">
        <v>22</v>
      </c>
      <c r="K1198" s="1">
        <v>0</v>
      </c>
      <c r="L1198" s="1" t="s">
        <v>23</v>
      </c>
      <c r="M1198" s="1" t="str">
        <f t="shared" si="18"/>
        <v>Consistent</v>
      </c>
      <c r="N1198" s="1" t="str">
        <f>_xlfn.XLOOKUP(H1198, risk_score!A:A, risk_score!B:B, 0)</f>
        <v>Low Risk</v>
      </c>
    </row>
    <row r="1199" spans="1:14">
      <c r="A1199" s="2">
        <v>0.47170138888888891</v>
      </c>
      <c r="B1199" s="3">
        <v>44841</v>
      </c>
      <c r="C1199" s="1">
        <v>9343544605</v>
      </c>
      <c r="D1199" s="1">
        <v>9282684202</v>
      </c>
      <c r="E1199" s="1">
        <v>1559.14</v>
      </c>
      <c r="F1199" s="1" t="s">
        <v>12</v>
      </c>
      <c r="G1199" s="1" t="s">
        <v>12</v>
      </c>
      <c r="H1199" s="1" t="s">
        <v>13</v>
      </c>
      <c r="I1199" s="1" t="s">
        <v>13</v>
      </c>
      <c r="J1199" s="1" t="s">
        <v>27</v>
      </c>
      <c r="K1199" s="1">
        <v>0</v>
      </c>
      <c r="L1199" s="1" t="s">
        <v>21</v>
      </c>
      <c r="M1199" s="1" t="str">
        <f t="shared" si="18"/>
        <v>Consistent</v>
      </c>
      <c r="N1199" s="1" t="str">
        <f>_xlfn.XLOOKUP(H1199, risk_score!A:A, risk_score!B:B, 0)</f>
        <v>Low Risk</v>
      </c>
    </row>
    <row r="1200" spans="1:14">
      <c r="A1200" s="2">
        <v>0.47172453703703704</v>
      </c>
      <c r="B1200" s="3">
        <v>44841</v>
      </c>
      <c r="C1200" s="1">
        <v>2095405293</v>
      </c>
      <c r="D1200" s="1">
        <v>4383827460</v>
      </c>
      <c r="E1200" s="1">
        <v>1043.23</v>
      </c>
      <c r="F1200" s="1" t="s">
        <v>12</v>
      </c>
      <c r="G1200" s="1" t="s">
        <v>12</v>
      </c>
      <c r="H1200" s="1" t="s">
        <v>13</v>
      </c>
      <c r="I1200" s="1" t="s">
        <v>13</v>
      </c>
      <c r="J1200" s="1" t="s">
        <v>20</v>
      </c>
      <c r="K1200" s="1">
        <v>0</v>
      </c>
      <c r="L1200" s="1" t="s">
        <v>21</v>
      </c>
      <c r="M1200" s="1" t="str">
        <f t="shared" si="18"/>
        <v>Consistent</v>
      </c>
      <c r="N1200" s="1" t="str">
        <f>_xlfn.XLOOKUP(H1200, risk_score!A:A, risk_score!B:B, 0)</f>
        <v>Low Risk</v>
      </c>
    </row>
    <row r="1201" spans="1:14">
      <c r="A1201" s="2">
        <v>0.47177083333333331</v>
      </c>
      <c r="B1201" s="3">
        <v>44841</v>
      </c>
      <c r="C1201" s="1">
        <v>215465344</v>
      </c>
      <c r="D1201" s="1">
        <v>5216531044</v>
      </c>
      <c r="E1201" s="1">
        <v>4544.4799999999996</v>
      </c>
      <c r="F1201" s="1" t="s">
        <v>12</v>
      </c>
      <c r="G1201" s="1" t="s">
        <v>12</v>
      </c>
      <c r="H1201" s="1" t="s">
        <v>13</v>
      </c>
      <c r="I1201" s="1" t="s">
        <v>13</v>
      </c>
      <c r="J1201" s="1" t="s">
        <v>27</v>
      </c>
      <c r="K1201" s="1">
        <v>0</v>
      </c>
      <c r="L1201" s="1" t="s">
        <v>24</v>
      </c>
      <c r="M1201" s="1" t="str">
        <f t="shared" si="18"/>
        <v>Consistent</v>
      </c>
      <c r="N1201" s="1" t="str">
        <f>_xlfn.XLOOKUP(H1201, risk_score!A:A, risk_score!B:B, 0)</f>
        <v>Low Risk</v>
      </c>
    </row>
    <row r="1202" spans="1:14">
      <c r="A1202" s="2">
        <v>0.4717824074074074</v>
      </c>
      <c r="B1202" s="3">
        <v>44841</v>
      </c>
      <c r="C1202" s="1">
        <v>5982914936</v>
      </c>
      <c r="D1202" s="1">
        <v>9491670243</v>
      </c>
      <c r="E1202" s="1">
        <v>9663.1299999999992</v>
      </c>
      <c r="F1202" s="1" t="s">
        <v>12</v>
      </c>
      <c r="G1202" s="1" t="s">
        <v>12</v>
      </c>
      <c r="H1202" s="1" t="s">
        <v>13</v>
      </c>
      <c r="I1202" s="1" t="s">
        <v>13</v>
      </c>
      <c r="J1202" s="1" t="s">
        <v>20</v>
      </c>
      <c r="K1202" s="1">
        <v>0</v>
      </c>
      <c r="L1202" s="1" t="s">
        <v>19</v>
      </c>
      <c r="M1202" s="1" t="str">
        <f t="shared" si="18"/>
        <v>Consistent</v>
      </c>
      <c r="N1202" s="1" t="str">
        <f>_xlfn.XLOOKUP(H1202, risk_score!A:A, risk_score!B:B, 0)</f>
        <v>Low Risk</v>
      </c>
    </row>
    <row r="1203" spans="1:14">
      <c r="A1203" s="2">
        <v>0.47180555555555553</v>
      </c>
      <c r="B1203" s="3">
        <v>44841</v>
      </c>
      <c r="C1203" s="1">
        <v>7758268667</v>
      </c>
      <c r="D1203" s="1">
        <v>6000485397</v>
      </c>
      <c r="E1203" s="1">
        <v>9352.2099999999991</v>
      </c>
      <c r="F1203" s="1" t="s">
        <v>12</v>
      </c>
      <c r="G1203" s="1" t="s">
        <v>12</v>
      </c>
      <c r="H1203" s="1" t="s">
        <v>13</v>
      </c>
      <c r="I1203" s="1" t="s">
        <v>13</v>
      </c>
      <c r="J1203" s="1" t="s">
        <v>25</v>
      </c>
      <c r="K1203" s="1">
        <v>0</v>
      </c>
      <c r="L1203" s="1" t="s">
        <v>19</v>
      </c>
      <c r="M1203" s="1" t="str">
        <f t="shared" si="18"/>
        <v>Consistent</v>
      </c>
      <c r="N1203" s="1" t="str">
        <f>_xlfn.XLOOKUP(H1203, risk_score!A:A, risk_score!B:B, 0)</f>
        <v>Low Risk</v>
      </c>
    </row>
    <row r="1204" spans="1:14">
      <c r="A1204" s="2">
        <v>0.47184027777777776</v>
      </c>
      <c r="B1204" s="3">
        <v>44841</v>
      </c>
      <c r="C1204" s="1">
        <v>6482235799</v>
      </c>
      <c r="D1204" s="1">
        <v>3606734702</v>
      </c>
      <c r="E1204" s="1">
        <v>6296.7</v>
      </c>
      <c r="F1204" s="1" t="s">
        <v>12</v>
      </c>
      <c r="G1204" s="1" t="s">
        <v>12</v>
      </c>
      <c r="H1204" s="1" t="s">
        <v>13</v>
      </c>
      <c r="I1204" s="1" t="s">
        <v>13</v>
      </c>
      <c r="J1204" s="1" t="s">
        <v>20</v>
      </c>
      <c r="K1204" s="1">
        <v>0</v>
      </c>
      <c r="L1204" s="1" t="s">
        <v>24</v>
      </c>
      <c r="M1204" s="1" t="str">
        <f t="shared" si="18"/>
        <v>Consistent</v>
      </c>
      <c r="N1204" s="1" t="str">
        <f>_xlfn.XLOOKUP(H1204, risk_score!A:A, risk_score!B:B, 0)</f>
        <v>Low Risk</v>
      </c>
    </row>
    <row r="1205" spans="1:14">
      <c r="A1205" s="2">
        <v>0.47185185185185186</v>
      </c>
      <c r="B1205" s="3">
        <v>44841</v>
      </c>
      <c r="C1205" s="1">
        <v>8859134919</v>
      </c>
      <c r="D1205" s="1">
        <v>9852654030</v>
      </c>
      <c r="E1205" s="1">
        <v>2196.2199999999998</v>
      </c>
      <c r="F1205" s="1" t="s">
        <v>12</v>
      </c>
      <c r="G1205" s="1" t="s">
        <v>12</v>
      </c>
      <c r="H1205" s="1" t="s">
        <v>13</v>
      </c>
      <c r="I1205" s="1" t="s">
        <v>13</v>
      </c>
      <c r="J1205" s="1" t="s">
        <v>27</v>
      </c>
      <c r="K1205" s="1">
        <v>0</v>
      </c>
      <c r="L1205" s="1" t="s">
        <v>21</v>
      </c>
      <c r="M1205" s="1" t="str">
        <f t="shared" si="18"/>
        <v>Consistent</v>
      </c>
      <c r="N1205" s="1" t="str">
        <f>_xlfn.XLOOKUP(H1205, risk_score!A:A, risk_score!B:B, 0)</f>
        <v>Low Risk</v>
      </c>
    </row>
    <row r="1206" spans="1:14">
      <c r="A1206" s="2">
        <v>0.47185185185185186</v>
      </c>
      <c r="B1206" s="3">
        <v>44841</v>
      </c>
      <c r="C1206" s="1">
        <v>8705444631</v>
      </c>
      <c r="D1206" s="1">
        <v>81382229</v>
      </c>
      <c r="E1206" s="1">
        <v>2986.62</v>
      </c>
      <c r="F1206" s="1" t="s">
        <v>12</v>
      </c>
      <c r="G1206" s="1" t="s">
        <v>12</v>
      </c>
      <c r="H1206" s="1" t="s">
        <v>13</v>
      </c>
      <c r="I1206" s="1" t="s">
        <v>13</v>
      </c>
      <c r="J1206" s="1" t="s">
        <v>22</v>
      </c>
      <c r="K1206" s="1">
        <v>0</v>
      </c>
      <c r="L1206" s="1" t="s">
        <v>21</v>
      </c>
      <c r="M1206" s="1" t="str">
        <f t="shared" si="18"/>
        <v>Consistent</v>
      </c>
      <c r="N1206" s="1" t="str">
        <f>_xlfn.XLOOKUP(H1206, risk_score!A:A, risk_score!B:B, 0)</f>
        <v>Low Risk</v>
      </c>
    </row>
    <row r="1207" spans="1:14">
      <c r="A1207" s="2">
        <v>0.47188657407407408</v>
      </c>
      <c r="B1207" s="3">
        <v>44841</v>
      </c>
      <c r="C1207" s="1">
        <v>3998168536</v>
      </c>
      <c r="D1207" s="1">
        <v>4336977506</v>
      </c>
      <c r="E1207" s="1">
        <v>5935.86</v>
      </c>
      <c r="F1207" s="1" t="s">
        <v>12</v>
      </c>
      <c r="G1207" s="1" t="s">
        <v>12</v>
      </c>
      <c r="H1207" s="1" t="s">
        <v>13</v>
      </c>
      <c r="I1207" s="1" t="s">
        <v>13</v>
      </c>
      <c r="J1207" s="1" t="s">
        <v>20</v>
      </c>
      <c r="K1207" s="1">
        <v>0</v>
      </c>
      <c r="L1207" s="1" t="s">
        <v>23</v>
      </c>
      <c r="M1207" s="1" t="str">
        <f t="shared" si="18"/>
        <v>Consistent</v>
      </c>
      <c r="N1207" s="1" t="str">
        <f>_xlfn.XLOOKUP(H1207, risk_score!A:A, risk_score!B:B, 0)</f>
        <v>Low Risk</v>
      </c>
    </row>
    <row r="1208" spans="1:14">
      <c r="A1208" s="2">
        <v>0.47189814814814812</v>
      </c>
      <c r="B1208" s="3">
        <v>44841</v>
      </c>
      <c r="C1208" s="1">
        <v>6340007440</v>
      </c>
      <c r="D1208" s="1">
        <v>4316483340</v>
      </c>
      <c r="E1208" s="1">
        <v>106.04</v>
      </c>
      <c r="F1208" s="1" t="s">
        <v>12</v>
      </c>
      <c r="G1208" s="1" t="s">
        <v>26</v>
      </c>
      <c r="H1208" s="1" t="s">
        <v>13</v>
      </c>
      <c r="I1208" s="1" t="s">
        <v>56</v>
      </c>
      <c r="J1208" s="1" t="s">
        <v>36</v>
      </c>
      <c r="K1208" s="4">
        <v>1</v>
      </c>
      <c r="L1208" s="1" t="s">
        <v>62</v>
      </c>
      <c r="M1208" s="1" t="str">
        <f t="shared" si="18"/>
        <v>Potential Layering</v>
      </c>
      <c r="N1208" s="1" t="str">
        <f>_xlfn.XLOOKUP(H1208, risk_score!A:A, risk_score!B:B, 0)</f>
        <v>Low Risk</v>
      </c>
    </row>
    <row r="1209" spans="1:14">
      <c r="A1209" s="2">
        <v>0.47192129629629631</v>
      </c>
      <c r="B1209" s="3">
        <v>44841</v>
      </c>
      <c r="C1209" s="1">
        <v>8389148416</v>
      </c>
      <c r="D1209" s="1">
        <v>3009426762</v>
      </c>
      <c r="E1209" s="1">
        <v>5449.2</v>
      </c>
      <c r="F1209" s="1" t="s">
        <v>12</v>
      </c>
      <c r="G1209" s="1" t="s">
        <v>12</v>
      </c>
      <c r="H1209" s="1" t="s">
        <v>13</v>
      </c>
      <c r="I1209" s="1" t="s">
        <v>13</v>
      </c>
      <c r="J1209" s="1" t="s">
        <v>22</v>
      </c>
      <c r="K1209" s="1">
        <v>0</v>
      </c>
      <c r="L1209" s="1" t="s">
        <v>19</v>
      </c>
      <c r="M1209" s="1" t="str">
        <f t="shared" si="18"/>
        <v>Consistent</v>
      </c>
      <c r="N1209" s="1" t="str">
        <f>_xlfn.XLOOKUP(H1209, risk_score!A:A, risk_score!B:B, 0)</f>
        <v>Low Risk</v>
      </c>
    </row>
    <row r="1210" spans="1:14">
      <c r="A1210" s="2">
        <v>0.47192129629629631</v>
      </c>
      <c r="B1210" s="3">
        <v>44841</v>
      </c>
      <c r="C1210" s="1">
        <v>4600894500</v>
      </c>
      <c r="D1210" s="1">
        <v>6034997194</v>
      </c>
      <c r="E1210" s="1">
        <v>5357.08</v>
      </c>
      <c r="F1210" s="1" t="s">
        <v>12</v>
      </c>
      <c r="G1210" s="1" t="s">
        <v>12</v>
      </c>
      <c r="H1210" s="1" t="s">
        <v>13</v>
      </c>
      <c r="I1210" s="1" t="s">
        <v>13</v>
      </c>
      <c r="J1210" s="1" t="s">
        <v>27</v>
      </c>
      <c r="K1210" s="1">
        <v>0</v>
      </c>
      <c r="L1210" s="1" t="s">
        <v>23</v>
      </c>
      <c r="M1210" s="1" t="str">
        <f t="shared" si="18"/>
        <v>Consistent</v>
      </c>
      <c r="N1210" s="1" t="str">
        <f>_xlfn.XLOOKUP(H1210, risk_score!A:A, risk_score!B:B, 0)</f>
        <v>Low Risk</v>
      </c>
    </row>
    <row r="1211" spans="1:14">
      <c r="A1211" s="2">
        <v>0.47192129629629631</v>
      </c>
      <c r="B1211" s="3">
        <v>44841</v>
      </c>
      <c r="C1211" s="1">
        <v>8523021855</v>
      </c>
      <c r="D1211" s="1">
        <v>2534644942</v>
      </c>
      <c r="E1211" s="1">
        <v>13176.52</v>
      </c>
      <c r="F1211" s="1" t="s">
        <v>12</v>
      </c>
      <c r="G1211" s="1" t="s">
        <v>29</v>
      </c>
      <c r="H1211" s="1" t="s">
        <v>13</v>
      </c>
      <c r="I1211" s="1" t="s">
        <v>31</v>
      </c>
      <c r="J1211" s="1" t="s">
        <v>18</v>
      </c>
      <c r="K1211" s="1">
        <v>0</v>
      </c>
      <c r="L1211" s="1" t="s">
        <v>23</v>
      </c>
      <c r="M1211" s="1" t="str">
        <f t="shared" si="18"/>
        <v>Potential Layering</v>
      </c>
      <c r="N1211" s="1" t="str">
        <f>_xlfn.XLOOKUP(H1211, risk_score!A:A, risk_score!B:B, 0)</f>
        <v>Low Risk</v>
      </c>
    </row>
    <row r="1212" spans="1:14">
      <c r="A1212" s="2">
        <v>0.47193287037037035</v>
      </c>
      <c r="B1212" s="3">
        <v>44841</v>
      </c>
      <c r="C1212" s="1">
        <v>2294025022</v>
      </c>
      <c r="D1212" s="1">
        <v>5858369125</v>
      </c>
      <c r="E1212" s="1">
        <v>8762</v>
      </c>
      <c r="F1212" s="1" t="s">
        <v>12</v>
      </c>
      <c r="G1212" s="1" t="s">
        <v>12</v>
      </c>
      <c r="H1212" s="1" t="s">
        <v>13</v>
      </c>
      <c r="I1212" s="1" t="s">
        <v>13</v>
      </c>
      <c r="J1212" s="1" t="s">
        <v>22</v>
      </c>
      <c r="K1212" s="1">
        <v>0</v>
      </c>
      <c r="L1212" s="1" t="s">
        <v>23</v>
      </c>
      <c r="M1212" s="1" t="str">
        <f t="shared" si="18"/>
        <v>Consistent</v>
      </c>
      <c r="N1212" s="1" t="str">
        <f>_xlfn.XLOOKUP(H1212, risk_score!A:A, risk_score!B:B, 0)</f>
        <v>Low Risk</v>
      </c>
    </row>
    <row r="1213" spans="1:14">
      <c r="A1213" s="2">
        <v>0.47197916666666667</v>
      </c>
      <c r="B1213" s="3">
        <v>44841</v>
      </c>
      <c r="C1213" s="1">
        <v>2365007895</v>
      </c>
      <c r="D1213" s="1">
        <v>7142479189</v>
      </c>
      <c r="E1213" s="1">
        <v>24530.9</v>
      </c>
      <c r="F1213" s="1" t="s">
        <v>12</v>
      </c>
      <c r="G1213" s="1" t="s">
        <v>12</v>
      </c>
      <c r="H1213" s="1" t="s">
        <v>13</v>
      </c>
      <c r="I1213" s="1" t="s">
        <v>13</v>
      </c>
      <c r="J1213" s="1" t="s">
        <v>27</v>
      </c>
      <c r="K1213" s="1">
        <v>0</v>
      </c>
      <c r="L1213" s="1" t="s">
        <v>19</v>
      </c>
      <c r="M1213" s="1" t="str">
        <f t="shared" si="18"/>
        <v>Consistent</v>
      </c>
      <c r="N1213" s="1" t="str">
        <f>_xlfn.XLOOKUP(H1213, risk_score!A:A, risk_score!B:B, 0)</f>
        <v>Low Risk</v>
      </c>
    </row>
    <row r="1214" spans="1:14">
      <c r="A1214" s="2">
        <v>0.4720138888888889</v>
      </c>
      <c r="B1214" s="3">
        <v>44841</v>
      </c>
      <c r="C1214" s="1">
        <v>7060433286</v>
      </c>
      <c r="D1214" s="1">
        <v>7160736915</v>
      </c>
      <c r="E1214" s="1">
        <v>5094.28</v>
      </c>
      <c r="F1214" s="1" t="s">
        <v>12</v>
      </c>
      <c r="G1214" s="1" t="s">
        <v>12</v>
      </c>
      <c r="H1214" s="1" t="s">
        <v>13</v>
      </c>
      <c r="I1214" s="1" t="s">
        <v>13</v>
      </c>
      <c r="J1214" s="1" t="s">
        <v>20</v>
      </c>
      <c r="K1214" s="1">
        <v>0</v>
      </c>
      <c r="L1214" s="1" t="s">
        <v>23</v>
      </c>
      <c r="M1214" s="1" t="str">
        <f t="shared" si="18"/>
        <v>Consistent</v>
      </c>
      <c r="N1214" s="1" t="str">
        <f>_xlfn.XLOOKUP(H1214, risk_score!A:A, risk_score!B:B, 0)</f>
        <v>Low Risk</v>
      </c>
    </row>
    <row r="1215" spans="1:14">
      <c r="A1215" s="2">
        <v>0.47202546296296294</v>
      </c>
      <c r="B1215" s="3">
        <v>44841</v>
      </c>
      <c r="C1215" s="1">
        <v>9673864368</v>
      </c>
      <c r="D1215" s="1">
        <v>7080357663</v>
      </c>
      <c r="E1215" s="1">
        <v>12284.06</v>
      </c>
      <c r="F1215" s="1" t="s">
        <v>12</v>
      </c>
      <c r="G1215" s="1" t="s">
        <v>12</v>
      </c>
      <c r="H1215" s="1" t="s">
        <v>13</v>
      </c>
      <c r="I1215" s="1" t="s">
        <v>13</v>
      </c>
      <c r="J1215" s="1" t="s">
        <v>20</v>
      </c>
      <c r="K1215" s="1">
        <v>0</v>
      </c>
      <c r="L1215" s="1" t="s">
        <v>23</v>
      </c>
      <c r="M1215" s="1" t="str">
        <f t="shared" si="18"/>
        <v>Consistent</v>
      </c>
      <c r="N1215" s="1" t="str">
        <f>_xlfn.XLOOKUP(H1215, risk_score!A:A, risk_score!B:B, 0)</f>
        <v>Low Risk</v>
      </c>
    </row>
    <row r="1216" spans="1:14">
      <c r="A1216" s="2">
        <v>0.47203703703703703</v>
      </c>
      <c r="B1216" s="3">
        <v>44841</v>
      </c>
      <c r="C1216" s="1">
        <v>7501327339</v>
      </c>
      <c r="D1216" s="1">
        <v>3546968911</v>
      </c>
      <c r="E1216" s="1">
        <v>5068.46</v>
      </c>
      <c r="F1216" s="1" t="s">
        <v>12</v>
      </c>
      <c r="G1216" s="1" t="s">
        <v>29</v>
      </c>
      <c r="H1216" s="1" t="s">
        <v>13</v>
      </c>
      <c r="I1216" s="1" t="s">
        <v>50</v>
      </c>
      <c r="J1216" s="1" t="s">
        <v>18</v>
      </c>
      <c r="K1216" s="1">
        <v>0</v>
      </c>
      <c r="L1216" s="1" t="s">
        <v>19</v>
      </c>
      <c r="M1216" s="1" t="str">
        <f t="shared" si="18"/>
        <v>Potential Layering</v>
      </c>
      <c r="N1216" s="1" t="str">
        <f>_xlfn.XLOOKUP(H1216, risk_score!A:A, risk_score!B:B, 0)</f>
        <v>Low Risk</v>
      </c>
    </row>
    <row r="1217" spans="1:14">
      <c r="A1217" s="2">
        <v>0.47204861111111113</v>
      </c>
      <c r="B1217" s="3">
        <v>44841</v>
      </c>
      <c r="C1217" s="1">
        <v>6904169843</v>
      </c>
      <c r="D1217" s="1">
        <v>4270865741</v>
      </c>
      <c r="E1217" s="1">
        <v>6234.9</v>
      </c>
      <c r="F1217" s="1" t="s">
        <v>12</v>
      </c>
      <c r="G1217" s="1" t="s">
        <v>12</v>
      </c>
      <c r="H1217" s="1" t="s">
        <v>13</v>
      </c>
      <c r="I1217" s="1" t="s">
        <v>13</v>
      </c>
      <c r="J1217" s="1" t="s">
        <v>22</v>
      </c>
      <c r="K1217" s="1">
        <v>0</v>
      </c>
      <c r="L1217" s="1" t="s">
        <v>23</v>
      </c>
      <c r="M1217" s="1" t="str">
        <f t="shared" si="18"/>
        <v>Consistent</v>
      </c>
      <c r="N1217" s="1" t="str">
        <f>_xlfn.XLOOKUP(H1217, risk_score!A:A, risk_score!B:B, 0)</f>
        <v>Low Risk</v>
      </c>
    </row>
    <row r="1218" spans="1:14">
      <c r="A1218" s="2">
        <v>0.47206018518518517</v>
      </c>
      <c r="B1218" s="3">
        <v>44841</v>
      </c>
      <c r="C1218" s="1">
        <v>8394294350</v>
      </c>
      <c r="D1218" s="1">
        <v>8678802420</v>
      </c>
      <c r="E1218" s="1">
        <v>7868.71</v>
      </c>
      <c r="F1218" s="1" t="s">
        <v>12</v>
      </c>
      <c r="G1218" s="1" t="s">
        <v>12</v>
      </c>
      <c r="H1218" s="1" t="s">
        <v>13</v>
      </c>
      <c r="I1218" s="1" t="s">
        <v>13</v>
      </c>
      <c r="J1218" s="1" t="s">
        <v>22</v>
      </c>
      <c r="K1218" s="1">
        <v>0</v>
      </c>
      <c r="L1218" s="1" t="s">
        <v>23</v>
      </c>
      <c r="M1218" s="1" t="str">
        <f t="shared" si="18"/>
        <v>Consistent</v>
      </c>
      <c r="N1218" s="1" t="str">
        <f>_xlfn.XLOOKUP(H1218, risk_score!A:A, risk_score!B:B, 0)</f>
        <v>Low Risk</v>
      </c>
    </row>
    <row r="1219" spans="1:14">
      <c r="A1219" s="2">
        <v>0.47212962962962962</v>
      </c>
      <c r="B1219" s="3">
        <v>44841</v>
      </c>
      <c r="C1219" s="1">
        <v>1274645528</v>
      </c>
      <c r="D1219" s="1">
        <v>3205718917</v>
      </c>
      <c r="E1219" s="1">
        <v>9844.27</v>
      </c>
      <c r="F1219" s="1" t="s">
        <v>12</v>
      </c>
      <c r="G1219" s="1" t="s">
        <v>12</v>
      </c>
      <c r="H1219" s="1" t="s">
        <v>13</v>
      </c>
      <c r="I1219" s="1" t="s">
        <v>13</v>
      </c>
      <c r="J1219" s="1" t="s">
        <v>25</v>
      </c>
      <c r="K1219" s="1">
        <v>0</v>
      </c>
      <c r="L1219" s="1" t="s">
        <v>21</v>
      </c>
      <c r="M1219" s="1" t="str">
        <f t="shared" ref="M1219:M1282" si="19">IF(F1219=G1219, "Consistent", "Potential Layering")</f>
        <v>Consistent</v>
      </c>
      <c r="N1219" s="1" t="str">
        <f>_xlfn.XLOOKUP(H1219, risk_score!A:A, risk_score!B:B, 0)</f>
        <v>Low Risk</v>
      </c>
    </row>
    <row r="1220" spans="1:14">
      <c r="A1220" s="2">
        <v>0.47215277777777775</v>
      </c>
      <c r="B1220" s="3">
        <v>44841</v>
      </c>
      <c r="C1220" s="1">
        <v>5449505444</v>
      </c>
      <c r="D1220" s="1">
        <v>9673253200</v>
      </c>
      <c r="E1220" s="1">
        <v>846.67</v>
      </c>
      <c r="F1220" s="1" t="s">
        <v>12</v>
      </c>
      <c r="G1220" s="1" t="s">
        <v>12</v>
      </c>
      <c r="H1220" s="1" t="s">
        <v>13</v>
      </c>
      <c r="I1220" s="1" t="s">
        <v>13</v>
      </c>
      <c r="J1220" s="1" t="s">
        <v>27</v>
      </c>
      <c r="K1220" s="1">
        <v>0</v>
      </c>
      <c r="L1220" s="1" t="s">
        <v>24</v>
      </c>
      <c r="M1220" s="1" t="str">
        <f t="shared" si="19"/>
        <v>Consistent</v>
      </c>
      <c r="N1220" s="1" t="str">
        <f>_xlfn.XLOOKUP(H1220, risk_score!A:A, risk_score!B:B, 0)</f>
        <v>Low Risk</v>
      </c>
    </row>
    <row r="1221" spans="1:14">
      <c r="A1221" s="2">
        <v>0.47217592592592594</v>
      </c>
      <c r="B1221" s="3">
        <v>44841</v>
      </c>
      <c r="C1221" s="1">
        <v>4233653992</v>
      </c>
      <c r="D1221" s="1">
        <v>2224626267</v>
      </c>
      <c r="E1221" s="1">
        <v>325.20999999999998</v>
      </c>
      <c r="F1221" s="1" t="s">
        <v>12</v>
      </c>
      <c r="G1221" s="1" t="s">
        <v>12</v>
      </c>
      <c r="H1221" s="1" t="s">
        <v>13</v>
      </c>
      <c r="I1221" s="1" t="s">
        <v>13</v>
      </c>
      <c r="J1221" s="1" t="s">
        <v>36</v>
      </c>
      <c r="K1221" s="1">
        <v>0</v>
      </c>
      <c r="L1221" s="1" t="s">
        <v>37</v>
      </c>
      <c r="M1221" s="1" t="str">
        <f t="shared" si="19"/>
        <v>Consistent</v>
      </c>
      <c r="N1221" s="1" t="str">
        <f>_xlfn.XLOOKUP(H1221, risk_score!A:A, risk_score!B:B, 0)</f>
        <v>Low Risk</v>
      </c>
    </row>
    <row r="1222" spans="1:14">
      <c r="A1222" s="2">
        <v>0.47217592592592594</v>
      </c>
      <c r="B1222" s="3">
        <v>44841</v>
      </c>
      <c r="C1222" s="1">
        <v>1491989064</v>
      </c>
      <c r="D1222" s="1">
        <v>3755103279</v>
      </c>
      <c r="E1222" s="1">
        <v>7340.98</v>
      </c>
      <c r="F1222" s="1" t="s">
        <v>12</v>
      </c>
      <c r="G1222" s="1" t="s">
        <v>12</v>
      </c>
      <c r="H1222" s="1" t="s">
        <v>13</v>
      </c>
      <c r="I1222" s="1" t="s">
        <v>13</v>
      </c>
      <c r="J1222" s="1" t="s">
        <v>22</v>
      </c>
      <c r="K1222" s="1">
        <v>0</v>
      </c>
      <c r="L1222" s="1" t="s">
        <v>19</v>
      </c>
      <c r="M1222" s="1" t="str">
        <f t="shared" si="19"/>
        <v>Consistent</v>
      </c>
      <c r="N1222" s="1" t="str">
        <f>_xlfn.XLOOKUP(H1222, risk_score!A:A, risk_score!B:B, 0)</f>
        <v>Low Risk</v>
      </c>
    </row>
    <row r="1223" spans="1:14">
      <c r="A1223" s="2">
        <v>0.4722337962962963</v>
      </c>
      <c r="B1223" s="3">
        <v>44841</v>
      </c>
      <c r="C1223" s="1">
        <v>1937509788</v>
      </c>
      <c r="D1223" s="1">
        <v>5628674969</v>
      </c>
      <c r="E1223" s="1">
        <v>9593.82</v>
      </c>
      <c r="F1223" s="1" t="s">
        <v>12</v>
      </c>
      <c r="G1223" s="1" t="s">
        <v>12</v>
      </c>
      <c r="H1223" s="1" t="s">
        <v>13</v>
      </c>
      <c r="I1223" s="1" t="s">
        <v>13</v>
      </c>
      <c r="J1223" s="1" t="s">
        <v>25</v>
      </c>
      <c r="K1223" s="1">
        <v>0</v>
      </c>
      <c r="L1223" s="1" t="s">
        <v>23</v>
      </c>
      <c r="M1223" s="1" t="str">
        <f t="shared" si="19"/>
        <v>Consistent</v>
      </c>
      <c r="N1223" s="1" t="str">
        <f>_xlfn.XLOOKUP(H1223, risk_score!A:A, risk_score!B:B, 0)</f>
        <v>Low Risk</v>
      </c>
    </row>
    <row r="1224" spans="1:14">
      <c r="A1224" s="2">
        <v>0.47226851851851853</v>
      </c>
      <c r="B1224" s="3">
        <v>44841</v>
      </c>
      <c r="C1224" s="1">
        <v>1108824956</v>
      </c>
      <c r="D1224" s="1">
        <v>1616215875</v>
      </c>
      <c r="E1224" s="1">
        <v>3188.32</v>
      </c>
      <c r="F1224" s="1" t="s">
        <v>12</v>
      </c>
      <c r="G1224" s="1" t="s">
        <v>12</v>
      </c>
      <c r="H1224" s="1" t="s">
        <v>13</v>
      </c>
      <c r="I1224" s="1" t="s">
        <v>13</v>
      </c>
      <c r="J1224" s="1" t="s">
        <v>22</v>
      </c>
      <c r="K1224" s="1">
        <v>0</v>
      </c>
      <c r="L1224" s="1" t="s">
        <v>24</v>
      </c>
      <c r="M1224" s="1" t="str">
        <f t="shared" si="19"/>
        <v>Consistent</v>
      </c>
      <c r="N1224" s="1" t="str">
        <f>_xlfn.XLOOKUP(H1224, risk_score!A:A, risk_score!B:B, 0)</f>
        <v>Low Risk</v>
      </c>
    </row>
    <row r="1225" spans="1:14">
      <c r="A1225" s="2">
        <v>0.47230324074074076</v>
      </c>
      <c r="B1225" s="3">
        <v>44841</v>
      </c>
      <c r="C1225" s="1">
        <v>6354136969</v>
      </c>
      <c r="D1225" s="1">
        <v>7080357663</v>
      </c>
      <c r="E1225" s="1">
        <v>19924.47</v>
      </c>
      <c r="F1225" s="1" t="s">
        <v>12</v>
      </c>
      <c r="G1225" s="1" t="s">
        <v>12</v>
      </c>
      <c r="H1225" s="1" t="s">
        <v>13</v>
      </c>
      <c r="I1225" s="1" t="s">
        <v>13</v>
      </c>
      <c r="J1225" s="1" t="s">
        <v>27</v>
      </c>
      <c r="K1225" s="1">
        <v>0</v>
      </c>
      <c r="L1225" s="1" t="s">
        <v>23</v>
      </c>
      <c r="M1225" s="1" t="str">
        <f t="shared" si="19"/>
        <v>Consistent</v>
      </c>
      <c r="N1225" s="1" t="str">
        <f>_xlfn.XLOOKUP(H1225, risk_score!A:A, risk_score!B:B, 0)</f>
        <v>Low Risk</v>
      </c>
    </row>
    <row r="1226" spans="1:14">
      <c r="A1226" s="2">
        <v>0.47232638888888889</v>
      </c>
      <c r="B1226" s="3">
        <v>44841</v>
      </c>
      <c r="C1226" s="1">
        <v>4496388351</v>
      </c>
      <c r="D1226" s="1">
        <v>1123187068</v>
      </c>
      <c r="E1226" s="1">
        <v>15057.3</v>
      </c>
      <c r="F1226" s="1" t="s">
        <v>12</v>
      </c>
      <c r="G1226" s="1" t="s">
        <v>12</v>
      </c>
      <c r="H1226" s="1" t="s">
        <v>13</v>
      </c>
      <c r="I1226" s="1" t="s">
        <v>13</v>
      </c>
      <c r="J1226" s="1" t="s">
        <v>22</v>
      </c>
      <c r="K1226" s="1">
        <v>0</v>
      </c>
      <c r="L1226" s="1" t="s">
        <v>21</v>
      </c>
      <c r="M1226" s="1" t="str">
        <f t="shared" si="19"/>
        <v>Consistent</v>
      </c>
      <c r="N1226" s="1" t="str">
        <f>_xlfn.XLOOKUP(H1226, risk_score!A:A, risk_score!B:B, 0)</f>
        <v>Low Risk</v>
      </c>
    </row>
    <row r="1227" spans="1:14">
      <c r="A1227" s="2">
        <v>0.47233796296296299</v>
      </c>
      <c r="B1227" s="3">
        <v>44841</v>
      </c>
      <c r="C1227" s="1">
        <v>673079006</v>
      </c>
      <c r="D1227" s="1">
        <v>2617387410</v>
      </c>
      <c r="E1227" s="1">
        <v>484.35</v>
      </c>
      <c r="F1227" s="1" t="s">
        <v>12</v>
      </c>
      <c r="G1227" s="1" t="s">
        <v>12</v>
      </c>
      <c r="H1227" s="1" t="s">
        <v>13</v>
      </c>
      <c r="I1227" s="1" t="s">
        <v>13</v>
      </c>
      <c r="J1227" s="1" t="s">
        <v>14</v>
      </c>
      <c r="K1227" s="1">
        <v>0</v>
      </c>
      <c r="L1227" s="1" t="s">
        <v>15</v>
      </c>
      <c r="M1227" s="1" t="str">
        <f t="shared" si="19"/>
        <v>Consistent</v>
      </c>
      <c r="N1227" s="1" t="str">
        <f>_xlfn.XLOOKUP(H1227, risk_score!A:A, risk_score!B:B, 0)</f>
        <v>Low Risk</v>
      </c>
    </row>
    <row r="1228" spans="1:14">
      <c r="A1228" s="2">
        <v>0.47234953703703703</v>
      </c>
      <c r="B1228" s="3">
        <v>44841</v>
      </c>
      <c r="C1228" s="1">
        <v>8271828814</v>
      </c>
      <c r="D1228" s="1">
        <v>6844017836</v>
      </c>
      <c r="E1228" s="1">
        <v>277.18</v>
      </c>
      <c r="F1228" s="1" t="s">
        <v>12</v>
      </c>
      <c r="G1228" s="1" t="s">
        <v>12</v>
      </c>
      <c r="H1228" s="1" t="s">
        <v>13</v>
      </c>
      <c r="I1228" s="1" t="s">
        <v>13</v>
      </c>
      <c r="J1228" s="1" t="s">
        <v>36</v>
      </c>
      <c r="K1228" s="1">
        <v>0</v>
      </c>
      <c r="L1228" s="1" t="s">
        <v>37</v>
      </c>
      <c r="M1228" s="1" t="str">
        <f t="shared" si="19"/>
        <v>Consistent</v>
      </c>
      <c r="N1228" s="1" t="str">
        <f>_xlfn.XLOOKUP(H1228, risk_score!A:A, risk_score!B:B, 0)</f>
        <v>Low Risk</v>
      </c>
    </row>
    <row r="1229" spans="1:14">
      <c r="A1229" s="2">
        <v>0.47236111111111112</v>
      </c>
      <c r="B1229" s="3">
        <v>44841</v>
      </c>
      <c r="C1229" s="1">
        <v>3977956775</v>
      </c>
      <c r="D1229" s="1">
        <v>5363117119</v>
      </c>
      <c r="E1229" s="1">
        <v>9663.48</v>
      </c>
      <c r="F1229" s="1" t="s">
        <v>12</v>
      </c>
      <c r="G1229" s="1" t="s">
        <v>12</v>
      </c>
      <c r="H1229" s="1" t="s">
        <v>13</v>
      </c>
      <c r="I1229" s="1" t="s">
        <v>13</v>
      </c>
      <c r="J1229" s="1" t="s">
        <v>25</v>
      </c>
      <c r="K1229" s="1">
        <v>0</v>
      </c>
      <c r="L1229" s="1" t="s">
        <v>23</v>
      </c>
      <c r="M1229" s="1" t="str">
        <f t="shared" si="19"/>
        <v>Consistent</v>
      </c>
      <c r="N1229" s="1" t="str">
        <f>_xlfn.XLOOKUP(H1229, risk_score!A:A, risk_score!B:B, 0)</f>
        <v>Low Risk</v>
      </c>
    </row>
    <row r="1230" spans="1:14">
      <c r="A1230" s="2">
        <v>0.47238425925925925</v>
      </c>
      <c r="B1230" s="3">
        <v>44841</v>
      </c>
      <c r="C1230" s="1">
        <v>9548148966</v>
      </c>
      <c r="D1230" s="1">
        <v>1197393451</v>
      </c>
      <c r="E1230" s="1">
        <v>7551.01</v>
      </c>
      <c r="F1230" s="1" t="s">
        <v>12</v>
      </c>
      <c r="G1230" s="1" t="s">
        <v>12</v>
      </c>
      <c r="H1230" s="1" t="s">
        <v>13</v>
      </c>
      <c r="I1230" s="1" t="s">
        <v>13</v>
      </c>
      <c r="J1230" s="1" t="s">
        <v>20</v>
      </c>
      <c r="K1230" s="1">
        <v>0</v>
      </c>
      <c r="L1230" s="1" t="s">
        <v>21</v>
      </c>
      <c r="M1230" s="1" t="str">
        <f t="shared" si="19"/>
        <v>Consistent</v>
      </c>
      <c r="N1230" s="1" t="str">
        <f>_xlfn.XLOOKUP(H1230, risk_score!A:A, risk_score!B:B, 0)</f>
        <v>Low Risk</v>
      </c>
    </row>
    <row r="1231" spans="1:14">
      <c r="A1231" s="2">
        <v>0.47241898148148148</v>
      </c>
      <c r="B1231" s="3">
        <v>44841</v>
      </c>
      <c r="C1231" s="1">
        <v>8952177221</v>
      </c>
      <c r="D1231" s="1">
        <v>3031188286</v>
      </c>
      <c r="E1231" s="1">
        <v>11864.26</v>
      </c>
      <c r="F1231" s="1" t="s">
        <v>12</v>
      </c>
      <c r="G1231" s="1" t="s">
        <v>12</v>
      </c>
      <c r="H1231" s="1" t="s">
        <v>13</v>
      </c>
      <c r="I1231" s="1" t="s">
        <v>13</v>
      </c>
      <c r="J1231" s="1" t="s">
        <v>22</v>
      </c>
      <c r="K1231" s="1">
        <v>0</v>
      </c>
      <c r="L1231" s="1" t="s">
        <v>19</v>
      </c>
      <c r="M1231" s="1" t="str">
        <f t="shared" si="19"/>
        <v>Consistent</v>
      </c>
      <c r="N1231" s="1" t="str">
        <f>_xlfn.XLOOKUP(H1231, risk_score!A:A, risk_score!B:B, 0)</f>
        <v>Low Risk</v>
      </c>
    </row>
    <row r="1232" spans="1:14">
      <c r="A1232" s="2">
        <v>0.47243055555555558</v>
      </c>
      <c r="B1232" s="3">
        <v>44841</v>
      </c>
      <c r="C1232" s="1">
        <v>1915450576</v>
      </c>
      <c r="D1232" s="1">
        <v>1020934931</v>
      </c>
      <c r="E1232" s="1">
        <v>5220.4799999999996</v>
      </c>
      <c r="F1232" s="1" t="s">
        <v>12</v>
      </c>
      <c r="G1232" s="1" t="s">
        <v>12</v>
      </c>
      <c r="H1232" s="1" t="s">
        <v>13</v>
      </c>
      <c r="I1232" s="1" t="s">
        <v>13</v>
      </c>
      <c r="J1232" s="1" t="s">
        <v>27</v>
      </c>
      <c r="K1232" s="1">
        <v>0</v>
      </c>
      <c r="L1232" s="1" t="s">
        <v>19</v>
      </c>
      <c r="M1232" s="1" t="str">
        <f t="shared" si="19"/>
        <v>Consistent</v>
      </c>
      <c r="N1232" s="1" t="str">
        <f>_xlfn.XLOOKUP(H1232, risk_score!A:A, risk_score!B:B, 0)</f>
        <v>Low Risk</v>
      </c>
    </row>
    <row r="1233" spans="1:14">
      <c r="A1233" s="2">
        <v>0.47244212962962961</v>
      </c>
      <c r="B1233" s="3">
        <v>44841</v>
      </c>
      <c r="C1233" s="1">
        <v>8257603427</v>
      </c>
      <c r="D1233" s="1">
        <v>2794147563</v>
      </c>
      <c r="E1233" s="1">
        <v>903.89</v>
      </c>
      <c r="F1233" s="1" t="s">
        <v>12</v>
      </c>
      <c r="G1233" s="1" t="s">
        <v>12</v>
      </c>
      <c r="H1233" s="1" t="s">
        <v>13</v>
      </c>
      <c r="I1233" s="1" t="s">
        <v>13</v>
      </c>
      <c r="J1233" s="1" t="s">
        <v>20</v>
      </c>
      <c r="K1233" s="1">
        <v>0</v>
      </c>
      <c r="L1233" s="1" t="s">
        <v>21</v>
      </c>
      <c r="M1233" s="1" t="str">
        <f t="shared" si="19"/>
        <v>Consistent</v>
      </c>
      <c r="N1233" s="1" t="str">
        <f>_xlfn.XLOOKUP(H1233, risk_score!A:A, risk_score!B:B, 0)</f>
        <v>Low Risk</v>
      </c>
    </row>
    <row r="1234" spans="1:14">
      <c r="A1234" s="2">
        <v>0.47248842592592594</v>
      </c>
      <c r="B1234" s="3">
        <v>44841</v>
      </c>
      <c r="C1234" s="1">
        <v>3138958286</v>
      </c>
      <c r="D1234" s="1">
        <v>1726639525</v>
      </c>
      <c r="E1234" s="1">
        <v>2938.4</v>
      </c>
      <c r="F1234" s="1" t="s">
        <v>12</v>
      </c>
      <c r="G1234" s="1" t="s">
        <v>12</v>
      </c>
      <c r="H1234" s="1" t="s">
        <v>13</v>
      </c>
      <c r="I1234" s="1" t="s">
        <v>13</v>
      </c>
      <c r="J1234" s="1" t="s">
        <v>14</v>
      </c>
      <c r="K1234" s="1">
        <v>0</v>
      </c>
      <c r="L1234" s="1" t="s">
        <v>15</v>
      </c>
      <c r="M1234" s="1" t="str">
        <f t="shared" si="19"/>
        <v>Consistent</v>
      </c>
      <c r="N1234" s="1" t="str">
        <f>_xlfn.XLOOKUP(H1234, risk_score!A:A, risk_score!B:B, 0)</f>
        <v>Low Risk</v>
      </c>
    </row>
    <row r="1235" spans="1:14">
      <c r="A1235" s="2">
        <v>0.47248842592592594</v>
      </c>
      <c r="B1235" s="3">
        <v>44841</v>
      </c>
      <c r="C1235" s="1">
        <v>9277661052</v>
      </c>
      <c r="D1235" s="1">
        <v>6945267083</v>
      </c>
      <c r="E1235" s="1">
        <v>8563.7199999999993</v>
      </c>
      <c r="F1235" s="1" t="s">
        <v>12</v>
      </c>
      <c r="G1235" s="1" t="s">
        <v>12</v>
      </c>
      <c r="H1235" s="1" t="s">
        <v>13</v>
      </c>
      <c r="I1235" s="1" t="s">
        <v>13</v>
      </c>
      <c r="J1235" s="1" t="s">
        <v>20</v>
      </c>
      <c r="K1235" s="1">
        <v>0</v>
      </c>
      <c r="L1235" s="1" t="s">
        <v>21</v>
      </c>
      <c r="M1235" s="1" t="str">
        <f t="shared" si="19"/>
        <v>Consistent</v>
      </c>
      <c r="N1235" s="1" t="str">
        <f>_xlfn.XLOOKUP(H1235, risk_score!A:A, risk_score!B:B, 0)</f>
        <v>Low Risk</v>
      </c>
    </row>
    <row r="1236" spans="1:14">
      <c r="A1236" s="2">
        <v>0.47249999999999998</v>
      </c>
      <c r="B1236" s="3">
        <v>44841</v>
      </c>
      <c r="C1236" s="1">
        <v>7788310039</v>
      </c>
      <c r="D1236" s="1">
        <v>5103043844</v>
      </c>
      <c r="E1236" s="1">
        <v>10634.57</v>
      </c>
      <c r="F1236" s="1" t="s">
        <v>12</v>
      </c>
      <c r="G1236" s="1" t="s">
        <v>44</v>
      </c>
      <c r="H1236" s="1" t="s">
        <v>13</v>
      </c>
      <c r="I1236" s="1" t="s">
        <v>45</v>
      </c>
      <c r="J1236" s="1" t="s">
        <v>18</v>
      </c>
      <c r="K1236" s="1">
        <v>0</v>
      </c>
      <c r="L1236" s="1" t="s">
        <v>23</v>
      </c>
      <c r="M1236" s="1" t="str">
        <f t="shared" si="19"/>
        <v>Potential Layering</v>
      </c>
      <c r="N1236" s="1" t="str">
        <f>_xlfn.XLOOKUP(H1236, risk_score!A:A, risk_score!B:B, 0)</f>
        <v>Low Risk</v>
      </c>
    </row>
    <row r="1237" spans="1:14">
      <c r="A1237" s="2">
        <v>0.47251157407407407</v>
      </c>
      <c r="B1237" s="3">
        <v>44841</v>
      </c>
      <c r="C1237" s="1">
        <v>6764548823</v>
      </c>
      <c r="D1237" s="1">
        <v>497786955</v>
      </c>
      <c r="E1237" s="1">
        <v>6673.92</v>
      </c>
      <c r="F1237" s="1" t="s">
        <v>12</v>
      </c>
      <c r="G1237" s="1" t="s">
        <v>26</v>
      </c>
      <c r="H1237" s="1" t="s">
        <v>13</v>
      </c>
      <c r="I1237" s="1" t="s">
        <v>56</v>
      </c>
      <c r="J1237" s="1" t="s">
        <v>18</v>
      </c>
      <c r="K1237" s="1">
        <v>0</v>
      </c>
      <c r="L1237" s="1" t="s">
        <v>21</v>
      </c>
      <c r="M1237" s="1" t="str">
        <f t="shared" si="19"/>
        <v>Potential Layering</v>
      </c>
      <c r="N1237" s="1" t="str">
        <f>_xlfn.XLOOKUP(H1237, risk_score!A:A, risk_score!B:B, 0)</f>
        <v>Low Risk</v>
      </c>
    </row>
    <row r="1238" spans="1:14">
      <c r="A1238" s="2">
        <v>0.4725462962962963</v>
      </c>
      <c r="B1238" s="3">
        <v>44841</v>
      </c>
      <c r="C1238" s="1">
        <v>3485414590</v>
      </c>
      <c r="D1238" s="1">
        <v>2284498805</v>
      </c>
      <c r="E1238" s="1">
        <v>4473.7</v>
      </c>
      <c r="F1238" s="1" t="s">
        <v>12</v>
      </c>
      <c r="G1238" s="1" t="s">
        <v>12</v>
      </c>
      <c r="H1238" s="1" t="s">
        <v>13</v>
      </c>
      <c r="I1238" s="1" t="s">
        <v>13</v>
      </c>
      <c r="J1238" s="1" t="s">
        <v>20</v>
      </c>
      <c r="K1238" s="1">
        <v>0</v>
      </c>
      <c r="L1238" s="1" t="s">
        <v>24</v>
      </c>
      <c r="M1238" s="1" t="str">
        <f t="shared" si="19"/>
        <v>Consistent</v>
      </c>
      <c r="N1238" s="1" t="str">
        <f>_xlfn.XLOOKUP(H1238, risk_score!A:A, risk_score!B:B, 0)</f>
        <v>Low Risk</v>
      </c>
    </row>
    <row r="1239" spans="1:14">
      <c r="A1239" s="2">
        <v>0.47255787037037039</v>
      </c>
      <c r="B1239" s="3">
        <v>44841</v>
      </c>
      <c r="C1239" s="1">
        <v>7965472676</v>
      </c>
      <c r="D1239" s="1">
        <v>6646502650</v>
      </c>
      <c r="E1239" s="1">
        <v>5395.01</v>
      </c>
      <c r="F1239" s="1" t="s">
        <v>12</v>
      </c>
      <c r="G1239" s="1" t="s">
        <v>29</v>
      </c>
      <c r="H1239" s="1" t="s">
        <v>13</v>
      </c>
      <c r="I1239" s="1" t="s">
        <v>31</v>
      </c>
      <c r="J1239" s="1" t="s">
        <v>18</v>
      </c>
      <c r="K1239" s="1">
        <v>0</v>
      </c>
      <c r="L1239" s="1" t="s">
        <v>23</v>
      </c>
      <c r="M1239" s="1" t="str">
        <f t="shared" si="19"/>
        <v>Potential Layering</v>
      </c>
      <c r="N1239" s="1" t="str">
        <f>_xlfn.XLOOKUP(H1239, risk_score!A:A, risk_score!B:B, 0)</f>
        <v>Low Risk</v>
      </c>
    </row>
    <row r="1240" spans="1:14">
      <c r="A1240" s="2">
        <v>0.47259259259259262</v>
      </c>
      <c r="B1240" s="3">
        <v>44841</v>
      </c>
      <c r="C1240" s="1">
        <v>703647888</v>
      </c>
      <c r="D1240" s="1">
        <v>1431561040</v>
      </c>
      <c r="E1240" s="1">
        <v>19786.349999999999</v>
      </c>
      <c r="F1240" s="1" t="s">
        <v>12</v>
      </c>
      <c r="G1240" s="1" t="s">
        <v>12</v>
      </c>
      <c r="H1240" s="1" t="s">
        <v>13</v>
      </c>
      <c r="I1240" s="1" t="s">
        <v>13</v>
      </c>
      <c r="J1240" s="1" t="s">
        <v>20</v>
      </c>
      <c r="K1240" s="1">
        <v>0</v>
      </c>
      <c r="L1240" s="1" t="s">
        <v>23</v>
      </c>
      <c r="M1240" s="1" t="str">
        <f t="shared" si="19"/>
        <v>Consistent</v>
      </c>
      <c r="N1240" s="1" t="str">
        <f>_xlfn.XLOOKUP(H1240, risk_score!A:A, risk_score!B:B, 0)</f>
        <v>Low Risk</v>
      </c>
    </row>
    <row r="1241" spans="1:14">
      <c r="A1241" s="2">
        <v>0.47259259259259262</v>
      </c>
      <c r="B1241" s="3">
        <v>44841</v>
      </c>
      <c r="C1241" s="1">
        <v>3318565458</v>
      </c>
      <c r="D1241" s="1">
        <v>8116165846</v>
      </c>
      <c r="E1241" s="1">
        <v>118.16</v>
      </c>
      <c r="F1241" s="1" t="s">
        <v>12</v>
      </c>
      <c r="G1241" s="1" t="s">
        <v>12</v>
      </c>
      <c r="H1241" s="1" t="s">
        <v>13</v>
      </c>
      <c r="I1241" s="1" t="s">
        <v>13</v>
      </c>
      <c r="J1241" s="1" t="s">
        <v>36</v>
      </c>
      <c r="K1241" s="1">
        <v>0</v>
      </c>
      <c r="L1241" s="1" t="s">
        <v>37</v>
      </c>
      <c r="M1241" s="1" t="str">
        <f t="shared" si="19"/>
        <v>Consistent</v>
      </c>
      <c r="N1241" s="1" t="str">
        <f>_xlfn.XLOOKUP(H1241, risk_score!A:A, risk_score!B:B, 0)</f>
        <v>Low Risk</v>
      </c>
    </row>
    <row r="1242" spans="1:14">
      <c r="A1242" s="2">
        <v>0.47259259259259262</v>
      </c>
      <c r="B1242" s="3">
        <v>44841</v>
      </c>
      <c r="C1242" s="1">
        <v>3193577264</v>
      </c>
      <c r="D1242" s="1">
        <v>668971934</v>
      </c>
      <c r="E1242" s="1">
        <v>1839.45</v>
      </c>
      <c r="F1242" s="1" t="s">
        <v>12</v>
      </c>
      <c r="G1242" s="1" t="s">
        <v>12</v>
      </c>
      <c r="H1242" s="1" t="s">
        <v>13</v>
      </c>
      <c r="I1242" s="1" t="s">
        <v>13</v>
      </c>
      <c r="J1242" s="1" t="s">
        <v>25</v>
      </c>
      <c r="K1242" s="1">
        <v>0</v>
      </c>
      <c r="L1242" s="1" t="s">
        <v>21</v>
      </c>
      <c r="M1242" s="1" t="str">
        <f t="shared" si="19"/>
        <v>Consistent</v>
      </c>
      <c r="N1242" s="1" t="str">
        <f>_xlfn.XLOOKUP(H1242, risk_score!A:A, risk_score!B:B, 0)</f>
        <v>Low Risk</v>
      </c>
    </row>
    <row r="1243" spans="1:14">
      <c r="A1243" s="2">
        <v>0.47260416666666666</v>
      </c>
      <c r="B1243" s="3">
        <v>44841</v>
      </c>
      <c r="C1243" s="1">
        <v>9301628280</v>
      </c>
      <c r="D1243" s="1">
        <v>5091851687</v>
      </c>
      <c r="E1243" s="1">
        <v>18325.75</v>
      </c>
      <c r="F1243" s="1" t="s">
        <v>12</v>
      </c>
      <c r="G1243" s="1" t="s">
        <v>12</v>
      </c>
      <c r="H1243" s="1" t="s">
        <v>13</v>
      </c>
      <c r="I1243" s="1" t="s">
        <v>13</v>
      </c>
      <c r="J1243" s="1" t="s">
        <v>20</v>
      </c>
      <c r="K1243" s="1">
        <v>0</v>
      </c>
      <c r="L1243" s="1" t="s">
        <v>21</v>
      </c>
      <c r="M1243" s="1" t="str">
        <f t="shared" si="19"/>
        <v>Consistent</v>
      </c>
      <c r="N1243" s="1" t="str">
        <f>_xlfn.XLOOKUP(H1243, risk_score!A:A, risk_score!B:B, 0)</f>
        <v>Low Risk</v>
      </c>
    </row>
    <row r="1244" spans="1:14">
      <c r="A1244" s="2">
        <v>0.47261574074074075</v>
      </c>
      <c r="B1244" s="3">
        <v>44841</v>
      </c>
      <c r="C1244" s="1">
        <v>7326442087</v>
      </c>
      <c r="D1244" s="1">
        <v>1493436023</v>
      </c>
      <c r="E1244" s="1">
        <v>7569.32</v>
      </c>
      <c r="F1244" s="1" t="s">
        <v>12</v>
      </c>
      <c r="G1244" s="1" t="s">
        <v>12</v>
      </c>
      <c r="H1244" s="1" t="s">
        <v>13</v>
      </c>
      <c r="I1244" s="1" t="s">
        <v>13</v>
      </c>
      <c r="J1244" s="1" t="s">
        <v>27</v>
      </c>
      <c r="K1244" s="1">
        <v>0</v>
      </c>
      <c r="L1244" s="1" t="s">
        <v>23</v>
      </c>
      <c r="M1244" s="1" t="str">
        <f t="shared" si="19"/>
        <v>Consistent</v>
      </c>
      <c r="N1244" s="1" t="str">
        <f>_xlfn.XLOOKUP(H1244, risk_score!A:A, risk_score!B:B, 0)</f>
        <v>Low Risk</v>
      </c>
    </row>
    <row r="1245" spans="1:14">
      <c r="A1245" s="2">
        <v>0.47265046296296298</v>
      </c>
      <c r="B1245" s="3">
        <v>44841</v>
      </c>
      <c r="C1245" s="1">
        <v>7592950832</v>
      </c>
      <c r="D1245" s="1">
        <v>508467541</v>
      </c>
      <c r="E1245" s="1">
        <v>5181.76</v>
      </c>
      <c r="F1245" s="1" t="s">
        <v>12</v>
      </c>
      <c r="G1245" s="1" t="s">
        <v>12</v>
      </c>
      <c r="H1245" s="1" t="s">
        <v>13</v>
      </c>
      <c r="I1245" s="1" t="s">
        <v>13</v>
      </c>
      <c r="J1245" s="1" t="s">
        <v>27</v>
      </c>
      <c r="K1245" s="1">
        <v>0</v>
      </c>
      <c r="L1245" s="1" t="s">
        <v>21</v>
      </c>
      <c r="M1245" s="1" t="str">
        <f t="shared" si="19"/>
        <v>Consistent</v>
      </c>
      <c r="N1245" s="1" t="str">
        <f>_xlfn.XLOOKUP(H1245, risk_score!A:A, risk_score!B:B, 0)</f>
        <v>Low Risk</v>
      </c>
    </row>
    <row r="1246" spans="1:14">
      <c r="A1246" s="2">
        <v>0.47271990740740738</v>
      </c>
      <c r="B1246" s="3">
        <v>44841</v>
      </c>
      <c r="C1246" s="1">
        <v>4107570314</v>
      </c>
      <c r="D1246" s="1">
        <v>8294852198</v>
      </c>
      <c r="E1246" s="1">
        <v>1200.06</v>
      </c>
      <c r="F1246" s="1" t="s">
        <v>12</v>
      </c>
      <c r="G1246" s="1" t="s">
        <v>12</v>
      </c>
      <c r="H1246" s="1" t="s">
        <v>13</v>
      </c>
      <c r="I1246" s="1" t="s">
        <v>13</v>
      </c>
      <c r="J1246" s="1" t="s">
        <v>22</v>
      </c>
      <c r="K1246" s="1">
        <v>0</v>
      </c>
      <c r="L1246" s="1" t="s">
        <v>21</v>
      </c>
      <c r="M1246" s="1" t="str">
        <f t="shared" si="19"/>
        <v>Consistent</v>
      </c>
      <c r="N1246" s="1" t="str">
        <f>_xlfn.XLOOKUP(H1246, risk_score!A:A, risk_score!B:B, 0)</f>
        <v>Low Risk</v>
      </c>
    </row>
    <row r="1247" spans="1:14">
      <c r="A1247" s="2">
        <v>0.4727662037037037</v>
      </c>
      <c r="B1247" s="3">
        <v>44841</v>
      </c>
      <c r="C1247" s="1">
        <v>3510078932</v>
      </c>
      <c r="D1247" s="1">
        <v>5975019683</v>
      </c>
      <c r="E1247" s="1">
        <v>187.59</v>
      </c>
      <c r="F1247" s="1" t="s">
        <v>12</v>
      </c>
      <c r="G1247" s="1" t="s">
        <v>12</v>
      </c>
      <c r="H1247" s="1" t="s">
        <v>13</v>
      </c>
      <c r="I1247" s="1" t="s">
        <v>13</v>
      </c>
      <c r="J1247" s="1" t="s">
        <v>36</v>
      </c>
      <c r="K1247" s="1">
        <v>0</v>
      </c>
      <c r="L1247" s="1" t="s">
        <v>37</v>
      </c>
      <c r="M1247" s="1" t="str">
        <f t="shared" si="19"/>
        <v>Consistent</v>
      </c>
      <c r="N1247" s="1" t="str">
        <f>_xlfn.XLOOKUP(H1247, risk_score!A:A, risk_score!B:B, 0)</f>
        <v>Low Risk</v>
      </c>
    </row>
    <row r="1248" spans="1:14">
      <c r="A1248" s="2">
        <v>0.4727777777777778</v>
      </c>
      <c r="B1248" s="3">
        <v>44841</v>
      </c>
      <c r="C1248" s="1">
        <v>8952177221</v>
      </c>
      <c r="D1248" s="1">
        <v>4447848214</v>
      </c>
      <c r="E1248" s="1">
        <v>8017.62</v>
      </c>
      <c r="F1248" s="1" t="s">
        <v>12</v>
      </c>
      <c r="G1248" s="1" t="s">
        <v>12</v>
      </c>
      <c r="H1248" s="1" t="s">
        <v>13</v>
      </c>
      <c r="I1248" s="1" t="s">
        <v>13</v>
      </c>
      <c r="J1248" s="1" t="s">
        <v>27</v>
      </c>
      <c r="K1248" s="1">
        <v>0</v>
      </c>
      <c r="L1248" s="1" t="s">
        <v>19</v>
      </c>
      <c r="M1248" s="1" t="str">
        <f t="shared" si="19"/>
        <v>Consistent</v>
      </c>
      <c r="N1248" s="1" t="str">
        <f>_xlfn.XLOOKUP(H1248, risk_score!A:A, risk_score!B:B, 0)</f>
        <v>Low Risk</v>
      </c>
    </row>
    <row r="1249" spans="1:14">
      <c r="A1249" s="2">
        <v>0.4727777777777778</v>
      </c>
      <c r="B1249" s="3">
        <v>44841</v>
      </c>
      <c r="C1249" s="1">
        <v>9673864368</v>
      </c>
      <c r="D1249" s="1">
        <v>7080357663</v>
      </c>
      <c r="E1249" s="1">
        <v>12364.14</v>
      </c>
      <c r="F1249" s="1" t="s">
        <v>12</v>
      </c>
      <c r="G1249" s="1" t="s">
        <v>12</v>
      </c>
      <c r="H1249" s="1" t="s">
        <v>13</v>
      </c>
      <c r="I1249" s="1" t="s">
        <v>13</v>
      </c>
      <c r="J1249" s="1" t="s">
        <v>22</v>
      </c>
      <c r="K1249" s="1">
        <v>0</v>
      </c>
      <c r="L1249" s="1" t="s">
        <v>23</v>
      </c>
      <c r="M1249" s="1" t="str">
        <f t="shared" si="19"/>
        <v>Consistent</v>
      </c>
      <c r="N1249" s="1" t="str">
        <f>_xlfn.XLOOKUP(H1249, risk_score!A:A, risk_score!B:B, 0)</f>
        <v>Low Risk</v>
      </c>
    </row>
    <row r="1250" spans="1:14">
      <c r="A1250" s="2">
        <v>0.47278935185185184</v>
      </c>
      <c r="B1250" s="3">
        <v>44841</v>
      </c>
      <c r="C1250" s="1">
        <v>7298581095</v>
      </c>
      <c r="D1250" s="1">
        <v>909255728</v>
      </c>
      <c r="E1250" s="1">
        <v>812.66</v>
      </c>
      <c r="F1250" s="1" t="s">
        <v>12</v>
      </c>
      <c r="G1250" s="1" t="s">
        <v>12</v>
      </c>
      <c r="H1250" s="1" t="s">
        <v>13</v>
      </c>
      <c r="I1250" s="1" t="s">
        <v>13</v>
      </c>
      <c r="J1250" s="1" t="s">
        <v>25</v>
      </c>
      <c r="K1250" s="1">
        <v>0</v>
      </c>
      <c r="L1250" s="1" t="s">
        <v>21</v>
      </c>
      <c r="M1250" s="1" t="str">
        <f t="shared" si="19"/>
        <v>Consistent</v>
      </c>
      <c r="N1250" s="1" t="str">
        <f>_xlfn.XLOOKUP(H1250, risk_score!A:A, risk_score!B:B, 0)</f>
        <v>Low Risk</v>
      </c>
    </row>
    <row r="1251" spans="1:14">
      <c r="A1251" s="2">
        <v>0.47280092592592593</v>
      </c>
      <c r="B1251" s="3">
        <v>44841</v>
      </c>
      <c r="C1251" s="1">
        <v>1140797403</v>
      </c>
      <c r="D1251" s="1">
        <v>4985209646</v>
      </c>
      <c r="E1251" s="1">
        <v>858.34</v>
      </c>
      <c r="F1251" s="1" t="s">
        <v>12</v>
      </c>
      <c r="G1251" s="1" t="s">
        <v>12</v>
      </c>
      <c r="H1251" s="1" t="s">
        <v>13</v>
      </c>
      <c r="I1251" s="1" t="s">
        <v>13</v>
      </c>
      <c r="J1251" s="1" t="s">
        <v>25</v>
      </c>
      <c r="K1251" s="1">
        <v>0</v>
      </c>
      <c r="L1251" s="1" t="s">
        <v>21</v>
      </c>
      <c r="M1251" s="1" t="str">
        <f t="shared" si="19"/>
        <v>Consistent</v>
      </c>
      <c r="N1251" s="1" t="str">
        <f>_xlfn.XLOOKUP(H1251, risk_score!A:A, risk_score!B:B, 0)</f>
        <v>Low Risk</v>
      </c>
    </row>
    <row r="1252" spans="1:14">
      <c r="A1252" s="2">
        <v>0.47282407407407406</v>
      </c>
      <c r="B1252" s="3">
        <v>44841</v>
      </c>
      <c r="C1252" s="1">
        <v>2972193348</v>
      </c>
      <c r="D1252" s="1">
        <v>5103043844</v>
      </c>
      <c r="E1252" s="1">
        <v>6399.51</v>
      </c>
      <c r="F1252" s="1" t="s">
        <v>12</v>
      </c>
      <c r="G1252" s="1" t="s">
        <v>44</v>
      </c>
      <c r="H1252" s="1" t="s">
        <v>13</v>
      </c>
      <c r="I1252" s="1" t="s">
        <v>45</v>
      </c>
      <c r="J1252" s="1" t="s">
        <v>18</v>
      </c>
      <c r="K1252" s="1">
        <v>0</v>
      </c>
      <c r="L1252" s="1" t="s">
        <v>23</v>
      </c>
      <c r="M1252" s="1" t="str">
        <f t="shared" si="19"/>
        <v>Potential Layering</v>
      </c>
      <c r="N1252" s="1" t="str">
        <f>_xlfn.XLOOKUP(H1252, risk_score!A:A, risk_score!B:B, 0)</f>
        <v>Low Risk</v>
      </c>
    </row>
    <row r="1253" spans="1:14">
      <c r="A1253" s="2">
        <v>0.47285879629629629</v>
      </c>
      <c r="B1253" s="3">
        <v>44841</v>
      </c>
      <c r="C1253" s="1">
        <v>3548585281</v>
      </c>
      <c r="D1253" s="1">
        <v>2624357754</v>
      </c>
      <c r="E1253" s="1">
        <v>2495.9699999999998</v>
      </c>
      <c r="F1253" s="1" t="s">
        <v>12</v>
      </c>
      <c r="G1253" s="1" t="s">
        <v>12</v>
      </c>
      <c r="H1253" s="1" t="s">
        <v>13</v>
      </c>
      <c r="I1253" s="1" t="s">
        <v>13</v>
      </c>
      <c r="J1253" s="1" t="s">
        <v>20</v>
      </c>
      <c r="K1253" s="1">
        <v>0</v>
      </c>
      <c r="L1253" s="1" t="s">
        <v>24</v>
      </c>
      <c r="M1253" s="1" t="str">
        <f t="shared" si="19"/>
        <v>Consistent</v>
      </c>
      <c r="N1253" s="1" t="str">
        <f>_xlfn.XLOOKUP(H1253, risk_score!A:A, risk_score!B:B, 0)</f>
        <v>Low Risk</v>
      </c>
    </row>
    <row r="1254" spans="1:14">
      <c r="A1254" s="2">
        <v>0.47290509259259261</v>
      </c>
      <c r="B1254" s="3">
        <v>44841</v>
      </c>
      <c r="C1254" s="1">
        <v>8952177221</v>
      </c>
      <c r="D1254" s="1">
        <v>4269977194</v>
      </c>
      <c r="E1254" s="1">
        <v>7513.18</v>
      </c>
      <c r="F1254" s="1" t="s">
        <v>12</v>
      </c>
      <c r="G1254" s="1" t="s">
        <v>12</v>
      </c>
      <c r="H1254" s="1" t="s">
        <v>13</v>
      </c>
      <c r="I1254" s="1" t="s">
        <v>13</v>
      </c>
      <c r="J1254" s="1" t="s">
        <v>27</v>
      </c>
      <c r="K1254" s="1">
        <v>0</v>
      </c>
      <c r="L1254" s="1" t="s">
        <v>19</v>
      </c>
      <c r="M1254" s="1" t="str">
        <f t="shared" si="19"/>
        <v>Consistent</v>
      </c>
      <c r="N1254" s="1" t="str">
        <f>_xlfn.XLOOKUP(H1254, risk_score!A:A, risk_score!B:B, 0)</f>
        <v>Low Risk</v>
      </c>
    </row>
    <row r="1255" spans="1:14">
      <c r="A1255" s="2">
        <v>0.47291666666666665</v>
      </c>
      <c r="B1255" s="3">
        <v>44841</v>
      </c>
      <c r="C1255" s="1">
        <v>7762693859</v>
      </c>
      <c r="D1255" s="1">
        <v>356423482</v>
      </c>
      <c r="E1255" s="1">
        <v>1901.56</v>
      </c>
      <c r="F1255" s="1" t="s">
        <v>12</v>
      </c>
      <c r="G1255" s="1" t="s">
        <v>12</v>
      </c>
      <c r="H1255" s="1" t="s">
        <v>13</v>
      </c>
      <c r="I1255" s="1" t="s">
        <v>13</v>
      </c>
      <c r="J1255" s="1" t="s">
        <v>22</v>
      </c>
      <c r="K1255" s="1">
        <v>0</v>
      </c>
      <c r="L1255" s="1" t="s">
        <v>21</v>
      </c>
      <c r="M1255" s="1" t="str">
        <f t="shared" si="19"/>
        <v>Consistent</v>
      </c>
      <c r="N1255" s="1" t="str">
        <f>_xlfn.XLOOKUP(H1255, risk_score!A:A, risk_score!B:B, 0)</f>
        <v>Low Risk</v>
      </c>
    </row>
    <row r="1256" spans="1:14">
      <c r="A1256" s="2">
        <v>0.47296296296296297</v>
      </c>
      <c r="B1256" s="3">
        <v>44841</v>
      </c>
      <c r="C1256" s="1">
        <v>3784990976</v>
      </c>
      <c r="D1256" s="1">
        <v>1563211938</v>
      </c>
      <c r="E1256" s="1">
        <v>4687.37</v>
      </c>
      <c r="F1256" s="1" t="s">
        <v>12</v>
      </c>
      <c r="G1256" s="1" t="s">
        <v>12</v>
      </c>
      <c r="H1256" s="1" t="s">
        <v>13</v>
      </c>
      <c r="I1256" s="1" t="s">
        <v>13</v>
      </c>
      <c r="J1256" s="1" t="s">
        <v>20</v>
      </c>
      <c r="K1256" s="1">
        <v>0</v>
      </c>
      <c r="L1256" s="1" t="s">
        <v>21</v>
      </c>
      <c r="M1256" s="1" t="str">
        <f t="shared" si="19"/>
        <v>Consistent</v>
      </c>
      <c r="N1256" s="1" t="str">
        <f>_xlfn.XLOOKUP(H1256, risk_score!A:A, risk_score!B:B, 0)</f>
        <v>Low Risk</v>
      </c>
    </row>
    <row r="1257" spans="1:14">
      <c r="A1257" s="2">
        <v>0.47296296296296297</v>
      </c>
      <c r="B1257" s="3">
        <v>44841</v>
      </c>
      <c r="C1257" s="1">
        <v>3033453299</v>
      </c>
      <c r="D1257" s="1">
        <v>5858369125</v>
      </c>
      <c r="E1257" s="1">
        <v>21019.22</v>
      </c>
      <c r="F1257" s="1" t="s">
        <v>12</v>
      </c>
      <c r="G1257" s="1" t="s">
        <v>12</v>
      </c>
      <c r="H1257" s="1" t="s">
        <v>13</v>
      </c>
      <c r="I1257" s="1" t="s">
        <v>13</v>
      </c>
      <c r="J1257" s="1" t="s">
        <v>22</v>
      </c>
      <c r="K1257" s="1">
        <v>0</v>
      </c>
      <c r="L1257" s="1" t="s">
        <v>23</v>
      </c>
      <c r="M1257" s="1" t="str">
        <f t="shared" si="19"/>
        <v>Consistent</v>
      </c>
      <c r="N1257" s="1" t="str">
        <f>_xlfn.XLOOKUP(H1257, risk_score!A:A, risk_score!B:B, 0)</f>
        <v>Low Risk</v>
      </c>
    </row>
    <row r="1258" spans="1:14">
      <c r="A1258" s="2">
        <v>0.4729976851851852</v>
      </c>
      <c r="B1258" s="3">
        <v>44841</v>
      </c>
      <c r="C1258" s="1">
        <v>2304794217</v>
      </c>
      <c r="D1258" s="1">
        <v>5594682841</v>
      </c>
      <c r="E1258" s="1">
        <v>8358.5</v>
      </c>
      <c r="F1258" s="1" t="s">
        <v>12</v>
      </c>
      <c r="G1258" s="1" t="s">
        <v>12</v>
      </c>
      <c r="H1258" s="1" t="s">
        <v>13</v>
      </c>
      <c r="I1258" s="1" t="s">
        <v>13</v>
      </c>
      <c r="J1258" s="1" t="s">
        <v>25</v>
      </c>
      <c r="K1258" s="1">
        <v>0</v>
      </c>
      <c r="L1258" s="1" t="s">
        <v>21</v>
      </c>
      <c r="M1258" s="1" t="str">
        <f t="shared" si="19"/>
        <v>Consistent</v>
      </c>
      <c r="N1258" s="1" t="str">
        <f>_xlfn.XLOOKUP(H1258, risk_score!A:A, risk_score!B:B, 0)</f>
        <v>Low Risk</v>
      </c>
    </row>
    <row r="1259" spans="1:14">
      <c r="A1259" s="2">
        <v>0.47303240740740743</v>
      </c>
      <c r="B1259" s="3">
        <v>44841</v>
      </c>
      <c r="C1259" s="1">
        <v>7695306517</v>
      </c>
      <c r="D1259" s="1">
        <v>1320927231</v>
      </c>
      <c r="E1259" s="1">
        <v>9490.6</v>
      </c>
      <c r="F1259" s="1" t="s">
        <v>12</v>
      </c>
      <c r="G1259" s="1" t="s">
        <v>12</v>
      </c>
      <c r="H1259" s="1" t="s">
        <v>13</v>
      </c>
      <c r="I1259" s="1" t="s">
        <v>13</v>
      </c>
      <c r="J1259" s="1" t="s">
        <v>22</v>
      </c>
      <c r="K1259" s="1">
        <v>0</v>
      </c>
      <c r="L1259" s="1" t="s">
        <v>23</v>
      </c>
      <c r="M1259" s="1" t="str">
        <f t="shared" si="19"/>
        <v>Consistent</v>
      </c>
      <c r="N1259" s="1" t="str">
        <f>_xlfn.XLOOKUP(H1259, risk_score!A:A, risk_score!B:B, 0)</f>
        <v>Low Risk</v>
      </c>
    </row>
    <row r="1260" spans="1:14">
      <c r="A1260" s="2">
        <v>0.47303240740740743</v>
      </c>
      <c r="B1260" s="3">
        <v>44841</v>
      </c>
      <c r="C1260" s="1">
        <v>7758268667</v>
      </c>
      <c r="D1260" s="1">
        <v>4389103342</v>
      </c>
      <c r="E1260" s="1">
        <v>9438.94</v>
      </c>
      <c r="F1260" s="1" t="s">
        <v>12</v>
      </c>
      <c r="G1260" s="1" t="s">
        <v>12</v>
      </c>
      <c r="H1260" s="1" t="s">
        <v>13</v>
      </c>
      <c r="I1260" s="1" t="s">
        <v>13</v>
      </c>
      <c r="J1260" s="1" t="s">
        <v>27</v>
      </c>
      <c r="K1260" s="1">
        <v>0</v>
      </c>
      <c r="L1260" s="1" t="s">
        <v>19</v>
      </c>
      <c r="M1260" s="1" t="str">
        <f t="shared" si="19"/>
        <v>Consistent</v>
      </c>
      <c r="N1260" s="1" t="str">
        <f>_xlfn.XLOOKUP(H1260, risk_score!A:A, risk_score!B:B, 0)</f>
        <v>Low Risk</v>
      </c>
    </row>
    <row r="1261" spans="1:14">
      <c r="A1261" s="2">
        <v>0.47312500000000002</v>
      </c>
      <c r="B1261" s="3">
        <v>44841</v>
      </c>
      <c r="C1261" s="1">
        <v>3885112922</v>
      </c>
      <c r="D1261" s="1">
        <v>8078423981</v>
      </c>
      <c r="E1261" s="1">
        <v>20693.28</v>
      </c>
      <c r="F1261" s="1" t="s">
        <v>12</v>
      </c>
      <c r="G1261" s="1" t="s">
        <v>12</v>
      </c>
      <c r="H1261" s="1" t="s">
        <v>13</v>
      </c>
      <c r="I1261" s="1" t="s">
        <v>13</v>
      </c>
      <c r="J1261" s="1" t="s">
        <v>25</v>
      </c>
      <c r="K1261" s="1">
        <v>0</v>
      </c>
      <c r="L1261" s="1" t="s">
        <v>21</v>
      </c>
      <c r="M1261" s="1" t="str">
        <f t="shared" si="19"/>
        <v>Consistent</v>
      </c>
      <c r="N1261" s="1" t="str">
        <f>_xlfn.XLOOKUP(H1261, risk_score!A:A, risk_score!B:B, 0)</f>
        <v>Low Risk</v>
      </c>
    </row>
    <row r="1262" spans="1:14">
      <c r="A1262" s="2">
        <v>0.47313657407407406</v>
      </c>
      <c r="B1262" s="3">
        <v>44841</v>
      </c>
      <c r="C1262" s="1">
        <v>3844359667</v>
      </c>
      <c r="D1262" s="1">
        <v>5024517169</v>
      </c>
      <c r="E1262" s="1">
        <v>4572.71</v>
      </c>
      <c r="F1262" s="1" t="s">
        <v>12</v>
      </c>
      <c r="G1262" s="1" t="s">
        <v>12</v>
      </c>
      <c r="H1262" s="1" t="s">
        <v>13</v>
      </c>
      <c r="I1262" s="1" t="s">
        <v>13</v>
      </c>
      <c r="J1262" s="1" t="s">
        <v>14</v>
      </c>
      <c r="K1262" s="1">
        <v>0</v>
      </c>
      <c r="L1262" s="1" t="s">
        <v>15</v>
      </c>
      <c r="M1262" s="1" t="str">
        <f t="shared" si="19"/>
        <v>Consistent</v>
      </c>
      <c r="N1262" s="1" t="str">
        <f>_xlfn.XLOOKUP(H1262, risk_score!A:A, risk_score!B:B, 0)</f>
        <v>Low Risk</v>
      </c>
    </row>
    <row r="1263" spans="1:14">
      <c r="A1263" s="2">
        <v>0.47315972222222225</v>
      </c>
      <c r="B1263" s="3">
        <v>44841</v>
      </c>
      <c r="C1263" s="1">
        <v>7319032742</v>
      </c>
      <c r="D1263" s="1">
        <v>9828041222</v>
      </c>
      <c r="E1263" s="1">
        <v>1399.77</v>
      </c>
      <c r="F1263" s="1" t="s">
        <v>12</v>
      </c>
      <c r="G1263" s="1" t="s">
        <v>12</v>
      </c>
      <c r="H1263" s="1" t="s">
        <v>13</v>
      </c>
      <c r="I1263" s="1" t="s">
        <v>13</v>
      </c>
      <c r="J1263" s="1" t="s">
        <v>14</v>
      </c>
      <c r="K1263" s="1">
        <v>0</v>
      </c>
      <c r="L1263" s="1" t="s">
        <v>15</v>
      </c>
      <c r="M1263" s="1" t="str">
        <f t="shared" si="19"/>
        <v>Consistent</v>
      </c>
      <c r="N1263" s="1" t="str">
        <f>_xlfn.XLOOKUP(H1263, risk_score!A:A, risk_score!B:B, 0)</f>
        <v>Low Risk</v>
      </c>
    </row>
    <row r="1264" spans="1:14">
      <c r="A1264" s="2">
        <v>0.47315972222222225</v>
      </c>
      <c r="B1264" s="3">
        <v>44841</v>
      </c>
      <c r="C1264" s="1">
        <v>8730244405</v>
      </c>
      <c r="D1264" s="1">
        <v>7080357663</v>
      </c>
      <c r="E1264" s="1">
        <v>6777.35</v>
      </c>
      <c r="F1264" s="1" t="s">
        <v>12</v>
      </c>
      <c r="G1264" s="1" t="s">
        <v>12</v>
      </c>
      <c r="H1264" s="1" t="s">
        <v>13</v>
      </c>
      <c r="I1264" s="1" t="s">
        <v>13</v>
      </c>
      <c r="J1264" s="1" t="s">
        <v>25</v>
      </c>
      <c r="K1264" s="1">
        <v>0</v>
      </c>
      <c r="L1264" s="1" t="s">
        <v>23</v>
      </c>
      <c r="M1264" s="1" t="str">
        <f t="shared" si="19"/>
        <v>Consistent</v>
      </c>
      <c r="N1264" s="1" t="str">
        <f>_xlfn.XLOOKUP(H1264, risk_score!A:A, risk_score!B:B, 0)</f>
        <v>Low Risk</v>
      </c>
    </row>
    <row r="1265" spans="1:14">
      <c r="A1265" s="2">
        <v>0.47317129629629628</v>
      </c>
      <c r="B1265" s="3">
        <v>44841</v>
      </c>
      <c r="C1265" s="1">
        <v>6127913747</v>
      </c>
      <c r="D1265" s="1">
        <v>6256496387</v>
      </c>
      <c r="E1265" s="1">
        <v>203.67</v>
      </c>
      <c r="F1265" s="1" t="s">
        <v>12</v>
      </c>
      <c r="G1265" s="1" t="s">
        <v>12</v>
      </c>
      <c r="H1265" s="1" t="s">
        <v>13</v>
      </c>
      <c r="I1265" s="1" t="s">
        <v>13</v>
      </c>
      <c r="J1265" s="1" t="s">
        <v>36</v>
      </c>
      <c r="K1265" s="1">
        <v>0</v>
      </c>
      <c r="L1265" s="1" t="s">
        <v>37</v>
      </c>
      <c r="M1265" s="1" t="str">
        <f t="shared" si="19"/>
        <v>Consistent</v>
      </c>
      <c r="N1265" s="1" t="str">
        <f>_xlfn.XLOOKUP(H1265, risk_score!A:A, risk_score!B:B, 0)</f>
        <v>Low Risk</v>
      </c>
    </row>
    <row r="1266" spans="1:14">
      <c r="A1266" s="2">
        <v>0.47319444444444442</v>
      </c>
      <c r="B1266" s="3">
        <v>44841</v>
      </c>
      <c r="C1266" s="1">
        <v>7002077089</v>
      </c>
      <c r="D1266" s="1">
        <v>3758118046</v>
      </c>
      <c r="E1266" s="1">
        <v>778.19</v>
      </c>
      <c r="F1266" s="1" t="s">
        <v>12</v>
      </c>
      <c r="G1266" s="1" t="s">
        <v>12</v>
      </c>
      <c r="H1266" s="1" t="s">
        <v>13</v>
      </c>
      <c r="I1266" s="1" t="s">
        <v>13</v>
      </c>
      <c r="J1266" s="1" t="s">
        <v>20</v>
      </c>
      <c r="K1266" s="1">
        <v>0</v>
      </c>
      <c r="L1266" s="1" t="s">
        <v>24</v>
      </c>
      <c r="M1266" s="1" t="str">
        <f t="shared" si="19"/>
        <v>Consistent</v>
      </c>
      <c r="N1266" s="1" t="str">
        <f>_xlfn.XLOOKUP(H1266, risk_score!A:A, risk_score!B:B, 0)</f>
        <v>Low Risk</v>
      </c>
    </row>
    <row r="1267" spans="1:14">
      <c r="A1267" s="2">
        <v>0.47320601851851851</v>
      </c>
      <c r="B1267" s="3">
        <v>44841</v>
      </c>
      <c r="C1267" s="1">
        <v>2509831973</v>
      </c>
      <c r="D1267" s="1">
        <v>7145265219</v>
      </c>
      <c r="E1267" s="1">
        <v>8433.7000000000007</v>
      </c>
      <c r="F1267" s="1" t="s">
        <v>12</v>
      </c>
      <c r="G1267" s="1" t="s">
        <v>12</v>
      </c>
      <c r="H1267" s="1" t="s">
        <v>13</v>
      </c>
      <c r="I1267" s="1" t="s">
        <v>13</v>
      </c>
      <c r="J1267" s="1" t="s">
        <v>20</v>
      </c>
      <c r="K1267" s="1">
        <v>0</v>
      </c>
      <c r="L1267" s="1" t="s">
        <v>21</v>
      </c>
      <c r="M1267" s="1" t="str">
        <f t="shared" si="19"/>
        <v>Consistent</v>
      </c>
      <c r="N1267" s="1" t="str">
        <f>_xlfn.XLOOKUP(H1267, risk_score!A:A, risk_score!B:B, 0)</f>
        <v>Low Risk</v>
      </c>
    </row>
    <row r="1268" spans="1:14">
      <c r="A1268" s="2">
        <v>0.47328703703703706</v>
      </c>
      <c r="B1268" s="3">
        <v>44841</v>
      </c>
      <c r="C1268" s="1">
        <v>6086421020</v>
      </c>
      <c r="D1268" s="1">
        <v>7011505686</v>
      </c>
      <c r="E1268" s="1">
        <v>11299.14</v>
      </c>
      <c r="F1268" s="1" t="s">
        <v>12</v>
      </c>
      <c r="G1268" s="1" t="s">
        <v>29</v>
      </c>
      <c r="H1268" s="1" t="s">
        <v>13</v>
      </c>
      <c r="I1268" s="1" t="s">
        <v>48</v>
      </c>
      <c r="J1268" s="1" t="s">
        <v>18</v>
      </c>
      <c r="K1268" s="1">
        <v>0</v>
      </c>
      <c r="L1268" s="1" t="s">
        <v>19</v>
      </c>
      <c r="M1268" s="1" t="str">
        <f t="shared" si="19"/>
        <v>Potential Layering</v>
      </c>
      <c r="N1268" s="1" t="str">
        <f>_xlfn.XLOOKUP(H1268, risk_score!A:A, risk_score!B:B, 0)</f>
        <v>Low Risk</v>
      </c>
    </row>
    <row r="1269" spans="1:14">
      <c r="A1269" s="2">
        <v>0.47331018518518519</v>
      </c>
      <c r="B1269" s="3">
        <v>44841</v>
      </c>
      <c r="C1269" s="1">
        <v>6541552727</v>
      </c>
      <c r="D1269" s="1">
        <v>2877832458</v>
      </c>
      <c r="E1269" s="1">
        <v>6868.28</v>
      </c>
      <c r="F1269" s="1" t="s">
        <v>12</v>
      </c>
      <c r="G1269" s="1" t="s">
        <v>59</v>
      </c>
      <c r="H1269" s="1" t="s">
        <v>13</v>
      </c>
      <c r="I1269" s="1" t="s">
        <v>60</v>
      </c>
      <c r="J1269" s="1" t="s">
        <v>18</v>
      </c>
      <c r="K1269" s="1">
        <v>0</v>
      </c>
      <c r="L1269" s="1" t="s">
        <v>19</v>
      </c>
      <c r="M1269" s="1" t="str">
        <f t="shared" si="19"/>
        <v>Potential Layering</v>
      </c>
      <c r="N1269" s="1" t="str">
        <f>_xlfn.XLOOKUP(H1269, risk_score!A:A, risk_score!B:B, 0)</f>
        <v>Low Risk</v>
      </c>
    </row>
    <row r="1270" spans="1:14">
      <c r="A1270" s="2">
        <v>0.47331018518518519</v>
      </c>
      <c r="B1270" s="3">
        <v>44841</v>
      </c>
      <c r="C1270" s="1">
        <v>2028959593</v>
      </c>
      <c r="D1270" s="1">
        <v>5466123934</v>
      </c>
      <c r="E1270" s="1">
        <v>4688.47</v>
      </c>
      <c r="F1270" s="1" t="s">
        <v>12</v>
      </c>
      <c r="G1270" s="1" t="s">
        <v>12</v>
      </c>
      <c r="H1270" s="1" t="s">
        <v>13</v>
      </c>
      <c r="I1270" s="1" t="s">
        <v>13</v>
      </c>
      <c r="J1270" s="1" t="s">
        <v>27</v>
      </c>
      <c r="K1270" s="1">
        <v>0</v>
      </c>
      <c r="L1270" s="1" t="s">
        <v>23</v>
      </c>
      <c r="M1270" s="1" t="str">
        <f t="shared" si="19"/>
        <v>Consistent</v>
      </c>
      <c r="N1270" s="1" t="str">
        <f>_xlfn.XLOOKUP(H1270, risk_score!A:A, risk_score!B:B, 0)</f>
        <v>Low Risk</v>
      </c>
    </row>
    <row r="1271" spans="1:14">
      <c r="A1271" s="2">
        <v>0.47333333333333333</v>
      </c>
      <c r="B1271" s="3">
        <v>44841</v>
      </c>
      <c r="C1271" s="1">
        <v>9158349760</v>
      </c>
      <c r="D1271" s="1">
        <v>1255543523</v>
      </c>
      <c r="E1271" s="1">
        <v>1961.56</v>
      </c>
      <c r="F1271" s="1" t="s">
        <v>12</v>
      </c>
      <c r="G1271" s="1" t="s">
        <v>12</v>
      </c>
      <c r="H1271" s="1" t="s">
        <v>13</v>
      </c>
      <c r="I1271" s="1" t="s">
        <v>13</v>
      </c>
      <c r="J1271" s="1" t="s">
        <v>20</v>
      </c>
      <c r="K1271" s="1">
        <v>0</v>
      </c>
      <c r="L1271" s="1" t="s">
        <v>21</v>
      </c>
      <c r="M1271" s="1" t="str">
        <f t="shared" si="19"/>
        <v>Consistent</v>
      </c>
      <c r="N1271" s="1" t="str">
        <f>_xlfn.XLOOKUP(H1271, risk_score!A:A, risk_score!B:B, 0)</f>
        <v>Low Risk</v>
      </c>
    </row>
    <row r="1272" spans="1:14">
      <c r="A1272" s="2">
        <v>0.47333333333333333</v>
      </c>
      <c r="B1272" s="3">
        <v>44841</v>
      </c>
      <c r="C1272" s="1">
        <v>9380648181</v>
      </c>
      <c r="D1272" s="1">
        <v>182328433</v>
      </c>
      <c r="E1272" s="1">
        <v>5546.64</v>
      </c>
      <c r="F1272" s="1" t="s">
        <v>12</v>
      </c>
      <c r="G1272" s="1" t="s">
        <v>12</v>
      </c>
      <c r="H1272" s="1" t="s">
        <v>13</v>
      </c>
      <c r="I1272" s="1" t="s">
        <v>13</v>
      </c>
      <c r="J1272" s="1" t="s">
        <v>20</v>
      </c>
      <c r="K1272" s="1">
        <v>0</v>
      </c>
      <c r="L1272" s="1" t="s">
        <v>21</v>
      </c>
      <c r="M1272" s="1" t="str">
        <f t="shared" si="19"/>
        <v>Consistent</v>
      </c>
      <c r="N1272" s="1" t="str">
        <f>_xlfn.XLOOKUP(H1272, risk_score!A:A, risk_score!B:B, 0)</f>
        <v>Low Risk</v>
      </c>
    </row>
    <row r="1273" spans="1:14">
      <c r="A1273" s="2">
        <v>0.47341435185185188</v>
      </c>
      <c r="B1273" s="3">
        <v>44841</v>
      </c>
      <c r="C1273" s="1">
        <v>6916264887</v>
      </c>
      <c r="D1273" s="1">
        <v>6953672776</v>
      </c>
      <c r="E1273" s="1">
        <v>6721.51</v>
      </c>
      <c r="F1273" s="1" t="s">
        <v>12</v>
      </c>
      <c r="G1273" s="1" t="s">
        <v>34</v>
      </c>
      <c r="H1273" s="1" t="s">
        <v>13</v>
      </c>
      <c r="I1273" s="1" t="s">
        <v>35</v>
      </c>
      <c r="J1273" s="1" t="s">
        <v>18</v>
      </c>
      <c r="K1273" s="1">
        <v>0</v>
      </c>
      <c r="L1273" s="1" t="s">
        <v>23</v>
      </c>
      <c r="M1273" s="1" t="str">
        <f t="shared" si="19"/>
        <v>Potential Layering</v>
      </c>
      <c r="N1273" s="1" t="str">
        <f>_xlfn.XLOOKUP(H1273, risk_score!A:A, risk_score!B:B, 0)</f>
        <v>Low Risk</v>
      </c>
    </row>
    <row r="1274" spans="1:14">
      <c r="A1274" s="2">
        <v>0.47344907407407405</v>
      </c>
      <c r="B1274" s="3">
        <v>44841</v>
      </c>
      <c r="C1274" s="1">
        <v>3432179554</v>
      </c>
      <c r="D1274" s="1">
        <v>7650934701</v>
      </c>
      <c r="E1274" s="1">
        <v>101.46</v>
      </c>
      <c r="F1274" s="1" t="s">
        <v>12</v>
      </c>
      <c r="G1274" s="1" t="s">
        <v>12</v>
      </c>
      <c r="H1274" s="1" t="s">
        <v>13</v>
      </c>
      <c r="I1274" s="1" t="s">
        <v>13</v>
      </c>
      <c r="J1274" s="1" t="s">
        <v>14</v>
      </c>
      <c r="K1274" s="1">
        <v>0</v>
      </c>
      <c r="L1274" s="1" t="s">
        <v>15</v>
      </c>
      <c r="M1274" s="1" t="str">
        <f t="shared" si="19"/>
        <v>Consistent</v>
      </c>
      <c r="N1274" s="1" t="str">
        <f>_xlfn.XLOOKUP(H1274, risk_score!A:A, risk_score!B:B, 0)</f>
        <v>Low Risk</v>
      </c>
    </row>
    <row r="1275" spans="1:14">
      <c r="A1275" s="2">
        <v>0.47349537037037037</v>
      </c>
      <c r="B1275" s="3">
        <v>44841</v>
      </c>
      <c r="C1275" s="1">
        <v>8998990372</v>
      </c>
      <c r="D1275" s="1">
        <v>3066321263</v>
      </c>
      <c r="E1275" s="1">
        <v>13131.39</v>
      </c>
      <c r="F1275" s="1" t="s">
        <v>12</v>
      </c>
      <c r="G1275" s="1" t="s">
        <v>12</v>
      </c>
      <c r="H1275" s="1" t="s">
        <v>13</v>
      </c>
      <c r="I1275" s="1" t="s">
        <v>13</v>
      </c>
      <c r="J1275" s="1" t="s">
        <v>22</v>
      </c>
      <c r="K1275" s="1">
        <v>0</v>
      </c>
      <c r="L1275" s="1" t="s">
        <v>23</v>
      </c>
      <c r="M1275" s="1" t="str">
        <f t="shared" si="19"/>
        <v>Consistent</v>
      </c>
      <c r="N1275" s="1" t="str">
        <f>_xlfn.XLOOKUP(H1275, risk_score!A:A, risk_score!B:B, 0)</f>
        <v>Low Risk</v>
      </c>
    </row>
    <row r="1276" spans="1:14">
      <c r="A1276" s="2">
        <v>0.47351851851851851</v>
      </c>
      <c r="B1276" s="3">
        <v>44841</v>
      </c>
      <c r="C1276" s="1">
        <v>6527752903</v>
      </c>
      <c r="D1276" s="1">
        <v>7862563842</v>
      </c>
      <c r="E1276" s="1">
        <v>2219.5700000000002</v>
      </c>
      <c r="F1276" s="1" t="s">
        <v>12</v>
      </c>
      <c r="G1276" s="1" t="s">
        <v>12</v>
      </c>
      <c r="H1276" s="1" t="s">
        <v>13</v>
      </c>
      <c r="I1276" s="1" t="s">
        <v>13</v>
      </c>
      <c r="J1276" s="1" t="s">
        <v>20</v>
      </c>
      <c r="K1276" s="1">
        <v>0</v>
      </c>
      <c r="L1276" s="1" t="s">
        <v>21</v>
      </c>
      <c r="M1276" s="1" t="str">
        <f t="shared" si="19"/>
        <v>Consistent</v>
      </c>
      <c r="N1276" s="1" t="str">
        <f>_xlfn.XLOOKUP(H1276, risk_score!A:A, risk_score!B:B, 0)</f>
        <v>Low Risk</v>
      </c>
    </row>
    <row r="1277" spans="1:14">
      <c r="A1277" s="2">
        <v>0.47351851851851851</v>
      </c>
      <c r="B1277" s="3">
        <v>44841</v>
      </c>
      <c r="C1277" s="1">
        <v>4344174806</v>
      </c>
      <c r="D1277" s="1">
        <v>8120048129</v>
      </c>
      <c r="E1277" s="1">
        <v>5666.45</v>
      </c>
      <c r="F1277" s="1" t="s">
        <v>12</v>
      </c>
      <c r="G1277" s="1" t="s">
        <v>12</v>
      </c>
      <c r="H1277" s="1" t="s">
        <v>13</v>
      </c>
      <c r="I1277" s="1" t="s">
        <v>13</v>
      </c>
      <c r="J1277" s="1" t="s">
        <v>22</v>
      </c>
      <c r="K1277" s="1">
        <v>0</v>
      </c>
      <c r="L1277" s="1" t="s">
        <v>21</v>
      </c>
      <c r="M1277" s="1" t="str">
        <f t="shared" si="19"/>
        <v>Consistent</v>
      </c>
      <c r="N1277" s="1" t="str">
        <f>_xlfn.XLOOKUP(H1277, risk_score!A:A, risk_score!B:B, 0)</f>
        <v>Low Risk</v>
      </c>
    </row>
    <row r="1278" spans="1:14">
      <c r="A1278" s="2">
        <v>0.47351851851851851</v>
      </c>
      <c r="B1278" s="3">
        <v>44841</v>
      </c>
      <c r="C1278" s="1">
        <v>2384413935</v>
      </c>
      <c r="D1278" s="1">
        <v>133522171</v>
      </c>
      <c r="E1278" s="1">
        <v>340.48</v>
      </c>
      <c r="F1278" s="1" t="s">
        <v>12</v>
      </c>
      <c r="G1278" s="1" t="s">
        <v>12</v>
      </c>
      <c r="H1278" s="1" t="s">
        <v>13</v>
      </c>
      <c r="I1278" s="1" t="s">
        <v>13</v>
      </c>
      <c r="J1278" s="1" t="s">
        <v>25</v>
      </c>
      <c r="K1278" s="1">
        <v>0</v>
      </c>
      <c r="L1278" s="1" t="s">
        <v>21</v>
      </c>
      <c r="M1278" s="1" t="str">
        <f t="shared" si="19"/>
        <v>Consistent</v>
      </c>
      <c r="N1278" s="1" t="str">
        <f>_xlfn.XLOOKUP(H1278, risk_score!A:A, risk_score!B:B, 0)</f>
        <v>Low Risk</v>
      </c>
    </row>
    <row r="1279" spans="1:14">
      <c r="A1279" s="2">
        <v>0.47354166666666669</v>
      </c>
      <c r="B1279" s="3">
        <v>44841</v>
      </c>
      <c r="C1279" s="1">
        <v>8434312153</v>
      </c>
      <c r="D1279" s="1">
        <v>5139534598</v>
      </c>
      <c r="E1279" s="1">
        <v>5461.44</v>
      </c>
      <c r="F1279" s="1" t="s">
        <v>12</v>
      </c>
      <c r="G1279" s="1" t="s">
        <v>12</v>
      </c>
      <c r="H1279" s="1" t="s">
        <v>13</v>
      </c>
      <c r="I1279" s="1" t="s">
        <v>13</v>
      </c>
      <c r="J1279" s="1" t="s">
        <v>25</v>
      </c>
      <c r="K1279" s="1">
        <v>0</v>
      </c>
      <c r="L1279" s="1" t="s">
        <v>21</v>
      </c>
      <c r="M1279" s="1" t="str">
        <f t="shared" si="19"/>
        <v>Consistent</v>
      </c>
      <c r="N1279" s="1" t="str">
        <f>_xlfn.XLOOKUP(H1279, risk_score!A:A, risk_score!B:B, 0)</f>
        <v>Low Risk</v>
      </c>
    </row>
    <row r="1280" spans="1:14">
      <c r="A1280" s="2">
        <v>0.47356481481481483</v>
      </c>
      <c r="B1280" s="3">
        <v>44841</v>
      </c>
      <c r="C1280" s="1">
        <v>8335225856</v>
      </c>
      <c r="D1280" s="1">
        <v>1076785690</v>
      </c>
      <c r="E1280" s="1">
        <v>2870.2</v>
      </c>
      <c r="F1280" s="1" t="s">
        <v>12</v>
      </c>
      <c r="G1280" s="1" t="s">
        <v>12</v>
      </c>
      <c r="H1280" s="1" t="s">
        <v>13</v>
      </c>
      <c r="I1280" s="1" t="s">
        <v>13</v>
      </c>
      <c r="J1280" s="1" t="s">
        <v>20</v>
      </c>
      <c r="K1280" s="1">
        <v>0</v>
      </c>
      <c r="L1280" s="1" t="s">
        <v>21</v>
      </c>
      <c r="M1280" s="1" t="str">
        <f t="shared" si="19"/>
        <v>Consistent</v>
      </c>
      <c r="N1280" s="1" t="str">
        <f>_xlfn.XLOOKUP(H1280, risk_score!A:A, risk_score!B:B, 0)</f>
        <v>Low Risk</v>
      </c>
    </row>
    <row r="1281" spans="1:14">
      <c r="A1281" s="2">
        <v>0.47357638888888887</v>
      </c>
      <c r="B1281" s="3">
        <v>44841</v>
      </c>
      <c r="C1281" s="1">
        <v>4488115730</v>
      </c>
      <c r="D1281" s="1">
        <v>9909847186</v>
      </c>
      <c r="E1281" s="1">
        <v>1622.51</v>
      </c>
      <c r="F1281" s="1" t="s">
        <v>12</v>
      </c>
      <c r="G1281" s="1" t="s">
        <v>12</v>
      </c>
      <c r="H1281" s="1" t="s">
        <v>13</v>
      </c>
      <c r="I1281" s="1" t="s">
        <v>13</v>
      </c>
      <c r="J1281" s="1" t="s">
        <v>14</v>
      </c>
      <c r="K1281" s="1">
        <v>0</v>
      </c>
      <c r="L1281" s="1" t="s">
        <v>15</v>
      </c>
      <c r="M1281" s="1" t="str">
        <f t="shared" si="19"/>
        <v>Consistent</v>
      </c>
      <c r="N1281" s="1" t="str">
        <f>_xlfn.XLOOKUP(H1281, risk_score!A:A, risk_score!B:B, 0)</f>
        <v>Low Risk</v>
      </c>
    </row>
    <row r="1282" spans="1:14">
      <c r="A1282" s="2">
        <v>0.47361111111111109</v>
      </c>
      <c r="B1282" s="3">
        <v>44841</v>
      </c>
      <c r="C1282" s="1">
        <v>2201489060</v>
      </c>
      <c r="D1282" s="1">
        <v>6364275595</v>
      </c>
      <c r="E1282" s="1">
        <v>1725.41</v>
      </c>
      <c r="F1282" s="1" t="s">
        <v>12</v>
      </c>
      <c r="G1282" s="1" t="s">
        <v>12</v>
      </c>
      <c r="H1282" s="1" t="s">
        <v>13</v>
      </c>
      <c r="I1282" s="1" t="s">
        <v>13</v>
      </c>
      <c r="J1282" s="1" t="s">
        <v>14</v>
      </c>
      <c r="K1282" s="1">
        <v>0</v>
      </c>
      <c r="L1282" s="1" t="s">
        <v>15</v>
      </c>
      <c r="M1282" s="1" t="str">
        <f t="shared" si="19"/>
        <v>Consistent</v>
      </c>
      <c r="N1282" s="1" t="str">
        <f>_xlfn.XLOOKUP(H1282, risk_score!A:A, risk_score!B:B, 0)</f>
        <v>Low Risk</v>
      </c>
    </row>
    <row r="1283" spans="1:14">
      <c r="A1283" s="2">
        <v>0.47373842592592591</v>
      </c>
      <c r="B1283" s="3">
        <v>44841</v>
      </c>
      <c r="C1283" s="1">
        <v>5452849099</v>
      </c>
      <c r="D1283" s="1">
        <v>4336977506</v>
      </c>
      <c r="E1283" s="1">
        <v>8620.92</v>
      </c>
      <c r="F1283" s="1" t="s">
        <v>12</v>
      </c>
      <c r="G1283" s="1" t="s">
        <v>12</v>
      </c>
      <c r="H1283" s="1" t="s">
        <v>13</v>
      </c>
      <c r="I1283" s="1" t="s">
        <v>13</v>
      </c>
      <c r="J1283" s="1" t="s">
        <v>25</v>
      </c>
      <c r="K1283" s="1">
        <v>0</v>
      </c>
      <c r="L1283" s="1" t="s">
        <v>23</v>
      </c>
      <c r="M1283" s="1" t="str">
        <f t="shared" ref="M1283:M1346" si="20">IF(F1283=G1283, "Consistent", "Potential Layering")</f>
        <v>Consistent</v>
      </c>
      <c r="N1283" s="1" t="str">
        <f>_xlfn.XLOOKUP(H1283, risk_score!A:A, risk_score!B:B, 0)</f>
        <v>Low Risk</v>
      </c>
    </row>
    <row r="1284" spans="1:14">
      <c r="A1284" s="2">
        <v>0.47375</v>
      </c>
      <c r="B1284" s="3">
        <v>44841</v>
      </c>
      <c r="C1284" s="1">
        <v>5714926472</v>
      </c>
      <c r="D1284" s="1">
        <v>2534644942</v>
      </c>
      <c r="E1284" s="1">
        <v>5137.3900000000003</v>
      </c>
      <c r="F1284" s="1" t="s">
        <v>12</v>
      </c>
      <c r="G1284" s="1" t="s">
        <v>29</v>
      </c>
      <c r="H1284" s="1" t="s">
        <v>13</v>
      </c>
      <c r="I1284" s="1" t="s">
        <v>31</v>
      </c>
      <c r="J1284" s="1" t="s">
        <v>18</v>
      </c>
      <c r="K1284" s="1">
        <v>0</v>
      </c>
      <c r="L1284" s="1" t="s">
        <v>23</v>
      </c>
      <c r="M1284" s="1" t="str">
        <f t="shared" si="20"/>
        <v>Potential Layering</v>
      </c>
      <c r="N1284" s="1" t="str">
        <f>_xlfn.XLOOKUP(H1284, risk_score!A:A, risk_score!B:B, 0)</f>
        <v>Low Risk</v>
      </c>
    </row>
    <row r="1285" spans="1:14">
      <c r="A1285" s="2">
        <v>0.4737615740740741</v>
      </c>
      <c r="B1285" s="3">
        <v>44841</v>
      </c>
      <c r="C1285" s="1">
        <v>5470113126</v>
      </c>
      <c r="D1285" s="1">
        <v>3661025271</v>
      </c>
      <c r="E1285" s="1">
        <v>8919.7800000000007</v>
      </c>
      <c r="F1285" s="1" t="s">
        <v>29</v>
      </c>
      <c r="G1285" s="1" t="s">
        <v>12</v>
      </c>
      <c r="H1285" s="1" t="s">
        <v>48</v>
      </c>
      <c r="I1285" s="1" t="s">
        <v>13</v>
      </c>
      <c r="J1285" s="1" t="s">
        <v>18</v>
      </c>
      <c r="K1285" s="1">
        <v>0</v>
      </c>
      <c r="L1285" s="1" t="s">
        <v>38</v>
      </c>
      <c r="M1285" s="1" t="str">
        <f t="shared" si="20"/>
        <v>Potential Layering</v>
      </c>
      <c r="N1285" s="1" t="str">
        <f>_xlfn.XLOOKUP(H1285, risk_score!A:A, risk_score!B:B, 0)</f>
        <v>Low Risk</v>
      </c>
    </row>
    <row r="1286" spans="1:14">
      <c r="A1286" s="2">
        <v>0.47377314814814814</v>
      </c>
      <c r="B1286" s="3">
        <v>44841</v>
      </c>
      <c r="C1286" s="1">
        <v>3529992395</v>
      </c>
      <c r="D1286" s="1">
        <v>509504616</v>
      </c>
      <c r="E1286" s="1">
        <v>340.26</v>
      </c>
      <c r="F1286" s="1" t="s">
        <v>12</v>
      </c>
      <c r="G1286" s="1" t="s">
        <v>12</v>
      </c>
      <c r="H1286" s="1" t="s">
        <v>13</v>
      </c>
      <c r="I1286" s="1" t="s">
        <v>13</v>
      </c>
      <c r="J1286" s="1" t="s">
        <v>27</v>
      </c>
      <c r="K1286" s="1">
        <v>0</v>
      </c>
      <c r="L1286" s="1" t="s">
        <v>21</v>
      </c>
      <c r="M1286" s="1" t="str">
        <f t="shared" si="20"/>
        <v>Consistent</v>
      </c>
      <c r="N1286" s="1" t="str">
        <f>_xlfn.XLOOKUP(H1286, risk_score!A:A, risk_score!B:B, 0)</f>
        <v>Low Risk</v>
      </c>
    </row>
    <row r="1287" spans="1:14">
      <c r="A1287" s="2">
        <v>0.47377314814814814</v>
      </c>
      <c r="B1287" s="3">
        <v>44841</v>
      </c>
      <c r="C1287" s="1">
        <v>9824280342</v>
      </c>
      <c r="D1287" s="1">
        <v>1117983911</v>
      </c>
      <c r="E1287" s="1">
        <v>5486.12</v>
      </c>
      <c r="F1287" s="1" t="s">
        <v>12</v>
      </c>
      <c r="G1287" s="1" t="s">
        <v>12</v>
      </c>
      <c r="H1287" s="1" t="s">
        <v>13</v>
      </c>
      <c r="I1287" s="1" t="s">
        <v>13</v>
      </c>
      <c r="J1287" s="1" t="s">
        <v>27</v>
      </c>
      <c r="K1287" s="1">
        <v>0</v>
      </c>
      <c r="L1287" s="1" t="s">
        <v>24</v>
      </c>
      <c r="M1287" s="1" t="str">
        <f t="shared" si="20"/>
        <v>Consistent</v>
      </c>
      <c r="N1287" s="1" t="str">
        <f>_xlfn.XLOOKUP(H1287, risk_score!A:A, risk_score!B:B, 0)</f>
        <v>Low Risk</v>
      </c>
    </row>
    <row r="1288" spans="1:14">
      <c r="A1288" s="2">
        <v>0.47378472222222223</v>
      </c>
      <c r="B1288" s="3">
        <v>44841</v>
      </c>
      <c r="C1288" s="1">
        <v>7695306517</v>
      </c>
      <c r="D1288" s="1">
        <v>1320927231</v>
      </c>
      <c r="E1288" s="1">
        <v>9599.17</v>
      </c>
      <c r="F1288" s="1" t="s">
        <v>12</v>
      </c>
      <c r="G1288" s="1" t="s">
        <v>12</v>
      </c>
      <c r="H1288" s="1" t="s">
        <v>13</v>
      </c>
      <c r="I1288" s="1" t="s">
        <v>13</v>
      </c>
      <c r="J1288" s="1" t="s">
        <v>25</v>
      </c>
      <c r="K1288" s="1">
        <v>0</v>
      </c>
      <c r="L1288" s="1" t="s">
        <v>23</v>
      </c>
      <c r="M1288" s="1" t="str">
        <f t="shared" si="20"/>
        <v>Consistent</v>
      </c>
      <c r="N1288" s="1" t="str">
        <f>_xlfn.XLOOKUP(H1288, risk_score!A:A, risk_score!B:B, 0)</f>
        <v>Low Risk</v>
      </c>
    </row>
    <row r="1289" spans="1:14">
      <c r="A1289" s="2">
        <v>0.47379629629629627</v>
      </c>
      <c r="B1289" s="3">
        <v>44841</v>
      </c>
      <c r="C1289" s="1">
        <v>931922222</v>
      </c>
      <c r="D1289" s="1">
        <v>8846899491</v>
      </c>
      <c r="E1289" s="1">
        <v>452.29</v>
      </c>
      <c r="F1289" s="1" t="s">
        <v>12</v>
      </c>
      <c r="G1289" s="1" t="s">
        <v>12</v>
      </c>
      <c r="H1289" s="1" t="s">
        <v>13</v>
      </c>
      <c r="I1289" s="1" t="s">
        <v>13</v>
      </c>
      <c r="J1289" s="1" t="s">
        <v>25</v>
      </c>
      <c r="K1289" s="1">
        <v>0</v>
      </c>
      <c r="L1289" s="1" t="s">
        <v>21</v>
      </c>
      <c r="M1289" s="1" t="str">
        <f t="shared" si="20"/>
        <v>Consistent</v>
      </c>
      <c r="N1289" s="1" t="str">
        <f>_xlfn.XLOOKUP(H1289, risk_score!A:A, risk_score!B:B, 0)</f>
        <v>Low Risk</v>
      </c>
    </row>
    <row r="1290" spans="1:14">
      <c r="A1290" s="2">
        <v>0.47379629629629627</v>
      </c>
      <c r="B1290" s="3">
        <v>44841</v>
      </c>
      <c r="C1290" s="1">
        <v>8022304418</v>
      </c>
      <c r="D1290" s="1">
        <v>3362650763</v>
      </c>
      <c r="E1290" s="1">
        <v>6318.27</v>
      </c>
      <c r="F1290" s="1" t="s">
        <v>12</v>
      </c>
      <c r="G1290" s="1" t="s">
        <v>12</v>
      </c>
      <c r="H1290" s="1" t="s">
        <v>13</v>
      </c>
      <c r="I1290" s="1" t="s">
        <v>13</v>
      </c>
      <c r="J1290" s="1" t="s">
        <v>22</v>
      </c>
      <c r="K1290" s="1">
        <v>0</v>
      </c>
      <c r="L1290" s="1" t="s">
        <v>21</v>
      </c>
      <c r="M1290" s="1" t="str">
        <f t="shared" si="20"/>
        <v>Consistent</v>
      </c>
      <c r="N1290" s="1" t="str">
        <f>_xlfn.XLOOKUP(H1290, risk_score!A:A, risk_score!B:B, 0)</f>
        <v>Low Risk</v>
      </c>
    </row>
    <row r="1291" spans="1:14">
      <c r="A1291" s="2">
        <v>0.47386574074074073</v>
      </c>
      <c r="B1291" s="3">
        <v>44841</v>
      </c>
      <c r="C1291" s="1">
        <v>8203229522</v>
      </c>
      <c r="D1291" s="1">
        <v>7963107269</v>
      </c>
      <c r="E1291" s="1">
        <v>8612.4699999999993</v>
      </c>
      <c r="F1291" s="1" t="s">
        <v>12</v>
      </c>
      <c r="G1291" s="1" t="s">
        <v>12</v>
      </c>
      <c r="H1291" s="1" t="s">
        <v>13</v>
      </c>
      <c r="I1291" s="1" t="s">
        <v>13</v>
      </c>
      <c r="J1291" s="1" t="s">
        <v>27</v>
      </c>
      <c r="K1291" s="1">
        <v>0</v>
      </c>
      <c r="L1291" s="1" t="s">
        <v>19</v>
      </c>
      <c r="M1291" s="1" t="str">
        <f t="shared" si="20"/>
        <v>Consistent</v>
      </c>
      <c r="N1291" s="1" t="str">
        <f>_xlfn.XLOOKUP(H1291, risk_score!A:A, risk_score!B:B, 0)</f>
        <v>Low Risk</v>
      </c>
    </row>
    <row r="1292" spans="1:14">
      <c r="A1292" s="2">
        <v>0.47388888888888892</v>
      </c>
      <c r="B1292" s="3">
        <v>44841</v>
      </c>
      <c r="C1292" s="1">
        <v>1915450576</v>
      </c>
      <c r="D1292" s="1">
        <v>2088570270</v>
      </c>
      <c r="E1292" s="1">
        <v>18234.689999999999</v>
      </c>
      <c r="F1292" s="1" t="s">
        <v>12</v>
      </c>
      <c r="G1292" s="1" t="s">
        <v>12</v>
      </c>
      <c r="H1292" s="1" t="s">
        <v>13</v>
      </c>
      <c r="I1292" s="1" t="s">
        <v>13</v>
      </c>
      <c r="J1292" s="1" t="s">
        <v>25</v>
      </c>
      <c r="K1292" s="1">
        <v>0</v>
      </c>
      <c r="L1292" s="1" t="s">
        <v>19</v>
      </c>
      <c r="M1292" s="1" t="str">
        <f t="shared" si="20"/>
        <v>Consistent</v>
      </c>
      <c r="N1292" s="1" t="str">
        <f>_xlfn.XLOOKUP(H1292, risk_score!A:A, risk_score!B:B, 0)</f>
        <v>Low Risk</v>
      </c>
    </row>
    <row r="1293" spans="1:14">
      <c r="A1293" s="2">
        <v>0.47391203703703705</v>
      </c>
      <c r="B1293" s="3">
        <v>44841</v>
      </c>
      <c r="C1293" s="1">
        <v>6365431447</v>
      </c>
      <c r="D1293" s="1">
        <v>318637045</v>
      </c>
      <c r="E1293" s="1">
        <v>800.65</v>
      </c>
      <c r="F1293" s="1" t="s">
        <v>12</v>
      </c>
      <c r="G1293" s="1" t="s">
        <v>12</v>
      </c>
      <c r="H1293" s="1" t="s">
        <v>13</v>
      </c>
      <c r="I1293" s="1" t="s">
        <v>13</v>
      </c>
      <c r="J1293" s="1" t="s">
        <v>25</v>
      </c>
      <c r="K1293" s="1">
        <v>0</v>
      </c>
      <c r="L1293" s="1" t="s">
        <v>21</v>
      </c>
      <c r="M1293" s="1" t="str">
        <f t="shared" si="20"/>
        <v>Consistent</v>
      </c>
      <c r="N1293" s="1" t="str">
        <f>_xlfn.XLOOKUP(H1293, risk_score!A:A, risk_score!B:B, 0)</f>
        <v>Low Risk</v>
      </c>
    </row>
    <row r="1294" spans="1:14">
      <c r="A1294" s="2">
        <v>0.47399305555555554</v>
      </c>
      <c r="B1294" s="3">
        <v>44841</v>
      </c>
      <c r="C1294" s="1">
        <v>5224954510</v>
      </c>
      <c r="D1294" s="1">
        <v>2624123113</v>
      </c>
      <c r="E1294" s="1">
        <v>10781.33</v>
      </c>
      <c r="F1294" s="1" t="s">
        <v>12</v>
      </c>
      <c r="G1294" s="1" t="s">
        <v>12</v>
      </c>
      <c r="H1294" s="1" t="s">
        <v>13</v>
      </c>
      <c r="I1294" s="1" t="s">
        <v>13</v>
      </c>
      <c r="J1294" s="1" t="s">
        <v>22</v>
      </c>
      <c r="K1294" s="1">
        <v>0</v>
      </c>
      <c r="L1294" s="1" t="s">
        <v>21</v>
      </c>
      <c r="M1294" s="1" t="str">
        <f t="shared" si="20"/>
        <v>Consistent</v>
      </c>
      <c r="N1294" s="1" t="str">
        <f>_xlfn.XLOOKUP(H1294, risk_score!A:A, risk_score!B:B, 0)</f>
        <v>Low Risk</v>
      </c>
    </row>
    <row r="1295" spans="1:14">
      <c r="A1295" s="2">
        <v>0.47407407407407409</v>
      </c>
      <c r="B1295" s="3">
        <v>44841</v>
      </c>
      <c r="C1295" s="1">
        <v>3510078932</v>
      </c>
      <c r="D1295" s="1">
        <v>2436228903</v>
      </c>
      <c r="E1295" s="1">
        <v>7037.43</v>
      </c>
      <c r="F1295" s="1" t="s">
        <v>12</v>
      </c>
      <c r="G1295" s="1" t="s">
        <v>34</v>
      </c>
      <c r="H1295" s="1" t="s">
        <v>13</v>
      </c>
      <c r="I1295" s="1" t="s">
        <v>35</v>
      </c>
      <c r="J1295" s="1" t="s">
        <v>18</v>
      </c>
      <c r="K1295" s="1">
        <v>0</v>
      </c>
      <c r="L1295" s="1" t="s">
        <v>19</v>
      </c>
      <c r="M1295" s="1" t="str">
        <f t="shared" si="20"/>
        <v>Potential Layering</v>
      </c>
      <c r="N1295" s="1" t="str">
        <f>_xlfn.XLOOKUP(H1295, risk_score!A:A, risk_score!B:B, 0)</f>
        <v>Low Risk</v>
      </c>
    </row>
    <row r="1296" spans="1:14">
      <c r="A1296" s="2">
        <v>0.47410879629629632</v>
      </c>
      <c r="B1296" s="3">
        <v>44841</v>
      </c>
      <c r="C1296" s="1">
        <v>6086421020</v>
      </c>
      <c r="D1296" s="1">
        <v>1253036863</v>
      </c>
      <c r="E1296" s="1">
        <v>23977.34</v>
      </c>
      <c r="F1296" s="1" t="s">
        <v>12</v>
      </c>
      <c r="G1296" s="1" t="s">
        <v>34</v>
      </c>
      <c r="H1296" s="1" t="s">
        <v>13</v>
      </c>
      <c r="I1296" s="1" t="s">
        <v>35</v>
      </c>
      <c r="J1296" s="1" t="s">
        <v>18</v>
      </c>
      <c r="K1296" s="1">
        <v>0</v>
      </c>
      <c r="L1296" s="1" t="s">
        <v>19</v>
      </c>
      <c r="M1296" s="1" t="str">
        <f t="shared" si="20"/>
        <v>Potential Layering</v>
      </c>
      <c r="N1296" s="1" t="str">
        <f>_xlfn.XLOOKUP(H1296, risk_score!A:A, risk_score!B:B, 0)</f>
        <v>Low Risk</v>
      </c>
    </row>
    <row r="1297" spans="1:14">
      <c r="A1297" s="2">
        <v>0.47413194444444445</v>
      </c>
      <c r="B1297" s="3">
        <v>44841</v>
      </c>
      <c r="C1297" s="1">
        <v>8794766352</v>
      </c>
      <c r="D1297" s="1">
        <v>5800246902</v>
      </c>
      <c r="E1297" s="1">
        <v>4580.72</v>
      </c>
      <c r="F1297" s="1" t="s">
        <v>12</v>
      </c>
      <c r="G1297" s="1" t="s">
        <v>12</v>
      </c>
      <c r="H1297" s="1" t="s">
        <v>13</v>
      </c>
      <c r="I1297" s="1" t="s">
        <v>13</v>
      </c>
      <c r="J1297" s="1" t="s">
        <v>20</v>
      </c>
      <c r="K1297" s="1">
        <v>0</v>
      </c>
      <c r="L1297" s="1" t="s">
        <v>24</v>
      </c>
      <c r="M1297" s="1" t="str">
        <f t="shared" si="20"/>
        <v>Consistent</v>
      </c>
      <c r="N1297" s="1" t="str">
        <f>_xlfn.XLOOKUP(H1297, risk_score!A:A, risk_score!B:B, 0)</f>
        <v>Low Risk</v>
      </c>
    </row>
    <row r="1298" spans="1:14">
      <c r="A1298" s="2">
        <v>0.47417824074074072</v>
      </c>
      <c r="B1298" s="3">
        <v>44841</v>
      </c>
      <c r="C1298" s="1">
        <v>2104849384</v>
      </c>
      <c r="D1298" s="1">
        <v>9682128907</v>
      </c>
      <c r="E1298" s="1">
        <v>101.93</v>
      </c>
      <c r="F1298" s="1" t="s">
        <v>12</v>
      </c>
      <c r="G1298" s="1" t="s">
        <v>12</v>
      </c>
      <c r="H1298" s="1" t="s">
        <v>13</v>
      </c>
      <c r="I1298" s="1" t="s">
        <v>13</v>
      </c>
      <c r="J1298" s="1" t="s">
        <v>20</v>
      </c>
      <c r="K1298" s="1">
        <v>0</v>
      </c>
      <c r="L1298" s="1" t="s">
        <v>21</v>
      </c>
      <c r="M1298" s="1" t="str">
        <f t="shared" si="20"/>
        <v>Consistent</v>
      </c>
      <c r="N1298" s="1" t="str">
        <f>_xlfn.XLOOKUP(H1298, risk_score!A:A, risk_score!B:B, 0)</f>
        <v>Low Risk</v>
      </c>
    </row>
    <row r="1299" spans="1:14">
      <c r="A1299" s="2">
        <v>0.47420138888888891</v>
      </c>
      <c r="B1299" s="3">
        <v>44841</v>
      </c>
      <c r="C1299" s="1">
        <v>2797271466</v>
      </c>
      <c r="D1299" s="1">
        <v>4525312913</v>
      </c>
      <c r="E1299" s="1">
        <v>12808.01</v>
      </c>
      <c r="F1299" s="1" t="s">
        <v>12</v>
      </c>
      <c r="G1299" s="1" t="s">
        <v>12</v>
      </c>
      <c r="H1299" s="1" t="s">
        <v>13</v>
      </c>
      <c r="I1299" s="1" t="s">
        <v>13</v>
      </c>
      <c r="J1299" s="1" t="s">
        <v>25</v>
      </c>
      <c r="K1299" s="1">
        <v>0</v>
      </c>
      <c r="L1299" s="1" t="s">
        <v>19</v>
      </c>
      <c r="M1299" s="1" t="str">
        <f t="shared" si="20"/>
        <v>Consistent</v>
      </c>
      <c r="N1299" s="1" t="str">
        <f>_xlfn.XLOOKUP(H1299, risk_score!A:A, risk_score!B:B, 0)</f>
        <v>Low Risk</v>
      </c>
    </row>
    <row r="1300" spans="1:14">
      <c r="A1300" s="2">
        <v>0.47424768518518517</v>
      </c>
      <c r="B1300" s="3">
        <v>44841</v>
      </c>
      <c r="C1300" s="1">
        <v>4821439899</v>
      </c>
      <c r="D1300" s="1">
        <v>4561903097</v>
      </c>
      <c r="E1300" s="1">
        <v>256915.91</v>
      </c>
      <c r="F1300" s="1" t="s">
        <v>12</v>
      </c>
      <c r="G1300" s="1" t="s">
        <v>12</v>
      </c>
      <c r="H1300" s="1" t="s">
        <v>13</v>
      </c>
      <c r="I1300" s="1" t="s">
        <v>13</v>
      </c>
      <c r="J1300" s="1" t="s">
        <v>22</v>
      </c>
      <c r="K1300" s="1">
        <v>0</v>
      </c>
      <c r="L1300" s="1" t="s">
        <v>61</v>
      </c>
      <c r="M1300" s="1" t="str">
        <f t="shared" si="20"/>
        <v>Consistent</v>
      </c>
      <c r="N1300" s="1" t="str">
        <f>_xlfn.XLOOKUP(H1300, risk_score!A:A, risk_score!B:B, 0)</f>
        <v>Low Risk</v>
      </c>
    </row>
    <row r="1301" spans="1:14">
      <c r="A1301" s="2">
        <v>0.47427083333333331</v>
      </c>
      <c r="B1301" s="3">
        <v>44841</v>
      </c>
      <c r="C1301" s="1">
        <v>8456279067</v>
      </c>
      <c r="D1301" s="1">
        <v>3461031378</v>
      </c>
      <c r="E1301" s="1">
        <v>1108.18</v>
      </c>
      <c r="F1301" s="1" t="s">
        <v>12</v>
      </c>
      <c r="G1301" s="1" t="s">
        <v>12</v>
      </c>
      <c r="H1301" s="1" t="s">
        <v>13</v>
      </c>
      <c r="I1301" s="1" t="s">
        <v>13</v>
      </c>
      <c r="J1301" s="1" t="s">
        <v>27</v>
      </c>
      <c r="K1301" s="1">
        <v>0</v>
      </c>
      <c r="L1301" s="1" t="s">
        <v>21</v>
      </c>
      <c r="M1301" s="1" t="str">
        <f t="shared" si="20"/>
        <v>Consistent</v>
      </c>
      <c r="N1301" s="1" t="str">
        <f>_xlfn.XLOOKUP(H1301, risk_score!A:A, risk_score!B:B, 0)</f>
        <v>Low Risk</v>
      </c>
    </row>
    <row r="1302" spans="1:14">
      <c r="A1302" s="2">
        <v>0.47432870370370372</v>
      </c>
      <c r="B1302" s="3">
        <v>44841</v>
      </c>
      <c r="C1302" s="1">
        <v>109525315</v>
      </c>
      <c r="D1302" s="1">
        <v>8518184956</v>
      </c>
      <c r="E1302" s="1">
        <v>39105.82</v>
      </c>
      <c r="F1302" s="1" t="s">
        <v>12</v>
      </c>
      <c r="G1302" s="1" t="s">
        <v>12</v>
      </c>
      <c r="H1302" s="1" t="s">
        <v>13</v>
      </c>
      <c r="I1302" s="1" t="s">
        <v>13</v>
      </c>
      <c r="J1302" s="1" t="s">
        <v>22</v>
      </c>
      <c r="K1302" s="1">
        <v>0</v>
      </c>
      <c r="L1302" s="1" t="s">
        <v>23</v>
      </c>
      <c r="M1302" s="1" t="str">
        <f t="shared" si="20"/>
        <v>Consistent</v>
      </c>
      <c r="N1302" s="1" t="str">
        <f>_xlfn.XLOOKUP(H1302, risk_score!A:A, risk_score!B:B, 0)</f>
        <v>Low Risk</v>
      </c>
    </row>
    <row r="1303" spans="1:14">
      <c r="A1303" s="2">
        <v>0.47435185185185186</v>
      </c>
      <c r="B1303" s="3">
        <v>44841</v>
      </c>
      <c r="C1303" s="1">
        <v>5992929221</v>
      </c>
      <c r="D1303" s="1">
        <v>5957334674</v>
      </c>
      <c r="E1303" s="1">
        <v>3890.46</v>
      </c>
      <c r="F1303" s="1" t="s">
        <v>12</v>
      </c>
      <c r="G1303" s="1" t="s">
        <v>12</v>
      </c>
      <c r="H1303" s="1" t="s">
        <v>13</v>
      </c>
      <c r="I1303" s="1" t="s">
        <v>13</v>
      </c>
      <c r="J1303" s="1" t="s">
        <v>27</v>
      </c>
      <c r="K1303" s="1">
        <v>0</v>
      </c>
      <c r="L1303" s="1" t="s">
        <v>21</v>
      </c>
      <c r="M1303" s="1" t="str">
        <f t="shared" si="20"/>
        <v>Consistent</v>
      </c>
      <c r="N1303" s="1" t="str">
        <f>_xlfn.XLOOKUP(H1303, risk_score!A:A, risk_score!B:B, 0)</f>
        <v>Low Risk</v>
      </c>
    </row>
    <row r="1304" spans="1:14">
      <c r="A1304" s="2">
        <v>0.47437499999999999</v>
      </c>
      <c r="B1304" s="3">
        <v>44841</v>
      </c>
      <c r="C1304" s="1">
        <v>369175348</v>
      </c>
      <c r="D1304" s="1">
        <v>1431561040</v>
      </c>
      <c r="E1304" s="1">
        <v>12330.07</v>
      </c>
      <c r="F1304" s="1" t="s">
        <v>12</v>
      </c>
      <c r="G1304" s="1" t="s">
        <v>12</v>
      </c>
      <c r="H1304" s="1" t="s">
        <v>13</v>
      </c>
      <c r="I1304" s="1" t="s">
        <v>13</v>
      </c>
      <c r="J1304" s="1" t="s">
        <v>20</v>
      </c>
      <c r="K1304" s="1">
        <v>0</v>
      </c>
      <c r="L1304" s="1" t="s">
        <v>23</v>
      </c>
      <c r="M1304" s="1" t="str">
        <f t="shared" si="20"/>
        <v>Consistent</v>
      </c>
      <c r="N1304" s="1" t="str">
        <f>_xlfn.XLOOKUP(H1304, risk_score!A:A, risk_score!B:B, 0)</f>
        <v>Low Risk</v>
      </c>
    </row>
    <row r="1305" spans="1:14">
      <c r="A1305" s="2">
        <v>0.47444444444444445</v>
      </c>
      <c r="B1305" s="3">
        <v>44841</v>
      </c>
      <c r="C1305" s="1">
        <v>2241044938</v>
      </c>
      <c r="D1305" s="1">
        <v>840214522</v>
      </c>
      <c r="E1305" s="1">
        <v>1021.47</v>
      </c>
      <c r="F1305" s="1" t="s">
        <v>12</v>
      </c>
      <c r="G1305" s="1" t="s">
        <v>12</v>
      </c>
      <c r="H1305" s="1" t="s">
        <v>13</v>
      </c>
      <c r="I1305" s="1" t="s">
        <v>13</v>
      </c>
      <c r="J1305" s="1" t="s">
        <v>22</v>
      </c>
      <c r="K1305" s="1">
        <v>0</v>
      </c>
      <c r="L1305" s="1" t="s">
        <v>21</v>
      </c>
      <c r="M1305" s="1" t="str">
        <f t="shared" si="20"/>
        <v>Consistent</v>
      </c>
      <c r="N1305" s="1" t="str">
        <f>_xlfn.XLOOKUP(H1305, risk_score!A:A, risk_score!B:B, 0)</f>
        <v>Low Risk</v>
      </c>
    </row>
    <row r="1306" spans="1:14">
      <c r="A1306" s="2">
        <v>0.47446759259259258</v>
      </c>
      <c r="B1306" s="3">
        <v>44841</v>
      </c>
      <c r="C1306" s="1">
        <v>1432278808</v>
      </c>
      <c r="D1306" s="1">
        <v>7223854145</v>
      </c>
      <c r="E1306" s="1">
        <v>2524.61</v>
      </c>
      <c r="F1306" s="1" t="s">
        <v>12</v>
      </c>
      <c r="G1306" s="1" t="s">
        <v>12</v>
      </c>
      <c r="H1306" s="1" t="s">
        <v>13</v>
      </c>
      <c r="I1306" s="1" t="s">
        <v>13</v>
      </c>
      <c r="J1306" s="1" t="s">
        <v>22</v>
      </c>
      <c r="K1306" s="1">
        <v>0</v>
      </c>
      <c r="L1306" s="1" t="s">
        <v>21</v>
      </c>
      <c r="M1306" s="1" t="str">
        <f t="shared" si="20"/>
        <v>Consistent</v>
      </c>
      <c r="N1306" s="1" t="str">
        <f>_xlfn.XLOOKUP(H1306, risk_score!A:A, risk_score!B:B, 0)</f>
        <v>Low Risk</v>
      </c>
    </row>
    <row r="1307" spans="1:14">
      <c r="A1307" s="2">
        <v>0.47449074074074077</v>
      </c>
      <c r="B1307" s="3">
        <v>44841</v>
      </c>
      <c r="C1307" s="1">
        <v>4758769703</v>
      </c>
      <c r="D1307" s="1">
        <v>2358786715</v>
      </c>
      <c r="E1307" s="1">
        <v>7907.12</v>
      </c>
      <c r="F1307" s="1" t="s">
        <v>12</v>
      </c>
      <c r="G1307" s="1" t="s">
        <v>12</v>
      </c>
      <c r="H1307" s="1" t="s">
        <v>13</v>
      </c>
      <c r="I1307" s="1" t="s">
        <v>13</v>
      </c>
      <c r="J1307" s="1" t="s">
        <v>22</v>
      </c>
      <c r="K1307" s="1">
        <v>0</v>
      </c>
      <c r="L1307" s="1" t="s">
        <v>21</v>
      </c>
      <c r="M1307" s="1" t="str">
        <f t="shared" si="20"/>
        <v>Consistent</v>
      </c>
      <c r="N1307" s="1" t="str">
        <f>_xlfn.XLOOKUP(H1307, risk_score!A:A, risk_score!B:B, 0)</f>
        <v>Low Risk</v>
      </c>
    </row>
    <row r="1308" spans="1:14">
      <c r="A1308" s="2">
        <v>0.47453703703703703</v>
      </c>
      <c r="B1308" s="3">
        <v>44841</v>
      </c>
      <c r="C1308" s="1">
        <v>5293429200</v>
      </c>
      <c r="D1308" s="1">
        <v>2077669666</v>
      </c>
      <c r="E1308" s="1">
        <v>21771.73</v>
      </c>
      <c r="F1308" s="1" t="s">
        <v>12</v>
      </c>
      <c r="G1308" s="1" t="s">
        <v>12</v>
      </c>
      <c r="H1308" s="1" t="s">
        <v>13</v>
      </c>
      <c r="I1308" s="1" t="s">
        <v>13</v>
      </c>
      <c r="J1308" s="1" t="s">
        <v>25</v>
      </c>
      <c r="K1308" s="1">
        <v>0</v>
      </c>
      <c r="L1308" s="1" t="s">
        <v>21</v>
      </c>
      <c r="M1308" s="1" t="str">
        <f t="shared" si="20"/>
        <v>Consistent</v>
      </c>
      <c r="N1308" s="1" t="str">
        <f>_xlfn.XLOOKUP(H1308, risk_score!A:A, risk_score!B:B, 0)</f>
        <v>Low Risk</v>
      </c>
    </row>
    <row r="1309" spans="1:14">
      <c r="A1309" s="2">
        <v>0.47456018518518517</v>
      </c>
      <c r="B1309" s="3">
        <v>44841</v>
      </c>
      <c r="C1309" s="1">
        <v>7501327339</v>
      </c>
      <c r="D1309" s="1">
        <v>8061984977</v>
      </c>
      <c r="E1309" s="1">
        <v>9468.7099999999991</v>
      </c>
      <c r="F1309" s="1" t="s">
        <v>12</v>
      </c>
      <c r="G1309" s="1" t="s">
        <v>12</v>
      </c>
      <c r="H1309" s="1" t="s">
        <v>13</v>
      </c>
      <c r="I1309" s="1" t="s">
        <v>13</v>
      </c>
      <c r="J1309" s="1" t="s">
        <v>27</v>
      </c>
      <c r="K1309" s="1">
        <v>0</v>
      </c>
      <c r="L1309" s="1" t="s">
        <v>19</v>
      </c>
      <c r="M1309" s="1" t="str">
        <f t="shared" si="20"/>
        <v>Consistent</v>
      </c>
      <c r="N1309" s="1" t="str">
        <f>_xlfn.XLOOKUP(H1309, risk_score!A:A, risk_score!B:B, 0)</f>
        <v>Low Risk</v>
      </c>
    </row>
    <row r="1310" spans="1:14">
      <c r="A1310" s="2">
        <v>0.47458333333333336</v>
      </c>
      <c r="B1310" s="3">
        <v>44841</v>
      </c>
      <c r="C1310" s="1">
        <v>4812815165</v>
      </c>
      <c r="D1310" s="1">
        <v>6752804650</v>
      </c>
      <c r="E1310" s="1">
        <v>56.52</v>
      </c>
      <c r="F1310" s="1" t="s">
        <v>12</v>
      </c>
      <c r="G1310" s="1" t="s">
        <v>12</v>
      </c>
      <c r="H1310" s="1" t="s">
        <v>13</v>
      </c>
      <c r="I1310" s="1" t="s">
        <v>13</v>
      </c>
      <c r="J1310" s="1" t="s">
        <v>22</v>
      </c>
      <c r="K1310" s="1">
        <v>0</v>
      </c>
      <c r="L1310" s="1" t="s">
        <v>21</v>
      </c>
      <c r="M1310" s="1" t="str">
        <f t="shared" si="20"/>
        <v>Consistent</v>
      </c>
      <c r="N1310" s="1" t="str">
        <f>_xlfn.XLOOKUP(H1310, risk_score!A:A, risk_score!B:B, 0)</f>
        <v>Low Risk</v>
      </c>
    </row>
    <row r="1311" spans="1:14">
      <c r="A1311" s="2">
        <v>0.4745949074074074</v>
      </c>
      <c r="B1311" s="3">
        <v>44841</v>
      </c>
      <c r="C1311" s="1">
        <v>6424834252</v>
      </c>
      <c r="D1311" s="1">
        <v>5086203814</v>
      </c>
      <c r="E1311" s="1">
        <v>328.09</v>
      </c>
      <c r="F1311" s="1" t="s">
        <v>12</v>
      </c>
      <c r="G1311" s="1" t="s">
        <v>12</v>
      </c>
      <c r="H1311" s="1" t="s">
        <v>13</v>
      </c>
      <c r="I1311" s="1" t="s">
        <v>13</v>
      </c>
      <c r="J1311" s="1" t="s">
        <v>25</v>
      </c>
      <c r="K1311" s="1">
        <v>0</v>
      </c>
      <c r="L1311" s="1" t="s">
        <v>21</v>
      </c>
      <c r="M1311" s="1" t="str">
        <f t="shared" si="20"/>
        <v>Consistent</v>
      </c>
      <c r="N1311" s="1" t="str">
        <f>_xlfn.XLOOKUP(H1311, risk_score!A:A, risk_score!B:B, 0)</f>
        <v>Low Risk</v>
      </c>
    </row>
    <row r="1312" spans="1:14">
      <c r="A1312" s="2">
        <v>0.47460648148148149</v>
      </c>
      <c r="B1312" s="3">
        <v>44841</v>
      </c>
      <c r="C1312" s="1">
        <v>6401711429</v>
      </c>
      <c r="D1312" s="1">
        <v>2315973363</v>
      </c>
      <c r="E1312" s="1">
        <v>4304.6400000000003</v>
      </c>
      <c r="F1312" s="1" t="s">
        <v>12</v>
      </c>
      <c r="G1312" s="1" t="s">
        <v>12</v>
      </c>
      <c r="H1312" s="1" t="s">
        <v>13</v>
      </c>
      <c r="I1312" s="1" t="s">
        <v>13</v>
      </c>
      <c r="J1312" s="1" t="s">
        <v>14</v>
      </c>
      <c r="K1312" s="1">
        <v>0</v>
      </c>
      <c r="L1312" s="1" t="s">
        <v>15</v>
      </c>
      <c r="M1312" s="1" t="str">
        <f t="shared" si="20"/>
        <v>Consistent</v>
      </c>
      <c r="N1312" s="1" t="str">
        <f>_xlfn.XLOOKUP(H1312, risk_score!A:A, risk_score!B:B, 0)</f>
        <v>Low Risk</v>
      </c>
    </row>
    <row r="1313" spans="1:14">
      <c r="A1313" s="2">
        <v>0.47472222222222221</v>
      </c>
      <c r="B1313" s="3">
        <v>44841</v>
      </c>
      <c r="C1313" s="1">
        <v>255845645</v>
      </c>
      <c r="D1313" s="1">
        <v>7080357663</v>
      </c>
      <c r="E1313" s="1">
        <v>10640.09</v>
      </c>
      <c r="F1313" s="1" t="s">
        <v>12</v>
      </c>
      <c r="G1313" s="1" t="s">
        <v>12</v>
      </c>
      <c r="H1313" s="1" t="s">
        <v>13</v>
      </c>
      <c r="I1313" s="1" t="s">
        <v>13</v>
      </c>
      <c r="J1313" s="1" t="s">
        <v>27</v>
      </c>
      <c r="K1313" s="1">
        <v>0</v>
      </c>
      <c r="L1313" s="1" t="s">
        <v>23</v>
      </c>
      <c r="M1313" s="1" t="str">
        <f t="shared" si="20"/>
        <v>Consistent</v>
      </c>
      <c r="N1313" s="1" t="str">
        <f>_xlfn.XLOOKUP(H1313, risk_score!A:A, risk_score!B:B, 0)</f>
        <v>Low Risk</v>
      </c>
    </row>
    <row r="1314" spans="1:14">
      <c r="A1314" s="2">
        <v>0.47473379629629631</v>
      </c>
      <c r="B1314" s="3">
        <v>44841</v>
      </c>
      <c r="C1314" s="1">
        <v>4344759414</v>
      </c>
      <c r="D1314" s="1">
        <v>2138505015</v>
      </c>
      <c r="E1314" s="1">
        <v>10179.93</v>
      </c>
      <c r="F1314" s="1" t="s">
        <v>12</v>
      </c>
      <c r="G1314" s="1" t="s">
        <v>16</v>
      </c>
      <c r="H1314" s="1" t="s">
        <v>13</v>
      </c>
      <c r="I1314" s="1" t="s">
        <v>17</v>
      </c>
      <c r="J1314" s="1" t="s">
        <v>18</v>
      </c>
      <c r="K1314" s="1">
        <v>0</v>
      </c>
      <c r="L1314" s="1" t="s">
        <v>23</v>
      </c>
      <c r="M1314" s="1" t="str">
        <f t="shared" si="20"/>
        <v>Potential Layering</v>
      </c>
      <c r="N1314" s="1" t="str">
        <f>_xlfn.XLOOKUP(H1314, risk_score!A:A, risk_score!B:B, 0)</f>
        <v>Low Risk</v>
      </c>
    </row>
    <row r="1315" spans="1:14">
      <c r="A1315" s="2">
        <v>0.47474537037037035</v>
      </c>
      <c r="B1315" s="3">
        <v>44841</v>
      </c>
      <c r="C1315" s="1">
        <v>7125011674</v>
      </c>
      <c r="D1315" s="1">
        <v>6034997194</v>
      </c>
      <c r="E1315" s="1">
        <v>5181.93</v>
      </c>
      <c r="F1315" s="1" t="s">
        <v>12</v>
      </c>
      <c r="G1315" s="1" t="s">
        <v>12</v>
      </c>
      <c r="H1315" s="1" t="s">
        <v>13</v>
      </c>
      <c r="I1315" s="1" t="s">
        <v>13</v>
      </c>
      <c r="J1315" s="1" t="s">
        <v>25</v>
      </c>
      <c r="K1315" s="1">
        <v>0</v>
      </c>
      <c r="L1315" s="1" t="s">
        <v>23</v>
      </c>
      <c r="M1315" s="1" t="str">
        <f t="shared" si="20"/>
        <v>Consistent</v>
      </c>
      <c r="N1315" s="1" t="str">
        <f>_xlfn.XLOOKUP(H1315, risk_score!A:A, risk_score!B:B, 0)</f>
        <v>Low Risk</v>
      </c>
    </row>
    <row r="1316" spans="1:14">
      <c r="A1316" s="2">
        <v>0.4748148148148148</v>
      </c>
      <c r="B1316" s="3">
        <v>44841</v>
      </c>
      <c r="C1316" s="1">
        <v>2601687073</v>
      </c>
      <c r="D1316" s="1">
        <v>7892884492</v>
      </c>
      <c r="E1316" s="1">
        <v>9088.0499999999993</v>
      </c>
      <c r="F1316" s="1" t="s">
        <v>12</v>
      </c>
      <c r="G1316" s="1" t="s">
        <v>32</v>
      </c>
      <c r="H1316" s="1" t="s">
        <v>13</v>
      </c>
      <c r="I1316" s="1" t="s">
        <v>33</v>
      </c>
      <c r="J1316" s="1" t="s">
        <v>18</v>
      </c>
      <c r="K1316" s="1">
        <v>0</v>
      </c>
      <c r="L1316" s="1" t="s">
        <v>23</v>
      </c>
      <c r="M1316" s="1" t="str">
        <f t="shared" si="20"/>
        <v>Potential Layering</v>
      </c>
      <c r="N1316" s="1" t="str">
        <f>_xlfn.XLOOKUP(H1316, risk_score!A:A, risk_score!B:B, 0)</f>
        <v>Low Risk</v>
      </c>
    </row>
    <row r="1317" spans="1:14">
      <c r="A1317" s="2">
        <v>0.4748148148148148</v>
      </c>
      <c r="B1317" s="3">
        <v>44841</v>
      </c>
      <c r="C1317" s="1">
        <v>1261815001</v>
      </c>
      <c r="D1317" s="1">
        <v>4005549524</v>
      </c>
      <c r="E1317" s="1">
        <v>175632.26</v>
      </c>
      <c r="F1317" s="1" t="s">
        <v>29</v>
      </c>
      <c r="G1317" s="1" t="s">
        <v>12</v>
      </c>
      <c r="H1317" s="1" t="s">
        <v>13</v>
      </c>
      <c r="I1317" s="1" t="s">
        <v>13</v>
      </c>
      <c r="J1317" s="1" t="s">
        <v>25</v>
      </c>
      <c r="K1317" s="1">
        <v>0</v>
      </c>
      <c r="L1317" s="1" t="s">
        <v>58</v>
      </c>
      <c r="M1317" s="1" t="str">
        <f t="shared" si="20"/>
        <v>Potential Layering</v>
      </c>
      <c r="N1317" s="1" t="str">
        <f>_xlfn.XLOOKUP(H1317, risk_score!A:A, risk_score!B:B, 0)</f>
        <v>Low Risk</v>
      </c>
    </row>
    <row r="1318" spans="1:14">
      <c r="A1318" s="2">
        <v>0.4748148148148148</v>
      </c>
      <c r="B1318" s="3">
        <v>44841</v>
      </c>
      <c r="C1318" s="1">
        <v>7758268667</v>
      </c>
      <c r="D1318" s="1">
        <v>6000485397</v>
      </c>
      <c r="E1318" s="1">
        <v>9305.7199999999993</v>
      </c>
      <c r="F1318" s="1" t="s">
        <v>12</v>
      </c>
      <c r="G1318" s="1" t="s">
        <v>12</v>
      </c>
      <c r="H1318" s="1" t="s">
        <v>13</v>
      </c>
      <c r="I1318" s="1" t="s">
        <v>13</v>
      </c>
      <c r="J1318" s="1" t="s">
        <v>25</v>
      </c>
      <c r="K1318" s="1">
        <v>0</v>
      </c>
      <c r="L1318" s="1" t="s">
        <v>19</v>
      </c>
      <c r="M1318" s="1" t="str">
        <f t="shared" si="20"/>
        <v>Consistent</v>
      </c>
      <c r="N1318" s="1" t="str">
        <f>_xlfn.XLOOKUP(H1318, risk_score!A:A, risk_score!B:B, 0)</f>
        <v>Low Risk</v>
      </c>
    </row>
    <row r="1319" spans="1:14">
      <c r="A1319" s="2">
        <v>0.4748263888888889</v>
      </c>
      <c r="B1319" s="3">
        <v>44841</v>
      </c>
      <c r="C1319" s="1">
        <v>2550540287</v>
      </c>
      <c r="D1319" s="1">
        <v>5429542073</v>
      </c>
      <c r="E1319" s="1">
        <v>3468.06</v>
      </c>
      <c r="F1319" s="1" t="s">
        <v>12</v>
      </c>
      <c r="G1319" s="1" t="s">
        <v>12</v>
      </c>
      <c r="H1319" s="1" t="s">
        <v>13</v>
      </c>
      <c r="I1319" s="1" t="s">
        <v>13</v>
      </c>
      <c r="J1319" s="1" t="s">
        <v>27</v>
      </c>
      <c r="K1319" s="1">
        <v>0</v>
      </c>
      <c r="L1319" s="1" t="s">
        <v>21</v>
      </c>
      <c r="M1319" s="1" t="str">
        <f t="shared" si="20"/>
        <v>Consistent</v>
      </c>
      <c r="N1319" s="1" t="str">
        <f>_xlfn.XLOOKUP(H1319, risk_score!A:A, risk_score!B:B, 0)</f>
        <v>Low Risk</v>
      </c>
    </row>
    <row r="1320" spans="1:14">
      <c r="A1320" s="2">
        <v>0.4748263888888889</v>
      </c>
      <c r="B1320" s="3">
        <v>44841</v>
      </c>
      <c r="C1320" s="1">
        <v>3168051873</v>
      </c>
      <c r="D1320" s="1">
        <v>6160971830</v>
      </c>
      <c r="E1320" s="1">
        <v>5856.33</v>
      </c>
      <c r="F1320" s="1" t="s">
        <v>12</v>
      </c>
      <c r="G1320" s="1" t="s">
        <v>12</v>
      </c>
      <c r="H1320" s="1" t="s">
        <v>13</v>
      </c>
      <c r="I1320" s="1" t="s">
        <v>13</v>
      </c>
      <c r="J1320" s="1" t="s">
        <v>27</v>
      </c>
      <c r="K1320" s="1">
        <v>0</v>
      </c>
      <c r="L1320" s="1" t="s">
        <v>19</v>
      </c>
      <c r="M1320" s="1" t="str">
        <f t="shared" si="20"/>
        <v>Consistent</v>
      </c>
      <c r="N1320" s="1" t="str">
        <f>_xlfn.XLOOKUP(H1320, risk_score!A:A, risk_score!B:B, 0)</f>
        <v>Low Risk</v>
      </c>
    </row>
    <row r="1321" spans="1:14">
      <c r="A1321" s="2">
        <v>0.4748263888888889</v>
      </c>
      <c r="B1321" s="3">
        <v>44841</v>
      </c>
      <c r="C1321" s="1">
        <v>8723479480</v>
      </c>
      <c r="D1321" s="1">
        <v>4075469126</v>
      </c>
      <c r="E1321" s="1">
        <v>2213.5700000000002</v>
      </c>
      <c r="F1321" s="1" t="s">
        <v>12</v>
      </c>
      <c r="G1321" s="1" t="s">
        <v>12</v>
      </c>
      <c r="H1321" s="1" t="s">
        <v>13</v>
      </c>
      <c r="I1321" s="1" t="s">
        <v>13</v>
      </c>
      <c r="J1321" s="1" t="s">
        <v>20</v>
      </c>
      <c r="K1321" s="1">
        <v>0</v>
      </c>
      <c r="L1321" s="1" t="s">
        <v>21</v>
      </c>
      <c r="M1321" s="1" t="str">
        <f t="shared" si="20"/>
        <v>Consistent</v>
      </c>
      <c r="N1321" s="1" t="str">
        <f>_xlfn.XLOOKUP(H1321, risk_score!A:A, risk_score!B:B, 0)</f>
        <v>Low Risk</v>
      </c>
    </row>
    <row r="1322" spans="1:14">
      <c r="A1322" s="2">
        <v>0.47486111111111112</v>
      </c>
      <c r="B1322" s="3">
        <v>44841</v>
      </c>
      <c r="C1322" s="1">
        <v>2293206956</v>
      </c>
      <c r="D1322" s="1">
        <v>1928158606</v>
      </c>
      <c r="E1322" s="1">
        <v>3418.37</v>
      </c>
      <c r="F1322" s="1" t="s">
        <v>12</v>
      </c>
      <c r="G1322" s="1" t="s">
        <v>12</v>
      </c>
      <c r="H1322" s="1" t="s">
        <v>13</v>
      </c>
      <c r="I1322" s="1" t="s">
        <v>13</v>
      </c>
      <c r="J1322" s="1" t="s">
        <v>14</v>
      </c>
      <c r="K1322" s="1">
        <v>0</v>
      </c>
      <c r="L1322" s="1" t="s">
        <v>15</v>
      </c>
      <c r="M1322" s="1" t="str">
        <f t="shared" si="20"/>
        <v>Consistent</v>
      </c>
      <c r="N1322" s="1" t="str">
        <f>_xlfn.XLOOKUP(H1322, risk_score!A:A, risk_score!B:B, 0)</f>
        <v>Low Risk</v>
      </c>
    </row>
    <row r="1323" spans="1:14">
      <c r="A1323" s="2">
        <v>0.47488425925925926</v>
      </c>
      <c r="B1323" s="3">
        <v>44841</v>
      </c>
      <c r="C1323" s="1">
        <v>7860334742</v>
      </c>
      <c r="D1323" s="1">
        <v>960080488</v>
      </c>
      <c r="E1323" s="1">
        <v>3994.64</v>
      </c>
      <c r="F1323" s="1" t="s">
        <v>12</v>
      </c>
      <c r="G1323" s="1" t="s">
        <v>12</v>
      </c>
      <c r="H1323" s="1" t="s">
        <v>13</v>
      </c>
      <c r="I1323" s="1" t="s">
        <v>13</v>
      </c>
      <c r="J1323" s="1" t="s">
        <v>20</v>
      </c>
      <c r="K1323" s="1">
        <v>0</v>
      </c>
      <c r="L1323" s="1" t="s">
        <v>38</v>
      </c>
      <c r="M1323" s="1" t="str">
        <f t="shared" si="20"/>
        <v>Consistent</v>
      </c>
      <c r="N1323" s="1" t="str">
        <f>_xlfn.XLOOKUP(H1323, risk_score!A:A, risk_score!B:B, 0)</f>
        <v>Low Risk</v>
      </c>
    </row>
    <row r="1324" spans="1:14">
      <c r="A1324" s="2">
        <v>0.47488425925925926</v>
      </c>
      <c r="B1324" s="3">
        <v>44841</v>
      </c>
      <c r="C1324" s="1">
        <v>553769606</v>
      </c>
      <c r="D1324" s="1">
        <v>9020866719</v>
      </c>
      <c r="E1324" s="1">
        <v>2767.73</v>
      </c>
      <c r="F1324" s="1" t="s">
        <v>12</v>
      </c>
      <c r="G1324" s="1" t="s">
        <v>12</v>
      </c>
      <c r="H1324" s="1" t="s">
        <v>13</v>
      </c>
      <c r="I1324" s="1" t="s">
        <v>13</v>
      </c>
      <c r="J1324" s="1" t="s">
        <v>14</v>
      </c>
      <c r="K1324" s="1">
        <v>0</v>
      </c>
      <c r="L1324" s="1" t="s">
        <v>15</v>
      </c>
      <c r="M1324" s="1" t="str">
        <f t="shared" si="20"/>
        <v>Consistent</v>
      </c>
      <c r="N1324" s="1" t="str">
        <f>_xlfn.XLOOKUP(H1324, risk_score!A:A, risk_score!B:B, 0)</f>
        <v>Low Risk</v>
      </c>
    </row>
    <row r="1325" spans="1:14">
      <c r="A1325" s="2">
        <v>0.47488425925925926</v>
      </c>
      <c r="B1325" s="3">
        <v>44841</v>
      </c>
      <c r="C1325" s="1">
        <v>6476703638</v>
      </c>
      <c r="D1325" s="1">
        <v>6932637269</v>
      </c>
      <c r="E1325" s="1">
        <v>9005.41</v>
      </c>
      <c r="F1325" s="1" t="s">
        <v>12</v>
      </c>
      <c r="G1325" s="1" t="s">
        <v>12</v>
      </c>
      <c r="H1325" s="1" t="s">
        <v>13</v>
      </c>
      <c r="I1325" s="1" t="s">
        <v>13</v>
      </c>
      <c r="J1325" s="1" t="s">
        <v>27</v>
      </c>
      <c r="K1325" s="1">
        <v>0</v>
      </c>
      <c r="L1325" s="1" t="s">
        <v>21</v>
      </c>
      <c r="M1325" s="1" t="str">
        <f t="shared" si="20"/>
        <v>Consistent</v>
      </c>
      <c r="N1325" s="1" t="str">
        <f>_xlfn.XLOOKUP(H1325, risk_score!A:A, risk_score!B:B, 0)</f>
        <v>Low Risk</v>
      </c>
    </row>
    <row r="1326" spans="1:14">
      <c r="A1326" s="2">
        <v>0.47493055555555558</v>
      </c>
      <c r="B1326" s="3">
        <v>44841</v>
      </c>
      <c r="C1326" s="1">
        <v>853324983</v>
      </c>
      <c r="D1326" s="1">
        <v>8687258534</v>
      </c>
      <c r="E1326" s="1">
        <v>4882.47</v>
      </c>
      <c r="F1326" s="1" t="s">
        <v>12</v>
      </c>
      <c r="G1326" s="1" t="s">
        <v>12</v>
      </c>
      <c r="H1326" s="1" t="s">
        <v>13</v>
      </c>
      <c r="I1326" s="1" t="s">
        <v>13</v>
      </c>
      <c r="J1326" s="1" t="s">
        <v>20</v>
      </c>
      <c r="K1326" s="1">
        <v>0</v>
      </c>
      <c r="L1326" s="1" t="s">
        <v>24</v>
      </c>
      <c r="M1326" s="1" t="str">
        <f t="shared" si="20"/>
        <v>Consistent</v>
      </c>
      <c r="N1326" s="1" t="str">
        <f>_xlfn.XLOOKUP(H1326, risk_score!A:A, risk_score!B:B, 0)</f>
        <v>Low Risk</v>
      </c>
    </row>
    <row r="1327" spans="1:14">
      <c r="A1327" s="2">
        <v>0.47497685185185184</v>
      </c>
      <c r="B1327" s="3">
        <v>44841</v>
      </c>
      <c r="C1327" s="1">
        <v>2365007895</v>
      </c>
      <c r="D1327" s="1">
        <v>8015553278</v>
      </c>
      <c r="E1327" s="1">
        <v>6915.95</v>
      </c>
      <c r="F1327" s="1" t="s">
        <v>12</v>
      </c>
      <c r="G1327" s="1" t="s">
        <v>59</v>
      </c>
      <c r="H1327" s="1" t="s">
        <v>13</v>
      </c>
      <c r="I1327" s="1" t="s">
        <v>13</v>
      </c>
      <c r="J1327" s="1" t="s">
        <v>20</v>
      </c>
      <c r="K1327" s="1">
        <v>0</v>
      </c>
      <c r="L1327" s="1" t="s">
        <v>19</v>
      </c>
      <c r="M1327" s="1" t="str">
        <f t="shared" si="20"/>
        <v>Potential Layering</v>
      </c>
      <c r="N1327" s="1" t="str">
        <f>_xlfn.XLOOKUP(H1327, risk_score!A:A, risk_score!B:B, 0)</f>
        <v>Low Risk</v>
      </c>
    </row>
    <row r="1328" spans="1:14">
      <c r="A1328" s="2">
        <v>0.47498842592592594</v>
      </c>
      <c r="B1328" s="3">
        <v>44841</v>
      </c>
      <c r="C1328" s="1">
        <v>2595228252</v>
      </c>
      <c r="D1328" s="1">
        <v>5475645880</v>
      </c>
      <c r="E1328" s="1">
        <v>896.81</v>
      </c>
      <c r="F1328" s="1" t="s">
        <v>12</v>
      </c>
      <c r="G1328" s="1" t="s">
        <v>12</v>
      </c>
      <c r="H1328" s="1" t="s">
        <v>13</v>
      </c>
      <c r="I1328" s="1" t="s">
        <v>13</v>
      </c>
      <c r="J1328" s="1" t="s">
        <v>22</v>
      </c>
      <c r="K1328" s="1">
        <v>0</v>
      </c>
      <c r="L1328" s="1" t="s">
        <v>21</v>
      </c>
      <c r="M1328" s="1" t="str">
        <f t="shared" si="20"/>
        <v>Consistent</v>
      </c>
      <c r="N1328" s="1" t="str">
        <f>_xlfn.XLOOKUP(H1328, risk_score!A:A, risk_score!B:B, 0)</f>
        <v>Low Risk</v>
      </c>
    </row>
    <row r="1329" spans="1:14">
      <c r="A1329" s="2">
        <v>0.47506944444444443</v>
      </c>
      <c r="B1329" s="3">
        <v>44841</v>
      </c>
      <c r="C1329" s="1">
        <v>2470596478</v>
      </c>
      <c r="D1329" s="1">
        <v>7013250027</v>
      </c>
      <c r="E1329" s="1">
        <v>5601.06</v>
      </c>
      <c r="F1329" s="1" t="s">
        <v>12</v>
      </c>
      <c r="G1329" s="1" t="s">
        <v>12</v>
      </c>
      <c r="H1329" s="1" t="s">
        <v>13</v>
      </c>
      <c r="I1329" s="1" t="s">
        <v>13</v>
      </c>
      <c r="J1329" s="1" t="s">
        <v>22</v>
      </c>
      <c r="K1329" s="1">
        <v>0</v>
      </c>
      <c r="L1329" s="1" t="s">
        <v>21</v>
      </c>
      <c r="M1329" s="1" t="str">
        <f t="shared" si="20"/>
        <v>Consistent</v>
      </c>
      <c r="N1329" s="1" t="str">
        <f>_xlfn.XLOOKUP(H1329, risk_score!A:A, risk_score!B:B, 0)</f>
        <v>Low Risk</v>
      </c>
    </row>
    <row r="1330" spans="1:14">
      <c r="A1330" s="2">
        <v>0.47510416666666666</v>
      </c>
      <c r="B1330" s="3">
        <v>44841</v>
      </c>
      <c r="C1330" s="1">
        <v>8487080282</v>
      </c>
      <c r="D1330" s="1">
        <v>5708936901</v>
      </c>
      <c r="E1330" s="1">
        <v>5793.8</v>
      </c>
      <c r="F1330" s="1" t="s">
        <v>12</v>
      </c>
      <c r="G1330" s="1" t="s">
        <v>12</v>
      </c>
      <c r="H1330" s="1" t="s">
        <v>13</v>
      </c>
      <c r="I1330" s="1" t="s">
        <v>13</v>
      </c>
      <c r="J1330" s="1" t="s">
        <v>20</v>
      </c>
      <c r="K1330" s="1">
        <v>0</v>
      </c>
      <c r="L1330" s="1" t="s">
        <v>23</v>
      </c>
      <c r="M1330" s="1" t="str">
        <f t="shared" si="20"/>
        <v>Consistent</v>
      </c>
      <c r="N1330" s="1" t="str">
        <f>_xlfn.XLOOKUP(H1330, risk_score!A:A, risk_score!B:B, 0)</f>
        <v>Low Risk</v>
      </c>
    </row>
    <row r="1331" spans="1:14">
      <c r="A1331" s="2">
        <v>0.47510416666666666</v>
      </c>
      <c r="B1331" s="3">
        <v>44841</v>
      </c>
      <c r="C1331" s="1">
        <v>3985941315</v>
      </c>
      <c r="D1331" s="1">
        <v>9187254272</v>
      </c>
      <c r="E1331" s="1">
        <v>121.53</v>
      </c>
      <c r="F1331" s="1" t="s">
        <v>12</v>
      </c>
      <c r="G1331" s="1" t="s">
        <v>12</v>
      </c>
      <c r="H1331" s="1" t="s">
        <v>13</v>
      </c>
      <c r="I1331" s="1" t="s">
        <v>13</v>
      </c>
      <c r="J1331" s="1" t="s">
        <v>25</v>
      </c>
      <c r="K1331" s="1">
        <v>0</v>
      </c>
      <c r="L1331" s="1" t="s">
        <v>21</v>
      </c>
      <c r="M1331" s="1" t="str">
        <f t="shared" si="20"/>
        <v>Consistent</v>
      </c>
      <c r="N1331" s="1" t="str">
        <f>_xlfn.XLOOKUP(H1331, risk_score!A:A, risk_score!B:B, 0)</f>
        <v>Low Risk</v>
      </c>
    </row>
    <row r="1332" spans="1:14">
      <c r="A1332" s="2">
        <v>0.47511574074074076</v>
      </c>
      <c r="B1332" s="3">
        <v>44841</v>
      </c>
      <c r="C1332" s="1">
        <v>4678874499</v>
      </c>
      <c r="D1332" s="1">
        <v>3220735304</v>
      </c>
      <c r="E1332" s="1">
        <v>9750.4599999999991</v>
      </c>
      <c r="F1332" s="1" t="s">
        <v>12</v>
      </c>
      <c r="G1332" s="1" t="s">
        <v>12</v>
      </c>
      <c r="H1332" s="1" t="s">
        <v>13</v>
      </c>
      <c r="I1332" s="1" t="s">
        <v>13</v>
      </c>
      <c r="J1332" s="1" t="s">
        <v>27</v>
      </c>
      <c r="K1332" s="1">
        <v>0</v>
      </c>
      <c r="L1332" s="1" t="s">
        <v>23</v>
      </c>
      <c r="M1332" s="1" t="str">
        <f t="shared" si="20"/>
        <v>Consistent</v>
      </c>
      <c r="N1332" s="1" t="str">
        <f>_xlfn.XLOOKUP(H1332, risk_score!A:A, risk_score!B:B, 0)</f>
        <v>Low Risk</v>
      </c>
    </row>
    <row r="1333" spans="1:14">
      <c r="A1333" s="2">
        <v>0.47512731481481479</v>
      </c>
      <c r="B1333" s="3">
        <v>44841</v>
      </c>
      <c r="C1333" s="1">
        <v>3452368468</v>
      </c>
      <c r="D1333" s="1">
        <v>5517479211</v>
      </c>
      <c r="E1333" s="1">
        <v>13529.2</v>
      </c>
      <c r="F1333" s="1" t="s">
        <v>12</v>
      </c>
      <c r="G1333" s="1" t="s">
        <v>59</v>
      </c>
      <c r="H1333" s="1" t="s">
        <v>13</v>
      </c>
      <c r="I1333" s="1" t="s">
        <v>13</v>
      </c>
      <c r="J1333" s="1" t="s">
        <v>22</v>
      </c>
      <c r="K1333" s="1">
        <v>0</v>
      </c>
      <c r="L1333" s="1" t="s">
        <v>19</v>
      </c>
      <c r="M1333" s="1" t="str">
        <f t="shared" si="20"/>
        <v>Potential Layering</v>
      </c>
      <c r="N1333" s="1" t="str">
        <f>_xlfn.XLOOKUP(H1333, risk_score!A:A, risk_score!B:B, 0)</f>
        <v>Low Risk</v>
      </c>
    </row>
    <row r="1334" spans="1:14">
      <c r="A1334" s="2">
        <v>0.47515046296296298</v>
      </c>
      <c r="B1334" s="3">
        <v>44841</v>
      </c>
      <c r="C1334" s="1">
        <v>4325749007</v>
      </c>
      <c r="D1334" s="1">
        <v>6016364895</v>
      </c>
      <c r="E1334" s="1">
        <v>4967.05</v>
      </c>
      <c r="F1334" s="1" t="s">
        <v>12</v>
      </c>
      <c r="G1334" s="1" t="s">
        <v>12</v>
      </c>
      <c r="H1334" s="1" t="s">
        <v>13</v>
      </c>
      <c r="I1334" s="1" t="s">
        <v>13</v>
      </c>
      <c r="J1334" s="1" t="s">
        <v>20</v>
      </c>
      <c r="K1334" s="1">
        <v>0</v>
      </c>
      <c r="L1334" s="1" t="s">
        <v>21</v>
      </c>
      <c r="M1334" s="1" t="str">
        <f t="shared" si="20"/>
        <v>Consistent</v>
      </c>
      <c r="N1334" s="1" t="str">
        <f>_xlfn.XLOOKUP(H1334, risk_score!A:A, risk_score!B:B, 0)</f>
        <v>Low Risk</v>
      </c>
    </row>
    <row r="1335" spans="1:14">
      <c r="A1335" s="2">
        <v>0.47517361111111112</v>
      </c>
      <c r="B1335" s="3">
        <v>44841</v>
      </c>
      <c r="C1335" s="1">
        <v>6562248766</v>
      </c>
      <c r="D1335" s="1">
        <v>6444220418</v>
      </c>
      <c r="E1335" s="1">
        <v>20038.849999999999</v>
      </c>
      <c r="F1335" s="1" t="s">
        <v>12</v>
      </c>
      <c r="G1335" s="1" t="s">
        <v>12</v>
      </c>
      <c r="H1335" s="1" t="s">
        <v>13</v>
      </c>
      <c r="I1335" s="1" t="s">
        <v>13</v>
      </c>
      <c r="J1335" s="1" t="s">
        <v>22</v>
      </c>
      <c r="K1335" s="1">
        <v>0</v>
      </c>
      <c r="L1335" s="1" t="s">
        <v>23</v>
      </c>
      <c r="M1335" s="1" t="str">
        <f t="shared" si="20"/>
        <v>Consistent</v>
      </c>
      <c r="N1335" s="1" t="str">
        <f>_xlfn.XLOOKUP(H1335, risk_score!A:A, risk_score!B:B, 0)</f>
        <v>Low Risk</v>
      </c>
    </row>
    <row r="1336" spans="1:14">
      <c r="A1336" s="2">
        <v>0.47520833333333334</v>
      </c>
      <c r="B1336" s="3">
        <v>44841</v>
      </c>
      <c r="C1336" s="1">
        <v>5269615347</v>
      </c>
      <c r="D1336" s="1">
        <v>5585788028</v>
      </c>
      <c r="E1336" s="1">
        <v>4208.9399999999996</v>
      </c>
      <c r="F1336" s="1" t="s">
        <v>12</v>
      </c>
      <c r="G1336" s="1" t="s">
        <v>12</v>
      </c>
      <c r="H1336" s="1" t="s">
        <v>13</v>
      </c>
      <c r="I1336" s="1" t="s">
        <v>13</v>
      </c>
      <c r="J1336" s="1" t="s">
        <v>22</v>
      </c>
      <c r="K1336" s="1">
        <v>0</v>
      </c>
      <c r="L1336" s="1" t="s">
        <v>21</v>
      </c>
      <c r="M1336" s="1" t="str">
        <f t="shared" si="20"/>
        <v>Consistent</v>
      </c>
      <c r="N1336" s="1" t="str">
        <f>_xlfn.XLOOKUP(H1336, risk_score!A:A, risk_score!B:B, 0)</f>
        <v>Low Risk</v>
      </c>
    </row>
    <row r="1337" spans="1:14">
      <c r="A1337" s="2">
        <v>0.47520833333333334</v>
      </c>
      <c r="B1337" s="3">
        <v>44841</v>
      </c>
      <c r="C1337" s="1">
        <v>5520808053</v>
      </c>
      <c r="D1337" s="1">
        <v>1377603863</v>
      </c>
      <c r="E1337" s="1">
        <v>8937.3700000000008</v>
      </c>
      <c r="F1337" s="1" t="s">
        <v>12</v>
      </c>
      <c r="G1337" s="1" t="s">
        <v>12</v>
      </c>
      <c r="H1337" s="1" t="s">
        <v>13</v>
      </c>
      <c r="I1337" s="1" t="s">
        <v>13</v>
      </c>
      <c r="J1337" s="1" t="s">
        <v>22</v>
      </c>
      <c r="K1337" s="1">
        <v>0</v>
      </c>
      <c r="L1337" s="1" t="s">
        <v>23</v>
      </c>
      <c r="M1337" s="1" t="str">
        <f t="shared" si="20"/>
        <v>Consistent</v>
      </c>
      <c r="N1337" s="1" t="str">
        <f>_xlfn.XLOOKUP(H1337, risk_score!A:A, risk_score!B:B, 0)</f>
        <v>Low Risk</v>
      </c>
    </row>
    <row r="1338" spans="1:14">
      <c r="A1338" s="2">
        <v>0.47525462962962961</v>
      </c>
      <c r="B1338" s="3">
        <v>44841</v>
      </c>
      <c r="C1338" s="1">
        <v>1958294737</v>
      </c>
      <c r="D1338" s="1">
        <v>1493436023</v>
      </c>
      <c r="E1338" s="1">
        <v>7676.37</v>
      </c>
      <c r="F1338" s="1" t="s">
        <v>12</v>
      </c>
      <c r="G1338" s="1" t="s">
        <v>12</v>
      </c>
      <c r="H1338" s="1" t="s">
        <v>13</v>
      </c>
      <c r="I1338" s="1" t="s">
        <v>13</v>
      </c>
      <c r="J1338" s="1" t="s">
        <v>22</v>
      </c>
      <c r="K1338" s="1">
        <v>0</v>
      </c>
      <c r="L1338" s="1" t="s">
        <v>23</v>
      </c>
      <c r="M1338" s="1" t="str">
        <f t="shared" si="20"/>
        <v>Consistent</v>
      </c>
      <c r="N1338" s="1" t="str">
        <f>_xlfn.XLOOKUP(H1338, risk_score!A:A, risk_score!B:B, 0)</f>
        <v>Low Risk</v>
      </c>
    </row>
    <row r="1339" spans="1:14">
      <c r="A1339" s="2">
        <v>0.47530092592592593</v>
      </c>
      <c r="B1339" s="3">
        <v>44841</v>
      </c>
      <c r="C1339" s="1">
        <v>2806740273</v>
      </c>
      <c r="D1339" s="1">
        <v>6829585528</v>
      </c>
      <c r="E1339" s="1">
        <v>17548.07</v>
      </c>
      <c r="F1339" s="1" t="s">
        <v>12</v>
      </c>
      <c r="G1339" s="1" t="s">
        <v>12</v>
      </c>
      <c r="H1339" s="1" t="s">
        <v>13</v>
      </c>
      <c r="I1339" s="1" t="s">
        <v>13</v>
      </c>
      <c r="J1339" s="1" t="s">
        <v>25</v>
      </c>
      <c r="K1339" s="1">
        <v>0</v>
      </c>
      <c r="L1339" s="1" t="s">
        <v>24</v>
      </c>
      <c r="M1339" s="1" t="str">
        <f t="shared" si="20"/>
        <v>Consistent</v>
      </c>
      <c r="N1339" s="1" t="str">
        <f>_xlfn.XLOOKUP(H1339, risk_score!A:A, risk_score!B:B, 0)</f>
        <v>Low Risk</v>
      </c>
    </row>
    <row r="1340" spans="1:14">
      <c r="A1340" s="2">
        <v>0.4753472222222222</v>
      </c>
      <c r="B1340" s="3">
        <v>44841</v>
      </c>
      <c r="C1340" s="1">
        <v>5773237167</v>
      </c>
      <c r="D1340" s="1">
        <v>2377605575</v>
      </c>
      <c r="E1340" s="1">
        <v>692.88</v>
      </c>
      <c r="F1340" s="1" t="s">
        <v>12</v>
      </c>
      <c r="G1340" s="1" t="s">
        <v>12</v>
      </c>
      <c r="H1340" s="1" t="s">
        <v>13</v>
      </c>
      <c r="I1340" s="1" t="s">
        <v>13</v>
      </c>
      <c r="J1340" s="1" t="s">
        <v>14</v>
      </c>
      <c r="K1340" s="1">
        <v>0</v>
      </c>
      <c r="L1340" s="1" t="s">
        <v>15</v>
      </c>
      <c r="M1340" s="1" t="str">
        <f t="shared" si="20"/>
        <v>Consistent</v>
      </c>
      <c r="N1340" s="1" t="str">
        <f>_xlfn.XLOOKUP(H1340, risk_score!A:A, risk_score!B:B, 0)</f>
        <v>Low Risk</v>
      </c>
    </row>
    <row r="1341" spans="1:14">
      <c r="A1341" s="2">
        <v>0.47538194444444443</v>
      </c>
      <c r="B1341" s="3">
        <v>44841</v>
      </c>
      <c r="C1341" s="1">
        <v>8121014003</v>
      </c>
      <c r="D1341" s="1">
        <v>1316458123</v>
      </c>
      <c r="E1341" s="1">
        <v>6412.57</v>
      </c>
      <c r="F1341" s="1" t="s">
        <v>12</v>
      </c>
      <c r="G1341" s="1" t="s">
        <v>34</v>
      </c>
      <c r="H1341" s="1" t="s">
        <v>13</v>
      </c>
      <c r="I1341" s="1" t="s">
        <v>35</v>
      </c>
      <c r="J1341" s="1" t="s">
        <v>18</v>
      </c>
      <c r="K1341" s="1">
        <v>0</v>
      </c>
      <c r="L1341" s="1" t="s">
        <v>23</v>
      </c>
      <c r="M1341" s="1" t="str">
        <f t="shared" si="20"/>
        <v>Potential Layering</v>
      </c>
      <c r="N1341" s="1" t="str">
        <f>_xlfn.XLOOKUP(H1341, risk_score!A:A, risk_score!B:B, 0)</f>
        <v>Low Risk</v>
      </c>
    </row>
    <row r="1342" spans="1:14">
      <c r="A1342" s="2">
        <v>0.47539351851851852</v>
      </c>
      <c r="B1342" s="3">
        <v>44841</v>
      </c>
      <c r="C1342" s="1">
        <v>1404601227</v>
      </c>
      <c r="D1342" s="1">
        <v>9383279530</v>
      </c>
      <c r="E1342" s="1">
        <v>2640.24</v>
      </c>
      <c r="F1342" s="1" t="s">
        <v>12</v>
      </c>
      <c r="G1342" s="1" t="s">
        <v>12</v>
      </c>
      <c r="H1342" s="1" t="s">
        <v>13</v>
      </c>
      <c r="I1342" s="1" t="s">
        <v>13</v>
      </c>
      <c r="J1342" s="1" t="s">
        <v>25</v>
      </c>
      <c r="K1342" s="1">
        <v>0</v>
      </c>
      <c r="L1342" s="1" t="s">
        <v>21</v>
      </c>
      <c r="M1342" s="1" t="str">
        <f t="shared" si="20"/>
        <v>Consistent</v>
      </c>
      <c r="N1342" s="1" t="str">
        <f>_xlfn.XLOOKUP(H1342, risk_score!A:A, risk_score!B:B, 0)</f>
        <v>Low Risk</v>
      </c>
    </row>
    <row r="1343" spans="1:14">
      <c r="A1343" s="2">
        <v>0.47541666666666665</v>
      </c>
      <c r="B1343" s="3">
        <v>44841</v>
      </c>
      <c r="C1343" s="1">
        <v>7897042353</v>
      </c>
      <c r="D1343" s="1">
        <v>393778790</v>
      </c>
      <c r="E1343" s="1">
        <v>4261.97</v>
      </c>
      <c r="F1343" s="1" t="s">
        <v>12</v>
      </c>
      <c r="G1343" s="1" t="s">
        <v>12</v>
      </c>
      <c r="H1343" s="1" t="s">
        <v>13</v>
      </c>
      <c r="I1343" s="1" t="s">
        <v>13</v>
      </c>
      <c r="J1343" s="1" t="s">
        <v>25</v>
      </c>
      <c r="K1343" s="1">
        <v>0</v>
      </c>
      <c r="L1343" s="1" t="s">
        <v>41</v>
      </c>
      <c r="M1343" s="1" t="str">
        <f t="shared" si="20"/>
        <v>Consistent</v>
      </c>
      <c r="N1343" s="1" t="str">
        <f>_xlfn.XLOOKUP(H1343, risk_score!A:A, risk_score!B:B, 0)</f>
        <v>Low Risk</v>
      </c>
    </row>
    <row r="1344" spans="1:14">
      <c r="A1344" s="2">
        <v>0.47541666666666665</v>
      </c>
      <c r="B1344" s="3">
        <v>44841</v>
      </c>
      <c r="C1344" s="1">
        <v>7862822926</v>
      </c>
      <c r="D1344" s="1">
        <v>8189670742</v>
      </c>
      <c r="E1344" s="1">
        <v>9244.5499999999993</v>
      </c>
      <c r="F1344" s="1" t="s">
        <v>12</v>
      </c>
      <c r="G1344" s="1" t="s">
        <v>12</v>
      </c>
      <c r="H1344" s="1" t="s">
        <v>13</v>
      </c>
      <c r="I1344" s="1" t="s">
        <v>13</v>
      </c>
      <c r="J1344" s="1" t="s">
        <v>22</v>
      </c>
      <c r="K1344" s="1">
        <v>0</v>
      </c>
      <c r="L1344" s="1" t="s">
        <v>21</v>
      </c>
      <c r="M1344" s="1" t="str">
        <f t="shared" si="20"/>
        <v>Consistent</v>
      </c>
      <c r="N1344" s="1" t="str">
        <f>_xlfn.XLOOKUP(H1344, risk_score!A:A, risk_score!B:B, 0)</f>
        <v>Low Risk</v>
      </c>
    </row>
    <row r="1345" spans="1:14">
      <c r="A1345" s="2">
        <v>0.47543981481481479</v>
      </c>
      <c r="B1345" s="3">
        <v>44841</v>
      </c>
      <c r="C1345" s="1">
        <v>3523180313</v>
      </c>
      <c r="D1345" s="1">
        <v>2886347067</v>
      </c>
      <c r="E1345" s="1">
        <v>4734.6099999999997</v>
      </c>
      <c r="F1345" s="1" t="s">
        <v>12</v>
      </c>
      <c r="G1345" s="1" t="s">
        <v>12</v>
      </c>
      <c r="H1345" s="1" t="s">
        <v>13</v>
      </c>
      <c r="I1345" s="1" t="s">
        <v>13</v>
      </c>
      <c r="J1345" s="1" t="s">
        <v>25</v>
      </c>
      <c r="K1345" s="1">
        <v>0</v>
      </c>
      <c r="L1345" s="1" t="s">
        <v>21</v>
      </c>
      <c r="M1345" s="1" t="str">
        <f t="shared" si="20"/>
        <v>Consistent</v>
      </c>
      <c r="N1345" s="1" t="str">
        <f>_xlfn.XLOOKUP(H1345, risk_score!A:A, risk_score!B:B, 0)</f>
        <v>Low Risk</v>
      </c>
    </row>
    <row r="1346" spans="1:14">
      <c r="A1346" s="2">
        <v>0.47547453703703701</v>
      </c>
      <c r="B1346" s="3">
        <v>44841</v>
      </c>
      <c r="C1346" s="1">
        <v>4420291115</v>
      </c>
      <c r="D1346" s="1">
        <v>6586021733</v>
      </c>
      <c r="E1346" s="1">
        <v>171.38</v>
      </c>
      <c r="F1346" s="1" t="s">
        <v>12</v>
      </c>
      <c r="G1346" s="1" t="s">
        <v>12</v>
      </c>
      <c r="H1346" s="1" t="s">
        <v>13</v>
      </c>
      <c r="I1346" s="1" t="s">
        <v>13</v>
      </c>
      <c r="J1346" s="1" t="s">
        <v>36</v>
      </c>
      <c r="K1346" s="1">
        <v>0</v>
      </c>
      <c r="L1346" s="1" t="s">
        <v>37</v>
      </c>
      <c r="M1346" s="1" t="str">
        <f t="shared" si="20"/>
        <v>Consistent</v>
      </c>
      <c r="N1346" s="1" t="str">
        <f>_xlfn.XLOOKUP(H1346, risk_score!A:A, risk_score!B:B, 0)</f>
        <v>Low Risk</v>
      </c>
    </row>
    <row r="1347" spans="1:14">
      <c r="A1347" s="2">
        <v>0.4754976851851852</v>
      </c>
      <c r="B1347" s="3">
        <v>44841</v>
      </c>
      <c r="C1347" s="1">
        <v>5536806270</v>
      </c>
      <c r="D1347" s="1">
        <v>4798130884</v>
      </c>
      <c r="E1347" s="1">
        <v>953.71</v>
      </c>
      <c r="F1347" s="1" t="s">
        <v>12</v>
      </c>
      <c r="G1347" s="1" t="s">
        <v>12</v>
      </c>
      <c r="H1347" s="1" t="s">
        <v>13</v>
      </c>
      <c r="I1347" s="1" t="s">
        <v>13</v>
      </c>
      <c r="J1347" s="1" t="s">
        <v>27</v>
      </c>
      <c r="K1347" s="1">
        <v>0</v>
      </c>
      <c r="L1347" s="1" t="s">
        <v>21</v>
      </c>
      <c r="M1347" s="1" t="str">
        <f t="shared" ref="M1347:M1410" si="21">IF(F1347=G1347, "Consistent", "Potential Layering")</f>
        <v>Consistent</v>
      </c>
      <c r="N1347" s="1" t="str">
        <f>_xlfn.XLOOKUP(H1347, risk_score!A:A, risk_score!B:B, 0)</f>
        <v>Low Risk</v>
      </c>
    </row>
    <row r="1348" spans="1:14">
      <c r="A1348" s="2">
        <v>0.47555555555555556</v>
      </c>
      <c r="B1348" s="3">
        <v>44841</v>
      </c>
      <c r="C1348" s="1">
        <v>1419661241</v>
      </c>
      <c r="D1348" s="1">
        <v>409707192</v>
      </c>
      <c r="E1348" s="1">
        <v>15622.36</v>
      </c>
      <c r="F1348" s="1" t="s">
        <v>12</v>
      </c>
      <c r="G1348" s="1" t="s">
        <v>12</v>
      </c>
      <c r="H1348" s="1" t="s">
        <v>13</v>
      </c>
      <c r="I1348" s="1" t="s">
        <v>13</v>
      </c>
      <c r="J1348" s="1" t="s">
        <v>27</v>
      </c>
      <c r="K1348" s="1">
        <v>0</v>
      </c>
      <c r="L1348" s="1" t="s">
        <v>23</v>
      </c>
      <c r="M1348" s="1" t="str">
        <f t="shared" si="21"/>
        <v>Consistent</v>
      </c>
      <c r="N1348" s="1" t="str">
        <f>_xlfn.XLOOKUP(H1348, risk_score!A:A, risk_score!B:B, 0)</f>
        <v>Low Risk</v>
      </c>
    </row>
    <row r="1349" spans="1:14">
      <c r="A1349" s="2">
        <v>0.4755671296296296</v>
      </c>
      <c r="B1349" s="3">
        <v>44841</v>
      </c>
      <c r="C1349" s="1">
        <v>3255044891</v>
      </c>
      <c r="D1349" s="1">
        <v>9023303777</v>
      </c>
      <c r="E1349" s="1">
        <v>782.24</v>
      </c>
      <c r="F1349" s="1" t="s">
        <v>29</v>
      </c>
      <c r="G1349" s="1" t="s">
        <v>12</v>
      </c>
      <c r="H1349" s="1" t="s">
        <v>48</v>
      </c>
      <c r="I1349" s="1" t="s">
        <v>13</v>
      </c>
      <c r="J1349" s="1" t="s">
        <v>18</v>
      </c>
      <c r="K1349" s="1">
        <v>0</v>
      </c>
      <c r="L1349" s="1" t="s">
        <v>21</v>
      </c>
      <c r="M1349" s="1" t="str">
        <f t="shared" si="21"/>
        <v>Potential Layering</v>
      </c>
      <c r="N1349" s="1" t="str">
        <f>_xlfn.XLOOKUP(H1349, risk_score!A:A, risk_score!B:B, 0)</f>
        <v>Low Risk</v>
      </c>
    </row>
    <row r="1350" spans="1:14">
      <c r="A1350" s="2">
        <v>0.4755787037037037</v>
      </c>
      <c r="B1350" s="3">
        <v>44841</v>
      </c>
      <c r="C1350" s="1">
        <v>5333549678</v>
      </c>
      <c r="D1350" s="1">
        <v>7160736915</v>
      </c>
      <c r="E1350" s="1">
        <v>13389.43</v>
      </c>
      <c r="F1350" s="1" t="s">
        <v>12</v>
      </c>
      <c r="G1350" s="1" t="s">
        <v>12</v>
      </c>
      <c r="H1350" s="1" t="s">
        <v>13</v>
      </c>
      <c r="I1350" s="1" t="s">
        <v>13</v>
      </c>
      <c r="J1350" s="1" t="s">
        <v>20</v>
      </c>
      <c r="K1350" s="1">
        <v>0</v>
      </c>
      <c r="L1350" s="1" t="s">
        <v>23</v>
      </c>
      <c r="M1350" s="1" t="str">
        <f t="shared" si="21"/>
        <v>Consistent</v>
      </c>
      <c r="N1350" s="1" t="str">
        <f>_xlfn.XLOOKUP(H1350, risk_score!A:A, risk_score!B:B, 0)</f>
        <v>Low Risk</v>
      </c>
    </row>
    <row r="1351" spans="1:14">
      <c r="A1351" s="2">
        <v>0.4755787037037037</v>
      </c>
      <c r="B1351" s="3">
        <v>44841</v>
      </c>
      <c r="C1351" s="1">
        <v>6904668523</v>
      </c>
      <c r="D1351" s="1">
        <v>3087234008</v>
      </c>
      <c r="E1351" s="1">
        <v>4959.51</v>
      </c>
      <c r="F1351" s="1" t="s">
        <v>12</v>
      </c>
      <c r="G1351" s="1" t="s">
        <v>12</v>
      </c>
      <c r="H1351" s="1" t="s">
        <v>13</v>
      </c>
      <c r="I1351" s="1" t="s">
        <v>13</v>
      </c>
      <c r="J1351" s="1" t="s">
        <v>20</v>
      </c>
      <c r="K1351" s="1">
        <v>0</v>
      </c>
      <c r="L1351" s="1" t="s">
        <v>19</v>
      </c>
      <c r="M1351" s="1" t="str">
        <f t="shared" si="21"/>
        <v>Consistent</v>
      </c>
      <c r="N1351" s="1" t="str">
        <f>_xlfn.XLOOKUP(H1351, risk_score!A:A, risk_score!B:B, 0)</f>
        <v>Low Risk</v>
      </c>
    </row>
    <row r="1352" spans="1:14">
      <c r="A1352" s="2">
        <v>0.47567129629629629</v>
      </c>
      <c r="B1352" s="3">
        <v>44841</v>
      </c>
      <c r="C1352" s="1">
        <v>9075353483</v>
      </c>
      <c r="D1352" s="1">
        <v>1184309847</v>
      </c>
      <c r="E1352" s="1">
        <v>4746.1000000000004</v>
      </c>
      <c r="F1352" s="1" t="s">
        <v>12</v>
      </c>
      <c r="G1352" s="1" t="s">
        <v>12</v>
      </c>
      <c r="H1352" s="1" t="s">
        <v>13</v>
      </c>
      <c r="I1352" s="1" t="s">
        <v>13</v>
      </c>
      <c r="J1352" s="1" t="s">
        <v>20</v>
      </c>
      <c r="K1352" s="1">
        <v>0</v>
      </c>
      <c r="L1352" s="1" t="s">
        <v>21</v>
      </c>
      <c r="M1352" s="1" t="str">
        <f t="shared" si="21"/>
        <v>Consistent</v>
      </c>
      <c r="N1352" s="1" t="str">
        <f>_xlfn.XLOOKUP(H1352, risk_score!A:A, risk_score!B:B, 0)</f>
        <v>Low Risk</v>
      </c>
    </row>
    <row r="1353" spans="1:14">
      <c r="A1353" s="2">
        <v>0.47568287037037038</v>
      </c>
      <c r="B1353" s="3">
        <v>44841</v>
      </c>
      <c r="C1353" s="1">
        <v>3262475851</v>
      </c>
      <c r="D1353" s="1">
        <v>5228043856</v>
      </c>
      <c r="E1353" s="1">
        <v>76.89</v>
      </c>
      <c r="F1353" s="1" t="s">
        <v>12</v>
      </c>
      <c r="G1353" s="1" t="s">
        <v>12</v>
      </c>
      <c r="H1353" s="1" t="s">
        <v>13</v>
      </c>
      <c r="I1353" s="1" t="s">
        <v>13</v>
      </c>
      <c r="J1353" s="1" t="s">
        <v>36</v>
      </c>
      <c r="K1353" s="1">
        <v>0</v>
      </c>
      <c r="L1353" s="1" t="s">
        <v>37</v>
      </c>
      <c r="M1353" s="1" t="str">
        <f t="shared" si="21"/>
        <v>Consistent</v>
      </c>
      <c r="N1353" s="1" t="str">
        <f>_xlfn.XLOOKUP(H1353, risk_score!A:A, risk_score!B:B, 0)</f>
        <v>Low Risk</v>
      </c>
    </row>
    <row r="1354" spans="1:14">
      <c r="A1354" s="2">
        <v>0.47568287037037038</v>
      </c>
      <c r="B1354" s="3">
        <v>44841</v>
      </c>
      <c r="C1354" s="1">
        <v>804196431</v>
      </c>
      <c r="D1354" s="1">
        <v>5206282034</v>
      </c>
      <c r="E1354" s="1">
        <v>2777.72</v>
      </c>
      <c r="F1354" s="1" t="s">
        <v>12</v>
      </c>
      <c r="G1354" s="1" t="s">
        <v>12</v>
      </c>
      <c r="H1354" s="1" t="s">
        <v>13</v>
      </c>
      <c r="I1354" s="1" t="s">
        <v>13</v>
      </c>
      <c r="J1354" s="1" t="s">
        <v>20</v>
      </c>
      <c r="K1354" s="1">
        <v>0</v>
      </c>
      <c r="L1354" s="1" t="s">
        <v>21</v>
      </c>
      <c r="M1354" s="1" t="str">
        <f t="shared" si="21"/>
        <v>Consistent</v>
      </c>
      <c r="N1354" s="1" t="str">
        <f>_xlfn.XLOOKUP(H1354, risk_score!A:A, risk_score!B:B, 0)</f>
        <v>Low Risk</v>
      </c>
    </row>
    <row r="1355" spans="1:14">
      <c r="A1355" s="2">
        <v>0.47569444444444442</v>
      </c>
      <c r="B1355" s="3">
        <v>44841</v>
      </c>
      <c r="C1355" s="1">
        <v>4044517635</v>
      </c>
      <c r="D1355" s="1">
        <v>5608196035</v>
      </c>
      <c r="E1355" s="1">
        <v>13783.96</v>
      </c>
      <c r="F1355" s="1" t="s">
        <v>12</v>
      </c>
      <c r="G1355" s="1" t="s">
        <v>12</v>
      </c>
      <c r="H1355" s="1" t="s">
        <v>13</v>
      </c>
      <c r="I1355" s="1" t="s">
        <v>13</v>
      </c>
      <c r="J1355" s="1" t="s">
        <v>20</v>
      </c>
      <c r="K1355" s="1">
        <v>0</v>
      </c>
      <c r="L1355" s="1" t="s">
        <v>21</v>
      </c>
      <c r="M1355" s="1" t="str">
        <f t="shared" si="21"/>
        <v>Consistent</v>
      </c>
      <c r="N1355" s="1" t="str">
        <f>_xlfn.XLOOKUP(H1355, risk_score!A:A, risk_score!B:B, 0)</f>
        <v>Low Risk</v>
      </c>
    </row>
    <row r="1356" spans="1:14">
      <c r="A1356" s="2">
        <v>0.47572916666666665</v>
      </c>
      <c r="B1356" s="3">
        <v>44841</v>
      </c>
      <c r="C1356" s="1">
        <v>9368669603</v>
      </c>
      <c r="D1356" s="1">
        <v>3200758318</v>
      </c>
      <c r="E1356" s="1">
        <v>517.36</v>
      </c>
      <c r="F1356" s="1" t="s">
        <v>12</v>
      </c>
      <c r="G1356" s="1" t="s">
        <v>12</v>
      </c>
      <c r="H1356" s="1" t="s">
        <v>13</v>
      </c>
      <c r="I1356" s="1" t="s">
        <v>13</v>
      </c>
      <c r="J1356" s="1" t="s">
        <v>14</v>
      </c>
      <c r="K1356" s="1">
        <v>0</v>
      </c>
      <c r="L1356" s="1" t="s">
        <v>15</v>
      </c>
      <c r="M1356" s="1" t="str">
        <f t="shared" si="21"/>
        <v>Consistent</v>
      </c>
      <c r="N1356" s="1" t="str">
        <f>_xlfn.XLOOKUP(H1356, risk_score!A:A, risk_score!B:B, 0)</f>
        <v>Low Risk</v>
      </c>
    </row>
    <row r="1357" spans="1:14">
      <c r="A1357" s="2">
        <v>0.47578703703703706</v>
      </c>
      <c r="B1357" s="3">
        <v>44841</v>
      </c>
      <c r="C1357" s="1">
        <v>7576934528</v>
      </c>
      <c r="D1357" s="1">
        <v>4938894139</v>
      </c>
      <c r="E1357" s="1">
        <v>351.59</v>
      </c>
      <c r="F1357" s="1" t="s">
        <v>12</v>
      </c>
      <c r="G1357" s="1" t="s">
        <v>12</v>
      </c>
      <c r="H1357" s="1" t="s">
        <v>13</v>
      </c>
      <c r="I1357" s="1" t="s">
        <v>13</v>
      </c>
      <c r="J1357" s="1" t="s">
        <v>25</v>
      </c>
      <c r="K1357" s="1">
        <v>0</v>
      </c>
      <c r="L1357" s="1" t="s">
        <v>21</v>
      </c>
      <c r="M1357" s="1" t="str">
        <f t="shared" si="21"/>
        <v>Consistent</v>
      </c>
      <c r="N1357" s="1" t="str">
        <f>_xlfn.XLOOKUP(H1357, risk_score!A:A, risk_score!B:B, 0)</f>
        <v>Low Risk</v>
      </c>
    </row>
    <row r="1358" spans="1:14">
      <c r="A1358" s="2">
        <v>0.47578703703703706</v>
      </c>
      <c r="B1358" s="3">
        <v>44841</v>
      </c>
      <c r="C1358" s="1">
        <v>1551228889</v>
      </c>
      <c r="D1358" s="1">
        <v>9105769228</v>
      </c>
      <c r="E1358" s="1">
        <v>5897.23</v>
      </c>
      <c r="F1358" s="1" t="s">
        <v>12</v>
      </c>
      <c r="G1358" s="1" t="s">
        <v>12</v>
      </c>
      <c r="H1358" s="1" t="s">
        <v>13</v>
      </c>
      <c r="I1358" s="1" t="s">
        <v>13</v>
      </c>
      <c r="J1358" s="1" t="s">
        <v>27</v>
      </c>
      <c r="K1358" s="1">
        <v>0</v>
      </c>
      <c r="L1358" s="1" t="s">
        <v>23</v>
      </c>
      <c r="M1358" s="1" t="str">
        <f t="shared" si="21"/>
        <v>Consistent</v>
      </c>
      <c r="N1358" s="1" t="str">
        <f>_xlfn.XLOOKUP(H1358, risk_score!A:A, risk_score!B:B, 0)</f>
        <v>Low Risk</v>
      </c>
    </row>
    <row r="1359" spans="1:14">
      <c r="A1359" s="2">
        <v>0.47584490740740742</v>
      </c>
      <c r="B1359" s="3">
        <v>44841</v>
      </c>
      <c r="C1359" s="1">
        <v>9534729015</v>
      </c>
      <c r="D1359" s="1">
        <v>8091763232</v>
      </c>
      <c r="E1359" s="1">
        <v>5959.69</v>
      </c>
      <c r="F1359" s="1" t="s">
        <v>12</v>
      </c>
      <c r="G1359" s="1" t="s">
        <v>12</v>
      </c>
      <c r="H1359" s="1" t="s">
        <v>13</v>
      </c>
      <c r="I1359" s="1" t="s">
        <v>13</v>
      </c>
      <c r="J1359" s="1" t="s">
        <v>22</v>
      </c>
      <c r="K1359" s="1">
        <v>0</v>
      </c>
      <c r="L1359" s="1" t="s">
        <v>19</v>
      </c>
      <c r="M1359" s="1" t="str">
        <f t="shared" si="21"/>
        <v>Consistent</v>
      </c>
      <c r="N1359" s="1" t="str">
        <f>_xlfn.XLOOKUP(H1359, risk_score!A:A, risk_score!B:B, 0)</f>
        <v>Low Risk</v>
      </c>
    </row>
    <row r="1360" spans="1:14">
      <c r="A1360" s="2">
        <v>0.47586805555555556</v>
      </c>
      <c r="B1360" s="3">
        <v>44841</v>
      </c>
      <c r="C1360" s="1">
        <v>3030213922</v>
      </c>
      <c r="D1360" s="1">
        <v>1377603863</v>
      </c>
      <c r="E1360" s="1">
        <v>7171.3</v>
      </c>
      <c r="F1360" s="1" t="s">
        <v>12</v>
      </c>
      <c r="G1360" s="1" t="s">
        <v>12</v>
      </c>
      <c r="H1360" s="1" t="s">
        <v>13</v>
      </c>
      <c r="I1360" s="1" t="s">
        <v>13</v>
      </c>
      <c r="J1360" s="1" t="s">
        <v>25</v>
      </c>
      <c r="K1360" s="1">
        <v>0</v>
      </c>
      <c r="L1360" s="1" t="s">
        <v>23</v>
      </c>
      <c r="M1360" s="1" t="str">
        <f t="shared" si="21"/>
        <v>Consistent</v>
      </c>
      <c r="N1360" s="1" t="str">
        <f>_xlfn.XLOOKUP(H1360, risk_score!A:A, risk_score!B:B, 0)</f>
        <v>Low Risk</v>
      </c>
    </row>
    <row r="1361" spans="1:14">
      <c r="A1361" s="2">
        <v>0.47587962962962965</v>
      </c>
      <c r="B1361" s="3">
        <v>44841</v>
      </c>
      <c r="C1361" s="1">
        <v>671335523</v>
      </c>
      <c r="D1361" s="1">
        <v>2962433233</v>
      </c>
      <c r="E1361" s="1">
        <v>2454.98</v>
      </c>
      <c r="F1361" s="1" t="s">
        <v>12</v>
      </c>
      <c r="G1361" s="1" t="s">
        <v>12</v>
      </c>
      <c r="H1361" s="1" t="s">
        <v>13</v>
      </c>
      <c r="I1361" s="1" t="s">
        <v>13</v>
      </c>
      <c r="J1361" s="1" t="s">
        <v>27</v>
      </c>
      <c r="K1361" s="1">
        <v>0</v>
      </c>
      <c r="L1361" s="1" t="s">
        <v>21</v>
      </c>
      <c r="M1361" s="1" t="str">
        <f t="shared" si="21"/>
        <v>Consistent</v>
      </c>
      <c r="N1361" s="1" t="str">
        <f>_xlfn.XLOOKUP(H1361, risk_score!A:A, risk_score!B:B, 0)</f>
        <v>Low Risk</v>
      </c>
    </row>
    <row r="1362" spans="1:14">
      <c r="A1362" s="2">
        <v>0.47590277777777779</v>
      </c>
      <c r="B1362" s="3">
        <v>44841</v>
      </c>
      <c r="C1362" s="1">
        <v>8456279067</v>
      </c>
      <c r="D1362" s="1">
        <v>1194597483</v>
      </c>
      <c r="E1362" s="1">
        <v>9307.2199999999993</v>
      </c>
      <c r="F1362" s="1" t="s">
        <v>12</v>
      </c>
      <c r="G1362" s="1" t="s">
        <v>39</v>
      </c>
      <c r="H1362" s="1" t="s">
        <v>13</v>
      </c>
      <c r="I1362" s="1" t="s">
        <v>13</v>
      </c>
      <c r="J1362" s="1" t="s">
        <v>22</v>
      </c>
      <c r="K1362" s="1">
        <v>0</v>
      </c>
      <c r="L1362" s="1" t="s">
        <v>19</v>
      </c>
      <c r="M1362" s="1" t="str">
        <f t="shared" si="21"/>
        <v>Potential Layering</v>
      </c>
      <c r="N1362" s="1" t="str">
        <f>_xlfn.XLOOKUP(H1362, risk_score!A:A, risk_score!B:B, 0)</f>
        <v>Low Risk</v>
      </c>
    </row>
    <row r="1363" spans="1:14">
      <c r="A1363" s="2">
        <v>0.47590277777777779</v>
      </c>
      <c r="B1363" s="3">
        <v>44841</v>
      </c>
      <c r="C1363" s="1">
        <v>2966469026</v>
      </c>
      <c r="D1363" s="1">
        <v>2398834865</v>
      </c>
      <c r="E1363" s="1">
        <v>760.47</v>
      </c>
      <c r="F1363" s="1" t="s">
        <v>12</v>
      </c>
      <c r="G1363" s="1" t="s">
        <v>12</v>
      </c>
      <c r="H1363" s="1" t="s">
        <v>13</v>
      </c>
      <c r="I1363" s="1" t="s">
        <v>13</v>
      </c>
      <c r="J1363" s="1" t="s">
        <v>14</v>
      </c>
      <c r="K1363" s="1">
        <v>0</v>
      </c>
      <c r="L1363" s="1" t="s">
        <v>15</v>
      </c>
      <c r="M1363" s="1" t="str">
        <f t="shared" si="21"/>
        <v>Consistent</v>
      </c>
      <c r="N1363" s="1" t="str">
        <f>_xlfn.XLOOKUP(H1363, risk_score!A:A, risk_score!B:B, 0)</f>
        <v>Low Risk</v>
      </c>
    </row>
    <row r="1364" spans="1:14">
      <c r="A1364" s="2">
        <v>0.47591435185185182</v>
      </c>
      <c r="B1364" s="3">
        <v>44841</v>
      </c>
      <c r="C1364" s="1">
        <v>814398102</v>
      </c>
      <c r="D1364" s="1">
        <v>6144510455</v>
      </c>
      <c r="E1364" s="1">
        <v>1811.33</v>
      </c>
      <c r="F1364" s="1" t="s">
        <v>12</v>
      </c>
      <c r="G1364" s="1" t="s">
        <v>12</v>
      </c>
      <c r="H1364" s="1" t="s">
        <v>13</v>
      </c>
      <c r="I1364" s="1" t="s">
        <v>13</v>
      </c>
      <c r="J1364" s="1" t="s">
        <v>14</v>
      </c>
      <c r="K1364" s="1">
        <v>0</v>
      </c>
      <c r="L1364" s="1" t="s">
        <v>15</v>
      </c>
      <c r="M1364" s="1" t="str">
        <f t="shared" si="21"/>
        <v>Consistent</v>
      </c>
      <c r="N1364" s="1" t="str">
        <f>_xlfn.XLOOKUP(H1364, risk_score!A:A, risk_score!B:B, 0)</f>
        <v>Low Risk</v>
      </c>
    </row>
    <row r="1365" spans="1:14">
      <c r="A1365" s="2">
        <v>0.47594907407407405</v>
      </c>
      <c r="B1365" s="3">
        <v>44841</v>
      </c>
      <c r="C1365" s="1">
        <v>8474309857</v>
      </c>
      <c r="D1365" s="1">
        <v>9128833874</v>
      </c>
      <c r="E1365" s="1">
        <v>966.4</v>
      </c>
      <c r="F1365" s="1" t="s">
        <v>12</v>
      </c>
      <c r="G1365" s="1" t="s">
        <v>12</v>
      </c>
      <c r="H1365" s="1" t="s">
        <v>13</v>
      </c>
      <c r="I1365" s="1" t="s">
        <v>13</v>
      </c>
      <c r="J1365" s="1" t="s">
        <v>20</v>
      </c>
      <c r="K1365" s="1">
        <v>0</v>
      </c>
      <c r="L1365" s="1" t="s">
        <v>21</v>
      </c>
      <c r="M1365" s="1" t="str">
        <f t="shared" si="21"/>
        <v>Consistent</v>
      </c>
      <c r="N1365" s="1" t="str">
        <f>_xlfn.XLOOKUP(H1365, risk_score!A:A, risk_score!B:B, 0)</f>
        <v>Low Risk</v>
      </c>
    </row>
    <row r="1366" spans="1:14">
      <c r="A1366" s="2">
        <v>0.47604166666666664</v>
      </c>
      <c r="B1366" s="3">
        <v>44841</v>
      </c>
      <c r="C1366" s="1">
        <v>6456964355</v>
      </c>
      <c r="D1366" s="1">
        <v>6646502650</v>
      </c>
      <c r="E1366" s="1">
        <v>5664.27</v>
      </c>
      <c r="F1366" s="1" t="s">
        <v>12</v>
      </c>
      <c r="G1366" s="1" t="s">
        <v>29</v>
      </c>
      <c r="H1366" s="1" t="s">
        <v>13</v>
      </c>
      <c r="I1366" s="1" t="s">
        <v>31</v>
      </c>
      <c r="J1366" s="1" t="s">
        <v>18</v>
      </c>
      <c r="K1366" s="1">
        <v>0</v>
      </c>
      <c r="L1366" s="1" t="s">
        <v>23</v>
      </c>
      <c r="M1366" s="1" t="str">
        <f t="shared" si="21"/>
        <v>Potential Layering</v>
      </c>
      <c r="N1366" s="1" t="str">
        <f>_xlfn.XLOOKUP(H1366, risk_score!A:A, risk_score!B:B, 0)</f>
        <v>Low Risk</v>
      </c>
    </row>
    <row r="1367" spans="1:14">
      <c r="A1367" s="2">
        <v>0.47608796296296296</v>
      </c>
      <c r="B1367" s="3">
        <v>44841</v>
      </c>
      <c r="C1367" s="1">
        <v>8588054322</v>
      </c>
      <c r="D1367" s="1">
        <v>3855446173</v>
      </c>
      <c r="E1367" s="1">
        <v>451.17</v>
      </c>
      <c r="F1367" s="1" t="s">
        <v>12</v>
      </c>
      <c r="G1367" s="1" t="s">
        <v>12</v>
      </c>
      <c r="H1367" s="1" t="s">
        <v>13</v>
      </c>
      <c r="I1367" s="1" t="s">
        <v>13</v>
      </c>
      <c r="J1367" s="1" t="s">
        <v>22</v>
      </c>
      <c r="K1367" s="1">
        <v>0</v>
      </c>
      <c r="L1367" s="1" t="s">
        <v>21</v>
      </c>
      <c r="M1367" s="1" t="str">
        <f t="shared" si="21"/>
        <v>Consistent</v>
      </c>
      <c r="N1367" s="1" t="str">
        <f>_xlfn.XLOOKUP(H1367, risk_score!A:A, risk_score!B:B, 0)</f>
        <v>Low Risk</v>
      </c>
    </row>
    <row r="1368" spans="1:14">
      <c r="A1368" s="2">
        <v>0.4761111111111111</v>
      </c>
      <c r="B1368" s="3">
        <v>44841</v>
      </c>
      <c r="C1368" s="1">
        <v>8268435765</v>
      </c>
      <c r="D1368" s="1">
        <v>1465487567</v>
      </c>
      <c r="E1368" s="1">
        <v>28965.35</v>
      </c>
      <c r="F1368" s="1" t="s">
        <v>12</v>
      </c>
      <c r="G1368" s="1" t="s">
        <v>12</v>
      </c>
      <c r="H1368" s="1" t="s">
        <v>13</v>
      </c>
      <c r="I1368" s="1" t="s">
        <v>13</v>
      </c>
      <c r="J1368" s="1" t="s">
        <v>22</v>
      </c>
      <c r="K1368" s="1">
        <v>0</v>
      </c>
      <c r="L1368" s="1" t="s">
        <v>23</v>
      </c>
      <c r="M1368" s="1" t="str">
        <f t="shared" si="21"/>
        <v>Consistent</v>
      </c>
      <c r="N1368" s="1" t="str">
        <f>_xlfn.XLOOKUP(H1368, risk_score!A:A, risk_score!B:B, 0)</f>
        <v>Low Risk</v>
      </c>
    </row>
    <row r="1369" spans="1:14">
      <c r="A1369" s="2">
        <v>0.4761111111111111</v>
      </c>
      <c r="B1369" s="3">
        <v>44841</v>
      </c>
      <c r="C1369" s="1">
        <v>6742623852</v>
      </c>
      <c r="D1369" s="1">
        <v>551907699</v>
      </c>
      <c r="E1369" s="1">
        <v>8623.32</v>
      </c>
      <c r="F1369" s="1" t="s">
        <v>12</v>
      </c>
      <c r="G1369" s="1" t="s">
        <v>12</v>
      </c>
      <c r="H1369" s="1" t="s">
        <v>13</v>
      </c>
      <c r="I1369" s="1" t="s">
        <v>13</v>
      </c>
      <c r="J1369" s="1" t="s">
        <v>20</v>
      </c>
      <c r="K1369" s="1">
        <v>0</v>
      </c>
      <c r="L1369" s="1" t="s">
        <v>38</v>
      </c>
      <c r="M1369" s="1" t="str">
        <f t="shared" si="21"/>
        <v>Consistent</v>
      </c>
      <c r="N1369" s="1" t="str">
        <f>_xlfn.XLOOKUP(H1369, risk_score!A:A, risk_score!B:B, 0)</f>
        <v>Low Risk</v>
      </c>
    </row>
    <row r="1370" spans="1:14">
      <c r="A1370" s="2">
        <v>0.47612268518518519</v>
      </c>
      <c r="B1370" s="3">
        <v>44841</v>
      </c>
      <c r="C1370" s="1">
        <v>8149641598</v>
      </c>
      <c r="D1370" s="1">
        <v>4088358193</v>
      </c>
      <c r="E1370" s="1">
        <v>2188.21</v>
      </c>
      <c r="F1370" s="1" t="s">
        <v>12</v>
      </c>
      <c r="G1370" s="1" t="s">
        <v>12</v>
      </c>
      <c r="H1370" s="1" t="s">
        <v>13</v>
      </c>
      <c r="I1370" s="1" t="s">
        <v>13</v>
      </c>
      <c r="J1370" s="1" t="s">
        <v>20</v>
      </c>
      <c r="K1370" s="1">
        <v>0</v>
      </c>
      <c r="L1370" s="1" t="s">
        <v>58</v>
      </c>
      <c r="M1370" s="1" t="str">
        <f t="shared" si="21"/>
        <v>Consistent</v>
      </c>
      <c r="N1370" s="1" t="str">
        <f>_xlfn.XLOOKUP(H1370, risk_score!A:A, risk_score!B:B, 0)</f>
        <v>Low Risk</v>
      </c>
    </row>
    <row r="1371" spans="1:14">
      <c r="A1371" s="2">
        <v>0.47618055555555555</v>
      </c>
      <c r="B1371" s="3">
        <v>44841</v>
      </c>
      <c r="C1371" s="1">
        <v>7184500613</v>
      </c>
      <c r="D1371" s="1">
        <v>6852801514</v>
      </c>
      <c r="E1371" s="1">
        <v>4499.97</v>
      </c>
      <c r="F1371" s="1" t="s">
        <v>12</v>
      </c>
      <c r="G1371" s="1" t="s">
        <v>12</v>
      </c>
      <c r="H1371" s="1" t="s">
        <v>13</v>
      </c>
      <c r="I1371" s="1" t="s">
        <v>13</v>
      </c>
      <c r="J1371" s="1" t="s">
        <v>14</v>
      </c>
      <c r="K1371" s="1">
        <v>0</v>
      </c>
      <c r="L1371" s="1" t="s">
        <v>15</v>
      </c>
      <c r="M1371" s="1" t="str">
        <f t="shared" si="21"/>
        <v>Consistent</v>
      </c>
      <c r="N1371" s="1" t="str">
        <f>_xlfn.XLOOKUP(H1371, risk_score!A:A, risk_score!B:B, 0)</f>
        <v>Low Risk</v>
      </c>
    </row>
    <row r="1372" spans="1:14">
      <c r="A1372" s="2">
        <v>0.47622685185185187</v>
      </c>
      <c r="B1372" s="3">
        <v>44841</v>
      </c>
      <c r="C1372" s="1">
        <v>7814060053</v>
      </c>
      <c r="D1372" s="1">
        <v>6444220418</v>
      </c>
      <c r="E1372" s="1">
        <v>9501.48</v>
      </c>
      <c r="F1372" s="1" t="s">
        <v>12</v>
      </c>
      <c r="G1372" s="1" t="s">
        <v>12</v>
      </c>
      <c r="H1372" s="1" t="s">
        <v>13</v>
      </c>
      <c r="I1372" s="1" t="s">
        <v>13</v>
      </c>
      <c r="J1372" s="1" t="s">
        <v>27</v>
      </c>
      <c r="K1372" s="1">
        <v>0</v>
      </c>
      <c r="L1372" s="1" t="s">
        <v>23</v>
      </c>
      <c r="M1372" s="1" t="str">
        <f t="shared" si="21"/>
        <v>Consistent</v>
      </c>
      <c r="N1372" s="1" t="str">
        <f>_xlfn.XLOOKUP(H1372, risk_score!A:A, risk_score!B:B, 0)</f>
        <v>Low Risk</v>
      </c>
    </row>
    <row r="1373" spans="1:14">
      <c r="A1373" s="2">
        <v>0.4763425925925926</v>
      </c>
      <c r="B1373" s="3">
        <v>44841</v>
      </c>
      <c r="C1373" s="1">
        <v>3614082527</v>
      </c>
      <c r="D1373" s="1">
        <v>3833545196</v>
      </c>
      <c r="E1373" s="1">
        <v>15340.28</v>
      </c>
      <c r="F1373" s="1" t="s">
        <v>12</v>
      </c>
      <c r="G1373" s="1" t="s">
        <v>12</v>
      </c>
      <c r="H1373" s="1" t="s">
        <v>13</v>
      </c>
      <c r="I1373" s="1" t="s">
        <v>13</v>
      </c>
      <c r="J1373" s="1" t="s">
        <v>27</v>
      </c>
      <c r="K1373" s="1">
        <v>0</v>
      </c>
      <c r="L1373" s="1" t="s">
        <v>19</v>
      </c>
      <c r="M1373" s="1" t="str">
        <f t="shared" si="21"/>
        <v>Consistent</v>
      </c>
      <c r="N1373" s="1" t="str">
        <f>_xlfn.XLOOKUP(H1373, risk_score!A:A, risk_score!B:B, 0)</f>
        <v>Low Risk</v>
      </c>
    </row>
    <row r="1374" spans="1:14">
      <c r="A1374" s="2">
        <v>0.47635416666666669</v>
      </c>
      <c r="B1374" s="3">
        <v>44841</v>
      </c>
      <c r="C1374" s="1">
        <v>6591575750</v>
      </c>
      <c r="D1374" s="1">
        <v>848260779</v>
      </c>
      <c r="E1374" s="1">
        <v>10604.07</v>
      </c>
      <c r="F1374" s="1" t="s">
        <v>12</v>
      </c>
      <c r="G1374" s="1" t="s">
        <v>12</v>
      </c>
      <c r="H1374" s="1" t="s">
        <v>13</v>
      </c>
      <c r="I1374" s="1" t="s">
        <v>13</v>
      </c>
      <c r="J1374" s="1" t="s">
        <v>20</v>
      </c>
      <c r="K1374" s="1">
        <v>0</v>
      </c>
      <c r="L1374" s="1" t="s">
        <v>21</v>
      </c>
      <c r="M1374" s="1" t="str">
        <f t="shared" si="21"/>
        <v>Consistent</v>
      </c>
      <c r="N1374" s="1" t="str">
        <f>_xlfn.XLOOKUP(H1374, risk_score!A:A, risk_score!B:B, 0)</f>
        <v>Low Risk</v>
      </c>
    </row>
    <row r="1375" spans="1:14">
      <c r="A1375" s="2">
        <v>0.47635416666666669</v>
      </c>
      <c r="B1375" s="3">
        <v>44841</v>
      </c>
      <c r="C1375" s="1">
        <v>2563576645</v>
      </c>
      <c r="D1375" s="1">
        <v>3677805310</v>
      </c>
      <c r="E1375" s="1">
        <v>14041.97</v>
      </c>
      <c r="F1375" s="1" t="s">
        <v>12</v>
      </c>
      <c r="G1375" s="1" t="s">
        <v>12</v>
      </c>
      <c r="H1375" s="1" t="s">
        <v>13</v>
      </c>
      <c r="I1375" s="1" t="s">
        <v>13</v>
      </c>
      <c r="J1375" s="1" t="s">
        <v>27</v>
      </c>
      <c r="K1375" s="1">
        <v>0</v>
      </c>
      <c r="L1375" s="1" t="s">
        <v>21</v>
      </c>
      <c r="M1375" s="1" t="str">
        <f t="shared" si="21"/>
        <v>Consistent</v>
      </c>
      <c r="N1375" s="1" t="str">
        <f>_xlfn.XLOOKUP(H1375, risk_score!A:A, risk_score!B:B, 0)</f>
        <v>Low Risk</v>
      </c>
    </row>
    <row r="1376" spans="1:14">
      <c r="A1376" s="2">
        <v>0.47644675925925928</v>
      </c>
      <c r="B1376" s="3">
        <v>44841</v>
      </c>
      <c r="C1376" s="1">
        <v>675669049</v>
      </c>
      <c r="D1376" s="1">
        <v>9462027504</v>
      </c>
      <c r="E1376" s="1">
        <v>9719</v>
      </c>
      <c r="F1376" s="1" t="s">
        <v>12</v>
      </c>
      <c r="G1376" s="1" t="s">
        <v>12</v>
      </c>
      <c r="H1376" s="1" t="s">
        <v>13</v>
      </c>
      <c r="I1376" s="1" t="s">
        <v>13</v>
      </c>
      <c r="J1376" s="1" t="s">
        <v>20</v>
      </c>
      <c r="K1376" s="1">
        <v>0</v>
      </c>
      <c r="L1376" s="1" t="s">
        <v>19</v>
      </c>
      <c r="M1376" s="1" t="str">
        <f t="shared" si="21"/>
        <v>Consistent</v>
      </c>
      <c r="N1376" s="1" t="str">
        <f>_xlfn.XLOOKUP(H1376, risk_score!A:A, risk_score!B:B, 0)</f>
        <v>Low Risk</v>
      </c>
    </row>
    <row r="1377" spans="1:14">
      <c r="A1377" s="2">
        <v>0.47644675925925928</v>
      </c>
      <c r="B1377" s="3">
        <v>44841</v>
      </c>
      <c r="C1377" s="1">
        <v>8019506199</v>
      </c>
      <c r="D1377" s="1">
        <v>8838875420</v>
      </c>
      <c r="E1377" s="1">
        <v>3607.45</v>
      </c>
      <c r="F1377" s="1" t="s">
        <v>12</v>
      </c>
      <c r="G1377" s="1" t="s">
        <v>12</v>
      </c>
      <c r="H1377" s="1" t="s">
        <v>13</v>
      </c>
      <c r="I1377" s="1" t="s">
        <v>13</v>
      </c>
      <c r="J1377" s="1" t="s">
        <v>20</v>
      </c>
      <c r="K1377" s="1">
        <v>0</v>
      </c>
      <c r="L1377" s="1" t="s">
        <v>21</v>
      </c>
      <c r="M1377" s="1" t="str">
        <f t="shared" si="21"/>
        <v>Consistent</v>
      </c>
      <c r="N1377" s="1" t="str">
        <f>_xlfn.XLOOKUP(H1377, risk_score!A:A, risk_score!B:B, 0)</f>
        <v>Low Risk</v>
      </c>
    </row>
    <row r="1378" spans="1:14">
      <c r="A1378" s="2">
        <v>0.47645833333333332</v>
      </c>
      <c r="B1378" s="3">
        <v>44841</v>
      </c>
      <c r="C1378" s="1">
        <v>8815281448</v>
      </c>
      <c r="D1378" s="1">
        <v>1418836768</v>
      </c>
      <c r="E1378" s="1">
        <v>7617.18</v>
      </c>
      <c r="F1378" s="1" t="s">
        <v>12</v>
      </c>
      <c r="G1378" s="1" t="s">
        <v>12</v>
      </c>
      <c r="H1378" s="1" t="s">
        <v>13</v>
      </c>
      <c r="I1378" s="1" t="s">
        <v>13</v>
      </c>
      <c r="J1378" s="1" t="s">
        <v>22</v>
      </c>
      <c r="K1378" s="1">
        <v>0</v>
      </c>
      <c r="L1378" s="1" t="s">
        <v>21</v>
      </c>
      <c r="M1378" s="1" t="str">
        <f t="shared" si="21"/>
        <v>Consistent</v>
      </c>
      <c r="N1378" s="1" t="str">
        <f>_xlfn.XLOOKUP(H1378, risk_score!A:A, risk_score!B:B, 0)</f>
        <v>Low Risk</v>
      </c>
    </row>
    <row r="1379" spans="1:14">
      <c r="A1379" s="2">
        <v>0.47648148148148151</v>
      </c>
      <c r="B1379" s="3">
        <v>44841</v>
      </c>
      <c r="C1379" s="1">
        <v>2032861182</v>
      </c>
      <c r="D1379" s="1">
        <v>1309453058</v>
      </c>
      <c r="E1379" s="1">
        <v>8708.2900000000009</v>
      </c>
      <c r="F1379" s="1" t="s">
        <v>12</v>
      </c>
      <c r="G1379" s="1" t="s">
        <v>12</v>
      </c>
      <c r="H1379" s="1" t="s">
        <v>13</v>
      </c>
      <c r="I1379" s="1" t="s">
        <v>13</v>
      </c>
      <c r="J1379" s="1" t="s">
        <v>25</v>
      </c>
      <c r="K1379" s="1">
        <v>0</v>
      </c>
      <c r="L1379" s="1" t="s">
        <v>21</v>
      </c>
      <c r="M1379" s="1" t="str">
        <f t="shared" si="21"/>
        <v>Consistent</v>
      </c>
      <c r="N1379" s="1" t="str">
        <f>_xlfn.XLOOKUP(H1379, risk_score!A:A, risk_score!B:B, 0)</f>
        <v>Low Risk</v>
      </c>
    </row>
    <row r="1380" spans="1:14">
      <c r="A1380" s="2">
        <v>0.47649305555555554</v>
      </c>
      <c r="B1380" s="3">
        <v>44841</v>
      </c>
      <c r="C1380" s="1">
        <v>4121324384</v>
      </c>
      <c r="D1380" s="1">
        <v>8777101435</v>
      </c>
      <c r="E1380" s="1">
        <v>18469.73</v>
      </c>
      <c r="F1380" s="1" t="s">
        <v>29</v>
      </c>
      <c r="G1380" s="1" t="s">
        <v>12</v>
      </c>
      <c r="H1380" s="1" t="s">
        <v>30</v>
      </c>
      <c r="I1380" s="1" t="s">
        <v>13</v>
      </c>
      <c r="J1380" s="1" t="s">
        <v>18</v>
      </c>
      <c r="K1380" s="1">
        <v>0</v>
      </c>
      <c r="L1380" s="1" t="s">
        <v>19</v>
      </c>
      <c r="M1380" s="1" t="str">
        <f t="shared" si="21"/>
        <v>Potential Layering</v>
      </c>
      <c r="N1380" s="1" t="str">
        <f>_xlfn.XLOOKUP(H1380, risk_score!A:A, risk_score!B:B, 0)</f>
        <v>Low Risk</v>
      </c>
    </row>
    <row r="1381" spans="1:14">
      <c r="A1381" s="2">
        <v>0.47649305555555554</v>
      </c>
      <c r="B1381" s="3">
        <v>44841</v>
      </c>
      <c r="C1381" s="1">
        <v>9534729015</v>
      </c>
      <c r="D1381" s="1">
        <v>6566600689</v>
      </c>
      <c r="E1381" s="1">
        <v>20574.18</v>
      </c>
      <c r="F1381" s="1" t="s">
        <v>12</v>
      </c>
      <c r="G1381" s="1" t="s">
        <v>12</v>
      </c>
      <c r="H1381" s="1" t="s">
        <v>13</v>
      </c>
      <c r="I1381" s="1" t="s">
        <v>13</v>
      </c>
      <c r="J1381" s="1" t="s">
        <v>27</v>
      </c>
      <c r="K1381" s="1">
        <v>0</v>
      </c>
      <c r="L1381" s="1" t="s">
        <v>19</v>
      </c>
      <c r="M1381" s="1" t="str">
        <f t="shared" si="21"/>
        <v>Consistent</v>
      </c>
      <c r="N1381" s="1" t="str">
        <f>_xlfn.XLOOKUP(H1381, risk_score!A:A, risk_score!B:B, 0)</f>
        <v>Low Risk</v>
      </c>
    </row>
    <row r="1382" spans="1:14">
      <c r="A1382" s="2">
        <v>0.47655092592592591</v>
      </c>
      <c r="B1382" s="3">
        <v>44841</v>
      </c>
      <c r="C1382" s="1">
        <v>6904668523</v>
      </c>
      <c r="D1382" s="1">
        <v>9440622206</v>
      </c>
      <c r="E1382" s="1">
        <v>7650.48</v>
      </c>
      <c r="F1382" s="1" t="s">
        <v>12</v>
      </c>
      <c r="G1382" s="1" t="s">
        <v>12</v>
      </c>
      <c r="H1382" s="1" t="s">
        <v>13</v>
      </c>
      <c r="I1382" s="1" t="s">
        <v>13</v>
      </c>
      <c r="J1382" s="1" t="s">
        <v>20</v>
      </c>
      <c r="K1382" s="1">
        <v>0</v>
      </c>
      <c r="L1382" s="1" t="s">
        <v>19</v>
      </c>
      <c r="M1382" s="1" t="str">
        <f t="shared" si="21"/>
        <v>Consistent</v>
      </c>
      <c r="N1382" s="1" t="str">
        <f>_xlfn.XLOOKUP(H1382, risk_score!A:A, risk_score!B:B, 0)</f>
        <v>Low Risk</v>
      </c>
    </row>
    <row r="1383" spans="1:14">
      <c r="A1383" s="2">
        <v>0.4765625</v>
      </c>
      <c r="B1383" s="3">
        <v>44841</v>
      </c>
      <c r="C1383" s="1">
        <v>8903537997</v>
      </c>
      <c r="D1383" s="1">
        <v>3104409213</v>
      </c>
      <c r="E1383" s="1">
        <v>17709.400000000001</v>
      </c>
      <c r="F1383" s="1" t="s">
        <v>12</v>
      </c>
      <c r="G1383" s="1" t="s">
        <v>12</v>
      </c>
      <c r="H1383" s="1" t="s">
        <v>13</v>
      </c>
      <c r="I1383" s="1" t="s">
        <v>13</v>
      </c>
      <c r="J1383" s="1" t="s">
        <v>27</v>
      </c>
      <c r="K1383" s="1">
        <v>0</v>
      </c>
      <c r="L1383" s="1" t="s">
        <v>21</v>
      </c>
      <c r="M1383" s="1" t="str">
        <f t="shared" si="21"/>
        <v>Consistent</v>
      </c>
      <c r="N1383" s="1" t="str">
        <f>_xlfn.XLOOKUP(H1383, risk_score!A:A, risk_score!B:B, 0)</f>
        <v>Low Risk</v>
      </c>
    </row>
    <row r="1384" spans="1:14">
      <c r="A1384" s="2">
        <v>0.47657407407407409</v>
      </c>
      <c r="B1384" s="3">
        <v>44841</v>
      </c>
      <c r="C1384" s="1">
        <v>6205807605</v>
      </c>
      <c r="D1384" s="1">
        <v>206717570</v>
      </c>
      <c r="E1384" s="1">
        <v>6878.71</v>
      </c>
      <c r="F1384" s="1" t="s">
        <v>12</v>
      </c>
      <c r="G1384" s="1" t="s">
        <v>12</v>
      </c>
      <c r="H1384" s="1" t="s">
        <v>13</v>
      </c>
      <c r="I1384" s="1" t="s">
        <v>13</v>
      </c>
      <c r="J1384" s="1" t="s">
        <v>27</v>
      </c>
      <c r="K1384" s="1">
        <v>0</v>
      </c>
      <c r="L1384" s="1" t="s">
        <v>21</v>
      </c>
      <c r="M1384" s="1" t="str">
        <f t="shared" si="21"/>
        <v>Consistent</v>
      </c>
      <c r="N1384" s="1" t="str">
        <f>_xlfn.XLOOKUP(H1384, risk_score!A:A, risk_score!B:B, 0)</f>
        <v>Low Risk</v>
      </c>
    </row>
    <row r="1385" spans="1:14">
      <c r="A1385" s="2">
        <v>0.47657407407407409</v>
      </c>
      <c r="B1385" s="3">
        <v>44841</v>
      </c>
      <c r="C1385" s="1">
        <v>6518030994</v>
      </c>
      <c r="D1385" s="1">
        <v>5003020706</v>
      </c>
      <c r="E1385" s="1">
        <v>286.69</v>
      </c>
      <c r="F1385" s="1" t="s">
        <v>12</v>
      </c>
      <c r="G1385" s="1" t="s">
        <v>12</v>
      </c>
      <c r="H1385" s="1" t="s">
        <v>13</v>
      </c>
      <c r="I1385" s="1" t="s">
        <v>13</v>
      </c>
      <c r="J1385" s="1" t="s">
        <v>25</v>
      </c>
      <c r="K1385" s="1">
        <v>0</v>
      </c>
      <c r="L1385" s="1" t="s">
        <v>21</v>
      </c>
      <c r="M1385" s="1" t="str">
        <f t="shared" si="21"/>
        <v>Consistent</v>
      </c>
      <c r="N1385" s="1" t="str">
        <f>_xlfn.XLOOKUP(H1385, risk_score!A:A, risk_score!B:B, 0)</f>
        <v>Low Risk</v>
      </c>
    </row>
    <row r="1386" spans="1:14">
      <c r="A1386" s="2">
        <v>0.47659722222222223</v>
      </c>
      <c r="B1386" s="3">
        <v>44841</v>
      </c>
      <c r="C1386" s="1">
        <v>6630041445</v>
      </c>
      <c r="D1386" s="1">
        <v>1316458123</v>
      </c>
      <c r="E1386" s="1">
        <v>12910.74</v>
      </c>
      <c r="F1386" s="1" t="s">
        <v>12</v>
      </c>
      <c r="G1386" s="1" t="s">
        <v>34</v>
      </c>
      <c r="H1386" s="1" t="s">
        <v>13</v>
      </c>
      <c r="I1386" s="1" t="s">
        <v>35</v>
      </c>
      <c r="J1386" s="1" t="s">
        <v>18</v>
      </c>
      <c r="K1386" s="1">
        <v>0</v>
      </c>
      <c r="L1386" s="1" t="s">
        <v>23</v>
      </c>
      <c r="M1386" s="1" t="str">
        <f t="shared" si="21"/>
        <v>Potential Layering</v>
      </c>
      <c r="N1386" s="1" t="str">
        <f>_xlfn.XLOOKUP(H1386, risk_score!A:A, risk_score!B:B, 0)</f>
        <v>Low Risk</v>
      </c>
    </row>
    <row r="1387" spans="1:14">
      <c r="A1387" s="2">
        <v>0.47660879629629632</v>
      </c>
      <c r="B1387" s="3">
        <v>44841</v>
      </c>
      <c r="C1387" s="1">
        <v>712466523</v>
      </c>
      <c r="D1387" s="1">
        <v>8518184956</v>
      </c>
      <c r="E1387" s="1">
        <v>7513.86</v>
      </c>
      <c r="F1387" s="1" t="s">
        <v>12</v>
      </c>
      <c r="G1387" s="1" t="s">
        <v>12</v>
      </c>
      <c r="H1387" s="1" t="s">
        <v>13</v>
      </c>
      <c r="I1387" s="1" t="s">
        <v>13</v>
      </c>
      <c r="J1387" s="1" t="s">
        <v>22</v>
      </c>
      <c r="K1387" s="1">
        <v>0</v>
      </c>
      <c r="L1387" s="1" t="s">
        <v>23</v>
      </c>
      <c r="M1387" s="1" t="str">
        <f t="shared" si="21"/>
        <v>Consistent</v>
      </c>
      <c r="N1387" s="1" t="str">
        <f>_xlfn.XLOOKUP(H1387, risk_score!A:A, risk_score!B:B, 0)</f>
        <v>Low Risk</v>
      </c>
    </row>
    <row r="1388" spans="1:14">
      <c r="A1388" s="2">
        <v>0.47660879629629632</v>
      </c>
      <c r="B1388" s="3">
        <v>44841</v>
      </c>
      <c r="C1388" s="1">
        <v>3556772030</v>
      </c>
      <c r="D1388" s="1">
        <v>409707192</v>
      </c>
      <c r="E1388" s="1">
        <v>8647.35</v>
      </c>
      <c r="F1388" s="1" t="s">
        <v>12</v>
      </c>
      <c r="G1388" s="1" t="s">
        <v>12</v>
      </c>
      <c r="H1388" s="1" t="s">
        <v>13</v>
      </c>
      <c r="I1388" s="1" t="s">
        <v>13</v>
      </c>
      <c r="J1388" s="1" t="s">
        <v>20</v>
      </c>
      <c r="K1388" s="1">
        <v>0</v>
      </c>
      <c r="L1388" s="1" t="s">
        <v>23</v>
      </c>
      <c r="M1388" s="1" t="str">
        <f t="shared" si="21"/>
        <v>Consistent</v>
      </c>
      <c r="N1388" s="1" t="str">
        <f>_xlfn.XLOOKUP(H1388, risk_score!A:A, risk_score!B:B, 0)</f>
        <v>Low Risk</v>
      </c>
    </row>
    <row r="1389" spans="1:14">
      <c r="A1389" s="2">
        <v>0.47662037037037036</v>
      </c>
      <c r="B1389" s="3">
        <v>44841</v>
      </c>
      <c r="C1389" s="1">
        <v>5623172625</v>
      </c>
      <c r="D1389" s="1">
        <v>2900009696</v>
      </c>
      <c r="E1389" s="1">
        <v>3055.28</v>
      </c>
      <c r="F1389" s="1" t="s">
        <v>12</v>
      </c>
      <c r="G1389" s="1" t="s">
        <v>12</v>
      </c>
      <c r="H1389" s="1" t="s">
        <v>13</v>
      </c>
      <c r="I1389" s="1" t="s">
        <v>13</v>
      </c>
      <c r="J1389" s="1" t="s">
        <v>14</v>
      </c>
      <c r="K1389" s="1">
        <v>0</v>
      </c>
      <c r="L1389" s="1" t="s">
        <v>15</v>
      </c>
      <c r="M1389" s="1" t="str">
        <f t="shared" si="21"/>
        <v>Consistent</v>
      </c>
      <c r="N1389" s="1" t="str">
        <f>_xlfn.XLOOKUP(H1389, risk_score!A:A, risk_score!B:B, 0)</f>
        <v>Low Risk</v>
      </c>
    </row>
    <row r="1390" spans="1:14">
      <c r="A1390" s="2">
        <v>0.47666666666666668</v>
      </c>
      <c r="B1390" s="3">
        <v>44841</v>
      </c>
      <c r="C1390" s="1">
        <v>2020708263</v>
      </c>
      <c r="D1390" s="1">
        <v>409707192</v>
      </c>
      <c r="E1390" s="1">
        <v>6355.03</v>
      </c>
      <c r="F1390" s="1" t="s">
        <v>12</v>
      </c>
      <c r="G1390" s="1" t="s">
        <v>12</v>
      </c>
      <c r="H1390" s="1" t="s">
        <v>13</v>
      </c>
      <c r="I1390" s="1" t="s">
        <v>13</v>
      </c>
      <c r="J1390" s="1" t="s">
        <v>27</v>
      </c>
      <c r="K1390" s="1">
        <v>0</v>
      </c>
      <c r="L1390" s="1" t="s">
        <v>23</v>
      </c>
      <c r="M1390" s="1" t="str">
        <f t="shared" si="21"/>
        <v>Consistent</v>
      </c>
      <c r="N1390" s="1" t="str">
        <f>_xlfn.XLOOKUP(H1390, risk_score!A:A, risk_score!B:B, 0)</f>
        <v>Low Risk</v>
      </c>
    </row>
    <row r="1391" spans="1:14">
      <c r="A1391" s="2">
        <v>0.47667824074074072</v>
      </c>
      <c r="B1391" s="3">
        <v>44841</v>
      </c>
      <c r="C1391" s="1">
        <v>6086421020</v>
      </c>
      <c r="D1391" s="1">
        <v>6624920676</v>
      </c>
      <c r="E1391" s="1">
        <v>6259.99</v>
      </c>
      <c r="F1391" s="1" t="s">
        <v>12</v>
      </c>
      <c r="G1391" s="1" t="s">
        <v>12</v>
      </c>
      <c r="H1391" s="1" t="s">
        <v>13</v>
      </c>
      <c r="I1391" s="1" t="s">
        <v>13</v>
      </c>
      <c r="J1391" s="1" t="s">
        <v>27</v>
      </c>
      <c r="K1391" s="1">
        <v>0</v>
      </c>
      <c r="L1391" s="1" t="s">
        <v>19</v>
      </c>
      <c r="M1391" s="1" t="str">
        <f t="shared" si="21"/>
        <v>Consistent</v>
      </c>
      <c r="N1391" s="1" t="str">
        <f>_xlfn.XLOOKUP(H1391, risk_score!A:A, risk_score!B:B, 0)</f>
        <v>Low Risk</v>
      </c>
    </row>
    <row r="1392" spans="1:14">
      <c r="A1392" s="2">
        <v>0.47667824074074072</v>
      </c>
      <c r="B1392" s="3">
        <v>44841</v>
      </c>
      <c r="C1392" s="1">
        <v>7501327339</v>
      </c>
      <c r="D1392" s="1">
        <v>1073749339</v>
      </c>
      <c r="E1392" s="1">
        <v>15856.21</v>
      </c>
      <c r="F1392" s="1" t="s">
        <v>12</v>
      </c>
      <c r="G1392" s="1" t="s">
        <v>12</v>
      </c>
      <c r="H1392" s="1" t="s">
        <v>13</v>
      </c>
      <c r="I1392" s="1" t="s">
        <v>13</v>
      </c>
      <c r="J1392" s="1" t="s">
        <v>25</v>
      </c>
      <c r="K1392" s="1">
        <v>0</v>
      </c>
      <c r="L1392" s="1" t="s">
        <v>19</v>
      </c>
      <c r="M1392" s="1" t="str">
        <f t="shared" si="21"/>
        <v>Consistent</v>
      </c>
      <c r="N1392" s="1" t="str">
        <f>_xlfn.XLOOKUP(H1392, risk_score!A:A, risk_score!B:B, 0)</f>
        <v>Low Risk</v>
      </c>
    </row>
    <row r="1393" spans="1:14">
      <c r="A1393" s="2">
        <v>0.47671296296296295</v>
      </c>
      <c r="B1393" s="3">
        <v>44841</v>
      </c>
      <c r="C1393" s="1">
        <v>728900305</v>
      </c>
      <c r="D1393" s="1">
        <v>9677012133</v>
      </c>
      <c r="E1393" s="1">
        <v>133287.44</v>
      </c>
      <c r="F1393" s="1" t="s">
        <v>12</v>
      </c>
      <c r="G1393" s="1" t="s">
        <v>12</v>
      </c>
      <c r="H1393" s="1" t="s">
        <v>13</v>
      </c>
      <c r="I1393" s="1" t="s">
        <v>13</v>
      </c>
      <c r="J1393" s="1" t="s">
        <v>22</v>
      </c>
      <c r="K1393" s="1">
        <v>0</v>
      </c>
      <c r="L1393" s="1" t="s">
        <v>58</v>
      </c>
      <c r="M1393" s="1" t="str">
        <f t="shared" si="21"/>
        <v>Consistent</v>
      </c>
      <c r="N1393" s="1" t="str">
        <f>_xlfn.XLOOKUP(H1393, risk_score!A:A, risk_score!B:B, 0)</f>
        <v>Low Risk</v>
      </c>
    </row>
    <row r="1394" spans="1:14">
      <c r="A1394" s="2">
        <v>0.47671296296296295</v>
      </c>
      <c r="B1394" s="3">
        <v>44841</v>
      </c>
      <c r="C1394" s="1">
        <v>6808288746</v>
      </c>
      <c r="D1394" s="1">
        <v>979251512</v>
      </c>
      <c r="E1394" s="1">
        <v>3698.02</v>
      </c>
      <c r="F1394" s="1" t="s">
        <v>12</v>
      </c>
      <c r="G1394" s="1" t="s">
        <v>12</v>
      </c>
      <c r="H1394" s="1" t="s">
        <v>13</v>
      </c>
      <c r="I1394" s="1" t="s">
        <v>13</v>
      </c>
      <c r="J1394" s="1" t="s">
        <v>22</v>
      </c>
      <c r="K1394" s="1">
        <v>0</v>
      </c>
      <c r="L1394" s="1" t="s">
        <v>21</v>
      </c>
      <c r="M1394" s="1" t="str">
        <f t="shared" si="21"/>
        <v>Consistent</v>
      </c>
      <c r="N1394" s="1" t="str">
        <f>_xlfn.XLOOKUP(H1394, risk_score!A:A, risk_score!B:B, 0)</f>
        <v>Low Risk</v>
      </c>
    </row>
    <row r="1395" spans="1:14">
      <c r="A1395" s="2">
        <v>0.47671296296296295</v>
      </c>
      <c r="B1395" s="3">
        <v>44841</v>
      </c>
      <c r="C1395" s="1">
        <v>8384366919</v>
      </c>
      <c r="D1395" s="1">
        <v>6764368893</v>
      </c>
      <c r="E1395" s="1">
        <v>778.03</v>
      </c>
      <c r="F1395" s="1" t="s">
        <v>12</v>
      </c>
      <c r="G1395" s="1" t="s">
        <v>12</v>
      </c>
      <c r="H1395" s="1" t="s">
        <v>13</v>
      </c>
      <c r="I1395" s="1" t="s">
        <v>13</v>
      </c>
      <c r="J1395" s="1" t="s">
        <v>22</v>
      </c>
      <c r="K1395" s="1">
        <v>0</v>
      </c>
      <c r="L1395" s="1" t="s">
        <v>21</v>
      </c>
      <c r="M1395" s="1" t="str">
        <f t="shared" si="21"/>
        <v>Consistent</v>
      </c>
      <c r="N1395" s="1" t="str">
        <f>_xlfn.XLOOKUP(H1395, risk_score!A:A, risk_score!B:B, 0)</f>
        <v>Low Risk</v>
      </c>
    </row>
    <row r="1396" spans="1:14">
      <c r="A1396" s="2">
        <v>0.47673611111111114</v>
      </c>
      <c r="B1396" s="3">
        <v>44841</v>
      </c>
      <c r="C1396" s="1">
        <v>6541552727</v>
      </c>
      <c r="D1396" s="1">
        <v>7752965423</v>
      </c>
      <c r="E1396" s="1">
        <v>11238.42</v>
      </c>
      <c r="F1396" s="1" t="s">
        <v>12</v>
      </c>
      <c r="G1396" s="1" t="s">
        <v>12</v>
      </c>
      <c r="H1396" s="1" t="s">
        <v>13</v>
      </c>
      <c r="I1396" s="1" t="s">
        <v>13</v>
      </c>
      <c r="J1396" s="1" t="s">
        <v>22</v>
      </c>
      <c r="K1396" s="1">
        <v>0</v>
      </c>
      <c r="L1396" s="1" t="s">
        <v>19</v>
      </c>
      <c r="M1396" s="1" t="str">
        <f t="shared" si="21"/>
        <v>Consistent</v>
      </c>
      <c r="N1396" s="1" t="str">
        <f>_xlfn.XLOOKUP(H1396, risk_score!A:A, risk_score!B:B, 0)</f>
        <v>Low Risk</v>
      </c>
    </row>
    <row r="1397" spans="1:14">
      <c r="A1397" s="2">
        <v>0.47673611111111114</v>
      </c>
      <c r="B1397" s="3">
        <v>44841</v>
      </c>
      <c r="C1397" s="1">
        <v>3872905862</v>
      </c>
      <c r="D1397" s="1">
        <v>9076373256</v>
      </c>
      <c r="E1397" s="1">
        <v>10144.01</v>
      </c>
      <c r="F1397" s="1" t="s">
        <v>12</v>
      </c>
      <c r="G1397" s="1" t="s">
        <v>12</v>
      </c>
      <c r="H1397" s="1" t="s">
        <v>13</v>
      </c>
      <c r="I1397" s="1" t="s">
        <v>13</v>
      </c>
      <c r="J1397" s="1" t="s">
        <v>27</v>
      </c>
      <c r="K1397" s="1">
        <v>0</v>
      </c>
      <c r="L1397" s="1" t="s">
        <v>24</v>
      </c>
      <c r="M1397" s="1" t="str">
        <f t="shared" si="21"/>
        <v>Consistent</v>
      </c>
      <c r="N1397" s="1" t="str">
        <f>_xlfn.XLOOKUP(H1397, risk_score!A:A, risk_score!B:B, 0)</f>
        <v>Low Risk</v>
      </c>
    </row>
    <row r="1398" spans="1:14">
      <c r="A1398" s="2">
        <v>0.47675925925925927</v>
      </c>
      <c r="B1398" s="3">
        <v>44841</v>
      </c>
      <c r="C1398" s="1">
        <v>9828143010</v>
      </c>
      <c r="D1398" s="1">
        <v>5628674969</v>
      </c>
      <c r="E1398" s="1">
        <v>8341.08</v>
      </c>
      <c r="F1398" s="1" t="s">
        <v>12</v>
      </c>
      <c r="G1398" s="1" t="s">
        <v>12</v>
      </c>
      <c r="H1398" s="1" t="s">
        <v>13</v>
      </c>
      <c r="I1398" s="1" t="s">
        <v>13</v>
      </c>
      <c r="J1398" s="1" t="s">
        <v>25</v>
      </c>
      <c r="K1398" s="1">
        <v>0</v>
      </c>
      <c r="L1398" s="1" t="s">
        <v>23</v>
      </c>
      <c r="M1398" s="1" t="str">
        <f t="shared" si="21"/>
        <v>Consistent</v>
      </c>
      <c r="N1398" s="1" t="str">
        <f>_xlfn.XLOOKUP(H1398, risk_score!A:A, risk_score!B:B, 0)</f>
        <v>Low Risk</v>
      </c>
    </row>
    <row r="1399" spans="1:14">
      <c r="A1399" s="2">
        <v>0.47675925925925927</v>
      </c>
      <c r="B1399" s="3">
        <v>44841</v>
      </c>
      <c r="C1399" s="1">
        <v>4055341799</v>
      </c>
      <c r="D1399" s="1">
        <v>6435257316</v>
      </c>
      <c r="E1399" s="1">
        <v>621.16</v>
      </c>
      <c r="F1399" s="1" t="s">
        <v>12</v>
      </c>
      <c r="G1399" s="1" t="s">
        <v>12</v>
      </c>
      <c r="H1399" s="1" t="s">
        <v>13</v>
      </c>
      <c r="I1399" s="1" t="s">
        <v>13</v>
      </c>
      <c r="J1399" s="1" t="s">
        <v>22</v>
      </c>
      <c r="K1399" s="1">
        <v>0</v>
      </c>
      <c r="L1399" s="1" t="s">
        <v>21</v>
      </c>
      <c r="M1399" s="1" t="str">
        <f t="shared" si="21"/>
        <v>Consistent</v>
      </c>
      <c r="N1399" s="1" t="str">
        <f>_xlfn.XLOOKUP(H1399, risk_score!A:A, risk_score!B:B, 0)</f>
        <v>Low Risk</v>
      </c>
    </row>
    <row r="1400" spans="1:14">
      <c r="A1400" s="2">
        <v>0.4767824074074074</v>
      </c>
      <c r="B1400" s="3">
        <v>44841</v>
      </c>
      <c r="C1400" s="1">
        <v>2448237201</v>
      </c>
      <c r="D1400" s="1">
        <v>5571403856</v>
      </c>
      <c r="E1400" s="1">
        <v>500.83</v>
      </c>
      <c r="F1400" s="1" t="s">
        <v>12</v>
      </c>
      <c r="G1400" s="1" t="s">
        <v>12</v>
      </c>
      <c r="H1400" s="1" t="s">
        <v>13</v>
      </c>
      <c r="I1400" s="1" t="s">
        <v>13</v>
      </c>
      <c r="J1400" s="1" t="s">
        <v>27</v>
      </c>
      <c r="K1400" s="1">
        <v>0</v>
      </c>
      <c r="L1400" s="1" t="s">
        <v>21</v>
      </c>
      <c r="M1400" s="1" t="str">
        <f t="shared" si="21"/>
        <v>Consistent</v>
      </c>
      <c r="N1400" s="1" t="str">
        <f>_xlfn.XLOOKUP(H1400, risk_score!A:A, risk_score!B:B, 0)</f>
        <v>Low Risk</v>
      </c>
    </row>
    <row r="1401" spans="1:14">
      <c r="A1401" s="2">
        <v>0.47681712962962963</v>
      </c>
      <c r="B1401" s="3">
        <v>44841</v>
      </c>
      <c r="C1401" s="1">
        <v>6949764034</v>
      </c>
      <c r="D1401" s="1">
        <v>1612314007</v>
      </c>
      <c r="E1401" s="1">
        <v>14556.67</v>
      </c>
      <c r="F1401" s="1" t="s">
        <v>12</v>
      </c>
      <c r="G1401" s="1" t="s">
        <v>12</v>
      </c>
      <c r="H1401" s="1" t="s">
        <v>13</v>
      </c>
      <c r="I1401" s="1" t="s">
        <v>13</v>
      </c>
      <c r="J1401" s="1" t="s">
        <v>20</v>
      </c>
      <c r="K1401" s="1">
        <v>0</v>
      </c>
      <c r="L1401" s="1" t="s">
        <v>38</v>
      </c>
      <c r="M1401" s="1" t="str">
        <f t="shared" si="21"/>
        <v>Consistent</v>
      </c>
      <c r="N1401" s="1" t="str">
        <f>_xlfn.XLOOKUP(H1401, risk_score!A:A, risk_score!B:B, 0)</f>
        <v>Low Risk</v>
      </c>
    </row>
    <row r="1402" spans="1:14">
      <c r="A1402" s="2">
        <v>0.47682870370370373</v>
      </c>
      <c r="B1402" s="3">
        <v>44841</v>
      </c>
      <c r="C1402" s="1">
        <v>6421474785</v>
      </c>
      <c r="D1402" s="1">
        <v>7199625988</v>
      </c>
      <c r="E1402" s="1">
        <v>10797.35</v>
      </c>
      <c r="F1402" s="1" t="s">
        <v>12</v>
      </c>
      <c r="G1402" s="1" t="s">
        <v>12</v>
      </c>
      <c r="H1402" s="1" t="s">
        <v>13</v>
      </c>
      <c r="I1402" s="1" t="s">
        <v>13</v>
      </c>
      <c r="J1402" s="1" t="s">
        <v>25</v>
      </c>
      <c r="K1402" s="1">
        <v>0</v>
      </c>
      <c r="L1402" s="1" t="s">
        <v>23</v>
      </c>
      <c r="M1402" s="1" t="str">
        <f t="shared" si="21"/>
        <v>Consistent</v>
      </c>
      <c r="N1402" s="1" t="str">
        <f>_xlfn.XLOOKUP(H1402, risk_score!A:A, risk_score!B:B, 0)</f>
        <v>Low Risk</v>
      </c>
    </row>
    <row r="1403" spans="1:14">
      <c r="A1403" s="2">
        <v>0.4768634259259259</v>
      </c>
      <c r="B1403" s="3">
        <v>44841</v>
      </c>
      <c r="C1403" s="1">
        <v>7501327339</v>
      </c>
      <c r="D1403" s="1">
        <v>6357364082</v>
      </c>
      <c r="E1403" s="1">
        <v>5653.43</v>
      </c>
      <c r="F1403" s="1" t="s">
        <v>12</v>
      </c>
      <c r="G1403" s="1" t="s">
        <v>12</v>
      </c>
      <c r="H1403" s="1" t="s">
        <v>13</v>
      </c>
      <c r="I1403" s="1" t="s">
        <v>13</v>
      </c>
      <c r="J1403" s="1" t="s">
        <v>27</v>
      </c>
      <c r="K1403" s="1">
        <v>0</v>
      </c>
      <c r="L1403" s="1" t="s">
        <v>19</v>
      </c>
      <c r="M1403" s="1" t="str">
        <f t="shared" si="21"/>
        <v>Consistent</v>
      </c>
      <c r="N1403" s="1" t="str">
        <f>_xlfn.XLOOKUP(H1403, risk_score!A:A, risk_score!B:B, 0)</f>
        <v>Low Risk</v>
      </c>
    </row>
    <row r="1404" spans="1:14">
      <c r="A1404" s="2">
        <v>0.47689814814814813</v>
      </c>
      <c r="B1404" s="3">
        <v>44841</v>
      </c>
      <c r="C1404" s="1">
        <v>3741000234</v>
      </c>
      <c r="D1404" s="1">
        <v>1377603863</v>
      </c>
      <c r="E1404" s="1">
        <v>22044.35</v>
      </c>
      <c r="F1404" s="1" t="s">
        <v>12</v>
      </c>
      <c r="G1404" s="1" t="s">
        <v>12</v>
      </c>
      <c r="H1404" s="1" t="s">
        <v>13</v>
      </c>
      <c r="I1404" s="1" t="s">
        <v>13</v>
      </c>
      <c r="J1404" s="1" t="s">
        <v>27</v>
      </c>
      <c r="K1404" s="1">
        <v>0</v>
      </c>
      <c r="L1404" s="1" t="s">
        <v>23</v>
      </c>
      <c r="M1404" s="1" t="str">
        <f t="shared" si="21"/>
        <v>Consistent</v>
      </c>
      <c r="N1404" s="1" t="str">
        <f>_xlfn.XLOOKUP(H1404, risk_score!A:A, risk_score!B:B, 0)</f>
        <v>Low Risk</v>
      </c>
    </row>
    <row r="1405" spans="1:14">
      <c r="A1405" s="2">
        <v>0.47693287037037035</v>
      </c>
      <c r="B1405" s="3">
        <v>44841</v>
      </c>
      <c r="C1405" s="1">
        <v>6129524035</v>
      </c>
      <c r="D1405" s="1">
        <v>3733600285</v>
      </c>
      <c r="E1405" s="1">
        <v>1490.74</v>
      </c>
      <c r="F1405" s="1" t="s">
        <v>12</v>
      </c>
      <c r="G1405" s="1" t="s">
        <v>12</v>
      </c>
      <c r="H1405" s="1" t="s">
        <v>13</v>
      </c>
      <c r="I1405" s="1" t="s">
        <v>13</v>
      </c>
      <c r="J1405" s="1" t="s">
        <v>22</v>
      </c>
      <c r="K1405" s="1">
        <v>0</v>
      </c>
      <c r="L1405" s="1" t="s">
        <v>21</v>
      </c>
      <c r="M1405" s="1" t="str">
        <f t="shared" si="21"/>
        <v>Consistent</v>
      </c>
      <c r="N1405" s="1" t="str">
        <f>_xlfn.XLOOKUP(H1405, risk_score!A:A, risk_score!B:B, 0)</f>
        <v>Low Risk</v>
      </c>
    </row>
    <row r="1406" spans="1:14">
      <c r="A1406" s="2">
        <v>0.47694444444444445</v>
      </c>
      <c r="B1406" s="3">
        <v>44841</v>
      </c>
      <c r="C1406" s="1">
        <v>883898143</v>
      </c>
      <c r="D1406" s="1">
        <v>2477907704</v>
      </c>
      <c r="E1406" s="1">
        <v>4355.57</v>
      </c>
      <c r="F1406" s="1" t="s">
        <v>12</v>
      </c>
      <c r="G1406" s="1" t="s">
        <v>12</v>
      </c>
      <c r="H1406" s="1" t="s">
        <v>13</v>
      </c>
      <c r="I1406" s="1" t="s">
        <v>13</v>
      </c>
      <c r="J1406" s="1" t="s">
        <v>25</v>
      </c>
      <c r="K1406" s="1">
        <v>0</v>
      </c>
      <c r="L1406" s="1" t="s">
        <v>24</v>
      </c>
      <c r="M1406" s="1" t="str">
        <f t="shared" si="21"/>
        <v>Consistent</v>
      </c>
      <c r="N1406" s="1" t="str">
        <f>_xlfn.XLOOKUP(H1406, risk_score!A:A, risk_score!B:B, 0)</f>
        <v>Low Risk</v>
      </c>
    </row>
    <row r="1407" spans="1:14">
      <c r="A1407" s="2">
        <v>0.47702546296296294</v>
      </c>
      <c r="B1407" s="3">
        <v>44841</v>
      </c>
      <c r="C1407" s="1">
        <v>3915529544</v>
      </c>
      <c r="D1407" s="1">
        <v>4115065228</v>
      </c>
      <c r="E1407" s="1">
        <v>2119.84</v>
      </c>
      <c r="F1407" s="1" t="s">
        <v>12</v>
      </c>
      <c r="G1407" s="1" t="s">
        <v>12</v>
      </c>
      <c r="H1407" s="1" t="s">
        <v>13</v>
      </c>
      <c r="I1407" s="1" t="s">
        <v>13</v>
      </c>
      <c r="J1407" s="1" t="s">
        <v>14</v>
      </c>
      <c r="K1407" s="1">
        <v>0</v>
      </c>
      <c r="L1407" s="1" t="s">
        <v>15</v>
      </c>
      <c r="M1407" s="1" t="str">
        <f t="shared" si="21"/>
        <v>Consistent</v>
      </c>
      <c r="N1407" s="1" t="str">
        <f>_xlfn.XLOOKUP(H1407, risk_score!A:A, risk_score!B:B, 0)</f>
        <v>Low Risk</v>
      </c>
    </row>
    <row r="1408" spans="1:14">
      <c r="A1408" s="2">
        <v>0.47706018518518517</v>
      </c>
      <c r="B1408" s="3">
        <v>44841</v>
      </c>
      <c r="C1408" s="1">
        <v>2921941084</v>
      </c>
      <c r="D1408" s="1">
        <v>8782918179</v>
      </c>
      <c r="E1408" s="1">
        <v>5979.22</v>
      </c>
      <c r="F1408" s="1" t="s">
        <v>12</v>
      </c>
      <c r="G1408" s="1" t="s">
        <v>12</v>
      </c>
      <c r="H1408" s="1" t="s">
        <v>13</v>
      </c>
      <c r="I1408" s="1" t="s">
        <v>13</v>
      </c>
      <c r="J1408" s="1" t="s">
        <v>20</v>
      </c>
      <c r="K1408" s="1">
        <v>0</v>
      </c>
      <c r="L1408" s="1" t="s">
        <v>21</v>
      </c>
      <c r="M1408" s="1" t="str">
        <f t="shared" si="21"/>
        <v>Consistent</v>
      </c>
      <c r="N1408" s="1" t="str">
        <f>_xlfn.XLOOKUP(H1408, risk_score!A:A, risk_score!B:B, 0)</f>
        <v>Low Risk</v>
      </c>
    </row>
    <row r="1409" spans="1:14">
      <c r="A1409" s="2">
        <v>0.47706018518518517</v>
      </c>
      <c r="B1409" s="3">
        <v>44841</v>
      </c>
      <c r="C1409" s="1">
        <v>4150879707</v>
      </c>
      <c r="D1409" s="1">
        <v>409707192</v>
      </c>
      <c r="E1409" s="1">
        <v>10715.77</v>
      </c>
      <c r="F1409" s="1" t="s">
        <v>12</v>
      </c>
      <c r="G1409" s="1" t="s">
        <v>12</v>
      </c>
      <c r="H1409" s="1" t="s">
        <v>13</v>
      </c>
      <c r="I1409" s="1" t="s">
        <v>13</v>
      </c>
      <c r="J1409" s="1" t="s">
        <v>25</v>
      </c>
      <c r="K1409" s="1">
        <v>0</v>
      </c>
      <c r="L1409" s="1" t="s">
        <v>23</v>
      </c>
      <c r="M1409" s="1" t="str">
        <f t="shared" si="21"/>
        <v>Consistent</v>
      </c>
      <c r="N1409" s="1" t="str">
        <f>_xlfn.XLOOKUP(H1409, risk_score!A:A, risk_score!B:B, 0)</f>
        <v>Low Risk</v>
      </c>
    </row>
    <row r="1410" spans="1:14">
      <c r="A1410" s="2">
        <v>0.47710648148148149</v>
      </c>
      <c r="B1410" s="3">
        <v>44841</v>
      </c>
      <c r="C1410" s="1">
        <v>7758268667</v>
      </c>
      <c r="D1410" s="1">
        <v>1709703404</v>
      </c>
      <c r="E1410" s="1">
        <v>5484.64</v>
      </c>
      <c r="F1410" s="1" t="s">
        <v>12</v>
      </c>
      <c r="G1410" s="1" t="s">
        <v>12</v>
      </c>
      <c r="H1410" s="1" t="s">
        <v>13</v>
      </c>
      <c r="I1410" s="1" t="s">
        <v>13</v>
      </c>
      <c r="J1410" s="1" t="s">
        <v>25</v>
      </c>
      <c r="K1410" s="1">
        <v>0</v>
      </c>
      <c r="L1410" s="1" t="s">
        <v>19</v>
      </c>
      <c r="M1410" s="1" t="str">
        <f t="shared" si="21"/>
        <v>Consistent</v>
      </c>
      <c r="N1410" s="1" t="str">
        <f>_xlfn.XLOOKUP(H1410, risk_score!A:A, risk_score!B:B, 0)</f>
        <v>Low Risk</v>
      </c>
    </row>
    <row r="1411" spans="1:14">
      <c r="A1411" s="2">
        <v>0.47710648148148149</v>
      </c>
      <c r="B1411" s="3">
        <v>44841</v>
      </c>
      <c r="C1411" s="1">
        <v>8273126721</v>
      </c>
      <c r="D1411" s="1">
        <v>409707192</v>
      </c>
      <c r="E1411" s="1">
        <v>6065.58</v>
      </c>
      <c r="F1411" s="1" t="s">
        <v>12</v>
      </c>
      <c r="G1411" s="1" t="s">
        <v>12</v>
      </c>
      <c r="H1411" s="1" t="s">
        <v>13</v>
      </c>
      <c r="I1411" s="1" t="s">
        <v>13</v>
      </c>
      <c r="J1411" s="1" t="s">
        <v>27</v>
      </c>
      <c r="K1411" s="1">
        <v>0</v>
      </c>
      <c r="L1411" s="1" t="s">
        <v>23</v>
      </c>
      <c r="M1411" s="1" t="str">
        <f t="shared" ref="M1411:M1474" si="22">IF(F1411=G1411, "Consistent", "Potential Layering")</f>
        <v>Consistent</v>
      </c>
      <c r="N1411" s="1" t="str">
        <f>_xlfn.XLOOKUP(H1411, risk_score!A:A, risk_score!B:B, 0)</f>
        <v>Low Risk</v>
      </c>
    </row>
    <row r="1412" spans="1:14">
      <c r="A1412" s="2">
        <v>0.47714120370370372</v>
      </c>
      <c r="B1412" s="3">
        <v>44841</v>
      </c>
      <c r="C1412" s="1">
        <v>8413737228</v>
      </c>
      <c r="D1412" s="1">
        <v>4818981805</v>
      </c>
      <c r="E1412" s="1">
        <v>6771.02</v>
      </c>
      <c r="F1412" s="1" t="s">
        <v>12</v>
      </c>
      <c r="G1412" s="1" t="s">
        <v>12</v>
      </c>
      <c r="H1412" s="1" t="s">
        <v>13</v>
      </c>
      <c r="I1412" s="1" t="s">
        <v>13</v>
      </c>
      <c r="J1412" s="1" t="s">
        <v>25</v>
      </c>
      <c r="K1412" s="1">
        <v>0</v>
      </c>
      <c r="L1412" s="1" t="s">
        <v>24</v>
      </c>
      <c r="M1412" s="1" t="str">
        <f t="shared" si="22"/>
        <v>Consistent</v>
      </c>
      <c r="N1412" s="1" t="str">
        <f>_xlfn.XLOOKUP(H1412, risk_score!A:A, risk_score!B:B, 0)</f>
        <v>Low Risk</v>
      </c>
    </row>
    <row r="1413" spans="1:14">
      <c r="A1413" s="2">
        <v>0.47716435185185185</v>
      </c>
      <c r="B1413" s="3">
        <v>44841</v>
      </c>
      <c r="C1413" s="1">
        <v>8203229522</v>
      </c>
      <c r="D1413" s="1">
        <v>7963107269</v>
      </c>
      <c r="E1413" s="1">
        <v>8527.8700000000008</v>
      </c>
      <c r="F1413" s="1" t="s">
        <v>12</v>
      </c>
      <c r="G1413" s="1" t="s">
        <v>12</v>
      </c>
      <c r="H1413" s="1" t="s">
        <v>13</v>
      </c>
      <c r="I1413" s="1" t="s">
        <v>13</v>
      </c>
      <c r="J1413" s="1" t="s">
        <v>27</v>
      </c>
      <c r="K1413" s="1">
        <v>0</v>
      </c>
      <c r="L1413" s="1" t="s">
        <v>19</v>
      </c>
      <c r="M1413" s="1" t="str">
        <f t="shared" si="22"/>
        <v>Consistent</v>
      </c>
      <c r="N1413" s="1" t="str">
        <f>_xlfn.XLOOKUP(H1413, risk_score!A:A, risk_score!B:B, 0)</f>
        <v>Low Risk</v>
      </c>
    </row>
    <row r="1414" spans="1:14">
      <c r="A1414" s="2">
        <v>0.47721064814814818</v>
      </c>
      <c r="B1414" s="3">
        <v>44841</v>
      </c>
      <c r="C1414" s="1">
        <v>4995379766</v>
      </c>
      <c r="D1414" s="1">
        <v>1431561040</v>
      </c>
      <c r="E1414" s="1">
        <v>5973.3</v>
      </c>
      <c r="F1414" s="1" t="s">
        <v>12</v>
      </c>
      <c r="G1414" s="1" t="s">
        <v>12</v>
      </c>
      <c r="H1414" s="1" t="s">
        <v>13</v>
      </c>
      <c r="I1414" s="1" t="s">
        <v>13</v>
      </c>
      <c r="J1414" s="1" t="s">
        <v>27</v>
      </c>
      <c r="K1414" s="1">
        <v>0</v>
      </c>
      <c r="L1414" s="1" t="s">
        <v>23</v>
      </c>
      <c r="M1414" s="1" t="str">
        <f t="shared" si="22"/>
        <v>Consistent</v>
      </c>
      <c r="N1414" s="1" t="str">
        <f>_xlfn.XLOOKUP(H1414, risk_score!A:A, risk_score!B:B, 0)</f>
        <v>Low Risk</v>
      </c>
    </row>
    <row r="1415" spans="1:14">
      <c r="A1415" s="2">
        <v>0.47725694444444444</v>
      </c>
      <c r="B1415" s="3">
        <v>44841</v>
      </c>
      <c r="C1415" s="1">
        <v>1304411851</v>
      </c>
      <c r="D1415" s="1">
        <v>5708936901</v>
      </c>
      <c r="E1415" s="1">
        <v>10510.89</v>
      </c>
      <c r="F1415" s="1" t="s">
        <v>12</v>
      </c>
      <c r="G1415" s="1" t="s">
        <v>12</v>
      </c>
      <c r="H1415" s="1" t="s">
        <v>13</v>
      </c>
      <c r="I1415" s="1" t="s">
        <v>13</v>
      </c>
      <c r="J1415" s="1" t="s">
        <v>20</v>
      </c>
      <c r="K1415" s="1">
        <v>0</v>
      </c>
      <c r="L1415" s="1" t="s">
        <v>23</v>
      </c>
      <c r="M1415" s="1" t="str">
        <f t="shared" si="22"/>
        <v>Consistent</v>
      </c>
      <c r="N1415" s="1" t="str">
        <f>_xlfn.XLOOKUP(H1415, risk_score!A:A, risk_score!B:B, 0)</f>
        <v>Low Risk</v>
      </c>
    </row>
    <row r="1416" spans="1:14">
      <c r="A1416" s="2">
        <v>0.47726851851851854</v>
      </c>
      <c r="B1416" s="3">
        <v>44841</v>
      </c>
      <c r="C1416" s="1">
        <v>4121324384</v>
      </c>
      <c r="D1416" s="1">
        <v>114960068</v>
      </c>
      <c r="E1416" s="1">
        <v>8552.0499999999993</v>
      </c>
      <c r="F1416" s="1" t="s">
        <v>29</v>
      </c>
      <c r="G1416" s="1" t="s">
        <v>16</v>
      </c>
      <c r="H1416" s="1" t="s">
        <v>30</v>
      </c>
      <c r="I1416" s="1" t="s">
        <v>17</v>
      </c>
      <c r="J1416" s="1" t="s">
        <v>18</v>
      </c>
      <c r="K1416" s="1">
        <v>0</v>
      </c>
      <c r="L1416" s="1" t="s">
        <v>19</v>
      </c>
      <c r="M1416" s="1" t="str">
        <f t="shared" si="22"/>
        <v>Potential Layering</v>
      </c>
      <c r="N1416" s="1" t="str">
        <f>_xlfn.XLOOKUP(H1416, risk_score!A:A, risk_score!B:B, 0)</f>
        <v>Low Risk</v>
      </c>
    </row>
    <row r="1417" spans="1:14">
      <c r="A1417" s="2">
        <v>0.47728009259259258</v>
      </c>
      <c r="B1417" s="3">
        <v>44841</v>
      </c>
      <c r="C1417" s="1">
        <v>3563438570</v>
      </c>
      <c r="D1417" s="1">
        <v>5644680287</v>
      </c>
      <c r="E1417" s="1">
        <v>482.68</v>
      </c>
      <c r="F1417" s="1" t="s">
        <v>12</v>
      </c>
      <c r="G1417" s="1" t="s">
        <v>12</v>
      </c>
      <c r="H1417" s="1" t="s">
        <v>13</v>
      </c>
      <c r="I1417" s="1" t="s">
        <v>13</v>
      </c>
      <c r="J1417" s="1" t="s">
        <v>22</v>
      </c>
      <c r="K1417" s="1">
        <v>0</v>
      </c>
      <c r="L1417" s="1" t="s">
        <v>21</v>
      </c>
      <c r="M1417" s="1" t="str">
        <f t="shared" si="22"/>
        <v>Consistent</v>
      </c>
      <c r="N1417" s="1" t="str">
        <f>_xlfn.XLOOKUP(H1417, risk_score!A:A, risk_score!B:B, 0)</f>
        <v>Low Risk</v>
      </c>
    </row>
    <row r="1418" spans="1:14">
      <c r="A1418" s="2">
        <v>0.47728009259259258</v>
      </c>
      <c r="B1418" s="3">
        <v>44841</v>
      </c>
      <c r="C1418" s="1">
        <v>6057444675</v>
      </c>
      <c r="D1418" s="1">
        <v>7534790776</v>
      </c>
      <c r="E1418" s="1">
        <v>5542.57</v>
      </c>
      <c r="F1418" s="1" t="s">
        <v>12</v>
      </c>
      <c r="G1418" s="1" t="s">
        <v>12</v>
      </c>
      <c r="H1418" s="1" t="s">
        <v>13</v>
      </c>
      <c r="I1418" s="1" t="s">
        <v>13</v>
      </c>
      <c r="J1418" s="1" t="s">
        <v>20</v>
      </c>
      <c r="K1418" s="1">
        <v>0</v>
      </c>
      <c r="L1418" s="1" t="s">
        <v>19</v>
      </c>
      <c r="M1418" s="1" t="str">
        <f t="shared" si="22"/>
        <v>Consistent</v>
      </c>
      <c r="N1418" s="1" t="str">
        <f>_xlfn.XLOOKUP(H1418, risk_score!A:A, risk_score!B:B, 0)</f>
        <v>Low Risk</v>
      </c>
    </row>
    <row r="1419" spans="1:14">
      <c r="A1419" s="2">
        <v>0.47729166666666667</v>
      </c>
      <c r="B1419" s="3">
        <v>44841</v>
      </c>
      <c r="C1419" s="1">
        <v>1008340236</v>
      </c>
      <c r="D1419" s="1">
        <v>2437535257</v>
      </c>
      <c r="E1419" s="1">
        <v>2028.31</v>
      </c>
      <c r="F1419" s="1" t="s">
        <v>12</v>
      </c>
      <c r="G1419" s="1" t="s">
        <v>12</v>
      </c>
      <c r="H1419" s="1" t="s">
        <v>13</v>
      </c>
      <c r="I1419" s="1" t="s">
        <v>13</v>
      </c>
      <c r="J1419" s="1" t="s">
        <v>22</v>
      </c>
      <c r="K1419" s="1">
        <v>0</v>
      </c>
      <c r="L1419" s="1" t="s">
        <v>21</v>
      </c>
      <c r="M1419" s="1" t="str">
        <f t="shared" si="22"/>
        <v>Consistent</v>
      </c>
      <c r="N1419" s="1" t="str">
        <f>_xlfn.XLOOKUP(H1419, risk_score!A:A, risk_score!B:B, 0)</f>
        <v>Low Risk</v>
      </c>
    </row>
    <row r="1420" spans="1:14">
      <c r="A1420" s="2">
        <v>0.47730324074074076</v>
      </c>
      <c r="B1420" s="3">
        <v>44841</v>
      </c>
      <c r="C1420" s="1">
        <v>6083553514</v>
      </c>
      <c r="D1420" s="1">
        <v>4400610505</v>
      </c>
      <c r="E1420" s="1">
        <v>5512.68</v>
      </c>
      <c r="F1420" s="1" t="s">
        <v>12</v>
      </c>
      <c r="G1420" s="1" t="s">
        <v>12</v>
      </c>
      <c r="H1420" s="1" t="s">
        <v>13</v>
      </c>
      <c r="I1420" s="1" t="s">
        <v>13</v>
      </c>
      <c r="J1420" s="1" t="s">
        <v>27</v>
      </c>
      <c r="K1420" s="1">
        <v>0</v>
      </c>
      <c r="L1420" s="1" t="s">
        <v>21</v>
      </c>
      <c r="M1420" s="1" t="str">
        <f t="shared" si="22"/>
        <v>Consistent</v>
      </c>
      <c r="N1420" s="1" t="str">
        <f>_xlfn.XLOOKUP(H1420, risk_score!A:A, risk_score!B:B, 0)</f>
        <v>Low Risk</v>
      </c>
    </row>
    <row r="1421" spans="1:14">
      <c r="A1421" s="2">
        <v>0.4773263888888889</v>
      </c>
      <c r="B1421" s="3">
        <v>44841</v>
      </c>
      <c r="C1421" s="1">
        <v>3221380947</v>
      </c>
      <c r="D1421" s="1">
        <v>7516271485</v>
      </c>
      <c r="E1421" s="1">
        <v>1503.18</v>
      </c>
      <c r="F1421" s="1" t="s">
        <v>12</v>
      </c>
      <c r="G1421" s="1" t="s">
        <v>12</v>
      </c>
      <c r="H1421" s="1" t="s">
        <v>13</v>
      </c>
      <c r="I1421" s="1" t="s">
        <v>13</v>
      </c>
      <c r="J1421" s="1" t="s">
        <v>20</v>
      </c>
      <c r="K1421" s="1">
        <v>0</v>
      </c>
      <c r="L1421" s="1" t="s">
        <v>21</v>
      </c>
      <c r="M1421" s="1" t="str">
        <f t="shared" si="22"/>
        <v>Consistent</v>
      </c>
      <c r="N1421" s="1" t="str">
        <f>_xlfn.XLOOKUP(H1421, risk_score!A:A, risk_score!B:B, 0)</f>
        <v>Low Risk</v>
      </c>
    </row>
    <row r="1422" spans="1:14">
      <c r="A1422" s="2">
        <v>0.47736111111111112</v>
      </c>
      <c r="B1422" s="3">
        <v>44841</v>
      </c>
      <c r="C1422" s="1">
        <v>6431038386</v>
      </c>
      <c r="D1422" s="1">
        <v>4336977506</v>
      </c>
      <c r="E1422" s="1">
        <v>12634.95</v>
      </c>
      <c r="F1422" s="1" t="s">
        <v>12</v>
      </c>
      <c r="G1422" s="1" t="s">
        <v>12</v>
      </c>
      <c r="H1422" s="1" t="s">
        <v>13</v>
      </c>
      <c r="I1422" s="1" t="s">
        <v>13</v>
      </c>
      <c r="J1422" s="1" t="s">
        <v>25</v>
      </c>
      <c r="K1422" s="1">
        <v>0</v>
      </c>
      <c r="L1422" s="1" t="s">
        <v>23</v>
      </c>
      <c r="M1422" s="1" t="str">
        <f t="shared" si="22"/>
        <v>Consistent</v>
      </c>
      <c r="N1422" s="1" t="str">
        <f>_xlfn.XLOOKUP(H1422, risk_score!A:A, risk_score!B:B, 0)</f>
        <v>Low Risk</v>
      </c>
    </row>
    <row r="1423" spans="1:14">
      <c r="A1423" s="2">
        <v>0.47739583333333335</v>
      </c>
      <c r="B1423" s="3">
        <v>44841</v>
      </c>
      <c r="C1423" s="1">
        <v>5045265825</v>
      </c>
      <c r="D1423" s="1">
        <v>7871246050</v>
      </c>
      <c r="E1423" s="1">
        <v>14246.5</v>
      </c>
      <c r="F1423" s="1" t="s">
        <v>12</v>
      </c>
      <c r="G1423" s="1" t="s">
        <v>12</v>
      </c>
      <c r="H1423" s="1" t="s">
        <v>13</v>
      </c>
      <c r="I1423" s="1" t="s">
        <v>13</v>
      </c>
      <c r="J1423" s="1" t="s">
        <v>22</v>
      </c>
      <c r="K1423" s="1">
        <v>0</v>
      </c>
      <c r="L1423" s="1" t="s">
        <v>21</v>
      </c>
      <c r="M1423" s="1" t="str">
        <f t="shared" si="22"/>
        <v>Consistent</v>
      </c>
      <c r="N1423" s="1" t="str">
        <f>_xlfn.XLOOKUP(H1423, risk_score!A:A, risk_score!B:B, 0)</f>
        <v>Low Risk</v>
      </c>
    </row>
    <row r="1424" spans="1:14">
      <c r="A1424" s="2">
        <v>0.47741898148148149</v>
      </c>
      <c r="B1424" s="3">
        <v>44841</v>
      </c>
      <c r="C1424" s="1">
        <v>6904668523</v>
      </c>
      <c r="D1424" s="1">
        <v>1546051426</v>
      </c>
      <c r="E1424" s="1">
        <v>5641.75</v>
      </c>
      <c r="F1424" s="1" t="s">
        <v>12</v>
      </c>
      <c r="G1424" s="1" t="s">
        <v>12</v>
      </c>
      <c r="H1424" s="1" t="s">
        <v>13</v>
      </c>
      <c r="I1424" s="1" t="s">
        <v>13</v>
      </c>
      <c r="J1424" s="1" t="s">
        <v>25</v>
      </c>
      <c r="K1424" s="1">
        <v>0</v>
      </c>
      <c r="L1424" s="1" t="s">
        <v>19</v>
      </c>
      <c r="M1424" s="1" t="str">
        <f t="shared" si="22"/>
        <v>Consistent</v>
      </c>
      <c r="N1424" s="1" t="str">
        <f>_xlfn.XLOOKUP(H1424, risk_score!A:A, risk_score!B:B, 0)</f>
        <v>Low Risk</v>
      </c>
    </row>
    <row r="1425" spans="1:14">
      <c r="A1425" s="2">
        <v>0.47743055555555558</v>
      </c>
      <c r="B1425" s="3">
        <v>44841</v>
      </c>
      <c r="C1425" s="1">
        <v>8805937509</v>
      </c>
      <c r="D1425" s="1">
        <v>3605646126</v>
      </c>
      <c r="E1425" s="1">
        <v>1256.06</v>
      </c>
      <c r="F1425" s="1" t="s">
        <v>12</v>
      </c>
      <c r="G1425" s="1" t="s">
        <v>12</v>
      </c>
      <c r="H1425" s="1" t="s">
        <v>13</v>
      </c>
      <c r="I1425" s="1" t="s">
        <v>13</v>
      </c>
      <c r="J1425" s="1" t="s">
        <v>14</v>
      </c>
      <c r="K1425" s="1">
        <v>0</v>
      </c>
      <c r="L1425" s="1" t="s">
        <v>15</v>
      </c>
      <c r="M1425" s="1" t="str">
        <f t="shared" si="22"/>
        <v>Consistent</v>
      </c>
      <c r="N1425" s="1" t="str">
        <f>_xlfn.XLOOKUP(H1425, risk_score!A:A, risk_score!B:B, 0)</f>
        <v>Low Risk</v>
      </c>
    </row>
    <row r="1426" spans="1:14">
      <c r="A1426" s="2">
        <v>0.47743055555555558</v>
      </c>
      <c r="B1426" s="3">
        <v>44841</v>
      </c>
      <c r="C1426" s="1">
        <v>8353784441</v>
      </c>
      <c r="D1426" s="1">
        <v>8032454675</v>
      </c>
      <c r="E1426" s="1">
        <v>2168.64</v>
      </c>
      <c r="F1426" s="1" t="s">
        <v>12</v>
      </c>
      <c r="G1426" s="1" t="s">
        <v>12</v>
      </c>
      <c r="H1426" s="1" t="s">
        <v>13</v>
      </c>
      <c r="I1426" s="1" t="s">
        <v>13</v>
      </c>
      <c r="J1426" s="1" t="s">
        <v>25</v>
      </c>
      <c r="K1426" s="1">
        <v>0</v>
      </c>
      <c r="L1426" s="1" t="s">
        <v>21</v>
      </c>
      <c r="M1426" s="1" t="str">
        <f t="shared" si="22"/>
        <v>Consistent</v>
      </c>
      <c r="N1426" s="1" t="str">
        <f>_xlfn.XLOOKUP(H1426, risk_score!A:A, risk_score!B:B, 0)</f>
        <v>Low Risk</v>
      </c>
    </row>
    <row r="1427" spans="1:14">
      <c r="A1427" s="2">
        <v>0.47744212962962962</v>
      </c>
      <c r="B1427" s="3">
        <v>44841</v>
      </c>
      <c r="C1427" s="1">
        <v>1832920542</v>
      </c>
      <c r="D1427" s="1">
        <v>5053780136</v>
      </c>
      <c r="E1427" s="1">
        <v>1348.6</v>
      </c>
      <c r="F1427" s="1" t="s">
        <v>12</v>
      </c>
      <c r="G1427" s="1" t="s">
        <v>12</v>
      </c>
      <c r="H1427" s="1" t="s">
        <v>13</v>
      </c>
      <c r="I1427" s="1" t="s">
        <v>13</v>
      </c>
      <c r="J1427" s="1" t="s">
        <v>14</v>
      </c>
      <c r="K1427" s="1">
        <v>0</v>
      </c>
      <c r="L1427" s="1" t="s">
        <v>15</v>
      </c>
      <c r="M1427" s="1" t="str">
        <f t="shared" si="22"/>
        <v>Consistent</v>
      </c>
      <c r="N1427" s="1" t="str">
        <f>_xlfn.XLOOKUP(H1427, risk_score!A:A, risk_score!B:B, 0)</f>
        <v>Low Risk</v>
      </c>
    </row>
    <row r="1428" spans="1:14">
      <c r="A1428" s="2">
        <v>0.47746527777777775</v>
      </c>
      <c r="B1428" s="3">
        <v>44841</v>
      </c>
      <c r="C1428" s="1">
        <v>1690402085</v>
      </c>
      <c r="D1428" s="1">
        <v>6966828816</v>
      </c>
      <c r="E1428" s="1">
        <v>1402.83</v>
      </c>
      <c r="F1428" s="1" t="s">
        <v>12</v>
      </c>
      <c r="G1428" s="1" t="s">
        <v>12</v>
      </c>
      <c r="H1428" s="1" t="s">
        <v>13</v>
      </c>
      <c r="I1428" s="1" t="s">
        <v>13</v>
      </c>
      <c r="J1428" s="1" t="s">
        <v>27</v>
      </c>
      <c r="K1428" s="1">
        <v>0</v>
      </c>
      <c r="L1428" s="1" t="s">
        <v>21</v>
      </c>
      <c r="M1428" s="1" t="str">
        <f t="shared" si="22"/>
        <v>Consistent</v>
      </c>
      <c r="N1428" s="1" t="str">
        <f>_xlfn.XLOOKUP(H1428, risk_score!A:A, risk_score!B:B, 0)</f>
        <v>Low Risk</v>
      </c>
    </row>
    <row r="1429" spans="1:14">
      <c r="A1429" s="2">
        <v>0.47747685185185185</v>
      </c>
      <c r="B1429" s="3">
        <v>44841</v>
      </c>
      <c r="C1429" s="1">
        <v>708532822</v>
      </c>
      <c r="D1429" s="1">
        <v>717744113</v>
      </c>
      <c r="E1429" s="1">
        <v>5127.33</v>
      </c>
      <c r="F1429" s="1" t="s">
        <v>12</v>
      </c>
      <c r="G1429" s="1" t="s">
        <v>12</v>
      </c>
      <c r="H1429" s="1" t="s">
        <v>13</v>
      </c>
      <c r="I1429" s="1" t="s">
        <v>13</v>
      </c>
      <c r="J1429" s="1" t="s">
        <v>14</v>
      </c>
      <c r="K1429" s="1">
        <v>0</v>
      </c>
      <c r="L1429" s="1" t="s">
        <v>15</v>
      </c>
      <c r="M1429" s="1" t="str">
        <f t="shared" si="22"/>
        <v>Consistent</v>
      </c>
      <c r="N1429" s="1" t="str">
        <f>_xlfn.XLOOKUP(H1429, risk_score!A:A, risk_score!B:B, 0)</f>
        <v>Low Risk</v>
      </c>
    </row>
    <row r="1430" spans="1:14">
      <c r="A1430" s="2">
        <v>0.47752314814814817</v>
      </c>
      <c r="B1430" s="3">
        <v>44841</v>
      </c>
      <c r="C1430" s="1">
        <v>8883997544</v>
      </c>
      <c r="D1430" s="1">
        <v>1465487567</v>
      </c>
      <c r="E1430" s="1">
        <v>8445.5400000000009</v>
      </c>
      <c r="F1430" s="1" t="s">
        <v>12</v>
      </c>
      <c r="G1430" s="1" t="s">
        <v>12</v>
      </c>
      <c r="H1430" s="1" t="s">
        <v>13</v>
      </c>
      <c r="I1430" s="1" t="s">
        <v>13</v>
      </c>
      <c r="J1430" s="1" t="s">
        <v>27</v>
      </c>
      <c r="K1430" s="1">
        <v>0</v>
      </c>
      <c r="L1430" s="1" t="s">
        <v>23</v>
      </c>
      <c r="M1430" s="1" t="str">
        <f t="shared" si="22"/>
        <v>Consistent</v>
      </c>
      <c r="N1430" s="1" t="str">
        <f>_xlfn.XLOOKUP(H1430, risk_score!A:A, risk_score!B:B, 0)</f>
        <v>Low Risk</v>
      </c>
    </row>
    <row r="1431" spans="1:14">
      <c r="A1431" s="2">
        <v>0.47752314814814817</v>
      </c>
      <c r="B1431" s="3">
        <v>44841</v>
      </c>
      <c r="C1431" s="1">
        <v>1074859180</v>
      </c>
      <c r="D1431" s="1">
        <v>5363117119</v>
      </c>
      <c r="E1431" s="1">
        <v>17324.599999999999</v>
      </c>
      <c r="F1431" s="1" t="s">
        <v>12</v>
      </c>
      <c r="G1431" s="1" t="s">
        <v>12</v>
      </c>
      <c r="H1431" s="1" t="s">
        <v>13</v>
      </c>
      <c r="I1431" s="1" t="s">
        <v>13</v>
      </c>
      <c r="J1431" s="1" t="s">
        <v>20</v>
      </c>
      <c r="K1431" s="1">
        <v>0</v>
      </c>
      <c r="L1431" s="1" t="s">
        <v>23</v>
      </c>
      <c r="M1431" s="1" t="str">
        <f t="shared" si="22"/>
        <v>Consistent</v>
      </c>
      <c r="N1431" s="1" t="str">
        <f>_xlfn.XLOOKUP(H1431, risk_score!A:A, risk_score!B:B, 0)</f>
        <v>Low Risk</v>
      </c>
    </row>
    <row r="1432" spans="1:14">
      <c r="A1432" s="2">
        <v>0.4775462962962963</v>
      </c>
      <c r="B1432" s="3">
        <v>44841</v>
      </c>
      <c r="C1432" s="1">
        <v>9535123317</v>
      </c>
      <c r="D1432" s="1">
        <v>8706601992</v>
      </c>
      <c r="E1432" s="1">
        <v>10604.45</v>
      </c>
      <c r="F1432" s="1" t="s">
        <v>12</v>
      </c>
      <c r="G1432" s="1" t="s">
        <v>12</v>
      </c>
      <c r="H1432" s="1" t="s">
        <v>13</v>
      </c>
      <c r="I1432" s="1" t="s">
        <v>13</v>
      </c>
      <c r="J1432" s="1" t="s">
        <v>22</v>
      </c>
      <c r="K1432" s="1">
        <v>0</v>
      </c>
      <c r="L1432" s="1" t="s">
        <v>21</v>
      </c>
      <c r="M1432" s="1" t="str">
        <f t="shared" si="22"/>
        <v>Consistent</v>
      </c>
      <c r="N1432" s="1" t="str">
        <f>_xlfn.XLOOKUP(H1432, risk_score!A:A, risk_score!B:B, 0)</f>
        <v>Low Risk</v>
      </c>
    </row>
    <row r="1433" spans="1:14">
      <c r="A1433" s="2">
        <v>0.47758101851851853</v>
      </c>
      <c r="B1433" s="3">
        <v>44841</v>
      </c>
      <c r="C1433" s="1">
        <v>6577066451</v>
      </c>
      <c r="D1433" s="1">
        <v>4143157809</v>
      </c>
      <c r="E1433" s="1">
        <v>5360.63</v>
      </c>
      <c r="F1433" s="1" t="s">
        <v>12</v>
      </c>
      <c r="G1433" s="1" t="s">
        <v>12</v>
      </c>
      <c r="H1433" s="1" t="s">
        <v>13</v>
      </c>
      <c r="I1433" s="1" t="s">
        <v>13</v>
      </c>
      <c r="J1433" s="1" t="s">
        <v>25</v>
      </c>
      <c r="K1433" s="1">
        <v>0</v>
      </c>
      <c r="L1433" s="1" t="s">
        <v>38</v>
      </c>
      <c r="M1433" s="1" t="str">
        <f t="shared" si="22"/>
        <v>Consistent</v>
      </c>
      <c r="N1433" s="1" t="str">
        <f>_xlfn.XLOOKUP(H1433, risk_score!A:A, risk_score!B:B, 0)</f>
        <v>Low Risk</v>
      </c>
    </row>
    <row r="1434" spans="1:14">
      <c r="A1434" s="2">
        <v>0.4776273148148148</v>
      </c>
      <c r="B1434" s="3">
        <v>44841</v>
      </c>
      <c r="C1434" s="1">
        <v>6976962403</v>
      </c>
      <c r="D1434" s="1">
        <v>3008027775</v>
      </c>
      <c r="E1434" s="1">
        <v>519.07000000000005</v>
      </c>
      <c r="F1434" s="1" t="s">
        <v>12</v>
      </c>
      <c r="G1434" s="1" t="s">
        <v>12</v>
      </c>
      <c r="H1434" s="1" t="s">
        <v>13</v>
      </c>
      <c r="I1434" s="1" t="s">
        <v>13</v>
      </c>
      <c r="J1434" s="1" t="s">
        <v>25</v>
      </c>
      <c r="K1434" s="1">
        <v>0</v>
      </c>
      <c r="L1434" s="1" t="s">
        <v>21</v>
      </c>
      <c r="M1434" s="1" t="str">
        <f t="shared" si="22"/>
        <v>Consistent</v>
      </c>
      <c r="N1434" s="1" t="str">
        <f>_xlfn.XLOOKUP(H1434, risk_score!A:A, risk_score!B:B, 0)</f>
        <v>Low Risk</v>
      </c>
    </row>
    <row r="1435" spans="1:14">
      <c r="A1435" s="2">
        <v>0.47765046296296299</v>
      </c>
      <c r="B1435" s="3">
        <v>44841</v>
      </c>
      <c r="C1435" s="1">
        <v>5534307473</v>
      </c>
      <c r="D1435" s="1">
        <v>409707192</v>
      </c>
      <c r="E1435" s="1">
        <v>5501.15</v>
      </c>
      <c r="F1435" s="1" t="s">
        <v>12</v>
      </c>
      <c r="G1435" s="1" t="s">
        <v>12</v>
      </c>
      <c r="H1435" s="1" t="s">
        <v>13</v>
      </c>
      <c r="I1435" s="1" t="s">
        <v>13</v>
      </c>
      <c r="J1435" s="1" t="s">
        <v>25</v>
      </c>
      <c r="K1435" s="1">
        <v>0</v>
      </c>
      <c r="L1435" s="1" t="s">
        <v>23</v>
      </c>
      <c r="M1435" s="1" t="str">
        <f t="shared" si="22"/>
        <v>Consistent</v>
      </c>
      <c r="N1435" s="1" t="str">
        <f>_xlfn.XLOOKUP(H1435, risk_score!A:A, risk_score!B:B, 0)</f>
        <v>Low Risk</v>
      </c>
    </row>
    <row r="1436" spans="1:14">
      <c r="A1436" s="2">
        <v>0.47775462962962961</v>
      </c>
      <c r="B1436" s="3">
        <v>44841</v>
      </c>
      <c r="C1436" s="1">
        <v>1226944129</v>
      </c>
      <c r="D1436" s="1">
        <v>2534644942</v>
      </c>
      <c r="E1436" s="1">
        <v>13085.62</v>
      </c>
      <c r="F1436" s="1" t="s">
        <v>12</v>
      </c>
      <c r="G1436" s="1" t="s">
        <v>29</v>
      </c>
      <c r="H1436" s="1" t="s">
        <v>13</v>
      </c>
      <c r="I1436" s="1" t="s">
        <v>31</v>
      </c>
      <c r="J1436" s="1" t="s">
        <v>18</v>
      </c>
      <c r="K1436" s="1">
        <v>0</v>
      </c>
      <c r="L1436" s="1" t="s">
        <v>23</v>
      </c>
      <c r="M1436" s="1" t="str">
        <f t="shared" si="22"/>
        <v>Potential Layering</v>
      </c>
      <c r="N1436" s="1" t="str">
        <f>_xlfn.XLOOKUP(H1436, risk_score!A:A, risk_score!B:B, 0)</f>
        <v>Low Risk</v>
      </c>
    </row>
    <row r="1437" spans="1:14">
      <c r="A1437" s="2">
        <v>0.47776620370370371</v>
      </c>
      <c r="B1437" s="3">
        <v>44841</v>
      </c>
      <c r="C1437" s="1">
        <v>4121324384</v>
      </c>
      <c r="D1437" s="1">
        <v>3405158611</v>
      </c>
      <c r="E1437" s="1">
        <v>6494.05</v>
      </c>
      <c r="F1437" s="1" t="s">
        <v>29</v>
      </c>
      <c r="G1437" s="1" t="s">
        <v>12</v>
      </c>
      <c r="H1437" s="1" t="s">
        <v>30</v>
      </c>
      <c r="I1437" s="1" t="s">
        <v>13</v>
      </c>
      <c r="J1437" s="1" t="s">
        <v>18</v>
      </c>
      <c r="K1437" s="1">
        <v>0</v>
      </c>
      <c r="L1437" s="1" t="s">
        <v>19</v>
      </c>
      <c r="M1437" s="1" t="str">
        <f t="shared" si="22"/>
        <v>Potential Layering</v>
      </c>
      <c r="N1437" s="1" t="str">
        <f>_xlfn.XLOOKUP(H1437, risk_score!A:A, risk_score!B:B, 0)</f>
        <v>Low Risk</v>
      </c>
    </row>
    <row r="1438" spans="1:14">
      <c r="A1438" s="2">
        <v>0.47780092592592593</v>
      </c>
      <c r="B1438" s="3">
        <v>44841</v>
      </c>
      <c r="C1438" s="1">
        <v>1074859180</v>
      </c>
      <c r="D1438" s="1">
        <v>5363117119</v>
      </c>
      <c r="E1438" s="1">
        <v>17349.95</v>
      </c>
      <c r="F1438" s="1" t="s">
        <v>12</v>
      </c>
      <c r="G1438" s="1" t="s">
        <v>12</v>
      </c>
      <c r="H1438" s="1" t="s">
        <v>13</v>
      </c>
      <c r="I1438" s="1" t="s">
        <v>13</v>
      </c>
      <c r="J1438" s="1" t="s">
        <v>27</v>
      </c>
      <c r="K1438" s="1">
        <v>0</v>
      </c>
      <c r="L1438" s="1" t="s">
        <v>23</v>
      </c>
      <c r="M1438" s="1" t="str">
        <f t="shared" si="22"/>
        <v>Consistent</v>
      </c>
      <c r="N1438" s="1" t="str">
        <f>_xlfn.XLOOKUP(H1438, risk_score!A:A, risk_score!B:B, 0)</f>
        <v>Low Risk</v>
      </c>
    </row>
    <row r="1439" spans="1:14">
      <c r="A1439" s="2">
        <v>0.47790509259259262</v>
      </c>
      <c r="B1439" s="3">
        <v>44841</v>
      </c>
      <c r="C1439" s="1">
        <v>6086421020</v>
      </c>
      <c r="D1439" s="1">
        <v>1695365423</v>
      </c>
      <c r="E1439" s="1">
        <v>6503.58</v>
      </c>
      <c r="F1439" s="1" t="s">
        <v>12</v>
      </c>
      <c r="G1439" s="1" t="s">
        <v>12</v>
      </c>
      <c r="H1439" s="1" t="s">
        <v>13</v>
      </c>
      <c r="I1439" s="1" t="s">
        <v>13</v>
      </c>
      <c r="J1439" s="1" t="s">
        <v>25</v>
      </c>
      <c r="K1439" s="1">
        <v>0</v>
      </c>
      <c r="L1439" s="1" t="s">
        <v>19</v>
      </c>
      <c r="M1439" s="1" t="str">
        <f t="shared" si="22"/>
        <v>Consistent</v>
      </c>
      <c r="N1439" s="1" t="str">
        <f>_xlfn.XLOOKUP(H1439, risk_score!A:A, risk_score!B:B, 0)</f>
        <v>Low Risk</v>
      </c>
    </row>
    <row r="1440" spans="1:14">
      <c r="A1440" s="2">
        <v>0.47795138888888888</v>
      </c>
      <c r="B1440" s="3">
        <v>44841</v>
      </c>
      <c r="C1440" s="1">
        <v>6760427237</v>
      </c>
      <c r="D1440" s="1">
        <v>7080357663</v>
      </c>
      <c r="E1440" s="1">
        <v>6879.86</v>
      </c>
      <c r="F1440" s="1" t="s">
        <v>12</v>
      </c>
      <c r="G1440" s="1" t="s">
        <v>12</v>
      </c>
      <c r="H1440" s="1" t="s">
        <v>13</v>
      </c>
      <c r="I1440" s="1" t="s">
        <v>13</v>
      </c>
      <c r="J1440" s="1" t="s">
        <v>27</v>
      </c>
      <c r="K1440" s="1">
        <v>0</v>
      </c>
      <c r="L1440" s="1" t="s">
        <v>23</v>
      </c>
      <c r="M1440" s="1" t="str">
        <f t="shared" si="22"/>
        <v>Consistent</v>
      </c>
      <c r="N1440" s="1" t="str">
        <f>_xlfn.XLOOKUP(H1440, risk_score!A:A, risk_score!B:B, 0)</f>
        <v>Low Risk</v>
      </c>
    </row>
    <row r="1441" spans="1:14">
      <c r="A1441" s="2">
        <v>0.47796296296296298</v>
      </c>
      <c r="B1441" s="3">
        <v>44841</v>
      </c>
      <c r="C1441" s="1">
        <v>1730350525</v>
      </c>
      <c r="D1441" s="1">
        <v>4336977506</v>
      </c>
      <c r="E1441" s="1">
        <v>7219.86</v>
      </c>
      <c r="F1441" s="1" t="s">
        <v>12</v>
      </c>
      <c r="G1441" s="1" t="s">
        <v>12</v>
      </c>
      <c r="H1441" s="1" t="s">
        <v>13</v>
      </c>
      <c r="I1441" s="1" t="s">
        <v>13</v>
      </c>
      <c r="J1441" s="1" t="s">
        <v>20</v>
      </c>
      <c r="K1441" s="1">
        <v>0</v>
      </c>
      <c r="L1441" s="1" t="s">
        <v>23</v>
      </c>
      <c r="M1441" s="1" t="str">
        <f t="shared" si="22"/>
        <v>Consistent</v>
      </c>
      <c r="N1441" s="1" t="str">
        <f>_xlfn.XLOOKUP(H1441, risk_score!A:A, risk_score!B:B, 0)</f>
        <v>Low Risk</v>
      </c>
    </row>
    <row r="1442" spans="1:14">
      <c r="A1442" s="2">
        <v>0.47798611111111111</v>
      </c>
      <c r="B1442" s="3">
        <v>44841</v>
      </c>
      <c r="C1442" s="1">
        <v>4684563438</v>
      </c>
      <c r="D1442" s="1">
        <v>1320927231</v>
      </c>
      <c r="E1442" s="1">
        <v>9681.51</v>
      </c>
      <c r="F1442" s="1" t="s">
        <v>12</v>
      </c>
      <c r="G1442" s="1" t="s">
        <v>12</v>
      </c>
      <c r="H1442" s="1" t="s">
        <v>13</v>
      </c>
      <c r="I1442" s="1" t="s">
        <v>13</v>
      </c>
      <c r="J1442" s="1" t="s">
        <v>22</v>
      </c>
      <c r="K1442" s="1">
        <v>0</v>
      </c>
      <c r="L1442" s="1" t="s">
        <v>23</v>
      </c>
      <c r="M1442" s="1" t="str">
        <f t="shared" si="22"/>
        <v>Consistent</v>
      </c>
      <c r="N1442" s="1" t="str">
        <f>_xlfn.XLOOKUP(H1442, risk_score!A:A, risk_score!B:B, 0)</f>
        <v>Low Risk</v>
      </c>
    </row>
    <row r="1443" spans="1:14">
      <c r="A1443" s="2">
        <v>0.47798611111111111</v>
      </c>
      <c r="B1443" s="3">
        <v>44841</v>
      </c>
      <c r="C1443" s="1">
        <v>637906602</v>
      </c>
      <c r="D1443" s="1">
        <v>5785452477</v>
      </c>
      <c r="E1443" s="1">
        <v>473.48</v>
      </c>
      <c r="F1443" s="1" t="s">
        <v>12</v>
      </c>
      <c r="G1443" s="1" t="s">
        <v>12</v>
      </c>
      <c r="H1443" s="1" t="s">
        <v>13</v>
      </c>
      <c r="I1443" s="1" t="s">
        <v>13</v>
      </c>
      <c r="J1443" s="1" t="s">
        <v>22</v>
      </c>
      <c r="K1443" s="1">
        <v>0</v>
      </c>
      <c r="L1443" s="1" t="s">
        <v>21</v>
      </c>
      <c r="M1443" s="1" t="str">
        <f t="shared" si="22"/>
        <v>Consistent</v>
      </c>
      <c r="N1443" s="1" t="str">
        <f>_xlfn.XLOOKUP(H1443, risk_score!A:A, risk_score!B:B, 0)</f>
        <v>Low Risk</v>
      </c>
    </row>
    <row r="1444" spans="1:14">
      <c r="A1444" s="2">
        <v>0.47799768518518521</v>
      </c>
      <c r="B1444" s="3">
        <v>44841</v>
      </c>
      <c r="C1444" s="1">
        <v>3452368468</v>
      </c>
      <c r="D1444" s="1">
        <v>4833559204</v>
      </c>
      <c r="E1444" s="1">
        <v>10293.23</v>
      </c>
      <c r="F1444" s="1" t="s">
        <v>12</v>
      </c>
      <c r="G1444" s="1" t="s">
        <v>12</v>
      </c>
      <c r="H1444" s="1" t="s">
        <v>13</v>
      </c>
      <c r="I1444" s="1" t="s">
        <v>13</v>
      </c>
      <c r="J1444" s="1" t="s">
        <v>22</v>
      </c>
      <c r="K1444" s="1">
        <v>0</v>
      </c>
      <c r="L1444" s="1" t="s">
        <v>19</v>
      </c>
      <c r="M1444" s="1" t="str">
        <f t="shared" si="22"/>
        <v>Consistent</v>
      </c>
      <c r="N1444" s="1" t="str">
        <f>_xlfn.XLOOKUP(H1444, risk_score!A:A, risk_score!B:B, 0)</f>
        <v>Low Risk</v>
      </c>
    </row>
    <row r="1445" spans="1:14">
      <c r="A1445" s="2">
        <v>0.47800925925925924</v>
      </c>
      <c r="B1445" s="3">
        <v>44841</v>
      </c>
      <c r="C1445" s="1">
        <v>8047909179</v>
      </c>
      <c r="D1445" s="1">
        <v>2584568182</v>
      </c>
      <c r="E1445" s="1">
        <v>2753.64</v>
      </c>
      <c r="F1445" s="1" t="s">
        <v>12</v>
      </c>
      <c r="G1445" s="1" t="s">
        <v>12</v>
      </c>
      <c r="H1445" s="1" t="s">
        <v>13</v>
      </c>
      <c r="I1445" s="1" t="s">
        <v>13</v>
      </c>
      <c r="J1445" s="1" t="s">
        <v>25</v>
      </c>
      <c r="K1445" s="1">
        <v>0</v>
      </c>
      <c r="L1445" s="1" t="s">
        <v>38</v>
      </c>
      <c r="M1445" s="1" t="str">
        <f t="shared" si="22"/>
        <v>Consistent</v>
      </c>
      <c r="N1445" s="1" t="str">
        <f>_xlfn.XLOOKUP(H1445, risk_score!A:A, risk_score!B:B, 0)</f>
        <v>Low Risk</v>
      </c>
    </row>
    <row r="1446" spans="1:14">
      <c r="A1446" s="2">
        <v>0.47800925925925924</v>
      </c>
      <c r="B1446" s="3">
        <v>44841</v>
      </c>
      <c r="C1446" s="1">
        <v>3030213922</v>
      </c>
      <c r="D1446" s="1">
        <v>1377603863</v>
      </c>
      <c r="E1446" s="1">
        <v>7090.59</v>
      </c>
      <c r="F1446" s="1" t="s">
        <v>12</v>
      </c>
      <c r="G1446" s="1" t="s">
        <v>12</v>
      </c>
      <c r="H1446" s="1" t="s">
        <v>13</v>
      </c>
      <c r="I1446" s="1" t="s">
        <v>13</v>
      </c>
      <c r="J1446" s="1" t="s">
        <v>25</v>
      </c>
      <c r="K1446" s="1">
        <v>0</v>
      </c>
      <c r="L1446" s="1" t="s">
        <v>23</v>
      </c>
      <c r="M1446" s="1" t="str">
        <f t="shared" si="22"/>
        <v>Consistent</v>
      </c>
      <c r="N1446" s="1" t="str">
        <f>_xlfn.XLOOKUP(H1446, risk_score!A:A, risk_score!B:B, 0)</f>
        <v>Low Risk</v>
      </c>
    </row>
    <row r="1447" spans="1:14">
      <c r="A1447" s="2">
        <v>0.47800925925925924</v>
      </c>
      <c r="B1447" s="3">
        <v>44841</v>
      </c>
      <c r="C1447" s="1">
        <v>5571652530</v>
      </c>
      <c r="D1447" s="1">
        <v>5466123934</v>
      </c>
      <c r="E1447" s="1">
        <v>5646.55</v>
      </c>
      <c r="F1447" s="1" t="s">
        <v>12</v>
      </c>
      <c r="G1447" s="1" t="s">
        <v>12</v>
      </c>
      <c r="H1447" s="1" t="s">
        <v>13</v>
      </c>
      <c r="I1447" s="1" t="s">
        <v>13</v>
      </c>
      <c r="J1447" s="1" t="s">
        <v>20</v>
      </c>
      <c r="K1447" s="1">
        <v>0</v>
      </c>
      <c r="L1447" s="1" t="s">
        <v>23</v>
      </c>
      <c r="M1447" s="1" t="str">
        <f t="shared" si="22"/>
        <v>Consistent</v>
      </c>
      <c r="N1447" s="1" t="str">
        <f>_xlfn.XLOOKUP(H1447, risk_score!A:A, risk_score!B:B, 0)</f>
        <v>Low Risk</v>
      </c>
    </row>
    <row r="1448" spans="1:14">
      <c r="A1448" s="2">
        <v>0.47802083333333334</v>
      </c>
      <c r="B1448" s="3">
        <v>44841</v>
      </c>
      <c r="C1448" s="1">
        <v>8566764671</v>
      </c>
      <c r="D1448" s="1">
        <v>3154451638</v>
      </c>
      <c r="E1448" s="1">
        <v>1360.52</v>
      </c>
      <c r="F1448" s="1" t="s">
        <v>12</v>
      </c>
      <c r="G1448" s="1" t="s">
        <v>12</v>
      </c>
      <c r="H1448" s="1" t="s">
        <v>13</v>
      </c>
      <c r="I1448" s="1" t="s">
        <v>13</v>
      </c>
      <c r="J1448" s="1" t="s">
        <v>27</v>
      </c>
      <c r="K1448" s="1">
        <v>0</v>
      </c>
      <c r="L1448" s="1" t="s">
        <v>24</v>
      </c>
      <c r="M1448" s="1" t="str">
        <f t="shared" si="22"/>
        <v>Consistent</v>
      </c>
      <c r="N1448" s="1" t="str">
        <f>_xlfn.XLOOKUP(H1448, risk_score!A:A, risk_score!B:B, 0)</f>
        <v>Low Risk</v>
      </c>
    </row>
    <row r="1449" spans="1:14">
      <c r="A1449" s="2">
        <v>0.47803240740740743</v>
      </c>
      <c r="B1449" s="3">
        <v>44841</v>
      </c>
      <c r="C1449" s="1">
        <v>2138042075</v>
      </c>
      <c r="D1449" s="1">
        <v>8134019453</v>
      </c>
      <c r="E1449" s="1">
        <v>146.49</v>
      </c>
      <c r="F1449" s="1" t="s">
        <v>12</v>
      </c>
      <c r="G1449" s="1" t="s">
        <v>12</v>
      </c>
      <c r="H1449" s="1" t="s">
        <v>13</v>
      </c>
      <c r="I1449" s="1" t="s">
        <v>13</v>
      </c>
      <c r="J1449" s="1" t="s">
        <v>22</v>
      </c>
      <c r="K1449" s="1">
        <v>0</v>
      </c>
      <c r="L1449" s="1" t="s">
        <v>21</v>
      </c>
      <c r="M1449" s="1" t="str">
        <f t="shared" si="22"/>
        <v>Consistent</v>
      </c>
      <c r="N1449" s="1" t="str">
        <f>_xlfn.XLOOKUP(H1449, risk_score!A:A, risk_score!B:B, 0)</f>
        <v>Low Risk</v>
      </c>
    </row>
    <row r="1450" spans="1:14">
      <c r="A1450" s="2">
        <v>0.47804398148148147</v>
      </c>
      <c r="B1450" s="3">
        <v>44841</v>
      </c>
      <c r="C1450" s="1">
        <v>8389148416</v>
      </c>
      <c r="D1450" s="1">
        <v>7489694854</v>
      </c>
      <c r="E1450" s="1">
        <v>23159.96</v>
      </c>
      <c r="F1450" s="1" t="s">
        <v>12</v>
      </c>
      <c r="G1450" s="1" t="s">
        <v>29</v>
      </c>
      <c r="H1450" s="1" t="s">
        <v>13</v>
      </c>
      <c r="I1450" s="1" t="s">
        <v>48</v>
      </c>
      <c r="J1450" s="1" t="s">
        <v>18</v>
      </c>
      <c r="K1450" s="1">
        <v>0</v>
      </c>
      <c r="L1450" s="1" t="s">
        <v>19</v>
      </c>
      <c r="M1450" s="1" t="str">
        <f t="shared" si="22"/>
        <v>Potential Layering</v>
      </c>
      <c r="N1450" s="1" t="str">
        <f>_xlfn.XLOOKUP(H1450, risk_score!A:A, risk_score!B:B, 0)</f>
        <v>Low Risk</v>
      </c>
    </row>
    <row r="1451" spans="1:14">
      <c r="A1451" s="2">
        <v>0.47804398148148147</v>
      </c>
      <c r="B1451" s="3">
        <v>44841</v>
      </c>
      <c r="C1451" s="1">
        <v>7037591332</v>
      </c>
      <c r="D1451" s="1">
        <v>7199625988</v>
      </c>
      <c r="E1451" s="1">
        <v>5959.93</v>
      </c>
      <c r="F1451" s="1" t="s">
        <v>12</v>
      </c>
      <c r="G1451" s="1" t="s">
        <v>12</v>
      </c>
      <c r="H1451" s="1" t="s">
        <v>13</v>
      </c>
      <c r="I1451" s="1" t="s">
        <v>13</v>
      </c>
      <c r="J1451" s="1" t="s">
        <v>25</v>
      </c>
      <c r="K1451" s="1">
        <v>0</v>
      </c>
      <c r="L1451" s="1" t="s">
        <v>23</v>
      </c>
      <c r="M1451" s="1" t="str">
        <f t="shared" si="22"/>
        <v>Consistent</v>
      </c>
      <c r="N1451" s="1" t="str">
        <f>_xlfn.XLOOKUP(H1451, risk_score!A:A, risk_score!B:B, 0)</f>
        <v>Low Risk</v>
      </c>
    </row>
    <row r="1452" spans="1:14">
      <c r="A1452" s="2">
        <v>0.47811342592592593</v>
      </c>
      <c r="B1452" s="3">
        <v>44841</v>
      </c>
      <c r="C1452" s="1">
        <v>8125949604</v>
      </c>
      <c r="D1452" s="1">
        <v>6180364664</v>
      </c>
      <c r="E1452" s="1">
        <v>7546.5</v>
      </c>
      <c r="F1452" s="1" t="s">
        <v>12</v>
      </c>
      <c r="G1452" s="1" t="s">
        <v>12</v>
      </c>
      <c r="H1452" s="1" t="s">
        <v>13</v>
      </c>
      <c r="I1452" s="1" t="s">
        <v>13</v>
      </c>
      <c r="J1452" s="1" t="s">
        <v>20</v>
      </c>
      <c r="K1452" s="1">
        <v>0</v>
      </c>
      <c r="L1452" s="1" t="s">
        <v>21</v>
      </c>
      <c r="M1452" s="1" t="str">
        <f t="shared" si="22"/>
        <v>Consistent</v>
      </c>
      <c r="N1452" s="1" t="str">
        <f>_xlfn.XLOOKUP(H1452, risk_score!A:A, risk_score!B:B, 0)</f>
        <v>Low Risk</v>
      </c>
    </row>
    <row r="1453" spans="1:14">
      <c r="A1453" s="2">
        <v>0.47813657407407406</v>
      </c>
      <c r="B1453" s="3">
        <v>44841</v>
      </c>
      <c r="C1453" s="1">
        <v>5691675777</v>
      </c>
      <c r="D1453" s="1">
        <v>6615179883</v>
      </c>
      <c r="E1453" s="1">
        <v>16605.72</v>
      </c>
      <c r="F1453" s="1" t="s">
        <v>12</v>
      </c>
      <c r="G1453" s="1" t="s">
        <v>12</v>
      </c>
      <c r="H1453" s="1" t="s">
        <v>13</v>
      </c>
      <c r="I1453" s="1" t="s">
        <v>13</v>
      </c>
      <c r="J1453" s="1" t="s">
        <v>25</v>
      </c>
      <c r="K1453" s="1">
        <v>0</v>
      </c>
      <c r="L1453" s="1" t="s">
        <v>38</v>
      </c>
      <c r="M1453" s="1" t="str">
        <f t="shared" si="22"/>
        <v>Consistent</v>
      </c>
      <c r="N1453" s="1" t="str">
        <f>_xlfn.XLOOKUP(H1453, risk_score!A:A, risk_score!B:B, 0)</f>
        <v>Low Risk</v>
      </c>
    </row>
    <row r="1454" spans="1:14">
      <c r="A1454" s="2">
        <v>0.47821759259259261</v>
      </c>
      <c r="B1454" s="3">
        <v>44841</v>
      </c>
      <c r="C1454" s="1">
        <v>8112335922</v>
      </c>
      <c r="D1454" s="1">
        <v>3748279258</v>
      </c>
      <c r="E1454" s="1">
        <v>4509.96</v>
      </c>
      <c r="F1454" s="1" t="s">
        <v>12</v>
      </c>
      <c r="G1454" s="1" t="s">
        <v>12</v>
      </c>
      <c r="H1454" s="1" t="s">
        <v>13</v>
      </c>
      <c r="I1454" s="1" t="s">
        <v>13</v>
      </c>
      <c r="J1454" s="1" t="s">
        <v>20</v>
      </c>
      <c r="K1454" s="1">
        <v>0</v>
      </c>
      <c r="L1454" s="1" t="s">
        <v>21</v>
      </c>
      <c r="M1454" s="1" t="str">
        <f t="shared" si="22"/>
        <v>Consistent</v>
      </c>
      <c r="N1454" s="1" t="str">
        <f>_xlfn.XLOOKUP(H1454, risk_score!A:A, risk_score!B:B, 0)</f>
        <v>Low Risk</v>
      </c>
    </row>
    <row r="1455" spans="1:14">
      <c r="A1455" s="2">
        <v>0.47821759259259261</v>
      </c>
      <c r="B1455" s="3">
        <v>44841</v>
      </c>
      <c r="C1455" s="1">
        <v>6852182033</v>
      </c>
      <c r="D1455" s="1">
        <v>3203801265</v>
      </c>
      <c r="E1455" s="1">
        <v>155.02000000000001</v>
      </c>
      <c r="F1455" s="1" t="s">
        <v>12</v>
      </c>
      <c r="G1455" s="1" t="s">
        <v>12</v>
      </c>
      <c r="H1455" s="1" t="s">
        <v>13</v>
      </c>
      <c r="I1455" s="1" t="s">
        <v>13</v>
      </c>
      <c r="J1455" s="1" t="s">
        <v>36</v>
      </c>
      <c r="K1455" s="1">
        <v>0</v>
      </c>
      <c r="L1455" s="1" t="s">
        <v>37</v>
      </c>
      <c r="M1455" s="1" t="str">
        <f t="shared" si="22"/>
        <v>Consistent</v>
      </c>
      <c r="N1455" s="1" t="str">
        <f>_xlfn.XLOOKUP(H1455, risk_score!A:A, risk_score!B:B, 0)</f>
        <v>Low Risk</v>
      </c>
    </row>
    <row r="1456" spans="1:14">
      <c r="A1456" s="2">
        <v>0.47825231481481484</v>
      </c>
      <c r="B1456" s="3">
        <v>44841</v>
      </c>
      <c r="C1456" s="1">
        <v>9608035827</v>
      </c>
      <c r="D1456" s="1">
        <v>9753557589</v>
      </c>
      <c r="E1456" s="1">
        <v>618.04</v>
      </c>
      <c r="F1456" s="1" t="s">
        <v>12</v>
      </c>
      <c r="G1456" s="1" t="s">
        <v>12</v>
      </c>
      <c r="H1456" s="1" t="s">
        <v>13</v>
      </c>
      <c r="I1456" s="1" t="s">
        <v>13</v>
      </c>
      <c r="J1456" s="1" t="s">
        <v>20</v>
      </c>
      <c r="K1456" s="1">
        <v>0</v>
      </c>
      <c r="L1456" s="1" t="s">
        <v>21</v>
      </c>
      <c r="M1456" s="1" t="str">
        <f t="shared" si="22"/>
        <v>Consistent</v>
      </c>
      <c r="N1456" s="1" t="str">
        <f>_xlfn.XLOOKUP(H1456, risk_score!A:A, risk_score!B:B, 0)</f>
        <v>Low Risk</v>
      </c>
    </row>
    <row r="1457" spans="1:14">
      <c r="A1457" s="2">
        <v>0.47825231481481484</v>
      </c>
      <c r="B1457" s="3">
        <v>44841</v>
      </c>
      <c r="C1457" s="1">
        <v>2497848161</v>
      </c>
      <c r="D1457" s="1">
        <v>2451278156</v>
      </c>
      <c r="E1457" s="1">
        <v>321.26</v>
      </c>
      <c r="F1457" s="1" t="s">
        <v>12</v>
      </c>
      <c r="G1457" s="1" t="s">
        <v>12</v>
      </c>
      <c r="H1457" s="1" t="s">
        <v>13</v>
      </c>
      <c r="I1457" s="1" t="s">
        <v>13</v>
      </c>
      <c r="J1457" s="1" t="s">
        <v>20</v>
      </c>
      <c r="K1457" s="1">
        <v>0</v>
      </c>
      <c r="L1457" s="1" t="s">
        <v>24</v>
      </c>
      <c r="M1457" s="1" t="str">
        <f t="shared" si="22"/>
        <v>Consistent</v>
      </c>
      <c r="N1457" s="1" t="str">
        <f>_xlfn.XLOOKUP(H1457, risk_score!A:A, risk_score!B:B, 0)</f>
        <v>Low Risk</v>
      </c>
    </row>
    <row r="1458" spans="1:14">
      <c r="A1458" s="2">
        <v>0.47826388888888888</v>
      </c>
      <c r="B1458" s="3">
        <v>44841</v>
      </c>
      <c r="C1458" s="1">
        <v>9588577727</v>
      </c>
      <c r="D1458" s="1">
        <v>3220735304</v>
      </c>
      <c r="E1458" s="1">
        <v>8076.14</v>
      </c>
      <c r="F1458" s="1" t="s">
        <v>12</v>
      </c>
      <c r="G1458" s="1" t="s">
        <v>12</v>
      </c>
      <c r="H1458" s="1" t="s">
        <v>13</v>
      </c>
      <c r="I1458" s="1" t="s">
        <v>13</v>
      </c>
      <c r="J1458" s="1" t="s">
        <v>22</v>
      </c>
      <c r="K1458" s="1">
        <v>0</v>
      </c>
      <c r="L1458" s="1" t="s">
        <v>23</v>
      </c>
      <c r="M1458" s="1" t="str">
        <f t="shared" si="22"/>
        <v>Consistent</v>
      </c>
      <c r="N1458" s="1" t="str">
        <f>_xlfn.XLOOKUP(H1458, risk_score!A:A, risk_score!B:B, 0)</f>
        <v>Low Risk</v>
      </c>
    </row>
    <row r="1459" spans="1:14">
      <c r="A1459" s="2">
        <v>0.47827546296296297</v>
      </c>
      <c r="B1459" s="3">
        <v>44841</v>
      </c>
      <c r="C1459" s="1">
        <v>4150879707</v>
      </c>
      <c r="D1459" s="1">
        <v>409707192</v>
      </c>
      <c r="E1459" s="1">
        <v>10634.1</v>
      </c>
      <c r="F1459" s="1" t="s">
        <v>12</v>
      </c>
      <c r="G1459" s="1" t="s">
        <v>12</v>
      </c>
      <c r="H1459" s="1" t="s">
        <v>13</v>
      </c>
      <c r="I1459" s="1" t="s">
        <v>13</v>
      </c>
      <c r="J1459" s="1" t="s">
        <v>22</v>
      </c>
      <c r="K1459" s="1">
        <v>0</v>
      </c>
      <c r="L1459" s="1" t="s">
        <v>23</v>
      </c>
      <c r="M1459" s="1" t="str">
        <f t="shared" si="22"/>
        <v>Consistent</v>
      </c>
      <c r="N1459" s="1" t="str">
        <f>_xlfn.XLOOKUP(H1459, risk_score!A:A, risk_score!B:B, 0)</f>
        <v>Low Risk</v>
      </c>
    </row>
    <row r="1460" spans="1:14">
      <c r="A1460" s="2">
        <v>0.47833333333333333</v>
      </c>
      <c r="B1460" s="3">
        <v>44841</v>
      </c>
      <c r="C1460" s="1">
        <v>2054223834</v>
      </c>
      <c r="D1460" s="1">
        <v>6034997194</v>
      </c>
      <c r="E1460" s="1">
        <v>5087.78</v>
      </c>
      <c r="F1460" s="1" t="s">
        <v>12</v>
      </c>
      <c r="G1460" s="1" t="s">
        <v>12</v>
      </c>
      <c r="H1460" s="1" t="s">
        <v>13</v>
      </c>
      <c r="I1460" s="1" t="s">
        <v>13</v>
      </c>
      <c r="J1460" s="1" t="s">
        <v>27</v>
      </c>
      <c r="K1460" s="1">
        <v>0</v>
      </c>
      <c r="L1460" s="1" t="s">
        <v>23</v>
      </c>
      <c r="M1460" s="1" t="str">
        <f t="shared" si="22"/>
        <v>Consistent</v>
      </c>
      <c r="N1460" s="1" t="str">
        <f>_xlfn.XLOOKUP(H1460, risk_score!A:A, risk_score!B:B, 0)</f>
        <v>Low Risk</v>
      </c>
    </row>
    <row r="1461" spans="1:14">
      <c r="A1461" s="2">
        <v>0.47836805555555556</v>
      </c>
      <c r="B1461" s="3">
        <v>44841</v>
      </c>
      <c r="C1461" s="1">
        <v>5264015348</v>
      </c>
      <c r="D1461" s="1">
        <v>6646502650</v>
      </c>
      <c r="E1461" s="1">
        <v>8535.66</v>
      </c>
      <c r="F1461" s="1" t="s">
        <v>12</v>
      </c>
      <c r="G1461" s="1" t="s">
        <v>29</v>
      </c>
      <c r="H1461" s="1" t="s">
        <v>13</v>
      </c>
      <c r="I1461" s="1" t="s">
        <v>31</v>
      </c>
      <c r="J1461" s="1" t="s">
        <v>18</v>
      </c>
      <c r="K1461" s="1">
        <v>0</v>
      </c>
      <c r="L1461" s="1" t="s">
        <v>23</v>
      </c>
      <c r="M1461" s="1" t="str">
        <f t="shared" si="22"/>
        <v>Potential Layering</v>
      </c>
      <c r="N1461" s="1" t="str">
        <f>_xlfn.XLOOKUP(H1461, risk_score!A:A, risk_score!B:B, 0)</f>
        <v>Low Risk</v>
      </c>
    </row>
    <row r="1462" spans="1:14">
      <c r="A1462" s="2">
        <v>0.47841435185185183</v>
      </c>
      <c r="B1462" s="3">
        <v>44841</v>
      </c>
      <c r="C1462" s="1">
        <v>1803547457</v>
      </c>
      <c r="D1462" s="1">
        <v>9941300304</v>
      </c>
      <c r="E1462" s="1">
        <v>21006.04</v>
      </c>
      <c r="F1462" s="1" t="s">
        <v>12</v>
      </c>
      <c r="G1462" s="1" t="s">
        <v>12</v>
      </c>
      <c r="H1462" s="1" t="s">
        <v>13</v>
      </c>
      <c r="I1462" s="1" t="s">
        <v>13</v>
      </c>
      <c r="J1462" s="1" t="s">
        <v>25</v>
      </c>
      <c r="K1462" s="1">
        <v>0</v>
      </c>
      <c r="L1462" s="1" t="s">
        <v>21</v>
      </c>
      <c r="M1462" s="1" t="str">
        <f t="shared" si="22"/>
        <v>Consistent</v>
      </c>
      <c r="N1462" s="1" t="str">
        <f>_xlfn.XLOOKUP(H1462, risk_score!A:A, risk_score!B:B, 0)</f>
        <v>Low Risk</v>
      </c>
    </row>
    <row r="1463" spans="1:14">
      <c r="A1463" s="2">
        <v>0.47842592592592592</v>
      </c>
      <c r="B1463" s="3">
        <v>44841</v>
      </c>
      <c r="C1463" s="1">
        <v>6810330634</v>
      </c>
      <c r="D1463" s="1">
        <v>9706779146</v>
      </c>
      <c r="E1463" s="1">
        <v>12853.31</v>
      </c>
      <c r="F1463" s="1" t="s">
        <v>12</v>
      </c>
      <c r="G1463" s="1" t="s">
        <v>12</v>
      </c>
      <c r="H1463" s="1" t="s">
        <v>13</v>
      </c>
      <c r="I1463" s="1" t="s">
        <v>13</v>
      </c>
      <c r="J1463" s="1" t="s">
        <v>25</v>
      </c>
      <c r="K1463" s="1">
        <v>0</v>
      </c>
      <c r="L1463" s="1" t="s">
        <v>21</v>
      </c>
      <c r="M1463" s="1" t="str">
        <f t="shared" si="22"/>
        <v>Consistent</v>
      </c>
      <c r="N1463" s="1" t="str">
        <f>_xlfn.XLOOKUP(H1463, risk_score!A:A, risk_score!B:B, 0)</f>
        <v>Low Risk</v>
      </c>
    </row>
    <row r="1464" spans="1:14">
      <c r="A1464" s="2">
        <v>0.47842592592592592</v>
      </c>
      <c r="B1464" s="3">
        <v>44841</v>
      </c>
      <c r="C1464" s="1">
        <v>9551582617</v>
      </c>
      <c r="D1464" s="1">
        <v>88079829</v>
      </c>
      <c r="E1464" s="1">
        <v>1567.43</v>
      </c>
      <c r="F1464" s="1" t="s">
        <v>12</v>
      </c>
      <c r="G1464" s="1" t="s">
        <v>12</v>
      </c>
      <c r="H1464" s="1" t="s">
        <v>13</v>
      </c>
      <c r="I1464" s="1" t="s">
        <v>13</v>
      </c>
      <c r="J1464" s="1" t="s">
        <v>27</v>
      </c>
      <c r="K1464" s="1">
        <v>0</v>
      </c>
      <c r="L1464" s="1" t="s">
        <v>21</v>
      </c>
      <c r="M1464" s="1" t="str">
        <f t="shared" si="22"/>
        <v>Consistent</v>
      </c>
      <c r="N1464" s="1" t="str">
        <f>_xlfn.XLOOKUP(H1464, risk_score!A:A, risk_score!B:B, 0)</f>
        <v>Low Risk</v>
      </c>
    </row>
    <row r="1465" spans="1:14">
      <c r="A1465" s="2">
        <v>0.47846064814814815</v>
      </c>
      <c r="B1465" s="3">
        <v>44841</v>
      </c>
      <c r="C1465" s="1">
        <v>7744210851</v>
      </c>
      <c r="D1465" s="1">
        <v>8203619517</v>
      </c>
      <c r="E1465" s="1">
        <v>2058.15</v>
      </c>
      <c r="F1465" s="1" t="s">
        <v>12</v>
      </c>
      <c r="G1465" s="1" t="s">
        <v>12</v>
      </c>
      <c r="H1465" s="1" t="s">
        <v>13</v>
      </c>
      <c r="I1465" s="1" t="s">
        <v>13</v>
      </c>
      <c r="J1465" s="1" t="s">
        <v>22</v>
      </c>
      <c r="K1465" s="1">
        <v>0</v>
      </c>
      <c r="L1465" s="1" t="s">
        <v>21</v>
      </c>
      <c r="M1465" s="1" t="str">
        <f t="shared" si="22"/>
        <v>Consistent</v>
      </c>
      <c r="N1465" s="1" t="str">
        <f>_xlfn.XLOOKUP(H1465, risk_score!A:A, risk_score!B:B, 0)</f>
        <v>Low Risk</v>
      </c>
    </row>
    <row r="1466" spans="1:14">
      <c r="A1466" s="2">
        <v>0.47848379629629628</v>
      </c>
      <c r="B1466" s="3">
        <v>44841</v>
      </c>
      <c r="C1466" s="1">
        <v>5588112676</v>
      </c>
      <c r="D1466" s="1">
        <v>669525031</v>
      </c>
      <c r="E1466" s="1">
        <v>14097.79</v>
      </c>
      <c r="F1466" s="1" t="s">
        <v>12</v>
      </c>
      <c r="G1466" s="1" t="s">
        <v>12</v>
      </c>
      <c r="H1466" s="1" t="s">
        <v>13</v>
      </c>
      <c r="I1466" s="1" t="s">
        <v>13</v>
      </c>
      <c r="J1466" s="1" t="s">
        <v>22</v>
      </c>
      <c r="K1466" s="1">
        <v>0</v>
      </c>
      <c r="L1466" s="1" t="s">
        <v>21</v>
      </c>
      <c r="M1466" s="1" t="str">
        <f t="shared" si="22"/>
        <v>Consistent</v>
      </c>
      <c r="N1466" s="1" t="str">
        <f>_xlfn.XLOOKUP(H1466, risk_score!A:A, risk_score!B:B, 0)</f>
        <v>Low Risk</v>
      </c>
    </row>
    <row r="1467" spans="1:14">
      <c r="A1467" s="2">
        <v>0.47848379629629628</v>
      </c>
      <c r="B1467" s="3">
        <v>44841</v>
      </c>
      <c r="C1467" s="1">
        <v>2188890133</v>
      </c>
      <c r="D1467" s="1">
        <v>3256886500</v>
      </c>
      <c r="E1467" s="1">
        <v>2326.79</v>
      </c>
      <c r="F1467" s="1" t="s">
        <v>12</v>
      </c>
      <c r="G1467" s="1" t="s">
        <v>12</v>
      </c>
      <c r="H1467" s="1" t="s">
        <v>13</v>
      </c>
      <c r="I1467" s="1" t="s">
        <v>13</v>
      </c>
      <c r="J1467" s="1" t="s">
        <v>20</v>
      </c>
      <c r="K1467" s="1">
        <v>0</v>
      </c>
      <c r="L1467" s="1" t="s">
        <v>21</v>
      </c>
      <c r="M1467" s="1" t="str">
        <f t="shared" si="22"/>
        <v>Consistent</v>
      </c>
      <c r="N1467" s="1" t="str">
        <f>_xlfn.XLOOKUP(H1467, risk_score!A:A, risk_score!B:B, 0)</f>
        <v>Low Risk</v>
      </c>
    </row>
    <row r="1468" spans="1:14">
      <c r="A1468" s="2">
        <v>0.47851851851851851</v>
      </c>
      <c r="B1468" s="3">
        <v>44841</v>
      </c>
      <c r="C1468" s="1">
        <v>9599009457</v>
      </c>
      <c r="D1468" s="1">
        <v>8900742620</v>
      </c>
      <c r="E1468" s="1">
        <v>6214.34</v>
      </c>
      <c r="F1468" s="1" t="s">
        <v>12</v>
      </c>
      <c r="G1468" s="1" t="s">
        <v>46</v>
      </c>
      <c r="H1468" s="1" t="s">
        <v>13</v>
      </c>
      <c r="I1468" s="1" t="s">
        <v>47</v>
      </c>
      <c r="J1468" s="1" t="s">
        <v>18</v>
      </c>
      <c r="K1468" s="1">
        <v>0</v>
      </c>
      <c r="L1468" s="1" t="s">
        <v>19</v>
      </c>
      <c r="M1468" s="1" t="str">
        <f t="shared" si="22"/>
        <v>Potential Layering</v>
      </c>
      <c r="N1468" s="1" t="str">
        <f>_xlfn.XLOOKUP(H1468, risk_score!A:A, risk_score!B:B, 0)</f>
        <v>Low Risk</v>
      </c>
    </row>
    <row r="1469" spans="1:14">
      <c r="A1469" s="2">
        <v>0.47851851851851851</v>
      </c>
      <c r="B1469" s="3">
        <v>44841</v>
      </c>
      <c r="C1469" s="1">
        <v>149919846</v>
      </c>
      <c r="D1469" s="1">
        <v>8933985194</v>
      </c>
      <c r="E1469" s="1">
        <v>4297.71</v>
      </c>
      <c r="F1469" s="1" t="s">
        <v>12</v>
      </c>
      <c r="G1469" s="1" t="s">
        <v>12</v>
      </c>
      <c r="H1469" s="1" t="s">
        <v>13</v>
      </c>
      <c r="I1469" s="1" t="s">
        <v>13</v>
      </c>
      <c r="J1469" s="1" t="s">
        <v>25</v>
      </c>
      <c r="K1469" s="1">
        <v>0</v>
      </c>
      <c r="L1469" s="1" t="s">
        <v>21</v>
      </c>
      <c r="M1469" s="1" t="str">
        <f t="shared" si="22"/>
        <v>Consistent</v>
      </c>
      <c r="N1469" s="1" t="str">
        <f>_xlfn.XLOOKUP(H1469, risk_score!A:A, risk_score!B:B, 0)</f>
        <v>Low Risk</v>
      </c>
    </row>
    <row r="1470" spans="1:14">
      <c r="A1470" s="2">
        <v>0.4785300925925926</v>
      </c>
      <c r="B1470" s="3">
        <v>44841</v>
      </c>
      <c r="C1470" s="1">
        <v>6117648350</v>
      </c>
      <c r="D1470" s="1">
        <v>8867663323</v>
      </c>
      <c r="E1470" s="1">
        <v>995.39</v>
      </c>
      <c r="F1470" s="1" t="s">
        <v>42</v>
      </c>
      <c r="G1470" s="1" t="s">
        <v>12</v>
      </c>
      <c r="H1470" s="1" t="s">
        <v>43</v>
      </c>
      <c r="I1470" s="1" t="s">
        <v>13</v>
      </c>
      <c r="J1470" s="1" t="s">
        <v>18</v>
      </c>
      <c r="K1470" s="1">
        <v>0</v>
      </c>
      <c r="L1470" s="1" t="s">
        <v>21</v>
      </c>
      <c r="M1470" s="1" t="str">
        <f t="shared" si="22"/>
        <v>Potential Layering</v>
      </c>
      <c r="N1470" s="1" t="str">
        <f>_xlfn.XLOOKUP(H1470, risk_score!A:A, risk_score!B:B, 0)</f>
        <v>High Risk</v>
      </c>
    </row>
    <row r="1471" spans="1:14">
      <c r="A1471" s="2">
        <v>0.4785300925925926</v>
      </c>
      <c r="B1471" s="3">
        <v>44841</v>
      </c>
      <c r="C1471" s="1">
        <v>2077316155</v>
      </c>
      <c r="D1471" s="1">
        <v>6035562025</v>
      </c>
      <c r="E1471" s="1">
        <v>1850.31</v>
      </c>
      <c r="F1471" s="1" t="s">
        <v>12</v>
      </c>
      <c r="G1471" s="1" t="s">
        <v>12</v>
      </c>
      <c r="H1471" s="1" t="s">
        <v>13</v>
      </c>
      <c r="I1471" s="1" t="s">
        <v>13</v>
      </c>
      <c r="J1471" s="1" t="s">
        <v>22</v>
      </c>
      <c r="K1471" s="1">
        <v>0</v>
      </c>
      <c r="L1471" s="1" t="s">
        <v>21</v>
      </c>
      <c r="M1471" s="1" t="str">
        <f t="shared" si="22"/>
        <v>Consistent</v>
      </c>
      <c r="N1471" s="1" t="str">
        <f>_xlfn.XLOOKUP(H1471, risk_score!A:A, risk_score!B:B, 0)</f>
        <v>Low Risk</v>
      </c>
    </row>
    <row r="1472" spans="1:14">
      <c r="A1472" s="2">
        <v>0.47854166666666664</v>
      </c>
      <c r="B1472" s="3">
        <v>44841</v>
      </c>
      <c r="C1472" s="1">
        <v>6086421020</v>
      </c>
      <c r="D1472" s="1">
        <v>7909637145</v>
      </c>
      <c r="E1472" s="1">
        <v>5813.31</v>
      </c>
      <c r="F1472" s="1" t="s">
        <v>12</v>
      </c>
      <c r="G1472" s="1" t="s">
        <v>12</v>
      </c>
      <c r="H1472" s="1" t="s">
        <v>13</v>
      </c>
      <c r="I1472" s="1" t="s">
        <v>13</v>
      </c>
      <c r="J1472" s="1" t="s">
        <v>25</v>
      </c>
      <c r="K1472" s="1">
        <v>0</v>
      </c>
      <c r="L1472" s="1" t="s">
        <v>19</v>
      </c>
      <c r="M1472" s="1" t="str">
        <f t="shared" si="22"/>
        <v>Consistent</v>
      </c>
      <c r="N1472" s="1" t="str">
        <f>_xlfn.XLOOKUP(H1472, risk_score!A:A, risk_score!B:B, 0)</f>
        <v>Low Risk</v>
      </c>
    </row>
    <row r="1473" spans="1:14">
      <c r="A1473" s="2">
        <v>0.47857638888888887</v>
      </c>
      <c r="B1473" s="3">
        <v>44841</v>
      </c>
      <c r="C1473" s="1">
        <v>1423145503</v>
      </c>
      <c r="D1473" s="1">
        <v>6959783468</v>
      </c>
      <c r="E1473" s="1">
        <v>135.76</v>
      </c>
      <c r="F1473" s="1" t="s">
        <v>12</v>
      </c>
      <c r="G1473" s="1" t="s">
        <v>12</v>
      </c>
      <c r="H1473" s="1" t="s">
        <v>13</v>
      </c>
      <c r="I1473" s="1" t="s">
        <v>13</v>
      </c>
      <c r="J1473" s="1" t="s">
        <v>36</v>
      </c>
      <c r="K1473" s="1">
        <v>0</v>
      </c>
      <c r="L1473" s="1" t="s">
        <v>37</v>
      </c>
      <c r="M1473" s="1" t="str">
        <f t="shared" si="22"/>
        <v>Consistent</v>
      </c>
      <c r="N1473" s="1" t="str">
        <f>_xlfn.XLOOKUP(H1473, risk_score!A:A, risk_score!B:B, 0)</f>
        <v>Low Risk</v>
      </c>
    </row>
    <row r="1474" spans="1:14">
      <c r="A1474" s="2">
        <v>0.47857638888888887</v>
      </c>
      <c r="B1474" s="3">
        <v>44841</v>
      </c>
      <c r="C1474" s="1">
        <v>7367118749</v>
      </c>
      <c r="D1474" s="1">
        <v>9296687933</v>
      </c>
      <c r="E1474" s="1">
        <v>1428.6</v>
      </c>
      <c r="F1474" s="1" t="s">
        <v>51</v>
      </c>
      <c r="G1474" s="1" t="s">
        <v>12</v>
      </c>
      <c r="H1474" s="1" t="s">
        <v>52</v>
      </c>
      <c r="I1474" s="1" t="s">
        <v>13</v>
      </c>
      <c r="J1474" s="1" t="s">
        <v>18</v>
      </c>
      <c r="K1474" s="1">
        <v>0</v>
      </c>
      <c r="L1474" s="1" t="s">
        <v>21</v>
      </c>
      <c r="M1474" s="1" t="str">
        <f t="shared" si="22"/>
        <v>Potential Layering</v>
      </c>
      <c r="N1474" s="1" t="str">
        <f>_xlfn.XLOOKUP(H1474, risk_score!A:A, risk_score!B:B, 0)</f>
        <v>Medium Risk</v>
      </c>
    </row>
    <row r="1475" spans="1:14">
      <c r="A1475" s="2">
        <v>0.47857638888888887</v>
      </c>
      <c r="B1475" s="3">
        <v>44841</v>
      </c>
      <c r="C1475" s="1">
        <v>3098347292</v>
      </c>
      <c r="D1475" s="1">
        <v>4475817950</v>
      </c>
      <c r="E1475" s="1">
        <v>1016.16</v>
      </c>
      <c r="F1475" s="1" t="s">
        <v>12</v>
      </c>
      <c r="G1475" s="1" t="s">
        <v>12</v>
      </c>
      <c r="H1475" s="1" t="s">
        <v>13</v>
      </c>
      <c r="I1475" s="1" t="s">
        <v>13</v>
      </c>
      <c r="J1475" s="1" t="s">
        <v>22</v>
      </c>
      <c r="K1475" s="1">
        <v>0</v>
      </c>
      <c r="L1475" s="1" t="s">
        <v>21</v>
      </c>
      <c r="M1475" s="1" t="str">
        <f t="shared" ref="M1475:M1538" si="23">IF(F1475=G1475, "Consistent", "Potential Layering")</f>
        <v>Consistent</v>
      </c>
      <c r="N1475" s="1" t="str">
        <f>_xlfn.XLOOKUP(H1475, risk_score!A:A, risk_score!B:B, 0)</f>
        <v>Low Risk</v>
      </c>
    </row>
    <row r="1476" spans="1:14">
      <c r="A1476" s="2">
        <v>0.47858796296296297</v>
      </c>
      <c r="B1476" s="3">
        <v>44841</v>
      </c>
      <c r="C1476" s="1">
        <v>7178787182</v>
      </c>
      <c r="D1476" s="1">
        <v>7033361188</v>
      </c>
      <c r="E1476" s="1">
        <v>2260.5100000000002</v>
      </c>
      <c r="F1476" s="1" t="s">
        <v>12</v>
      </c>
      <c r="G1476" s="1" t="s">
        <v>12</v>
      </c>
      <c r="H1476" s="1" t="s">
        <v>13</v>
      </c>
      <c r="I1476" s="1" t="s">
        <v>13</v>
      </c>
      <c r="J1476" s="1" t="s">
        <v>27</v>
      </c>
      <c r="K1476" s="1">
        <v>0</v>
      </c>
      <c r="L1476" s="1" t="s">
        <v>21</v>
      </c>
      <c r="M1476" s="1" t="str">
        <f t="shared" si="23"/>
        <v>Consistent</v>
      </c>
      <c r="N1476" s="1" t="str">
        <f>_xlfn.XLOOKUP(H1476, risk_score!A:A, risk_score!B:B, 0)</f>
        <v>Low Risk</v>
      </c>
    </row>
    <row r="1477" spans="1:14">
      <c r="A1477" s="2">
        <v>0.4786111111111111</v>
      </c>
      <c r="B1477" s="3">
        <v>44841</v>
      </c>
      <c r="C1477" s="1">
        <v>4028253688</v>
      </c>
      <c r="D1477" s="1">
        <v>8527745568</v>
      </c>
      <c r="E1477" s="1">
        <v>10465.129999999999</v>
      </c>
      <c r="F1477" s="1" t="s">
        <v>12</v>
      </c>
      <c r="G1477" s="1" t="s">
        <v>12</v>
      </c>
      <c r="H1477" s="1" t="s">
        <v>13</v>
      </c>
      <c r="I1477" s="1" t="s">
        <v>13</v>
      </c>
      <c r="J1477" s="1" t="s">
        <v>25</v>
      </c>
      <c r="K1477" s="1">
        <v>0</v>
      </c>
      <c r="L1477" s="1" t="s">
        <v>21</v>
      </c>
      <c r="M1477" s="1" t="str">
        <f t="shared" si="23"/>
        <v>Consistent</v>
      </c>
      <c r="N1477" s="1" t="str">
        <f>_xlfn.XLOOKUP(H1477, risk_score!A:A, risk_score!B:B, 0)</f>
        <v>Low Risk</v>
      </c>
    </row>
    <row r="1478" spans="1:14">
      <c r="A1478" s="2">
        <v>0.47862268518518519</v>
      </c>
      <c r="B1478" s="3">
        <v>44841</v>
      </c>
      <c r="C1478" s="1">
        <v>3952347143</v>
      </c>
      <c r="D1478" s="1">
        <v>7892884492</v>
      </c>
      <c r="E1478" s="1">
        <v>8773.0400000000009</v>
      </c>
      <c r="F1478" s="1" t="s">
        <v>12</v>
      </c>
      <c r="G1478" s="1" t="s">
        <v>32</v>
      </c>
      <c r="H1478" s="1" t="s">
        <v>13</v>
      </c>
      <c r="I1478" s="1" t="s">
        <v>33</v>
      </c>
      <c r="J1478" s="1" t="s">
        <v>18</v>
      </c>
      <c r="K1478" s="1">
        <v>0</v>
      </c>
      <c r="L1478" s="1" t="s">
        <v>23</v>
      </c>
      <c r="M1478" s="1" t="str">
        <f t="shared" si="23"/>
        <v>Potential Layering</v>
      </c>
      <c r="N1478" s="1" t="str">
        <f>_xlfn.XLOOKUP(H1478, risk_score!A:A, risk_score!B:B, 0)</f>
        <v>Low Risk</v>
      </c>
    </row>
    <row r="1479" spans="1:14">
      <c r="A1479" s="2">
        <v>0.47865740740740742</v>
      </c>
      <c r="B1479" s="3">
        <v>44841</v>
      </c>
      <c r="C1479" s="1">
        <v>1128073435</v>
      </c>
      <c r="D1479" s="1">
        <v>8973155008</v>
      </c>
      <c r="E1479" s="1">
        <v>2260.2199999999998</v>
      </c>
      <c r="F1479" s="1" t="s">
        <v>12</v>
      </c>
      <c r="G1479" s="1" t="s">
        <v>12</v>
      </c>
      <c r="H1479" s="1" t="s">
        <v>13</v>
      </c>
      <c r="I1479" s="1" t="s">
        <v>13</v>
      </c>
      <c r="J1479" s="1" t="s">
        <v>25</v>
      </c>
      <c r="K1479" s="1">
        <v>0</v>
      </c>
      <c r="L1479" s="1" t="s">
        <v>21</v>
      </c>
      <c r="M1479" s="1" t="str">
        <f t="shared" si="23"/>
        <v>Consistent</v>
      </c>
      <c r="N1479" s="1" t="str">
        <f>_xlfn.XLOOKUP(H1479, risk_score!A:A, risk_score!B:B, 0)</f>
        <v>Low Risk</v>
      </c>
    </row>
    <row r="1480" spans="1:14">
      <c r="A1480" s="2">
        <v>0.47868055555555555</v>
      </c>
      <c r="B1480" s="3">
        <v>44841</v>
      </c>
      <c r="C1480" s="1">
        <v>8253667499</v>
      </c>
      <c r="D1480" s="1">
        <v>6401860693</v>
      </c>
      <c r="E1480" s="1">
        <v>7746.73</v>
      </c>
      <c r="F1480" s="1" t="s">
        <v>12</v>
      </c>
      <c r="G1480" s="1" t="s">
        <v>12</v>
      </c>
      <c r="H1480" s="1" t="s">
        <v>13</v>
      </c>
      <c r="I1480" s="1" t="s">
        <v>13</v>
      </c>
      <c r="J1480" s="1" t="s">
        <v>25</v>
      </c>
      <c r="K1480" s="1">
        <v>0</v>
      </c>
      <c r="L1480" s="1" t="s">
        <v>24</v>
      </c>
      <c r="M1480" s="1" t="str">
        <f t="shared" si="23"/>
        <v>Consistent</v>
      </c>
      <c r="N1480" s="1" t="str">
        <f>_xlfn.XLOOKUP(H1480, risk_score!A:A, risk_score!B:B, 0)</f>
        <v>Low Risk</v>
      </c>
    </row>
    <row r="1481" spans="1:14">
      <c r="A1481" s="2">
        <v>0.47870370370370369</v>
      </c>
      <c r="B1481" s="3">
        <v>44841</v>
      </c>
      <c r="C1481" s="1">
        <v>1517051598</v>
      </c>
      <c r="D1481" s="1">
        <v>2248657279</v>
      </c>
      <c r="E1481" s="1">
        <v>1527.58</v>
      </c>
      <c r="F1481" s="1" t="s">
        <v>12</v>
      </c>
      <c r="G1481" s="1" t="s">
        <v>12</v>
      </c>
      <c r="H1481" s="1" t="s">
        <v>13</v>
      </c>
      <c r="I1481" s="1" t="s">
        <v>13</v>
      </c>
      <c r="J1481" s="1" t="s">
        <v>25</v>
      </c>
      <c r="K1481" s="1">
        <v>0</v>
      </c>
      <c r="L1481" s="1" t="s">
        <v>21</v>
      </c>
      <c r="M1481" s="1" t="str">
        <f t="shared" si="23"/>
        <v>Consistent</v>
      </c>
      <c r="N1481" s="1" t="str">
        <f>_xlfn.XLOOKUP(H1481, risk_score!A:A, risk_score!B:B, 0)</f>
        <v>Low Risk</v>
      </c>
    </row>
    <row r="1482" spans="1:14">
      <c r="A1482" s="2">
        <v>0.47872685185185188</v>
      </c>
      <c r="B1482" s="3">
        <v>44841</v>
      </c>
      <c r="C1482" s="1">
        <v>8572039029</v>
      </c>
      <c r="D1482" s="1">
        <v>1431561040</v>
      </c>
      <c r="E1482" s="1">
        <v>10280.08</v>
      </c>
      <c r="F1482" s="1" t="s">
        <v>29</v>
      </c>
      <c r="G1482" s="1" t="s">
        <v>12</v>
      </c>
      <c r="H1482" s="1" t="s">
        <v>31</v>
      </c>
      <c r="I1482" s="1" t="s">
        <v>13</v>
      </c>
      <c r="J1482" s="1" t="s">
        <v>18</v>
      </c>
      <c r="K1482" s="1">
        <v>0</v>
      </c>
      <c r="L1482" s="1" t="s">
        <v>23</v>
      </c>
      <c r="M1482" s="1" t="str">
        <f t="shared" si="23"/>
        <v>Potential Layering</v>
      </c>
      <c r="N1482" s="1" t="str">
        <f>_xlfn.XLOOKUP(H1482, risk_score!A:A, risk_score!B:B, 0)</f>
        <v>Low Risk</v>
      </c>
    </row>
    <row r="1483" spans="1:14">
      <c r="A1483" s="2">
        <v>0.47875000000000001</v>
      </c>
      <c r="B1483" s="3">
        <v>44841</v>
      </c>
      <c r="C1483" s="1">
        <v>154398482</v>
      </c>
      <c r="D1483" s="1">
        <v>8673917867</v>
      </c>
      <c r="E1483" s="1">
        <v>5038.51</v>
      </c>
      <c r="F1483" s="1" t="s">
        <v>12</v>
      </c>
      <c r="G1483" s="1" t="s">
        <v>12</v>
      </c>
      <c r="H1483" s="1" t="s">
        <v>13</v>
      </c>
      <c r="I1483" s="1" t="s">
        <v>13</v>
      </c>
      <c r="J1483" s="1" t="s">
        <v>22</v>
      </c>
      <c r="K1483" s="1">
        <v>0</v>
      </c>
      <c r="L1483" s="1" t="s">
        <v>23</v>
      </c>
      <c r="M1483" s="1" t="str">
        <f t="shared" si="23"/>
        <v>Consistent</v>
      </c>
      <c r="N1483" s="1" t="str">
        <f>_xlfn.XLOOKUP(H1483, risk_score!A:A, risk_score!B:B, 0)</f>
        <v>Low Risk</v>
      </c>
    </row>
    <row r="1484" spans="1:14">
      <c r="A1484" s="2">
        <v>0.4788425925925926</v>
      </c>
      <c r="B1484" s="3">
        <v>44841</v>
      </c>
      <c r="C1484" s="1">
        <v>5931838828</v>
      </c>
      <c r="D1484" s="1">
        <v>8407065812</v>
      </c>
      <c r="E1484" s="1">
        <v>16195.44</v>
      </c>
      <c r="F1484" s="1" t="s">
        <v>12</v>
      </c>
      <c r="G1484" s="1" t="s">
        <v>42</v>
      </c>
      <c r="H1484" s="1" t="s">
        <v>13</v>
      </c>
      <c r="I1484" s="1" t="s">
        <v>43</v>
      </c>
      <c r="J1484" s="1" t="s">
        <v>18</v>
      </c>
      <c r="K1484" s="1">
        <v>0</v>
      </c>
      <c r="L1484" s="1" t="s">
        <v>38</v>
      </c>
      <c r="M1484" s="1" t="str">
        <f t="shared" si="23"/>
        <v>Potential Layering</v>
      </c>
      <c r="N1484" s="1" t="str">
        <f>_xlfn.XLOOKUP(H1484, risk_score!A:A, risk_score!B:B, 0)</f>
        <v>Low Risk</v>
      </c>
    </row>
    <row r="1485" spans="1:14">
      <c r="A1485" s="2">
        <v>0.47886574074074073</v>
      </c>
      <c r="B1485" s="3">
        <v>44841</v>
      </c>
      <c r="C1485" s="1">
        <v>7758268667</v>
      </c>
      <c r="D1485" s="1">
        <v>9609750441</v>
      </c>
      <c r="E1485" s="1">
        <v>16625.96</v>
      </c>
      <c r="F1485" s="1" t="s">
        <v>12</v>
      </c>
      <c r="G1485" s="1" t="s">
        <v>44</v>
      </c>
      <c r="H1485" s="1" t="s">
        <v>13</v>
      </c>
      <c r="I1485" s="1" t="s">
        <v>45</v>
      </c>
      <c r="J1485" s="1" t="s">
        <v>18</v>
      </c>
      <c r="K1485" s="1">
        <v>0</v>
      </c>
      <c r="L1485" s="1" t="s">
        <v>19</v>
      </c>
      <c r="M1485" s="1" t="str">
        <f t="shared" si="23"/>
        <v>Potential Layering</v>
      </c>
      <c r="N1485" s="1" t="str">
        <f>_xlfn.XLOOKUP(H1485, risk_score!A:A, risk_score!B:B, 0)</f>
        <v>Low Risk</v>
      </c>
    </row>
    <row r="1486" spans="1:14">
      <c r="A1486" s="2">
        <v>0.47888888888888886</v>
      </c>
      <c r="B1486" s="3">
        <v>44841</v>
      </c>
      <c r="C1486" s="1">
        <v>2020708263</v>
      </c>
      <c r="D1486" s="1">
        <v>409707192</v>
      </c>
      <c r="E1486" s="1">
        <v>6333.59</v>
      </c>
      <c r="F1486" s="1" t="s">
        <v>12</v>
      </c>
      <c r="G1486" s="1" t="s">
        <v>12</v>
      </c>
      <c r="H1486" s="1" t="s">
        <v>13</v>
      </c>
      <c r="I1486" s="1" t="s">
        <v>13</v>
      </c>
      <c r="J1486" s="1" t="s">
        <v>22</v>
      </c>
      <c r="K1486" s="1">
        <v>0</v>
      </c>
      <c r="L1486" s="1" t="s">
        <v>23</v>
      </c>
      <c r="M1486" s="1" t="str">
        <f t="shared" si="23"/>
        <v>Consistent</v>
      </c>
      <c r="N1486" s="1" t="str">
        <f>_xlfn.XLOOKUP(H1486, risk_score!A:A, risk_score!B:B, 0)</f>
        <v>Low Risk</v>
      </c>
    </row>
    <row r="1487" spans="1:14">
      <c r="A1487" s="2">
        <v>0.47894675925925928</v>
      </c>
      <c r="B1487" s="3">
        <v>44841</v>
      </c>
      <c r="C1487" s="1">
        <v>9534729015</v>
      </c>
      <c r="D1487" s="1">
        <v>7689295746</v>
      </c>
      <c r="E1487" s="1">
        <v>5378.38</v>
      </c>
      <c r="F1487" s="1" t="s">
        <v>12</v>
      </c>
      <c r="G1487" s="1" t="s">
        <v>12</v>
      </c>
      <c r="H1487" s="1" t="s">
        <v>13</v>
      </c>
      <c r="I1487" s="1" t="s">
        <v>13</v>
      </c>
      <c r="J1487" s="1" t="s">
        <v>22</v>
      </c>
      <c r="K1487" s="1">
        <v>0</v>
      </c>
      <c r="L1487" s="1" t="s">
        <v>19</v>
      </c>
      <c r="M1487" s="1" t="str">
        <f t="shared" si="23"/>
        <v>Consistent</v>
      </c>
      <c r="N1487" s="1" t="str">
        <f>_xlfn.XLOOKUP(H1487, risk_score!A:A, risk_score!B:B, 0)</f>
        <v>Low Risk</v>
      </c>
    </row>
    <row r="1488" spans="1:14">
      <c r="A1488" s="2">
        <v>0.47899305555555555</v>
      </c>
      <c r="B1488" s="3">
        <v>44841</v>
      </c>
      <c r="C1488" s="1">
        <v>7634512819</v>
      </c>
      <c r="D1488" s="1">
        <v>1431561040</v>
      </c>
      <c r="E1488" s="1">
        <v>16490.240000000002</v>
      </c>
      <c r="F1488" s="1" t="s">
        <v>12</v>
      </c>
      <c r="G1488" s="1" t="s">
        <v>12</v>
      </c>
      <c r="H1488" s="1" t="s">
        <v>13</v>
      </c>
      <c r="I1488" s="1" t="s">
        <v>13</v>
      </c>
      <c r="J1488" s="1" t="s">
        <v>25</v>
      </c>
      <c r="K1488" s="1">
        <v>0</v>
      </c>
      <c r="L1488" s="1" t="s">
        <v>23</v>
      </c>
      <c r="M1488" s="1" t="str">
        <f t="shared" si="23"/>
        <v>Consistent</v>
      </c>
      <c r="N1488" s="1" t="str">
        <f>_xlfn.XLOOKUP(H1488, risk_score!A:A, risk_score!B:B, 0)</f>
        <v>Low Risk</v>
      </c>
    </row>
    <row r="1489" spans="1:14">
      <c r="A1489" s="2">
        <v>0.47901620370370368</v>
      </c>
      <c r="B1489" s="3">
        <v>44841</v>
      </c>
      <c r="C1489" s="1">
        <v>4121324384</v>
      </c>
      <c r="D1489" s="1">
        <v>114960068</v>
      </c>
      <c r="E1489" s="1">
        <v>8567.2000000000007</v>
      </c>
      <c r="F1489" s="1" t="s">
        <v>29</v>
      </c>
      <c r="G1489" s="1" t="s">
        <v>16</v>
      </c>
      <c r="H1489" s="1" t="s">
        <v>30</v>
      </c>
      <c r="I1489" s="1" t="s">
        <v>17</v>
      </c>
      <c r="J1489" s="1" t="s">
        <v>18</v>
      </c>
      <c r="K1489" s="1">
        <v>0</v>
      </c>
      <c r="L1489" s="1" t="s">
        <v>19</v>
      </c>
      <c r="M1489" s="1" t="str">
        <f t="shared" si="23"/>
        <v>Potential Layering</v>
      </c>
      <c r="N1489" s="1" t="str">
        <f>_xlfn.XLOOKUP(H1489, risk_score!A:A, risk_score!B:B, 0)</f>
        <v>Low Risk</v>
      </c>
    </row>
    <row r="1490" spans="1:14">
      <c r="A1490" s="2">
        <v>0.4790740740740741</v>
      </c>
      <c r="B1490" s="3">
        <v>44841</v>
      </c>
      <c r="C1490" s="1">
        <v>2736512144</v>
      </c>
      <c r="D1490" s="1">
        <v>5896180453</v>
      </c>
      <c r="E1490" s="1">
        <v>10569.5</v>
      </c>
      <c r="F1490" s="1" t="s">
        <v>12</v>
      </c>
      <c r="G1490" s="1" t="s">
        <v>12</v>
      </c>
      <c r="H1490" s="1" t="s">
        <v>13</v>
      </c>
      <c r="I1490" s="1" t="s">
        <v>13</v>
      </c>
      <c r="J1490" s="1" t="s">
        <v>25</v>
      </c>
      <c r="K1490" s="1">
        <v>0</v>
      </c>
      <c r="L1490" s="1" t="s">
        <v>23</v>
      </c>
      <c r="M1490" s="1" t="str">
        <f t="shared" si="23"/>
        <v>Consistent</v>
      </c>
      <c r="N1490" s="1" t="str">
        <f>_xlfn.XLOOKUP(H1490, risk_score!A:A, risk_score!B:B, 0)</f>
        <v>Low Risk</v>
      </c>
    </row>
    <row r="1491" spans="1:14">
      <c r="A1491" s="2">
        <v>0.47908564814814814</v>
      </c>
      <c r="B1491" s="3">
        <v>44841</v>
      </c>
      <c r="C1491" s="1">
        <v>1075923045</v>
      </c>
      <c r="D1491" s="1">
        <v>9249336869</v>
      </c>
      <c r="E1491" s="1">
        <v>2958.27</v>
      </c>
      <c r="F1491" s="1" t="s">
        <v>12</v>
      </c>
      <c r="G1491" s="1" t="s">
        <v>12</v>
      </c>
      <c r="H1491" s="1" t="s">
        <v>13</v>
      </c>
      <c r="I1491" s="1" t="s">
        <v>13</v>
      </c>
      <c r="J1491" s="1" t="s">
        <v>14</v>
      </c>
      <c r="K1491" s="1">
        <v>0</v>
      </c>
      <c r="L1491" s="1" t="s">
        <v>15</v>
      </c>
      <c r="M1491" s="1" t="str">
        <f t="shared" si="23"/>
        <v>Consistent</v>
      </c>
      <c r="N1491" s="1" t="str">
        <f>_xlfn.XLOOKUP(H1491, risk_score!A:A, risk_score!B:B, 0)</f>
        <v>Low Risk</v>
      </c>
    </row>
    <row r="1492" spans="1:14">
      <c r="A1492" s="2">
        <v>0.47909722222222223</v>
      </c>
      <c r="B1492" s="3">
        <v>44841</v>
      </c>
      <c r="C1492" s="1">
        <v>5263982631</v>
      </c>
      <c r="D1492" s="1">
        <v>7080357663</v>
      </c>
      <c r="E1492" s="1">
        <v>27378.48</v>
      </c>
      <c r="F1492" s="1" t="s">
        <v>51</v>
      </c>
      <c r="G1492" s="1" t="s">
        <v>12</v>
      </c>
      <c r="H1492" s="1" t="s">
        <v>52</v>
      </c>
      <c r="I1492" s="1" t="s">
        <v>13</v>
      </c>
      <c r="J1492" s="1" t="s">
        <v>18</v>
      </c>
      <c r="K1492" s="1">
        <v>0</v>
      </c>
      <c r="L1492" s="1" t="s">
        <v>23</v>
      </c>
      <c r="M1492" s="1" t="str">
        <f t="shared" si="23"/>
        <v>Potential Layering</v>
      </c>
      <c r="N1492" s="1" t="str">
        <f>_xlfn.XLOOKUP(H1492, risk_score!A:A, risk_score!B:B, 0)</f>
        <v>Medium Risk</v>
      </c>
    </row>
    <row r="1493" spans="1:14">
      <c r="A1493" s="2">
        <v>0.47913194444444446</v>
      </c>
      <c r="B1493" s="3">
        <v>44841</v>
      </c>
      <c r="C1493" s="1">
        <v>6135642625</v>
      </c>
      <c r="D1493" s="1">
        <v>156476808</v>
      </c>
      <c r="E1493" s="1">
        <v>4218.6400000000003</v>
      </c>
      <c r="F1493" s="1" t="s">
        <v>12</v>
      </c>
      <c r="G1493" s="1" t="s">
        <v>12</v>
      </c>
      <c r="H1493" s="1" t="s">
        <v>13</v>
      </c>
      <c r="I1493" s="1" t="s">
        <v>13</v>
      </c>
      <c r="J1493" s="1" t="s">
        <v>20</v>
      </c>
      <c r="K1493" s="1">
        <v>0</v>
      </c>
      <c r="L1493" s="1" t="s">
        <v>21</v>
      </c>
      <c r="M1493" s="1" t="str">
        <f t="shared" si="23"/>
        <v>Consistent</v>
      </c>
      <c r="N1493" s="1" t="str">
        <f>_xlfn.XLOOKUP(H1493, risk_score!A:A, risk_score!B:B, 0)</f>
        <v>Low Risk</v>
      </c>
    </row>
    <row r="1494" spans="1:14">
      <c r="A1494" s="2">
        <v>0.47913194444444446</v>
      </c>
      <c r="B1494" s="3">
        <v>44841</v>
      </c>
      <c r="C1494" s="1">
        <v>3520608804</v>
      </c>
      <c r="D1494" s="1">
        <v>5469557323</v>
      </c>
      <c r="E1494" s="1">
        <v>1568.78</v>
      </c>
      <c r="F1494" s="1" t="s">
        <v>12</v>
      </c>
      <c r="G1494" s="1" t="s">
        <v>12</v>
      </c>
      <c r="H1494" s="1" t="s">
        <v>13</v>
      </c>
      <c r="I1494" s="1" t="s">
        <v>13</v>
      </c>
      <c r="J1494" s="1" t="s">
        <v>25</v>
      </c>
      <c r="K1494" s="1">
        <v>0</v>
      </c>
      <c r="L1494" s="1" t="s">
        <v>21</v>
      </c>
      <c r="M1494" s="1" t="str">
        <f t="shared" si="23"/>
        <v>Consistent</v>
      </c>
      <c r="N1494" s="1" t="str">
        <f>_xlfn.XLOOKUP(H1494, risk_score!A:A, risk_score!B:B, 0)</f>
        <v>Low Risk</v>
      </c>
    </row>
    <row r="1495" spans="1:14">
      <c r="A1495" s="2">
        <v>0.47918981481481482</v>
      </c>
      <c r="B1495" s="3">
        <v>44841</v>
      </c>
      <c r="C1495" s="1">
        <v>7322845704</v>
      </c>
      <c r="D1495" s="1">
        <v>2692434781</v>
      </c>
      <c r="E1495" s="1">
        <v>2629.03</v>
      </c>
      <c r="F1495" s="1" t="s">
        <v>12</v>
      </c>
      <c r="G1495" s="1" t="s">
        <v>12</v>
      </c>
      <c r="H1495" s="1" t="s">
        <v>13</v>
      </c>
      <c r="I1495" s="1" t="s">
        <v>13</v>
      </c>
      <c r="J1495" s="1" t="s">
        <v>25</v>
      </c>
      <c r="K1495" s="1">
        <v>0</v>
      </c>
      <c r="L1495" s="1" t="s">
        <v>21</v>
      </c>
      <c r="M1495" s="1" t="str">
        <f t="shared" si="23"/>
        <v>Consistent</v>
      </c>
      <c r="N1495" s="1" t="str">
        <f>_xlfn.XLOOKUP(H1495, risk_score!A:A, risk_score!B:B, 0)</f>
        <v>Low Risk</v>
      </c>
    </row>
    <row r="1496" spans="1:14">
      <c r="A1496" s="2">
        <v>0.47921296296296295</v>
      </c>
      <c r="B1496" s="3">
        <v>44841</v>
      </c>
      <c r="C1496" s="1">
        <v>7146822509</v>
      </c>
      <c r="D1496" s="1">
        <v>65205551</v>
      </c>
      <c r="E1496" s="1">
        <v>148.65</v>
      </c>
      <c r="F1496" s="1" t="s">
        <v>12</v>
      </c>
      <c r="G1496" s="1" t="s">
        <v>12</v>
      </c>
      <c r="H1496" s="1" t="s">
        <v>13</v>
      </c>
      <c r="I1496" s="1" t="s">
        <v>13</v>
      </c>
      <c r="J1496" s="1" t="s">
        <v>22</v>
      </c>
      <c r="K1496" s="1">
        <v>0</v>
      </c>
      <c r="L1496" s="1" t="s">
        <v>21</v>
      </c>
      <c r="M1496" s="1" t="str">
        <f t="shared" si="23"/>
        <v>Consistent</v>
      </c>
      <c r="N1496" s="1" t="str">
        <f>_xlfn.XLOOKUP(H1496, risk_score!A:A, risk_score!B:B, 0)</f>
        <v>Low Risk</v>
      </c>
    </row>
    <row r="1497" spans="1:14">
      <c r="A1497" s="2">
        <v>0.47922453703703705</v>
      </c>
      <c r="B1497" s="3">
        <v>44841</v>
      </c>
      <c r="C1497" s="1">
        <v>4758294964</v>
      </c>
      <c r="D1497" s="1">
        <v>8172080174</v>
      </c>
      <c r="E1497" s="1">
        <v>21063.21</v>
      </c>
      <c r="F1497" s="1" t="s">
        <v>12</v>
      </c>
      <c r="G1497" s="1" t="s">
        <v>12</v>
      </c>
      <c r="H1497" s="1" t="s">
        <v>13</v>
      </c>
      <c r="I1497" s="1" t="s">
        <v>13</v>
      </c>
      <c r="J1497" s="1" t="s">
        <v>22</v>
      </c>
      <c r="K1497" s="1">
        <v>0</v>
      </c>
      <c r="L1497" s="1" t="s">
        <v>23</v>
      </c>
      <c r="M1497" s="1" t="str">
        <f t="shared" si="23"/>
        <v>Consistent</v>
      </c>
      <c r="N1497" s="1" t="str">
        <f>_xlfn.XLOOKUP(H1497, risk_score!A:A, risk_score!B:B, 0)</f>
        <v>Low Risk</v>
      </c>
    </row>
    <row r="1498" spans="1:14">
      <c r="A1498" s="2">
        <v>0.47923611111111108</v>
      </c>
      <c r="B1498" s="3">
        <v>44841</v>
      </c>
      <c r="C1498" s="1">
        <v>6904668523</v>
      </c>
      <c r="D1498" s="1">
        <v>1378700258</v>
      </c>
      <c r="E1498" s="1">
        <v>15248.59</v>
      </c>
      <c r="F1498" s="1" t="s">
        <v>12</v>
      </c>
      <c r="G1498" s="1" t="s">
        <v>12</v>
      </c>
      <c r="H1498" s="1" t="s">
        <v>13</v>
      </c>
      <c r="I1498" s="1" t="s">
        <v>13</v>
      </c>
      <c r="J1498" s="1" t="s">
        <v>27</v>
      </c>
      <c r="K1498" s="1">
        <v>0</v>
      </c>
      <c r="L1498" s="1" t="s">
        <v>19</v>
      </c>
      <c r="M1498" s="1" t="str">
        <f t="shared" si="23"/>
        <v>Consistent</v>
      </c>
      <c r="N1498" s="1" t="str">
        <f>_xlfn.XLOOKUP(H1498, risk_score!A:A, risk_score!B:B, 0)</f>
        <v>Low Risk</v>
      </c>
    </row>
    <row r="1499" spans="1:14">
      <c r="A1499" s="2">
        <v>0.47928240740740741</v>
      </c>
      <c r="B1499" s="3">
        <v>44841</v>
      </c>
      <c r="C1499" s="1">
        <v>8389148416</v>
      </c>
      <c r="D1499" s="1">
        <v>3487686607</v>
      </c>
      <c r="E1499" s="1">
        <v>8413.52</v>
      </c>
      <c r="F1499" s="1" t="s">
        <v>12</v>
      </c>
      <c r="G1499" s="1" t="s">
        <v>12</v>
      </c>
      <c r="H1499" s="1" t="s">
        <v>13</v>
      </c>
      <c r="I1499" s="1" t="s">
        <v>13</v>
      </c>
      <c r="J1499" s="1" t="s">
        <v>22</v>
      </c>
      <c r="K1499" s="1">
        <v>0</v>
      </c>
      <c r="L1499" s="1" t="s">
        <v>19</v>
      </c>
      <c r="M1499" s="1" t="str">
        <f t="shared" si="23"/>
        <v>Consistent</v>
      </c>
      <c r="N1499" s="1" t="str">
        <f>_xlfn.XLOOKUP(H1499, risk_score!A:A, risk_score!B:B, 0)</f>
        <v>Low Risk</v>
      </c>
    </row>
    <row r="1500" spans="1:14">
      <c r="A1500" s="2">
        <v>0.47930555555555554</v>
      </c>
      <c r="B1500" s="3">
        <v>44841</v>
      </c>
      <c r="C1500" s="1">
        <v>7758268667</v>
      </c>
      <c r="D1500" s="1">
        <v>9940921949</v>
      </c>
      <c r="E1500" s="1">
        <v>9142.17</v>
      </c>
      <c r="F1500" s="1" t="s">
        <v>12</v>
      </c>
      <c r="G1500" s="1" t="s">
        <v>12</v>
      </c>
      <c r="H1500" s="1" t="s">
        <v>13</v>
      </c>
      <c r="I1500" s="1" t="s">
        <v>13</v>
      </c>
      <c r="J1500" s="1" t="s">
        <v>22</v>
      </c>
      <c r="K1500" s="1">
        <v>0</v>
      </c>
      <c r="L1500" s="1" t="s">
        <v>19</v>
      </c>
      <c r="M1500" s="1" t="str">
        <f t="shared" si="23"/>
        <v>Consistent</v>
      </c>
      <c r="N1500" s="1" t="str">
        <f>_xlfn.XLOOKUP(H1500, risk_score!A:A, risk_score!B:B, 0)</f>
        <v>Low Risk</v>
      </c>
    </row>
    <row r="1501" spans="1:14">
      <c r="A1501" s="2">
        <v>0.47935185185185186</v>
      </c>
      <c r="B1501" s="3">
        <v>44841</v>
      </c>
      <c r="C1501" s="1">
        <v>6904668523</v>
      </c>
      <c r="D1501" s="1">
        <v>3087234008</v>
      </c>
      <c r="E1501" s="1">
        <v>5050.8999999999996</v>
      </c>
      <c r="F1501" s="1" t="s">
        <v>12</v>
      </c>
      <c r="G1501" s="1" t="s">
        <v>12</v>
      </c>
      <c r="H1501" s="1" t="s">
        <v>13</v>
      </c>
      <c r="I1501" s="1" t="s">
        <v>13</v>
      </c>
      <c r="J1501" s="1" t="s">
        <v>25</v>
      </c>
      <c r="K1501" s="1">
        <v>0</v>
      </c>
      <c r="L1501" s="1" t="s">
        <v>19</v>
      </c>
      <c r="M1501" s="1" t="str">
        <f t="shared" si="23"/>
        <v>Consistent</v>
      </c>
      <c r="N1501" s="1" t="str">
        <f>_xlfn.XLOOKUP(H1501, risk_score!A:A, risk_score!B:B, 0)</f>
        <v>Low Risk</v>
      </c>
    </row>
    <row r="1502" spans="1:14">
      <c r="A1502" s="2">
        <v>0.4793634259259259</v>
      </c>
      <c r="B1502" s="3">
        <v>44841</v>
      </c>
      <c r="C1502" s="1">
        <v>9229940625</v>
      </c>
      <c r="D1502" s="1">
        <v>8518184956</v>
      </c>
      <c r="E1502" s="1">
        <v>8924.0400000000009</v>
      </c>
      <c r="F1502" s="1" t="s">
        <v>12</v>
      </c>
      <c r="G1502" s="1" t="s">
        <v>12</v>
      </c>
      <c r="H1502" s="1" t="s">
        <v>13</v>
      </c>
      <c r="I1502" s="1" t="s">
        <v>13</v>
      </c>
      <c r="J1502" s="1" t="s">
        <v>20</v>
      </c>
      <c r="K1502" s="1">
        <v>0</v>
      </c>
      <c r="L1502" s="1" t="s">
        <v>23</v>
      </c>
      <c r="M1502" s="1" t="str">
        <f t="shared" si="23"/>
        <v>Consistent</v>
      </c>
      <c r="N1502" s="1" t="str">
        <f>_xlfn.XLOOKUP(H1502, risk_score!A:A, risk_score!B:B, 0)</f>
        <v>Low Risk</v>
      </c>
    </row>
    <row r="1503" spans="1:14">
      <c r="A1503" s="2">
        <v>0.47944444444444445</v>
      </c>
      <c r="B1503" s="3">
        <v>44841</v>
      </c>
      <c r="C1503" s="1">
        <v>9553458659</v>
      </c>
      <c r="D1503" s="1">
        <v>4559361467</v>
      </c>
      <c r="E1503" s="1">
        <v>133.94</v>
      </c>
      <c r="F1503" s="1" t="s">
        <v>12</v>
      </c>
      <c r="G1503" s="1" t="s">
        <v>12</v>
      </c>
      <c r="H1503" s="1" t="s">
        <v>13</v>
      </c>
      <c r="I1503" s="1" t="s">
        <v>13</v>
      </c>
      <c r="J1503" s="1" t="s">
        <v>36</v>
      </c>
      <c r="K1503" s="1">
        <v>0</v>
      </c>
      <c r="L1503" s="1" t="s">
        <v>37</v>
      </c>
      <c r="M1503" s="1" t="str">
        <f t="shared" si="23"/>
        <v>Consistent</v>
      </c>
      <c r="N1503" s="1" t="str">
        <f>_xlfn.XLOOKUP(H1503, risk_score!A:A, risk_score!B:B, 0)</f>
        <v>Low Risk</v>
      </c>
    </row>
    <row r="1504" spans="1:14">
      <c r="A1504" s="2">
        <v>0.47946759259259258</v>
      </c>
      <c r="B1504" s="3">
        <v>44841</v>
      </c>
      <c r="C1504" s="1">
        <v>9017429976</v>
      </c>
      <c r="D1504" s="1">
        <v>1241856377</v>
      </c>
      <c r="E1504" s="1">
        <v>3794.68</v>
      </c>
      <c r="F1504" s="1" t="s">
        <v>12</v>
      </c>
      <c r="G1504" s="1" t="s">
        <v>12</v>
      </c>
      <c r="H1504" s="1" t="s">
        <v>13</v>
      </c>
      <c r="I1504" s="1" t="s">
        <v>13</v>
      </c>
      <c r="J1504" s="1" t="s">
        <v>20</v>
      </c>
      <c r="K1504" s="1">
        <v>0</v>
      </c>
      <c r="L1504" s="1" t="s">
        <v>21</v>
      </c>
      <c r="M1504" s="1" t="str">
        <f t="shared" si="23"/>
        <v>Consistent</v>
      </c>
      <c r="N1504" s="1" t="str">
        <f>_xlfn.XLOOKUP(H1504, risk_score!A:A, risk_score!B:B, 0)</f>
        <v>Low Risk</v>
      </c>
    </row>
    <row r="1505" spans="1:14">
      <c r="A1505" s="2">
        <v>0.47956018518518517</v>
      </c>
      <c r="B1505" s="3">
        <v>44841</v>
      </c>
      <c r="C1505" s="1">
        <v>2466056232</v>
      </c>
      <c r="D1505" s="1">
        <v>8352571580</v>
      </c>
      <c r="E1505" s="1">
        <v>14860.76</v>
      </c>
      <c r="F1505" s="1" t="s">
        <v>12</v>
      </c>
      <c r="G1505" s="1" t="s">
        <v>12</v>
      </c>
      <c r="H1505" s="1" t="s">
        <v>13</v>
      </c>
      <c r="I1505" s="1" t="s">
        <v>13</v>
      </c>
      <c r="J1505" s="1" t="s">
        <v>25</v>
      </c>
      <c r="K1505" s="1">
        <v>0</v>
      </c>
      <c r="L1505" s="1" t="s">
        <v>23</v>
      </c>
      <c r="M1505" s="1" t="str">
        <f t="shared" si="23"/>
        <v>Consistent</v>
      </c>
      <c r="N1505" s="1" t="str">
        <f>_xlfn.XLOOKUP(H1505, risk_score!A:A, risk_score!B:B, 0)</f>
        <v>Low Risk</v>
      </c>
    </row>
    <row r="1506" spans="1:14">
      <c r="A1506" s="2">
        <v>0.47957175925925927</v>
      </c>
      <c r="B1506" s="3">
        <v>44841</v>
      </c>
      <c r="C1506" s="1">
        <v>3254068363</v>
      </c>
      <c r="D1506" s="1">
        <v>8246415425</v>
      </c>
      <c r="E1506" s="1">
        <v>1329.5</v>
      </c>
      <c r="F1506" s="1" t="s">
        <v>12</v>
      </c>
      <c r="G1506" s="1" t="s">
        <v>12</v>
      </c>
      <c r="H1506" s="1" t="s">
        <v>13</v>
      </c>
      <c r="I1506" s="1" t="s">
        <v>13</v>
      </c>
      <c r="J1506" s="1" t="s">
        <v>22</v>
      </c>
      <c r="K1506" s="1">
        <v>0</v>
      </c>
      <c r="L1506" s="1" t="s">
        <v>21</v>
      </c>
      <c r="M1506" s="1" t="str">
        <f t="shared" si="23"/>
        <v>Consistent</v>
      </c>
      <c r="N1506" s="1" t="str">
        <f>_xlfn.XLOOKUP(H1506, risk_score!A:A, risk_score!B:B, 0)</f>
        <v>Low Risk</v>
      </c>
    </row>
    <row r="1507" spans="1:14">
      <c r="A1507" s="2">
        <v>0.47960648148148149</v>
      </c>
      <c r="B1507" s="3">
        <v>44841</v>
      </c>
      <c r="C1507" s="1">
        <v>3544556379</v>
      </c>
      <c r="D1507" s="1">
        <v>2806740273</v>
      </c>
      <c r="E1507" s="1">
        <v>6861.49</v>
      </c>
      <c r="F1507" s="1" t="s">
        <v>12</v>
      </c>
      <c r="G1507" s="1" t="s">
        <v>12</v>
      </c>
      <c r="H1507" s="1" t="s">
        <v>13</v>
      </c>
      <c r="I1507" s="1" t="s">
        <v>13</v>
      </c>
      <c r="J1507" s="1" t="s">
        <v>20</v>
      </c>
      <c r="K1507" s="1">
        <v>0</v>
      </c>
      <c r="L1507" s="1" t="s">
        <v>24</v>
      </c>
      <c r="M1507" s="1" t="str">
        <f t="shared" si="23"/>
        <v>Consistent</v>
      </c>
      <c r="N1507" s="1" t="str">
        <f>_xlfn.XLOOKUP(H1507, risk_score!A:A, risk_score!B:B, 0)</f>
        <v>Low Risk</v>
      </c>
    </row>
    <row r="1508" spans="1:14">
      <c r="A1508" s="2">
        <v>0.47961805555555553</v>
      </c>
      <c r="B1508" s="3">
        <v>44841</v>
      </c>
      <c r="C1508" s="1">
        <v>4960458318</v>
      </c>
      <c r="D1508" s="1">
        <v>599606329</v>
      </c>
      <c r="E1508" s="1">
        <v>2904.2</v>
      </c>
      <c r="F1508" s="1" t="s">
        <v>12</v>
      </c>
      <c r="G1508" s="1" t="s">
        <v>12</v>
      </c>
      <c r="H1508" s="1" t="s">
        <v>13</v>
      </c>
      <c r="I1508" s="1" t="s">
        <v>13</v>
      </c>
      <c r="J1508" s="1" t="s">
        <v>14</v>
      </c>
      <c r="K1508" s="1">
        <v>0</v>
      </c>
      <c r="L1508" s="1" t="s">
        <v>15</v>
      </c>
      <c r="M1508" s="1" t="str">
        <f t="shared" si="23"/>
        <v>Consistent</v>
      </c>
      <c r="N1508" s="1" t="str">
        <f>_xlfn.XLOOKUP(H1508, risk_score!A:A, risk_score!B:B, 0)</f>
        <v>Low Risk</v>
      </c>
    </row>
    <row r="1509" spans="1:14">
      <c r="A1509" s="2">
        <v>0.47965277777777776</v>
      </c>
      <c r="B1509" s="3">
        <v>44841</v>
      </c>
      <c r="C1509" s="1">
        <v>7215321471</v>
      </c>
      <c r="D1509" s="1">
        <v>271164597</v>
      </c>
      <c r="E1509" s="1">
        <v>1130.67</v>
      </c>
      <c r="F1509" s="1" t="s">
        <v>12</v>
      </c>
      <c r="G1509" s="1" t="s">
        <v>12</v>
      </c>
      <c r="H1509" s="1" t="s">
        <v>13</v>
      </c>
      <c r="I1509" s="1" t="s">
        <v>13</v>
      </c>
      <c r="J1509" s="1" t="s">
        <v>27</v>
      </c>
      <c r="K1509" s="1">
        <v>0</v>
      </c>
      <c r="L1509" s="1" t="s">
        <v>21</v>
      </c>
      <c r="M1509" s="1" t="str">
        <f t="shared" si="23"/>
        <v>Consistent</v>
      </c>
      <c r="N1509" s="1" t="str">
        <f>_xlfn.XLOOKUP(H1509, risk_score!A:A, risk_score!B:B, 0)</f>
        <v>Low Risk</v>
      </c>
    </row>
    <row r="1510" spans="1:14">
      <c r="A1510" s="2">
        <v>0.47966435185185186</v>
      </c>
      <c r="B1510" s="3">
        <v>44841</v>
      </c>
      <c r="C1510" s="1">
        <v>8456279067</v>
      </c>
      <c r="D1510" s="1">
        <v>2341493832</v>
      </c>
      <c r="E1510" s="1">
        <v>7852.82</v>
      </c>
      <c r="F1510" s="1" t="s">
        <v>12</v>
      </c>
      <c r="G1510" s="1" t="s">
        <v>12</v>
      </c>
      <c r="H1510" s="1" t="s">
        <v>13</v>
      </c>
      <c r="I1510" s="1" t="s">
        <v>13</v>
      </c>
      <c r="J1510" s="1" t="s">
        <v>25</v>
      </c>
      <c r="K1510" s="1">
        <v>0</v>
      </c>
      <c r="L1510" s="1" t="s">
        <v>19</v>
      </c>
      <c r="M1510" s="1" t="str">
        <f t="shared" si="23"/>
        <v>Consistent</v>
      </c>
      <c r="N1510" s="1" t="str">
        <f>_xlfn.XLOOKUP(H1510, risk_score!A:A, risk_score!B:B, 0)</f>
        <v>Low Risk</v>
      </c>
    </row>
    <row r="1511" spans="1:14">
      <c r="A1511" s="2">
        <v>0.47966435185185186</v>
      </c>
      <c r="B1511" s="3">
        <v>44841</v>
      </c>
      <c r="C1511" s="1">
        <v>1030692910</v>
      </c>
      <c r="D1511" s="1">
        <v>4662117326</v>
      </c>
      <c r="E1511" s="1">
        <v>47306.32</v>
      </c>
      <c r="F1511" s="1" t="s">
        <v>28</v>
      </c>
      <c r="G1511" s="1" t="s">
        <v>12</v>
      </c>
      <c r="H1511" s="1" t="s">
        <v>57</v>
      </c>
      <c r="I1511" s="1" t="s">
        <v>13</v>
      </c>
      <c r="J1511" s="1" t="s">
        <v>18</v>
      </c>
      <c r="K1511" s="1">
        <v>0</v>
      </c>
      <c r="L1511" s="1" t="s">
        <v>21</v>
      </c>
      <c r="M1511" s="1" t="str">
        <f t="shared" si="23"/>
        <v>Potential Layering</v>
      </c>
      <c r="N1511" s="1" t="str">
        <f>_xlfn.XLOOKUP(H1511, risk_score!A:A, risk_score!B:B, 0)</f>
        <v>High Risk</v>
      </c>
    </row>
    <row r="1512" spans="1:14">
      <c r="A1512" s="2">
        <v>0.47967592592592595</v>
      </c>
      <c r="B1512" s="3">
        <v>44841</v>
      </c>
      <c r="C1512" s="1">
        <v>2470596478</v>
      </c>
      <c r="D1512" s="1">
        <v>8124790867</v>
      </c>
      <c r="E1512" s="1">
        <v>968.82</v>
      </c>
      <c r="F1512" s="1" t="s">
        <v>12</v>
      </c>
      <c r="G1512" s="1" t="s">
        <v>12</v>
      </c>
      <c r="H1512" s="1" t="s">
        <v>13</v>
      </c>
      <c r="I1512" s="1" t="s">
        <v>13</v>
      </c>
      <c r="J1512" s="1" t="s">
        <v>22</v>
      </c>
      <c r="K1512" s="1">
        <v>0</v>
      </c>
      <c r="L1512" s="1" t="s">
        <v>21</v>
      </c>
      <c r="M1512" s="1" t="str">
        <f t="shared" si="23"/>
        <v>Consistent</v>
      </c>
      <c r="N1512" s="1" t="str">
        <f>_xlfn.XLOOKUP(H1512, risk_score!A:A, risk_score!B:B, 0)</f>
        <v>Low Risk</v>
      </c>
    </row>
    <row r="1513" spans="1:14">
      <c r="A1513" s="2">
        <v>0.47967592592592595</v>
      </c>
      <c r="B1513" s="3">
        <v>44841</v>
      </c>
      <c r="C1513" s="1">
        <v>8899744848</v>
      </c>
      <c r="D1513" s="1">
        <v>4852416524</v>
      </c>
      <c r="E1513" s="1">
        <v>195.4</v>
      </c>
      <c r="F1513" s="1" t="s">
        <v>12</v>
      </c>
      <c r="G1513" s="1" t="s">
        <v>12</v>
      </c>
      <c r="H1513" s="1" t="s">
        <v>13</v>
      </c>
      <c r="I1513" s="1" t="s">
        <v>13</v>
      </c>
      <c r="J1513" s="1" t="s">
        <v>22</v>
      </c>
      <c r="K1513" s="1">
        <v>0</v>
      </c>
      <c r="L1513" s="1" t="s">
        <v>21</v>
      </c>
      <c r="M1513" s="1" t="str">
        <f t="shared" si="23"/>
        <v>Consistent</v>
      </c>
      <c r="N1513" s="1" t="str">
        <f>_xlfn.XLOOKUP(H1513, risk_score!A:A, risk_score!B:B, 0)</f>
        <v>Low Risk</v>
      </c>
    </row>
    <row r="1514" spans="1:14">
      <c r="A1514" s="2">
        <v>0.47967592592592595</v>
      </c>
      <c r="B1514" s="3">
        <v>44841</v>
      </c>
      <c r="C1514" s="1">
        <v>7673084360</v>
      </c>
      <c r="D1514" s="1">
        <v>6444220418</v>
      </c>
      <c r="E1514" s="1">
        <v>9801.77</v>
      </c>
      <c r="F1514" s="1" t="s">
        <v>12</v>
      </c>
      <c r="G1514" s="1" t="s">
        <v>12</v>
      </c>
      <c r="H1514" s="1" t="s">
        <v>13</v>
      </c>
      <c r="I1514" s="1" t="s">
        <v>13</v>
      </c>
      <c r="J1514" s="1" t="s">
        <v>27</v>
      </c>
      <c r="K1514" s="1">
        <v>0</v>
      </c>
      <c r="L1514" s="1" t="s">
        <v>23</v>
      </c>
      <c r="M1514" s="1" t="str">
        <f t="shared" si="23"/>
        <v>Consistent</v>
      </c>
      <c r="N1514" s="1" t="str">
        <f>_xlfn.XLOOKUP(H1514, risk_score!A:A, risk_score!B:B, 0)</f>
        <v>Low Risk</v>
      </c>
    </row>
    <row r="1515" spans="1:14">
      <c r="A1515" s="2">
        <v>0.47969907407407408</v>
      </c>
      <c r="B1515" s="3">
        <v>44841</v>
      </c>
      <c r="C1515" s="1">
        <v>675669049</v>
      </c>
      <c r="D1515" s="1">
        <v>9462027504</v>
      </c>
      <c r="E1515" s="1">
        <v>9736.08</v>
      </c>
      <c r="F1515" s="1" t="s">
        <v>12</v>
      </c>
      <c r="G1515" s="1" t="s">
        <v>12</v>
      </c>
      <c r="H1515" s="1" t="s">
        <v>13</v>
      </c>
      <c r="I1515" s="1" t="s">
        <v>13</v>
      </c>
      <c r="J1515" s="1" t="s">
        <v>25</v>
      </c>
      <c r="K1515" s="1">
        <v>0</v>
      </c>
      <c r="L1515" s="1" t="s">
        <v>19</v>
      </c>
      <c r="M1515" s="1" t="str">
        <f t="shared" si="23"/>
        <v>Consistent</v>
      </c>
      <c r="N1515" s="1" t="str">
        <f>_xlfn.XLOOKUP(H1515, risk_score!A:A, risk_score!B:B, 0)</f>
        <v>Low Risk</v>
      </c>
    </row>
    <row r="1516" spans="1:14">
      <c r="A1516" s="2">
        <v>0.47975694444444444</v>
      </c>
      <c r="B1516" s="3">
        <v>44841</v>
      </c>
      <c r="C1516" s="1">
        <v>5802257583</v>
      </c>
      <c r="D1516" s="1">
        <v>5466123934</v>
      </c>
      <c r="E1516" s="1">
        <v>7741.41</v>
      </c>
      <c r="F1516" s="1" t="s">
        <v>12</v>
      </c>
      <c r="G1516" s="1" t="s">
        <v>12</v>
      </c>
      <c r="H1516" s="1" t="s">
        <v>13</v>
      </c>
      <c r="I1516" s="1" t="s">
        <v>13</v>
      </c>
      <c r="J1516" s="1" t="s">
        <v>22</v>
      </c>
      <c r="K1516" s="1">
        <v>0</v>
      </c>
      <c r="L1516" s="1" t="s">
        <v>23</v>
      </c>
      <c r="M1516" s="1" t="str">
        <f t="shared" si="23"/>
        <v>Consistent</v>
      </c>
      <c r="N1516" s="1" t="str">
        <f>_xlfn.XLOOKUP(H1516, risk_score!A:A, risk_score!B:B, 0)</f>
        <v>Low Risk</v>
      </c>
    </row>
    <row r="1517" spans="1:14">
      <c r="A1517" s="2">
        <v>0.47976851851851854</v>
      </c>
      <c r="B1517" s="3">
        <v>44841</v>
      </c>
      <c r="C1517" s="1">
        <v>7669236826</v>
      </c>
      <c r="D1517" s="1">
        <v>2685958910</v>
      </c>
      <c r="E1517" s="1">
        <v>4589.6000000000004</v>
      </c>
      <c r="F1517" s="1" t="s">
        <v>12</v>
      </c>
      <c r="G1517" s="1" t="s">
        <v>12</v>
      </c>
      <c r="H1517" s="1" t="s">
        <v>13</v>
      </c>
      <c r="I1517" s="1" t="s">
        <v>13</v>
      </c>
      <c r="J1517" s="1" t="s">
        <v>22</v>
      </c>
      <c r="K1517" s="1">
        <v>0</v>
      </c>
      <c r="L1517" s="1" t="s">
        <v>19</v>
      </c>
      <c r="M1517" s="1" t="str">
        <f t="shared" si="23"/>
        <v>Consistent</v>
      </c>
      <c r="N1517" s="1" t="str">
        <f>_xlfn.XLOOKUP(H1517, risk_score!A:A, risk_score!B:B, 0)</f>
        <v>Low Risk</v>
      </c>
    </row>
    <row r="1518" spans="1:14">
      <c r="A1518" s="2">
        <v>0.47978009259259258</v>
      </c>
      <c r="B1518" s="3">
        <v>44841</v>
      </c>
      <c r="C1518" s="1">
        <v>327609046</v>
      </c>
      <c r="D1518" s="1">
        <v>6223365730</v>
      </c>
      <c r="E1518" s="1">
        <v>24885.24</v>
      </c>
      <c r="F1518" s="1" t="s">
        <v>12</v>
      </c>
      <c r="G1518" s="1" t="s">
        <v>12</v>
      </c>
      <c r="H1518" s="1" t="s">
        <v>13</v>
      </c>
      <c r="I1518" s="1" t="s">
        <v>13</v>
      </c>
      <c r="J1518" s="1" t="s">
        <v>20</v>
      </c>
      <c r="K1518" s="1">
        <v>0</v>
      </c>
      <c r="L1518" s="1" t="s">
        <v>23</v>
      </c>
      <c r="M1518" s="1" t="str">
        <f t="shared" si="23"/>
        <v>Consistent</v>
      </c>
      <c r="N1518" s="1" t="str">
        <f>_xlfn.XLOOKUP(H1518, risk_score!A:A, risk_score!B:B, 0)</f>
        <v>Low Risk</v>
      </c>
    </row>
    <row r="1519" spans="1:14">
      <c r="A1519" s="2">
        <v>0.47978009259259258</v>
      </c>
      <c r="B1519" s="3">
        <v>44841</v>
      </c>
      <c r="C1519" s="1">
        <v>3325888911</v>
      </c>
      <c r="D1519" s="1">
        <v>4494252192</v>
      </c>
      <c r="E1519" s="1">
        <v>5827.84</v>
      </c>
      <c r="F1519" s="1" t="s">
        <v>12</v>
      </c>
      <c r="G1519" s="1" t="s">
        <v>26</v>
      </c>
      <c r="H1519" s="1" t="s">
        <v>13</v>
      </c>
      <c r="I1519" s="1" t="s">
        <v>56</v>
      </c>
      <c r="J1519" s="1" t="s">
        <v>18</v>
      </c>
      <c r="K1519" s="1">
        <v>0</v>
      </c>
      <c r="L1519" s="1" t="s">
        <v>21</v>
      </c>
      <c r="M1519" s="1" t="str">
        <f t="shared" si="23"/>
        <v>Potential Layering</v>
      </c>
      <c r="N1519" s="1" t="str">
        <f>_xlfn.XLOOKUP(H1519, risk_score!A:A, risk_score!B:B, 0)</f>
        <v>Low Risk</v>
      </c>
    </row>
    <row r="1520" spans="1:14">
      <c r="A1520" s="2">
        <v>0.47978009259259258</v>
      </c>
      <c r="B1520" s="3">
        <v>44841</v>
      </c>
      <c r="C1520" s="1">
        <v>3306225869</v>
      </c>
      <c r="D1520" s="1">
        <v>3938282574</v>
      </c>
      <c r="E1520" s="1">
        <v>2441.5500000000002</v>
      </c>
      <c r="F1520" s="1" t="s">
        <v>12</v>
      </c>
      <c r="G1520" s="1" t="s">
        <v>12</v>
      </c>
      <c r="H1520" s="1" t="s">
        <v>13</v>
      </c>
      <c r="I1520" s="1" t="s">
        <v>13</v>
      </c>
      <c r="J1520" s="1" t="s">
        <v>27</v>
      </c>
      <c r="K1520" s="1">
        <v>0</v>
      </c>
      <c r="L1520" s="1" t="s">
        <v>38</v>
      </c>
      <c r="M1520" s="1" t="str">
        <f t="shared" si="23"/>
        <v>Consistent</v>
      </c>
      <c r="N1520" s="1" t="str">
        <f>_xlfn.XLOOKUP(H1520, risk_score!A:A, risk_score!B:B, 0)</f>
        <v>Low Risk</v>
      </c>
    </row>
    <row r="1521" spans="1:14">
      <c r="A1521" s="2">
        <v>0.47978009259259258</v>
      </c>
      <c r="B1521" s="3">
        <v>44841</v>
      </c>
      <c r="C1521" s="1">
        <v>5503043137</v>
      </c>
      <c r="D1521" s="1">
        <v>8498645435</v>
      </c>
      <c r="E1521" s="1">
        <v>12565.72</v>
      </c>
      <c r="F1521" s="1" t="s">
        <v>12</v>
      </c>
      <c r="G1521" s="1" t="s">
        <v>12</v>
      </c>
      <c r="H1521" s="1" t="s">
        <v>13</v>
      </c>
      <c r="I1521" s="1" t="s">
        <v>13</v>
      </c>
      <c r="J1521" s="1" t="s">
        <v>25</v>
      </c>
      <c r="K1521" s="1">
        <v>0</v>
      </c>
      <c r="L1521" s="1" t="s">
        <v>24</v>
      </c>
      <c r="M1521" s="1" t="str">
        <f t="shared" si="23"/>
        <v>Consistent</v>
      </c>
      <c r="N1521" s="1" t="str">
        <f>_xlfn.XLOOKUP(H1521, risk_score!A:A, risk_score!B:B, 0)</f>
        <v>Low Risk</v>
      </c>
    </row>
    <row r="1522" spans="1:14">
      <c r="A1522" s="2">
        <v>0.47986111111111113</v>
      </c>
      <c r="B1522" s="3">
        <v>44841</v>
      </c>
      <c r="C1522" s="1">
        <v>9332578322</v>
      </c>
      <c r="D1522" s="1">
        <v>1585147590</v>
      </c>
      <c r="E1522" s="1">
        <v>154.16</v>
      </c>
      <c r="F1522" s="1" t="s">
        <v>12</v>
      </c>
      <c r="G1522" s="1" t="s">
        <v>12</v>
      </c>
      <c r="H1522" s="1" t="s">
        <v>13</v>
      </c>
      <c r="I1522" s="1" t="s">
        <v>13</v>
      </c>
      <c r="J1522" s="1" t="s">
        <v>27</v>
      </c>
      <c r="K1522" s="1">
        <v>0</v>
      </c>
      <c r="L1522" s="1" t="s">
        <v>21</v>
      </c>
      <c r="M1522" s="1" t="str">
        <f t="shared" si="23"/>
        <v>Consistent</v>
      </c>
      <c r="N1522" s="1" t="str">
        <f>_xlfn.XLOOKUP(H1522, risk_score!A:A, risk_score!B:B, 0)</f>
        <v>Low Risk</v>
      </c>
    </row>
    <row r="1523" spans="1:14">
      <c r="A1523" s="2">
        <v>0.47987268518518517</v>
      </c>
      <c r="B1523" s="3">
        <v>44841</v>
      </c>
      <c r="C1523" s="1">
        <v>5118433753</v>
      </c>
      <c r="D1523" s="1">
        <v>7391734039</v>
      </c>
      <c r="E1523" s="1">
        <v>1575.15</v>
      </c>
      <c r="F1523" s="1" t="s">
        <v>12</v>
      </c>
      <c r="G1523" s="1" t="s">
        <v>12</v>
      </c>
      <c r="H1523" s="1" t="s">
        <v>13</v>
      </c>
      <c r="I1523" s="1" t="s">
        <v>13</v>
      </c>
      <c r="J1523" s="1" t="s">
        <v>14</v>
      </c>
      <c r="K1523" s="1">
        <v>0</v>
      </c>
      <c r="L1523" s="1" t="s">
        <v>15</v>
      </c>
      <c r="M1523" s="1" t="str">
        <f t="shared" si="23"/>
        <v>Consistent</v>
      </c>
      <c r="N1523" s="1" t="str">
        <f>_xlfn.XLOOKUP(H1523, risk_score!A:A, risk_score!B:B, 0)</f>
        <v>Low Risk</v>
      </c>
    </row>
    <row r="1524" spans="1:14">
      <c r="A1524" s="2">
        <v>0.47993055555555558</v>
      </c>
      <c r="B1524" s="3">
        <v>44841</v>
      </c>
      <c r="C1524" s="1">
        <v>8212330109</v>
      </c>
      <c r="D1524" s="1">
        <v>2534644942</v>
      </c>
      <c r="E1524" s="1">
        <v>5399.53</v>
      </c>
      <c r="F1524" s="1" t="s">
        <v>12</v>
      </c>
      <c r="G1524" s="1" t="s">
        <v>29</v>
      </c>
      <c r="H1524" s="1" t="s">
        <v>13</v>
      </c>
      <c r="I1524" s="1" t="s">
        <v>31</v>
      </c>
      <c r="J1524" s="1" t="s">
        <v>18</v>
      </c>
      <c r="K1524" s="1">
        <v>0</v>
      </c>
      <c r="L1524" s="1" t="s">
        <v>23</v>
      </c>
      <c r="M1524" s="1" t="str">
        <f t="shared" si="23"/>
        <v>Potential Layering</v>
      </c>
      <c r="N1524" s="1" t="str">
        <f>_xlfn.XLOOKUP(H1524, risk_score!A:A, risk_score!B:B, 0)</f>
        <v>Low Risk</v>
      </c>
    </row>
    <row r="1525" spans="1:14">
      <c r="A1525" s="2">
        <v>0.47998842592592594</v>
      </c>
      <c r="B1525" s="3">
        <v>44841</v>
      </c>
      <c r="C1525" s="1">
        <v>7466302779</v>
      </c>
      <c r="D1525" s="1">
        <v>5103043844</v>
      </c>
      <c r="E1525" s="1">
        <v>12215.92</v>
      </c>
      <c r="F1525" s="1" t="s">
        <v>12</v>
      </c>
      <c r="G1525" s="1" t="s">
        <v>44</v>
      </c>
      <c r="H1525" s="1" t="s">
        <v>13</v>
      </c>
      <c r="I1525" s="1" t="s">
        <v>45</v>
      </c>
      <c r="J1525" s="1" t="s">
        <v>18</v>
      </c>
      <c r="K1525" s="1">
        <v>0</v>
      </c>
      <c r="L1525" s="1" t="s">
        <v>23</v>
      </c>
      <c r="M1525" s="1" t="str">
        <f t="shared" si="23"/>
        <v>Potential Layering</v>
      </c>
      <c r="N1525" s="1" t="str">
        <f>_xlfn.XLOOKUP(H1525, risk_score!A:A, risk_score!B:B, 0)</f>
        <v>Low Risk</v>
      </c>
    </row>
    <row r="1526" spans="1:14">
      <c r="A1526" s="2">
        <v>0.48002314814814817</v>
      </c>
      <c r="B1526" s="3">
        <v>44841</v>
      </c>
      <c r="C1526" s="1">
        <v>3688525533</v>
      </c>
      <c r="D1526" s="1">
        <v>8678802420</v>
      </c>
      <c r="E1526" s="1">
        <v>22234.43</v>
      </c>
      <c r="F1526" s="1" t="s">
        <v>12</v>
      </c>
      <c r="G1526" s="1" t="s">
        <v>12</v>
      </c>
      <c r="H1526" s="1" t="s">
        <v>13</v>
      </c>
      <c r="I1526" s="1" t="s">
        <v>13</v>
      </c>
      <c r="J1526" s="1" t="s">
        <v>22</v>
      </c>
      <c r="K1526" s="1">
        <v>0</v>
      </c>
      <c r="L1526" s="1" t="s">
        <v>23</v>
      </c>
      <c r="M1526" s="1" t="str">
        <f t="shared" si="23"/>
        <v>Consistent</v>
      </c>
      <c r="N1526" s="1" t="str">
        <f>_xlfn.XLOOKUP(H1526, risk_score!A:A, risk_score!B:B, 0)</f>
        <v>Low Risk</v>
      </c>
    </row>
    <row r="1527" spans="1:14">
      <c r="A1527" s="2">
        <v>0.4800462962962963</v>
      </c>
      <c r="B1527" s="3">
        <v>44841</v>
      </c>
      <c r="C1527" s="1">
        <v>9490679180</v>
      </c>
      <c r="D1527" s="1">
        <v>5103043844</v>
      </c>
      <c r="E1527" s="1">
        <v>6712.96</v>
      </c>
      <c r="F1527" s="1" t="s">
        <v>12</v>
      </c>
      <c r="G1527" s="1" t="s">
        <v>44</v>
      </c>
      <c r="H1527" s="1" t="s">
        <v>13</v>
      </c>
      <c r="I1527" s="1" t="s">
        <v>45</v>
      </c>
      <c r="J1527" s="1" t="s">
        <v>18</v>
      </c>
      <c r="K1527" s="1">
        <v>0</v>
      </c>
      <c r="L1527" s="1" t="s">
        <v>23</v>
      </c>
      <c r="M1527" s="1" t="str">
        <f t="shared" si="23"/>
        <v>Potential Layering</v>
      </c>
      <c r="N1527" s="1" t="str">
        <f>_xlfn.XLOOKUP(H1527, risk_score!A:A, risk_score!B:B, 0)</f>
        <v>Low Risk</v>
      </c>
    </row>
    <row r="1528" spans="1:14">
      <c r="A1528" s="2">
        <v>0.4800462962962963</v>
      </c>
      <c r="B1528" s="3">
        <v>44841</v>
      </c>
      <c r="C1528" s="1">
        <v>9534729015</v>
      </c>
      <c r="D1528" s="1">
        <v>8091763232</v>
      </c>
      <c r="E1528" s="1">
        <v>5898.67</v>
      </c>
      <c r="F1528" s="1" t="s">
        <v>12</v>
      </c>
      <c r="G1528" s="1" t="s">
        <v>12</v>
      </c>
      <c r="H1528" s="1" t="s">
        <v>13</v>
      </c>
      <c r="I1528" s="1" t="s">
        <v>13</v>
      </c>
      <c r="J1528" s="1" t="s">
        <v>27</v>
      </c>
      <c r="K1528" s="1">
        <v>0</v>
      </c>
      <c r="L1528" s="1" t="s">
        <v>19</v>
      </c>
      <c r="M1528" s="1" t="str">
        <f t="shared" si="23"/>
        <v>Consistent</v>
      </c>
      <c r="N1528" s="1" t="str">
        <f>_xlfn.XLOOKUP(H1528, risk_score!A:A, risk_score!B:B, 0)</f>
        <v>Low Risk</v>
      </c>
    </row>
    <row r="1529" spans="1:14">
      <c r="A1529" s="2">
        <v>0.48005787037037034</v>
      </c>
      <c r="B1529" s="3">
        <v>44841</v>
      </c>
      <c r="C1529" s="1">
        <v>4188631133</v>
      </c>
      <c r="D1529" s="1">
        <v>4903447200</v>
      </c>
      <c r="E1529" s="1">
        <v>3185.52</v>
      </c>
      <c r="F1529" s="1" t="s">
        <v>12</v>
      </c>
      <c r="G1529" s="1" t="s">
        <v>12</v>
      </c>
      <c r="H1529" s="1" t="s">
        <v>13</v>
      </c>
      <c r="I1529" s="1" t="s">
        <v>13</v>
      </c>
      <c r="J1529" s="1" t="s">
        <v>14</v>
      </c>
      <c r="K1529" s="1">
        <v>0</v>
      </c>
      <c r="L1529" s="1" t="s">
        <v>15</v>
      </c>
      <c r="M1529" s="1" t="str">
        <f t="shared" si="23"/>
        <v>Consistent</v>
      </c>
      <c r="N1529" s="1" t="str">
        <f>_xlfn.XLOOKUP(H1529, risk_score!A:A, risk_score!B:B, 0)</f>
        <v>Low Risk</v>
      </c>
    </row>
    <row r="1530" spans="1:14">
      <c r="A1530" s="2">
        <v>0.48009259259259257</v>
      </c>
      <c r="B1530" s="3">
        <v>44841</v>
      </c>
      <c r="C1530" s="1">
        <v>4977123092</v>
      </c>
      <c r="D1530" s="1">
        <v>6636084525</v>
      </c>
      <c r="E1530" s="1">
        <v>4161.78</v>
      </c>
      <c r="F1530" s="1" t="s">
        <v>12</v>
      </c>
      <c r="G1530" s="1" t="s">
        <v>12</v>
      </c>
      <c r="H1530" s="1" t="s">
        <v>13</v>
      </c>
      <c r="I1530" s="1" t="s">
        <v>13</v>
      </c>
      <c r="J1530" s="1" t="s">
        <v>22</v>
      </c>
      <c r="K1530" s="1">
        <v>0</v>
      </c>
      <c r="L1530" s="1" t="s">
        <v>24</v>
      </c>
      <c r="M1530" s="1" t="str">
        <f t="shared" si="23"/>
        <v>Consistent</v>
      </c>
      <c r="N1530" s="1" t="str">
        <f>_xlfn.XLOOKUP(H1530, risk_score!A:A, risk_score!B:B, 0)</f>
        <v>Low Risk</v>
      </c>
    </row>
    <row r="1531" spans="1:14">
      <c r="A1531" s="2">
        <v>0.48010416666666667</v>
      </c>
      <c r="B1531" s="3">
        <v>44841</v>
      </c>
      <c r="C1531" s="1">
        <v>5424728274</v>
      </c>
      <c r="D1531" s="1">
        <v>4336977506</v>
      </c>
      <c r="E1531" s="1">
        <v>5171.3100000000004</v>
      </c>
      <c r="F1531" s="1" t="s">
        <v>12</v>
      </c>
      <c r="G1531" s="1" t="s">
        <v>12</v>
      </c>
      <c r="H1531" s="1" t="s">
        <v>13</v>
      </c>
      <c r="I1531" s="1" t="s">
        <v>13</v>
      </c>
      <c r="J1531" s="1" t="s">
        <v>22</v>
      </c>
      <c r="K1531" s="1">
        <v>0</v>
      </c>
      <c r="L1531" s="1" t="s">
        <v>23</v>
      </c>
      <c r="M1531" s="1" t="str">
        <f t="shared" si="23"/>
        <v>Consistent</v>
      </c>
      <c r="N1531" s="1" t="str">
        <f>_xlfn.XLOOKUP(H1531, risk_score!A:A, risk_score!B:B, 0)</f>
        <v>Low Risk</v>
      </c>
    </row>
    <row r="1532" spans="1:14">
      <c r="A1532" s="2">
        <v>0.4801273148148148</v>
      </c>
      <c r="B1532" s="3">
        <v>44841</v>
      </c>
      <c r="C1532" s="1">
        <v>2170161481</v>
      </c>
      <c r="D1532" s="1">
        <v>764476155</v>
      </c>
      <c r="E1532" s="1">
        <v>6124.16</v>
      </c>
      <c r="F1532" s="1" t="s">
        <v>12</v>
      </c>
      <c r="G1532" s="1" t="s">
        <v>12</v>
      </c>
      <c r="H1532" s="1" t="s">
        <v>13</v>
      </c>
      <c r="I1532" s="1" t="s">
        <v>13</v>
      </c>
      <c r="J1532" s="1" t="s">
        <v>20</v>
      </c>
      <c r="K1532" s="1">
        <v>0</v>
      </c>
      <c r="L1532" s="1" t="s">
        <v>41</v>
      </c>
      <c r="M1532" s="1" t="str">
        <f t="shared" si="23"/>
        <v>Consistent</v>
      </c>
      <c r="N1532" s="1" t="str">
        <f>_xlfn.XLOOKUP(H1532, risk_score!A:A, risk_score!B:B, 0)</f>
        <v>Low Risk</v>
      </c>
    </row>
    <row r="1533" spans="1:14">
      <c r="A1533" s="2">
        <v>0.48018518518518516</v>
      </c>
      <c r="B1533" s="3">
        <v>44841</v>
      </c>
      <c r="C1533" s="1">
        <v>4108045080</v>
      </c>
      <c r="D1533" s="1">
        <v>5062007826</v>
      </c>
      <c r="E1533" s="1">
        <v>224.07</v>
      </c>
      <c r="F1533" s="1" t="s">
        <v>12</v>
      </c>
      <c r="G1533" s="1" t="s">
        <v>12</v>
      </c>
      <c r="H1533" s="1" t="s">
        <v>13</v>
      </c>
      <c r="I1533" s="1" t="s">
        <v>13</v>
      </c>
      <c r="J1533" s="1" t="s">
        <v>36</v>
      </c>
      <c r="K1533" s="1">
        <v>0</v>
      </c>
      <c r="L1533" s="1" t="s">
        <v>37</v>
      </c>
      <c r="M1533" s="1" t="str">
        <f t="shared" si="23"/>
        <v>Consistent</v>
      </c>
      <c r="N1533" s="1" t="str">
        <f>_xlfn.XLOOKUP(H1533, risk_score!A:A, risk_score!B:B, 0)</f>
        <v>Low Risk</v>
      </c>
    </row>
    <row r="1534" spans="1:14">
      <c r="A1534" s="2">
        <v>0.48021990740740739</v>
      </c>
      <c r="B1534" s="3">
        <v>44841</v>
      </c>
      <c r="C1534" s="1">
        <v>569955345</v>
      </c>
      <c r="D1534" s="1">
        <v>3695545812</v>
      </c>
      <c r="E1534" s="1">
        <v>6045.1</v>
      </c>
      <c r="F1534" s="1" t="s">
        <v>12</v>
      </c>
      <c r="G1534" s="1" t="s">
        <v>12</v>
      </c>
      <c r="H1534" s="1" t="s">
        <v>13</v>
      </c>
      <c r="I1534" s="1" t="s">
        <v>13</v>
      </c>
      <c r="J1534" s="1" t="s">
        <v>27</v>
      </c>
      <c r="K1534" s="1">
        <v>0</v>
      </c>
      <c r="L1534" s="1" t="s">
        <v>23</v>
      </c>
      <c r="M1534" s="1" t="str">
        <f t="shared" si="23"/>
        <v>Consistent</v>
      </c>
      <c r="N1534" s="1" t="str">
        <f>_xlfn.XLOOKUP(H1534, risk_score!A:A, risk_score!B:B, 0)</f>
        <v>Low Risk</v>
      </c>
    </row>
    <row r="1535" spans="1:14">
      <c r="A1535" s="2">
        <v>0.48031249999999998</v>
      </c>
      <c r="B1535" s="3">
        <v>44841</v>
      </c>
      <c r="C1535" s="1">
        <v>8952177221</v>
      </c>
      <c r="D1535" s="1">
        <v>4269977194</v>
      </c>
      <c r="E1535" s="1">
        <v>7387.01</v>
      </c>
      <c r="F1535" s="1" t="s">
        <v>12</v>
      </c>
      <c r="G1535" s="1" t="s">
        <v>12</v>
      </c>
      <c r="H1535" s="1" t="s">
        <v>13</v>
      </c>
      <c r="I1535" s="1" t="s">
        <v>13</v>
      </c>
      <c r="J1535" s="1" t="s">
        <v>25</v>
      </c>
      <c r="K1535" s="1">
        <v>0</v>
      </c>
      <c r="L1535" s="1" t="s">
        <v>19</v>
      </c>
      <c r="M1535" s="1" t="str">
        <f t="shared" si="23"/>
        <v>Consistent</v>
      </c>
      <c r="N1535" s="1" t="str">
        <f>_xlfn.XLOOKUP(H1535, risk_score!A:A, risk_score!B:B, 0)</f>
        <v>Low Risk</v>
      </c>
    </row>
    <row r="1536" spans="1:14">
      <c r="A1536" s="2">
        <v>0.48032407407407407</v>
      </c>
      <c r="B1536" s="3">
        <v>44841</v>
      </c>
      <c r="C1536" s="1">
        <v>4634060744</v>
      </c>
      <c r="D1536" s="1">
        <v>2321079122</v>
      </c>
      <c r="E1536" s="1">
        <v>249.73</v>
      </c>
      <c r="F1536" s="1" t="s">
        <v>12</v>
      </c>
      <c r="G1536" s="1" t="s">
        <v>12</v>
      </c>
      <c r="H1536" s="1" t="s">
        <v>13</v>
      </c>
      <c r="I1536" s="1" t="s">
        <v>13</v>
      </c>
      <c r="J1536" s="1" t="s">
        <v>36</v>
      </c>
      <c r="K1536" s="1">
        <v>0</v>
      </c>
      <c r="L1536" s="1" t="s">
        <v>37</v>
      </c>
      <c r="M1536" s="1" t="str">
        <f t="shared" si="23"/>
        <v>Consistent</v>
      </c>
      <c r="N1536" s="1" t="str">
        <f>_xlfn.XLOOKUP(H1536, risk_score!A:A, risk_score!B:B, 0)</f>
        <v>Low Risk</v>
      </c>
    </row>
    <row r="1537" spans="1:14">
      <c r="A1537" s="2">
        <v>0.48040509259259262</v>
      </c>
      <c r="B1537" s="3">
        <v>44841</v>
      </c>
      <c r="C1537" s="1">
        <v>3801764994</v>
      </c>
      <c r="D1537" s="1">
        <v>6470357508</v>
      </c>
      <c r="E1537" s="1">
        <v>1388.14</v>
      </c>
      <c r="F1537" s="1" t="s">
        <v>12</v>
      </c>
      <c r="G1537" s="1" t="s">
        <v>28</v>
      </c>
      <c r="H1537" s="1" t="s">
        <v>13</v>
      </c>
      <c r="I1537" s="1" t="s">
        <v>13</v>
      </c>
      <c r="J1537" s="1" t="s">
        <v>25</v>
      </c>
      <c r="K1537" s="1">
        <v>0</v>
      </c>
      <c r="L1537" s="1" t="s">
        <v>21</v>
      </c>
      <c r="M1537" s="1" t="str">
        <f t="shared" si="23"/>
        <v>Potential Layering</v>
      </c>
      <c r="N1537" s="1" t="str">
        <f>_xlfn.XLOOKUP(H1537, risk_score!A:A, risk_score!B:B, 0)</f>
        <v>Low Risk</v>
      </c>
    </row>
    <row r="1538" spans="1:14">
      <c r="A1538" s="2">
        <v>0.48041666666666666</v>
      </c>
      <c r="B1538" s="3">
        <v>44841</v>
      </c>
      <c r="C1538" s="1">
        <v>8952177221</v>
      </c>
      <c r="D1538" s="1">
        <v>6345374341</v>
      </c>
      <c r="E1538" s="1">
        <v>8175.99</v>
      </c>
      <c r="F1538" s="1" t="s">
        <v>12</v>
      </c>
      <c r="G1538" s="1" t="s">
        <v>12</v>
      </c>
      <c r="H1538" s="1" t="s">
        <v>13</v>
      </c>
      <c r="I1538" s="1" t="s">
        <v>13</v>
      </c>
      <c r="J1538" s="1" t="s">
        <v>22</v>
      </c>
      <c r="K1538" s="1">
        <v>0</v>
      </c>
      <c r="L1538" s="1" t="s">
        <v>19</v>
      </c>
      <c r="M1538" s="1" t="str">
        <f t="shared" si="23"/>
        <v>Consistent</v>
      </c>
      <c r="N1538" s="1" t="str">
        <f>_xlfn.XLOOKUP(H1538, risk_score!A:A, risk_score!B:B, 0)</f>
        <v>Low Risk</v>
      </c>
    </row>
    <row r="1539" spans="1:14">
      <c r="A1539" s="2">
        <v>0.48054398148148147</v>
      </c>
      <c r="B1539" s="3">
        <v>44841</v>
      </c>
      <c r="C1539" s="1">
        <v>40660973</v>
      </c>
      <c r="D1539" s="1">
        <v>5390541976</v>
      </c>
      <c r="E1539" s="1">
        <v>1058.28</v>
      </c>
      <c r="F1539" s="1" t="s">
        <v>12</v>
      </c>
      <c r="G1539" s="1" t="s">
        <v>12</v>
      </c>
      <c r="H1539" s="1" t="s">
        <v>13</v>
      </c>
      <c r="I1539" s="1" t="s">
        <v>13</v>
      </c>
      <c r="J1539" s="1" t="s">
        <v>20</v>
      </c>
      <c r="K1539" s="1">
        <v>0</v>
      </c>
      <c r="L1539" s="1" t="s">
        <v>21</v>
      </c>
      <c r="M1539" s="1" t="str">
        <f t="shared" ref="M1539:M1602" si="24">IF(F1539=G1539, "Consistent", "Potential Layering")</f>
        <v>Consistent</v>
      </c>
      <c r="N1539" s="1" t="str">
        <f>_xlfn.XLOOKUP(H1539, risk_score!A:A, risk_score!B:B, 0)</f>
        <v>Low Risk</v>
      </c>
    </row>
    <row r="1540" spans="1:14">
      <c r="A1540" s="2">
        <v>0.48064814814814816</v>
      </c>
      <c r="B1540" s="3">
        <v>44841</v>
      </c>
      <c r="C1540" s="1">
        <v>6421474785</v>
      </c>
      <c r="D1540" s="1">
        <v>7199625988</v>
      </c>
      <c r="E1540" s="1">
        <v>10658.28</v>
      </c>
      <c r="F1540" s="1" t="s">
        <v>12</v>
      </c>
      <c r="G1540" s="1" t="s">
        <v>12</v>
      </c>
      <c r="H1540" s="1" t="s">
        <v>13</v>
      </c>
      <c r="I1540" s="1" t="s">
        <v>13</v>
      </c>
      <c r="J1540" s="1" t="s">
        <v>22</v>
      </c>
      <c r="K1540" s="1">
        <v>0</v>
      </c>
      <c r="L1540" s="1" t="s">
        <v>23</v>
      </c>
      <c r="M1540" s="1" t="str">
        <f t="shared" si="24"/>
        <v>Consistent</v>
      </c>
      <c r="N1540" s="1" t="str">
        <f>_xlfn.XLOOKUP(H1540, risk_score!A:A, risk_score!B:B, 0)</f>
        <v>Low Risk</v>
      </c>
    </row>
    <row r="1541" spans="1:14">
      <c r="A1541" s="2">
        <v>0.48064814814814816</v>
      </c>
      <c r="B1541" s="3">
        <v>44841</v>
      </c>
      <c r="C1541" s="1">
        <v>7450078931</v>
      </c>
      <c r="D1541" s="1">
        <v>6678650623</v>
      </c>
      <c r="E1541" s="1">
        <v>3295.69</v>
      </c>
      <c r="F1541" s="1" t="s">
        <v>12</v>
      </c>
      <c r="G1541" s="1" t="s">
        <v>12</v>
      </c>
      <c r="H1541" s="1" t="s">
        <v>13</v>
      </c>
      <c r="I1541" s="1" t="s">
        <v>13</v>
      </c>
      <c r="J1541" s="1" t="s">
        <v>14</v>
      </c>
      <c r="K1541" s="1">
        <v>0</v>
      </c>
      <c r="L1541" s="1" t="s">
        <v>15</v>
      </c>
      <c r="M1541" s="1" t="str">
        <f t="shared" si="24"/>
        <v>Consistent</v>
      </c>
      <c r="N1541" s="1" t="str">
        <f>_xlfn.XLOOKUP(H1541, risk_score!A:A, risk_score!B:B, 0)</f>
        <v>Low Risk</v>
      </c>
    </row>
    <row r="1542" spans="1:14">
      <c r="A1542" s="2">
        <v>0.48067129629629629</v>
      </c>
      <c r="B1542" s="3">
        <v>44841</v>
      </c>
      <c r="C1542" s="1">
        <v>4121324384</v>
      </c>
      <c r="D1542" s="1">
        <v>9281561360</v>
      </c>
      <c r="E1542" s="1">
        <v>22306.49</v>
      </c>
      <c r="F1542" s="1" t="s">
        <v>29</v>
      </c>
      <c r="G1542" s="1" t="s">
        <v>12</v>
      </c>
      <c r="H1542" s="1" t="s">
        <v>30</v>
      </c>
      <c r="I1542" s="1" t="s">
        <v>13</v>
      </c>
      <c r="J1542" s="1" t="s">
        <v>18</v>
      </c>
      <c r="K1542" s="1">
        <v>0</v>
      </c>
      <c r="L1542" s="1" t="s">
        <v>19</v>
      </c>
      <c r="M1542" s="1" t="str">
        <f t="shared" si="24"/>
        <v>Potential Layering</v>
      </c>
      <c r="N1542" s="1" t="str">
        <f>_xlfn.XLOOKUP(H1542, risk_score!A:A, risk_score!B:B, 0)</f>
        <v>Low Risk</v>
      </c>
    </row>
    <row r="1543" spans="1:14">
      <c r="A1543" s="2">
        <v>0.48067129629629629</v>
      </c>
      <c r="B1543" s="3">
        <v>44841</v>
      </c>
      <c r="C1543" s="1">
        <v>4877642201</v>
      </c>
      <c r="D1543" s="1">
        <v>2083746184</v>
      </c>
      <c r="E1543" s="1">
        <v>7614.05</v>
      </c>
      <c r="F1543" s="1" t="s">
        <v>12</v>
      </c>
      <c r="G1543" s="1" t="s">
        <v>12</v>
      </c>
      <c r="H1543" s="1" t="s">
        <v>13</v>
      </c>
      <c r="I1543" s="1" t="s">
        <v>13</v>
      </c>
      <c r="J1543" s="1" t="s">
        <v>25</v>
      </c>
      <c r="K1543" s="1">
        <v>0</v>
      </c>
      <c r="L1543" s="1" t="s">
        <v>24</v>
      </c>
      <c r="M1543" s="1" t="str">
        <f t="shared" si="24"/>
        <v>Consistent</v>
      </c>
      <c r="N1543" s="1" t="str">
        <f>_xlfn.XLOOKUP(H1543, risk_score!A:A, risk_score!B:B, 0)</f>
        <v>Low Risk</v>
      </c>
    </row>
    <row r="1544" spans="1:14">
      <c r="A1544" s="2">
        <v>0.48068287037037039</v>
      </c>
      <c r="B1544" s="3">
        <v>44841</v>
      </c>
      <c r="C1544" s="1">
        <v>7723120112</v>
      </c>
      <c r="D1544" s="1">
        <v>1431561040</v>
      </c>
      <c r="E1544" s="1">
        <v>8666.06</v>
      </c>
      <c r="F1544" s="1" t="s">
        <v>12</v>
      </c>
      <c r="G1544" s="1" t="s">
        <v>12</v>
      </c>
      <c r="H1544" s="1" t="s">
        <v>13</v>
      </c>
      <c r="I1544" s="1" t="s">
        <v>13</v>
      </c>
      <c r="J1544" s="1" t="s">
        <v>22</v>
      </c>
      <c r="K1544" s="1">
        <v>0</v>
      </c>
      <c r="L1544" s="1" t="s">
        <v>23</v>
      </c>
      <c r="M1544" s="1" t="str">
        <f t="shared" si="24"/>
        <v>Consistent</v>
      </c>
      <c r="N1544" s="1" t="str">
        <f>_xlfn.XLOOKUP(H1544, risk_score!A:A, risk_score!B:B, 0)</f>
        <v>Low Risk</v>
      </c>
    </row>
    <row r="1545" spans="1:14">
      <c r="A1545" s="2">
        <v>0.48068287037037039</v>
      </c>
      <c r="B1545" s="3">
        <v>44841</v>
      </c>
      <c r="C1545" s="1">
        <v>3440654296</v>
      </c>
      <c r="D1545" s="1">
        <v>8172080174</v>
      </c>
      <c r="E1545" s="1">
        <v>5581.4</v>
      </c>
      <c r="F1545" s="1" t="s">
        <v>12</v>
      </c>
      <c r="G1545" s="1" t="s">
        <v>12</v>
      </c>
      <c r="H1545" s="1" t="s">
        <v>13</v>
      </c>
      <c r="I1545" s="1" t="s">
        <v>13</v>
      </c>
      <c r="J1545" s="1" t="s">
        <v>25</v>
      </c>
      <c r="K1545" s="1">
        <v>0</v>
      </c>
      <c r="L1545" s="1" t="s">
        <v>23</v>
      </c>
      <c r="M1545" s="1" t="str">
        <f t="shared" si="24"/>
        <v>Consistent</v>
      </c>
      <c r="N1545" s="1" t="str">
        <f>_xlfn.XLOOKUP(H1545, risk_score!A:A, risk_score!B:B, 0)</f>
        <v>Low Risk</v>
      </c>
    </row>
    <row r="1546" spans="1:14">
      <c r="A1546" s="2">
        <v>0.48070601851851852</v>
      </c>
      <c r="B1546" s="3">
        <v>44841</v>
      </c>
      <c r="C1546" s="1">
        <v>7574239075</v>
      </c>
      <c r="D1546" s="1">
        <v>1725245008</v>
      </c>
      <c r="E1546" s="1">
        <v>1640.79</v>
      </c>
      <c r="F1546" s="1" t="s">
        <v>12</v>
      </c>
      <c r="G1546" s="1" t="s">
        <v>12</v>
      </c>
      <c r="H1546" s="1" t="s">
        <v>13</v>
      </c>
      <c r="I1546" s="1" t="s">
        <v>13</v>
      </c>
      <c r="J1546" s="1" t="s">
        <v>14</v>
      </c>
      <c r="K1546" s="1">
        <v>0</v>
      </c>
      <c r="L1546" s="1" t="s">
        <v>15</v>
      </c>
      <c r="M1546" s="1" t="str">
        <f t="shared" si="24"/>
        <v>Consistent</v>
      </c>
      <c r="N1546" s="1" t="str">
        <f>_xlfn.XLOOKUP(H1546, risk_score!A:A, risk_score!B:B, 0)</f>
        <v>Low Risk</v>
      </c>
    </row>
    <row r="1547" spans="1:14">
      <c r="A1547" s="2">
        <v>0.48071759259259261</v>
      </c>
      <c r="B1547" s="3">
        <v>44841</v>
      </c>
      <c r="C1547" s="1">
        <v>8389148416</v>
      </c>
      <c r="D1547" s="1">
        <v>2753383263</v>
      </c>
      <c r="E1547" s="1">
        <v>5655.3</v>
      </c>
      <c r="F1547" s="1" t="s">
        <v>12</v>
      </c>
      <c r="G1547" s="1" t="s">
        <v>12</v>
      </c>
      <c r="H1547" s="1" t="s">
        <v>13</v>
      </c>
      <c r="I1547" s="1" t="s">
        <v>13</v>
      </c>
      <c r="J1547" s="1" t="s">
        <v>22</v>
      </c>
      <c r="K1547" s="1">
        <v>0</v>
      </c>
      <c r="L1547" s="1" t="s">
        <v>19</v>
      </c>
      <c r="M1547" s="1" t="str">
        <f t="shared" si="24"/>
        <v>Consistent</v>
      </c>
      <c r="N1547" s="1" t="str">
        <f>_xlfn.XLOOKUP(H1547, risk_score!A:A, risk_score!B:B, 0)</f>
        <v>Low Risk</v>
      </c>
    </row>
    <row r="1548" spans="1:14">
      <c r="A1548" s="2">
        <v>0.48078703703703701</v>
      </c>
      <c r="B1548" s="3">
        <v>44841</v>
      </c>
      <c r="C1548" s="1">
        <v>9719585962</v>
      </c>
      <c r="D1548" s="1">
        <v>6662033896</v>
      </c>
      <c r="E1548" s="1">
        <v>691.77</v>
      </c>
      <c r="F1548" s="1" t="s">
        <v>12</v>
      </c>
      <c r="G1548" s="1" t="s">
        <v>12</v>
      </c>
      <c r="H1548" s="1" t="s">
        <v>13</v>
      </c>
      <c r="I1548" s="1" t="s">
        <v>13</v>
      </c>
      <c r="J1548" s="1" t="s">
        <v>20</v>
      </c>
      <c r="K1548" s="1">
        <v>0</v>
      </c>
      <c r="L1548" s="1" t="s">
        <v>21</v>
      </c>
      <c r="M1548" s="1" t="str">
        <f t="shared" si="24"/>
        <v>Consistent</v>
      </c>
      <c r="N1548" s="1" t="str">
        <f>_xlfn.XLOOKUP(H1548, risk_score!A:A, risk_score!B:B, 0)</f>
        <v>Low Risk</v>
      </c>
    </row>
    <row r="1549" spans="1:14">
      <c r="A1549" s="2">
        <v>0.4808101851851852</v>
      </c>
      <c r="B1549" s="3">
        <v>44841</v>
      </c>
      <c r="C1549" s="1">
        <v>787064572</v>
      </c>
      <c r="D1549" s="1">
        <v>6034997194</v>
      </c>
      <c r="E1549" s="1">
        <v>7031.37</v>
      </c>
      <c r="F1549" s="1" t="s">
        <v>12</v>
      </c>
      <c r="G1549" s="1" t="s">
        <v>12</v>
      </c>
      <c r="H1549" s="1" t="s">
        <v>13</v>
      </c>
      <c r="I1549" s="1" t="s">
        <v>13</v>
      </c>
      <c r="J1549" s="1" t="s">
        <v>20</v>
      </c>
      <c r="K1549" s="1">
        <v>0</v>
      </c>
      <c r="L1549" s="1" t="s">
        <v>23</v>
      </c>
      <c r="M1549" s="1" t="str">
        <f t="shared" si="24"/>
        <v>Consistent</v>
      </c>
      <c r="N1549" s="1" t="str">
        <f>_xlfn.XLOOKUP(H1549, risk_score!A:A, risk_score!B:B, 0)</f>
        <v>Low Risk</v>
      </c>
    </row>
    <row r="1550" spans="1:14">
      <c r="A1550" s="2">
        <v>0.4808101851851852</v>
      </c>
      <c r="B1550" s="3">
        <v>44841</v>
      </c>
      <c r="C1550" s="1">
        <v>6057444675</v>
      </c>
      <c r="D1550" s="1">
        <v>9549349263</v>
      </c>
      <c r="E1550" s="1">
        <v>11069.15</v>
      </c>
      <c r="F1550" s="1" t="s">
        <v>12</v>
      </c>
      <c r="G1550" s="1" t="s">
        <v>12</v>
      </c>
      <c r="H1550" s="1" t="s">
        <v>13</v>
      </c>
      <c r="I1550" s="1" t="s">
        <v>13</v>
      </c>
      <c r="J1550" s="1" t="s">
        <v>27</v>
      </c>
      <c r="K1550" s="1">
        <v>0</v>
      </c>
      <c r="L1550" s="1" t="s">
        <v>19</v>
      </c>
      <c r="M1550" s="1" t="str">
        <f t="shared" si="24"/>
        <v>Consistent</v>
      </c>
      <c r="N1550" s="1" t="str">
        <f>_xlfn.XLOOKUP(H1550, risk_score!A:A, risk_score!B:B, 0)</f>
        <v>Low Risk</v>
      </c>
    </row>
    <row r="1551" spans="1:14">
      <c r="A1551" s="2">
        <v>0.48084490740740743</v>
      </c>
      <c r="B1551" s="3">
        <v>44841</v>
      </c>
      <c r="C1551" s="1">
        <v>8987848252</v>
      </c>
      <c r="D1551" s="1">
        <v>685567924</v>
      </c>
      <c r="E1551" s="1">
        <v>10896.96</v>
      </c>
      <c r="F1551" s="1" t="s">
        <v>12</v>
      </c>
      <c r="G1551" s="1" t="s">
        <v>12</v>
      </c>
      <c r="H1551" s="1" t="s">
        <v>13</v>
      </c>
      <c r="I1551" s="1" t="s">
        <v>13</v>
      </c>
      <c r="J1551" s="1" t="s">
        <v>25</v>
      </c>
      <c r="K1551" s="1">
        <v>0</v>
      </c>
      <c r="L1551" s="1" t="s">
        <v>19</v>
      </c>
      <c r="M1551" s="1" t="str">
        <f t="shared" si="24"/>
        <v>Consistent</v>
      </c>
      <c r="N1551" s="1" t="str">
        <f>_xlfn.XLOOKUP(H1551, risk_score!A:A, risk_score!B:B, 0)</f>
        <v>Low Risk</v>
      </c>
    </row>
    <row r="1552" spans="1:14">
      <c r="A1552" s="2">
        <v>0.48085648148148147</v>
      </c>
      <c r="B1552" s="3">
        <v>44841</v>
      </c>
      <c r="C1552" s="1">
        <v>7758268667</v>
      </c>
      <c r="D1552" s="1">
        <v>7889074144</v>
      </c>
      <c r="E1552" s="1">
        <v>26689.279999999999</v>
      </c>
      <c r="F1552" s="1" t="s">
        <v>12</v>
      </c>
      <c r="G1552" s="1" t="s">
        <v>12</v>
      </c>
      <c r="H1552" s="1" t="s">
        <v>13</v>
      </c>
      <c r="I1552" s="1" t="s">
        <v>13</v>
      </c>
      <c r="J1552" s="1" t="s">
        <v>27</v>
      </c>
      <c r="K1552" s="1">
        <v>0</v>
      </c>
      <c r="L1552" s="1" t="s">
        <v>19</v>
      </c>
      <c r="M1552" s="1" t="str">
        <f t="shared" si="24"/>
        <v>Consistent</v>
      </c>
      <c r="N1552" s="1" t="str">
        <f>_xlfn.XLOOKUP(H1552, risk_score!A:A, risk_score!B:B, 0)</f>
        <v>Low Risk</v>
      </c>
    </row>
    <row r="1553" spans="1:14">
      <c r="A1553" s="2">
        <v>0.48085648148148147</v>
      </c>
      <c r="B1553" s="3">
        <v>44841</v>
      </c>
      <c r="C1553" s="1">
        <v>1833910002</v>
      </c>
      <c r="D1553" s="1">
        <v>4173136393</v>
      </c>
      <c r="E1553" s="1">
        <v>3523.43</v>
      </c>
      <c r="F1553" s="1" t="s">
        <v>12</v>
      </c>
      <c r="G1553" s="1" t="s">
        <v>12</v>
      </c>
      <c r="H1553" s="1" t="s">
        <v>13</v>
      </c>
      <c r="I1553" s="1" t="s">
        <v>13</v>
      </c>
      <c r="J1553" s="1" t="s">
        <v>25</v>
      </c>
      <c r="K1553" s="1">
        <v>0</v>
      </c>
      <c r="L1553" s="1" t="s">
        <v>24</v>
      </c>
      <c r="M1553" s="1" t="str">
        <f t="shared" si="24"/>
        <v>Consistent</v>
      </c>
      <c r="N1553" s="1" t="str">
        <f>_xlfn.XLOOKUP(H1553, risk_score!A:A, risk_score!B:B, 0)</f>
        <v>Low Risk</v>
      </c>
    </row>
    <row r="1554" spans="1:14">
      <c r="A1554" s="2">
        <v>0.48092592592592592</v>
      </c>
      <c r="B1554" s="3">
        <v>44841</v>
      </c>
      <c r="C1554" s="1">
        <v>7049199616</v>
      </c>
      <c r="D1554" s="1">
        <v>4092099585</v>
      </c>
      <c r="E1554" s="1">
        <v>4512.3100000000004</v>
      </c>
      <c r="F1554" s="1" t="s">
        <v>12</v>
      </c>
      <c r="G1554" s="1" t="s">
        <v>12</v>
      </c>
      <c r="H1554" s="1" t="s">
        <v>13</v>
      </c>
      <c r="I1554" s="1" t="s">
        <v>13</v>
      </c>
      <c r="J1554" s="1" t="s">
        <v>25</v>
      </c>
      <c r="K1554" s="1">
        <v>0</v>
      </c>
      <c r="L1554" s="1" t="s">
        <v>21</v>
      </c>
      <c r="M1554" s="1" t="str">
        <f t="shared" si="24"/>
        <v>Consistent</v>
      </c>
      <c r="N1554" s="1" t="str">
        <f>_xlfn.XLOOKUP(H1554, risk_score!A:A, risk_score!B:B, 0)</f>
        <v>Low Risk</v>
      </c>
    </row>
    <row r="1555" spans="1:14">
      <c r="A1555" s="2">
        <v>0.48092592592592592</v>
      </c>
      <c r="B1555" s="3">
        <v>44841</v>
      </c>
      <c r="C1555" s="1">
        <v>5805289983</v>
      </c>
      <c r="D1555" s="1">
        <v>4270865741</v>
      </c>
      <c r="E1555" s="1">
        <v>5785.32</v>
      </c>
      <c r="F1555" s="1" t="s">
        <v>12</v>
      </c>
      <c r="G1555" s="1" t="s">
        <v>12</v>
      </c>
      <c r="H1555" s="1" t="s">
        <v>13</v>
      </c>
      <c r="I1555" s="1" t="s">
        <v>13</v>
      </c>
      <c r="J1555" s="1" t="s">
        <v>27</v>
      </c>
      <c r="K1555" s="1">
        <v>0</v>
      </c>
      <c r="L1555" s="1" t="s">
        <v>23</v>
      </c>
      <c r="M1555" s="1" t="str">
        <f t="shared" si="24"/>
        <v>Consistent</v>
      </c>
      <c r="N1555" s="1" t="str">
        <f>_xlfn.XLOOKUP(H1555, risk_score!A:A, risk_score!B:B, 0)</f>
        <v>Low Risk</v>
      </c>
    </row>
    <row r="1556" spans="1:14">
      <c r="A1556" s="2">
        <v>0.48094907407407406</v>
      </c>
      <c r="B1556" s="3">
        <v>44841</v>
      </c>
      <c r="C1556" s="1">
        <v>1860276721</v>
      </c>
      <c r="D1556" s="1">
        <v>3220735304</v>
      </c>
      <c r="E1556" s="1">
        <v>8165.87</v>
      </c>
      <c r="F1556" s="1" t="s">
        <v>12</v>
      </c>
      <c r="G1556" s="1" t="s">
        <v>12</v>
      </c>
      <c r="H1556" s="1" t="s">
        <v>13</v>
      </c>
      <c r="I1556" s="1" t="s">
        <v>13</v>
      </c>
      <c r="J1556" s="1" t="s">
        <v>25</v>
      </c>
      <c r="K1556" s="1">
        <v>0</v>
      </c>
      <c r="L1556" s="1" t="s">
        <v>23</v>
      </c>
      <c r="M1556" s="1" t="str">
        <f t="shared" si="24"/>
        <v>Consistent</v>
      </c>
      <c r="N1556" s="1" t="str">
        <f>_xlfn.XLOOKUP(H1556, risk_score!A:A, risk_score!B:B, 0)</f>
        <v>Low Risk</v>
      </c>
    </row>
    <row r="1557" spans="1:14">
      <c r="A1557" s="2">
        <v>0.48097222222222225</v>
      </c>
      <c r="B1557" s="3">
        <v>44841</v>
      </c>
      <c r="C1557" s="1">
        <v>51578898</v>
      </c>
      <c r="D1557" s="1">
        <v>3954995196</v>
      </c>
      <c r="E1557" s="1">
        <v>2718.18</v>
      </c>
      <c r="F1557" s="1" t="s">
        <v>12</v>
      </c>
      <c r="G1557" s="1" t="s">
        <v>12</v>
      </c>
      <c r="H1557" s="1" t="s">
        <v>13</v>
      </c>
      <c r="I1557" s="1" t="s">
        <v>13</v>
      </c>
      <c r="J1557" s="1" t="s">
        <v>20</v>
      </c>
      <c r="K1557" s="1">
        <v>0</v>
      </c>
      <c r="L1557" s="1" t="s">
        <v>21</v>
      </c>
      <c r="M1557" s="1" t="str">
        <f t="shared" si="24"/>
        <v>Consistent</v>
      </c>
      <c r="N1557" s="1" t="str">
        <f>_xlfn.XLOOKUP(H1557, risk_score!A:A, risk_score!B:B, 0)</f>
        <v>Low Risk</v>
      </c>
    </row>
    <row r="1558" spans="1:14">
      <c r="A1558" s="2">
        <v>0.48101851851851851</v>
      </c>
      <c r="B1558" s="3">
        <v>44841</v>
      </c>
      <c r="C1558" s="1">
        <v>4910906417</v>
      </c>
      <c r="D1558" s="1">
        <v>433433286</v>
      </c>
      <c r="E1558" s="1">
        <v>5210.97</v>
      </c>
      <c r="F1558" s="1" t="s">
        <v>12</v>
      </c>
      <c r="G1558" s="1" t="s">
        <v>12</v>
      </c>
      <c r="H1558" s="1" t="s">
        <v>13</v>
      </c>
      <c r="I1558" s="1" t="s">
        <v>13</v>
      </c>
      <c r="J1558" s="1" t="s">
        <v>27</v>
      </c>
      <c r="K1558" s="1">
        <v>0</v>
      </c>
      <c r="L1558" s="1" t="s">
        <v>21</v>
      </c>
      <c r="M1558" s="1" t="str">
        <f t="shared" si="24"/>
        <v>Consistent</v>
      </c>
      <c r="N1558" s="1" t="str">
        <f>_xlfn.XLOOKUP(H1558, risk_score!A:A, risk_score!B:B, 0)</f>
        <v>Low Risk</v>
      </c>
    </row>
    <row r="1559" spans="1:14">
      <c r="A1559" s="2">
        <v>0.48104166666666665</v>
      </c>
      <c r="B1559" s="3">
        <v>44841</v>
      </c>
      <c r="C1559" s="1">
        <v>7638074935</v>
      </c>
      <c r="D1559" s="1">
        <v>2013911363</v>
      </c>
      <c r="E1559" s="1">
        <v>7287.99</v>
      </c>
      <c r="F1559" s="1" t="s">
        <v>12</v>
      </c>
      <c r="G1559" s="1" t="s">
        <v>12</v>
      </c>
      <c r="H1559" s="1" t="s">
        <v>13</v>
      </c>
      <c r="I1559" s="1" t="s">
        <v>13</v>
      </c>
      <c r="J1559" s="1" t="s">
        <v>20</v>
      </c>
      <c r="K1559" s="1">
        <v>0</v>
      </c>
      <c r="L1559" s="1" t="s">
        <v>21</v>
      </c>
      <c r="M1559" s="1" t="str">
        <f t="shared" si="24"/>
        <v>Consistent</v>
      </c>
      <c r="N1559" s="1" t="str">
        <f>_xlfn.XLOOKUP(H1559, risk_score!A:A, risk_score!B:B, 0)</f>
        <v>Low Risk</v>
      </c>
    </row>
    <row r="1560" spans="1:14">
      <c r="A1560" s="2">
        <v>0.48107638888888887</v>
      </c>
      <c r="B1560" s="3">
        <v>44841</v>
      </c>
      <c r="C1560" s="1">
        <v>4874671439</v>
      </c>
      <c r="D1560" s="1">
        <v>3613897186</v>
      </c>
      <c r="E1560" s="1">
        <v>6980.28</v>
      </c>
      <c r="F1560" s="1" t="s">
        <v>12</v>
      </c>
      <c r="G1560" s="1" t="s">
        <v>12</v>
      </c>
      <c r="H1560" s="1" t="s">
        <v>13</v>
      </c>
      <c r="I1560" s="1" t="s">
        <v>13</v>
      </c>
      <c r="J1560" s="1" t="s">
        <v>20</v>
      </c>
      <c r="K1560" s="1">
        <v>0</v>
      </c>
      <c r="L1560" s="1" t="s">
        <v>21</v>
      </c>
      <c r="M1560" s="1" t="str">
        <f t="shared" si="24"/>
        <v>Consistent</v>
      </c>
      <c r="N1560" s="1" t="str">
        <f>_xlfn.XLOOKUP(H1560, risk_score!A:A, risk_score!B:B, 0)</f>
        <v>Low Risk</v>
      </c>
    </row>
    <row r="1561" spans="1:14">
      <c r="A1561" s="2">
        <v>0.48107638888888887</v>
      </c>
      <c r="B1561" s="3">
        <v>44841</v>
      </c>
      <c r="C1561" s="1">
        <v>8047518157</v>
      </c>
      <c r="D1561" s="1">
        <v>8595873924</v>
      </c>
      <c r="E1561" s="1">
        <v>4081.25</v>
      </c>
      <c r="F1561" s="1" t="s">
        <v>12</v>
      </c>
      <c r="G1561" s="1" t="s">
        <v>12</v>
      </c>
      <c r="H1561" s="1" t="s">
        <v>13</v>
      </c>
      <c r="I1561" s="1" t="s">
        <v>13</v>
      </c>
      <c r="J1561" s="1" t="s">
        <v>25</v>
      </c>
      <c r="K1561" s="1">
        <v>0</v>
      </c>
      <c r="L1561" s="1" t="s">
        <v>21</v>
      </c>
      <c r="M1561" s="1" t="str">
        <f t="shared" si="24"/>
        <v>Consistent</v>
      </c>
      <c r="N1561" s="1" t="str">
        <f>_xlfn.XLOOKUP(H1561, risk_score!A:A, risk_score!B:B, 0)</f>
        <v>Low Risk</v>
      </c>
    </row>
    <row r="1562" spans="1:14">
      <c r="A1562" s="2">
        <v>0.48108796296296297</v>
      </c>
      <c r="B1562" s="3">
        <v>44841</v>
      </c>
      <c r="C1562" s="1">
        <v>9611218127</v>
      </c>
      <c r="D1562" s="1">
        <v>8560918363</v>
      </c>
      <c r="E1562" s="1">
        <v>1312.05</v>
      </c>
      <c r="F1562" s="1" t="s">
        <v>12</v>
      </c>
      <c r="G1562" s="1" t="s">
        <v>12</v>
      </c>
      <c r="H1562" s="1" t="s">
        <v>13</v>
      </c>
      <c r="I1562" s="1" t="s">
        <v>13</v>
      </c>
      <c r="J1562" s="1" t="s">
        <v>20</v>
      </c>
      <c r="K1562" s="1">
        <v>0</v>
      </c>
      <c r="L1562" s="1" t="s">
        <v>21</v>
      </c>
      <c r="M1562" s="1" t="str">
        <f t="shared" si="24"/>
        <v>Consistent</v>
      </c>
      <c r="N1562" s="1" t="str">
        <f>_xlfn.XLOOKUP(H1562, risk_score!A:A, risk_score!B:B, 0)</f>
        <v>Low Risk</v>
      </c>
    </row>
    <row r="1563" spans="1:14">
      <c r="A1563" s="2">
        <v>0.48109953703703706</v>
      </c>
      <c r="B1563" s="3">
        <v>44841</v>
      </c>
      <c r="C1563" s="1">
        <v>2659454323</v>
      </c>
      <c r="D1563" s="1">
        <v>8678802420</v>
      </c>
      <c r="E1563" s="1">
        <v>10028.5</v>
      </c>
      <c r="F1563" s="1" t="s">
        <v>12</v>
      </c>
      <c r="G1563" s="1" t="s">
        <v>12</v>
      </c>
      <c r="H1563" s="1" t="s">
        <v>13</v>
      </c>
      <c r="I1563" s="1" t="s">
        <v>13</v>
      </c>
      <c r="J1563" s="1" t="s">
        <v>27</v>
      </c>
      <c r="K1563" s="1">
        <v>0</v>
      </c>
      <c r="L1563" s="1" t="s">
        <v>23</v>
      </c>
      <c r="M1563" s="1" t="str">
        <f t="shared" si="24"/>
        <v>Consistent</v>
      </c>
      <c r="N1563" s="1" t="str">
        <f>_xlfn.XLOOKUP(H1563, risk_score!A:A, risk_score!B:B, 0)</f>
        <v>Low Risk</v>
      </c>
    </row>
    <row r="1564" spans="1:14">
      <c r="A1564" s="2">
        <v>0.4811111111111111</v>
      </c>
      <c r="B1564" s="3">
        <v>44841</v>
      </c>
      <c r="C1564" s="1">
        <v>5982914936</v>
      </c>
      <c r="D1564" s="1">
        <v>4409725873</v>
      </c>
      <c r="E1564" s="1">
        <v>8265.34</v>
      </c>
      <c r="F1564" s="1" t="s">
        <v>12</v>
      </c>
      <c r="G1564" s="1" t="s">
        <v>12</v>
      </c>
      <c r="H1564" s="1" t="s">
        <v>13</v>
      </c>
      <c r="I1564" s="1" t="s">
        <v>13</v>
      </c>
      <c r="J1564" s="1" t="s">
        <v>20</v>
      </c>
      <c r="K1564" s="1">
        <v>0</v>
      </c>
      <c r="L1564" s="1" t="s">
        <v>19</v>
      </c>
      <c r="M1564" s="1" t="str">
        <f t="shared" si="24"/>
        <v>Consistent</v>
      </c>
      <c r="N1564" s="1" t="str">
        <f>_xlfn.XLOOKUP(H1564, risk_score!A:A, risk_score!B:B, 0)</f>
        <v>Low Risk</v>
      </c>
    </row>
    <row r="1565" spans="1:14">
      <c r="A1565" s="2">
        <v>0.4811111111111111</v>
      </c>
      <c r="B1565" s="3">
        <v>44841</v>
      </c>
      <c r="C1565" s="1">
        <v>6237397712</v>
      </c>
      <c r="D1565" s="1">
        <v>6744768229</v>
      </c>
      <c r="E1565" s="1">
        <v>91.68</v>
      </c>
      <c r="F1565" s="1" t="s">
        <v>12</v>
      </c>
      <c r="G1565" s="1" t="s">
        <v>12</v>
      </c>
      <c r="H1565" s="1" t="s">
        <v>13</v>
      </c>
      <c r="I1565" s="1" t="s">
        <v>13</v>
      </c>
      <c r="J1565" s="1" t="s">
        <v>25</v>
      </c>
      <c r="K1565" s="1">
        <v>0</v>
      </c>
      <c r="L1565" s="1" t="s">
        <v>21</v>
      </c>
      <c r="M1565" s="1" t="str">
        <f t="shared" si="24"/>
        <v>Consistent</v>
      </c>
      <c r="N1565" s="1" t="str">
        <f>_xlfn.XLOOKUP(H1565, risk_score!A:A, risk_score!B:B, 0)</f>
        <v>Low Risk</v>
      </c>
    </row>
    <row r="1566" spans="1:14">
      <c r="A1566" s="2">
        <v>0.48115740740740742</v>
      </c>
      <c r="B1566" s="3">
        <v>44841</v>
      </c>
      <c r="C1566" s="1">
        <v>8074319158</v>
      </c>
      <c r="D1566" s="1">
        <v>6794004081</v>
      </c>
      <c r="E1566" s="1">
        <v>4670.99</v>
      </c>
      <c r="F1566" s="1" t="s">
        <v>12</v>
      </c>
      <c r="G1566" s="1" t="s">
        <v>12</v>
      </c>
      <c r="H1566" s="1" t="s">
        <v>13</v>
      </c>
      <c r="I1566" s="1" t="s">
        <v>13</v>
      </c>
      <c r="J1566" s="1" t="s">
        <v>25</v>
      </c>
      <c r="K1566" s="1">
        <v>0</v>
      </c>
      <c r="L1566" s="1" t="s">
        <v>21</v>
      </c>
      <c r="M1566" s="1" t="str">
        <f t="shared" si="24"/>
        <v>Consistent</v>
      </c>
      <c r="N1566" s="1" t="str">
        <f>_xlfn.XLOOKUP(H1566, risk_score!A:A, risk_score!B:B, 0)</f>
        <v>Low Risk</v>
      </c>
    </row>
    <row r="1567" spans="1:14">
      <c r="A1567" s="2">
        <v>0.48116898148148146</v>
      </c>
      <c r="B1567" s="3">
        <v>44841</v>
      </c>
      <c r="C1567" s="1">
        <v>5964933636</v>
      </c>
      <c r="D1567" s="1">
        <v>394735429</v>
      </c>
      <c r="E1567" s="1">
        <v>3952.96</v>
      </c>
      <c r="F1567" s="1" t="s">
        <v>12</v>
      </c>
      <c r="G1567" s="1" t="s">
        <v>12</v>
      </c>
      <c r="H1567" s="1" t="s">
        <v>13</v>
      </c>
      <c r="I1567" s="1" t="s">
        <v>13</v>
      </c>
      <c r="J1567" s="1" t="s">
        <v>25</v>
      </c>
      <c r="K1567" s="1">
        <v>0</v>
      </c>
      <c r="L1567" s="1" t="s">
        <v>21</v>
      </c>
      <c r="M1567" s="1" t="str">
        <f t="shared" si="24"/>
        <v>Consistent</v>
      </c>
      <c r="N1567" s="1" t="str">
        <f>_xlfn.XLOOKUP(H1567, risk_score!A:A, risk_score!B:B, 0)</f>
        <v>Low Risk</v>
      </c>
    </row>
    <row r="1568" spans="1:14">
      <c r="A1568" s="2">
        <v>0.48127314814814814</v>
      </c>
      <c r="B1568" s="3">
        <v>44841</v>
      </c>
      <c r="C1568" s="1">
        <v>6109062028</v>
      </c>
      <c r="D1568" s="1">
        <v>1320927231</v>
      </c>
      <c r="E1568" s="1">
        <v>10240.49</v>
      </c>
      <c r="F1568" s="1" t="s">
        <v>12</v>
      </c>
      <c r="G1568" s="1" t="s">
        <v>12</v>
      </c>
      <c r="H1568" s="1" t="s">
        <v>13</v>
      </c>
      <c r="I1568" s="1" t="s">
        <v>13</v>
      </c>
      <c r="J1568" s="1" t="s">
        <v>22</v>
      </c>
      <c r="K1568" s="1">
        <v>0</v>
      </c>
      <c r="L1568" s="1" t="s">
        <v>23</v>
      </c>
      <c r="M1568" s="1" t="str">
        <f t="shared" si="24"/>
        <v>Consistent</v>
      </c>
      <c r="N1568" s="1" t="str">
        <f>_xlfn.XLOOKUP(H1568, risk_score!A:A, risk_score!B:B, 0)</f>
        <v>Low Risk</v>
      </c>
    </row>
    <row r="1569" spans="1:14">
      <c r="A1569" s="2">
        <v>0.48127314814814814</v>
      </c>
      <c r="B1569" s="3">
        <v>44841</v>
      </c>
      <c r="C1569" s="1">
        <v>4915664814</v>
      </c>
      <c r="D1569" s="1">
        <v>5466123934</v>
      </c>
      <c r="E1569" s="1">
        <v>7483.05</v>
      </c>
      <c r="F1569" s="1" t="s">
        <v>12</v>
      </c>
      <c r="G1569" s="1" t="s">
        <v>12</v>
      </c>
      <c r="H1569" s="1" t="s">
        <v>13</v>
      </c>
      <c r="I1569" s="1" t="s">
        <v>13</v>
      </c>
      <c r="J1569" s="1" t="s">
        <v>20</v>
      </c>
      <c r="K1569" s="1">
        <v>0</v>
      </c>
      <c r="L1569" s="1" t="s">
        <v>23</v>
      </c>
      <c r="M1569" s="1" t="str">
        <f t="shared" si="24"/>
        <v>Consistent</v>
      </c>
      <c r="N1569" s="1" t="str">
        <f>_xlfn.XLOOKUP(H1569, risk_score!A:A, risk_score!B:B, 0)</f>
        <v>Low Risk</v>
      </c>
    </row>
    <row r="1570" spans="1:14">
      <c r="A1570" s="2">
        <v>0.48129629629629628</v>
      </c>
      <c r="B1570" s="3">
        <v>44841</v>
      </c>
      <c r="C1570" s="1">
        <v>4237442148</v>
      </c>
      <c r="D1570" s="1">
        <v>8348194481</v>
      </c>
      <c r="E1570" s="1">
        <v>2872.54</v>
      </c>
      <c r="F1570" s="1" t="s">
        <v>12</v>
      </c>
      <c r="G1570" s="1" t="s">
        <v>12</v>
      </c>
      <c r="H1570" s="1" t="s">
        <v>13</v>
      </c>
      <c r="I1570" s="1" t="s">
        <v>13</v>
      </c>
      <c r="J1570" s="1" t="s">
        <v>25</v>
      </c>
      <c r="K1570" s="1">
        <v>0</v>
      </c>
      <c r="L1570" s="1" t="s">
        <v>21</v>
      </c>
      <c r="M1570" s="1" t="str">
        <f t="shared" si="24"/>
        <v>Consistent</v>
      </c>
      <c r="N1570" s="1" t="str">
        <f>_xlfn.XLOOKUP(H1570, risk_score!A:A, risk_score!B:B, 0)</f>
        <v>Low Risk</v>
      </c>
    </row>
    <row r="1571" spans="1:14">
      <c r="A1571" s="2">
        <v>0.48131944444444447</v>
      </c>
      <c r="B1571" s="3">
        <v>44841</v>
      </c>
      <c r="C1571" s="1">
        <v>787064572</v>
      </c>
      <c r="D1571" s="1">
        <v>6034997194</v>
      </c>
      <c r="E1571" s="1">
        <v>6915.04</v>
      </c>
      <c r="F1571" s="1" t="s">
        <v>12</v>
      </c>
      <c r="G1571" s="1" t="s">
        <v>12</v>
      </c>
      <c r="H1571" s="1" t="s">
        <v>13</v>
      </c>
      <c r="I1571" s="1" t="s">
        <v>13</v>
      </c>
      <c r="J1571" s="1" t="s">
        <v>25</v>
      </c>
      <c r="K1571" s="1">
        <v>0</v>
      </c>
      <c r="L1571" s="1" t="s">
        <v>23</v>
      </c>
      <c r="M1571" s="1" t="str">
        <f t="shared" si="24"/>
        <v>Consistent</v>
      </c>
      <c r="N1571" s="1" t="str">
        <f>_xlfn.XLOOKUP(H1571, risk_score!A:A, risk_score!B:B, 0)</f>
        <v>Low Risk</v>
      </c>
    </row>
    <row r="1572" spans="1:14">
      <c r="A1572" s="2">
        <v>0.4813425925925926</v>
      </c>
      <c r="B1572" s="3">
        <v>44841</v>
      </c>
      <c r="C1572" s="1">
        <v>6792247922</v>
      </c>
      <c r="D1572" s="1">
        <v>6669743146</v>
      </c>
      <c r="E1572" s="1">
        <v>484.25</v>
      </c>
      <c r="F1572" s="1" t="s">
        <v>12</v>
      </c>
      <c r="G1572" s="1" t="s">
        <v>12</v>
      </c>
      <c r="H1572" s="1" t="s">
        <v>13</v>
      </c>
      <c r="I1572" s="1" t="s">
        <v>13</v>
      </c>
      <c r="J1572" s="1" t="s">
        <v>14</v>
      </c>
      <c r="K1572" s="1">
        <v>0</v>
      </c>
      <c r="L1572" s="1" t="s">
        <v>15</v>
      </c>
      <c r="M1572" s="1" t="str">
        <f t="shared" si="24"/>
        <v>Consistent</v>
      </c>
      <c r="N1572" s="1" t="str">
        <f>_xlfn.XLOOKUP(H1572, risk_score!A:A, risk_score!B:B, 0)</f>
        <v>Low Risk</v>
      </c>
    </row>
    <row r="1573" spans="1:14">
      <c r="A1573" s="2">
        <v>0.48135416666666669</v>
      </c>
      <c r="B1573" s="3">
        <v>44841</v>
      </c>
      <c r="C1573" s="1">
        <v>6720355251</v>
      </c>
      <c r="D1573" s="1">
        <v>5062559251</v>
      </c>
      <c r="E1573" s="1">
        <v>160.87</v>
      </c>
      <c r="F1573" s="1" t="s">
        <v>12</v>
      </c>
      <c r="G1573" s="1" t="s">
        <v>12</v>
      </c>
      <c r="H1573" s="1" t="s">
        <v>13</v>
      </c>
      <c r="I1573" s="1" t="s">
        <v>13</v>
      </c>
      <c r="J1573" s="1" t="s">
        <v>27</v>
      </c>
      <c r="K1573" s="1">
        <v>0</v>
      </c>
      <c r="L1573" s="1" t="s">
        <v>21</v>
      </c>
      <c r="M1573" s="1" t="str">
        <f t="shared" si="24"/>
        <v>Consistent</v>
      </c>
      <c r="N1573" s="1" t="str">
        <f>_xlfn.XLOOKUP(H1573, risk_score!A:A, risk_score!B:B, 0)</f>
        <v>Low Risk</v>
      </c>
    </row>
    <row r="1574" spans="1:14">
      <c r="A1574" s="2">
        <v>0.48138888888888887</v>
      </c>
      <c r="B1574" s="3">
        <v>44841</v>
      </c>
      <c r="C1574" s="1">
        <v>6665051</v>
      </c>
      <c r="D1574" s="1">
        <v>1861204667</v>
      </c>
      <c r="E1574" s="1">
        <v>3740.45</v>
      </c>
      <c r="F1574" s="1" t="s">
        <v>12</v>
      </c>
      <c r="G1574" s="1" t="s">
        <v>12</v>
      </c>
      <c r="H1574" s="1" t="s">
        <v>13</v>
      </c>
      <c r="I1574" s="1" t="s">
        <v>13</v>
      </c>
      <c r="J1574" s="1" t="s">
        <v>20</v>
      </c>
      <c r="K1574" s="1">
        <v>0</v>
      </c>
      <c r="L1574" s="1" t="s">
        <v>21</v>
      </c>
      <c r="M1574" s="1" t="str">
        <f t="shared" si="24"/>
        <v>Consistent</v>
      </c>
      <c r="N1574" s="1" t="str">
        <f>_xlfn.XLOOKUP(H1574, risk_score!A:A, risk_score!B:B, 0)</f>
        <v>Low Risk</v>
      </c>
    </row>
    <row r="1575" spans="1:14">
      <c r="A1575" s="2">
        <v>0.48142361111111109</v>
      </c>
      <c r="B1575" s="3">
        <v>44841</v>
      </c>
      <c r="C1575" s="1">
        <v>6904668523</v>
      </c>
      <c r="D1575" s="1">
        <v>3087234008</v>
      </c>
      <c r="E1575" s="1">
        <v>4955.8900000000003</v>
      </c>
      <c r="F1575" s="1" t="s">
        <v>12</v>
      </c>
      <c r="G1575" s="1" t="s">
        <v>12</v>
      </c>
      <c r="H1575" s="1" t="s">
        <v>13</v>
      </c>
      <c r="I1575" s="1" t="s">
        <v>13</v>
      </c>
      <c r="J1575" s="1" t="s">
        <v>20</v>
      </c>
      <c r="K1575" s="1">
        <v>0</v>
      </c>
      <c r="L1575" s="1" t="s">
        <v>19</v>
      </c>
      <c r="M1575" s="1" t="str">
        <f t="shared" si="24"/>
        <v>Consistent</v>
      </c>
      <c r="N1575" s="1" t="str">
        <f>_xlfn.XLOOKUP(H1575, risk_score!A:A, risk_score!B:B, 0)</f>
        <v>Low Risk</v>
      </c>
    </row>
    <row r="1576" spans="1:14">
      <c r="A1576" s="2">
        <v>0.48142361111111109</v>
      </c>
      <c r="B1576" s="3">
        <v>44841</v>
      </c>
      <c r="C1576" s="1">
        <v>264095857</v>
      </c>
      <c r="D1576" s="1">
        <v>1316458123</v>
      </c>
      <c r="E1576" s="1">
        <v>13455.79</v>
      </c>
      <c r="F1576" s="1" t="s">
        <v>12</v>
      </c>
      <c r="G1576" s="1" t="s">
        <v>34</v>
      </c>
      <c r="H1576" s="1" t="s">
        <v>13</v>
      </c>
      <c r="I1576" s="1" t="s">
        <v>35</v>
      </c>
      <c r="J1576" s="1" t="s">
        <v>18</v>
      </c>
      <c r="K1576" s="1">
        <v>0</v>
      </c>
      <c r="L1576" s="1" t="s">
        <v>23</v>
      </c>
      <c r="M1576" s="1" t="str">
        <f t="shared" si="24"/>
        <v>Potential Layering</v>
      </c>
      <c r="N1576" s="1" t="str">
        <f>_xlfn.XLOOKUP(H1576, risk_score!A:A, risk_score!B:B, 0)</f>
        <v>Low Risk</v>
      </c>
    </row>
    <row r="1577" spans="1:14">
      <c r="A1577" s="2">
        <v>0.48145833333333332</v>
      </c>
      <c r="B1577" s="3">
        <v>44841</v>
      </c>
      <c r="C1577" s="1">
        <v>6065315801</v>
      </c>
      <c r="D1577" s="1">
        <v>6343965120</v>
      </c>
      <c r="E1577" s="1">
        <v>653.28</v>
      </c>
      <c r="F1577" s="1" t="s">
        <v>12</v>
      </c>
      <c r="G1577" s="1" t="s">
        <v>12</v>
      </c>
      <c r="H1577" s="1" t="s">
        <v>13</v>
      </c>
      <c r="I1577" s="1" t="s">
        <v>13</v>
      </c>
      <c r="J1577" s="1" t="s">
        <v>25</v>
      </c>
      <c r="K1577" s="1">
        <v>0</v>
      </c>
      <c r="L1577" s="1" t="s">
        <v>21</v>
      </c>
      <c r="M1577" s="1" t="str">
        <f t="shared" si="24"/>
        <v>Consistent</v>
      </c>
      <c r="N1577" s="1" t="str">
        <f>_xlfn.XLOOKUP(H1577, risk_score!A:A, risk_score!B:B, 0)</f>
        <v>Low Risk</v>
      </c>
    </row>
    <row r="1578" spans="1:14">
      <c r="A1578" s="2">
        <v>0.48145833333333332</v>
      </c>
      <c r="B1578" s="3">
        <v>44841</v>
      </c>
      <c r="C1578" s="1">
        <v>2365007895</v>
      </c>
      <c r="D1578" s="1">
        <v>2812285491</v>
      </c>
      <c r="E1578" s="1">
        <v>13120.85</v>
      </c>
      <c r="F1578" s="1" t="s">
        <v>12</v>
      </c>
      <c r="G1578" s="1" t="s">
        <v>12</v>
      </c>
      <c r="H1578" s="1" t="s">
        <v>13</v>
      </c>
      <c r="I1578" s="1" t="s">
        <v>13</v>
      </c>
      <c r="J1578" s="1" t="s">
        <v>20</v>
      </c>
      <c r="K1578" s="1">
        <v>0</v>
      </c>
      <c r="L1578" s="1" t="s">
        <v>19</v>
      </c>
      <c r="M1578" s="1" t="str">
        <f t="shared" si="24"/>
        <v>Consistent</v>
      </c>
      <c r="N1578" s="1" t="str">
        <f>_xlfn.XLOOKUP(H1578, risk_score!A:A, risk_score!B:B, 0)</f>
        <v>Low Risk</v>
      </c>
    </row>
    <row r="1579" spans="1:14">
      <c r="A1579" s="2">
        <v>0.48150462962962964</v>
      </c>
      <c r="B1579" s="3">
        <v>44841</v>
      </c>
      <c r="C1579" s="1">
        <v>1915450576</v>
      </c>
      <c r="D1579" s="1">
        <v>8816009605</v>
      </c>
      <c r="E1579" s="1">
        <v>8226.5499999999993</v>
      </c>
      <c r="F1579" s="1" t="s">
        <v>12</v>
      </c>
      <c r="G1579" s="1" t="s">
        <v>12</v>
      </c>
      <c r="H1579" s="1" t="s">
        <v>13</v>
      </c>
      <c r="I1579" s="1" t="s">
        <v>13</v>
      </c>
      <c r="J1579" s="1" t="s">
        <v>25</v>
      </c>
      <c r="K1579" s="1">
        <v>0</v>
      </c>
      <c r="L1579" s="1" t="s">
        <v>19</v>
      </c>
      <c r="M1579" s="1" t="str">
        <f t="shared" si="24"/>
        <v>Consistent</v>
      </c>
      <c r="N1579" s="1" t="str">
        <f>_xlfn.XLOOKUP(H1579, risk_score!A:A, risk_score!B:B, 0)</f>
        <v>Low Risk</v>
      </c>
    </row>
    <row r="1580" spans="1:14">
      <c r="A1580" s="2">
        <v>0.48150462962962964</v>
      </c>
      <c r="B1580" s="3">
        <v>44841</v>
      </c>
      <c r="C1580" s="1">
        <v>5525592322</v>
      </c>
      <c r="D1580" s="1">
        <v>5019647946</v>
      </c>
      <c r="E1580" s="1">
        <v>1879.64</v>
      </c>
      <c r="F1580" s="1" t="s">
        <v>12</v>
      </c>
      <c r="G1580" s="1" t="s">
        <v>12</v>
      </c>
      <c r="H1580" s="1" t="s">
        <v>13</v>
      </c>
      <c r="I1580" s="1" t="s">
        <v>13</v>
      </c>
      <c r="J1580" s="1" t="s">
        <v>22</v>
      </c>
      <c r="K1580" s="1">
        <v>0</v>
      </c>
      <c r="L1580" s="1" t="s">
        <v>21</v>
      </c>
      <c r="M1580" s="1" t="str">
        <f t="shared" si="24"/>
        <v>Consistent</v>
      </c>
      <c r="N1580" s="1" t="str">
        <f>_xlfn.XLOOKUP(H1580, risk_score!A:A, risk_score!B:B, 0)</f>
        <v>Low Risk</v>
      </c>
    </row>
    <row r="1581" spans="1:14">
      <c r="A1581" s="2">
        <v>0.48151620370370368</v>
      </c>
      <c r="B1581" s="3">
        <v>44841</v>
      </c>
      <c r="C1581" s="1">
        <v>6061326781</v>
      </c>
      <c r="D1581" s="1">
        <v>3401242421</v>
      </c>
      <c r="E1581" s="1">
        <v>9349.7900000000009</v>
      </c>
      <c r="F1581" s="1" t="s">
        <v>12</v>
      </c>
      <c r="G1581" s="1" t="s">
        <v>12</v>
      </c>
      <c r="H1581" s="1" t="s">
        <v>13</v>
      </c>
      <c r="I1581" s="1" t="s">
        <v>13</v>
      </c>
      <c r="J1581" s="1" t="s">
        <v>27</v>
      </c>
      <c r="K1581" s="1">
        <v>0</v>
      </c>
      <c r="L1581" s="1" t="s">
        <v>21</v>
      </c>
      <c r="M1581" s="1" t="str">
        <f t="shared" si="24"/>
        <v>Consistent</v>
      </c>
      <c r="N1581" s="1" t="str">
        <f>_xlfn.XLOOKUP(H1581, risk_score!A:A, risk_score!B:B, 0)</f>
        <v>Low Risk</v>
      </c>
    </row>
    <row r="1582" spans="1:14">
      <c r="A1582" s="2">
        <v>0.48153935185185187</v>
      </c>
      <c r="B1582" s="3">
        <v>44841</v>
      </c>
      <c r="C1582" s="1">
        <v>9277661052</v>
      </c>
      <c r="D1582" s="1">
        <v>4575628984</v>
      </c>
      <c r="E1582" s="1">
        <v>5079.3900000000003</v>
      </c>
      <c r="F1582" s="1" t="s">
        <v>12</v>
      </c>
      <c r="G1582" s="1" t="s">
        <v>12</v>
      </c>
      <c r="H1582" s="1" t="s">
        <v>13</v>
      </c>
      <c r="I1582" s="1" t="s">
        <v>13</v>
      </c>
      <c r="J1582" s="1" t="s">
        <v>27</v>
      </c>
      <c r="K1582" s="1">
        <v>0</v>
      </c>
      <c r="L1582" s="1" t="s">
        <v>21</v>
      </c>
      <c r="M1582" s="1" t="str">
        <f t="shared" si="24"/>
        <v>Consistent</v>
      </c>
      <c r="N1582" s="1" t="str">
        <f>_xlfn.XLOOKUP(H1582, risk_score!A:A, risk_score!B:B, 0)</f>
        <v>Low Risk</v>
      </c>
    </row>
    <row r="1583" spans="1:14">
      <c r="A1583" s="2">
        <v>0.4815625</v>
      </c>
      <c r="B1583" s="3">
        <v>44841</v>
      </c>
      <c r="C1583" s="1">
        <v>7584000699</v>
      </c>
      <c r="D1583" s="1">
        <v>2042062597</v>
      </c>
      <c r="E1583" s="1">
        <v>3644.04</v>
      </c>
      <c r="F1583" s="1" t="s">
        <v>12</v>
      </c>
      <c r="G1583" s="1" t="s">
        <v>12</v>
      </c>
      <c r="H1583" s="1" t="s">
        <v>13</v>
      </c>
      <c r="I1583" s="1" t="s">
        <v>13</v>
      </c>
      <c r="J1583" s="1" t="s">
        <v>27</v>
      </c>
      <c r="K1583" s="1">
        <v>0</v>
      </c>
      <c r="L1583" s="1" t="s">
        <v>38</v>
      </c>
      <c r="M1583" s="1" t="str">
        <f t="shared" si="24"/>
        <v>Consistent</v>
      </c>
      <c r="N1583" s="1" t="str">
        <f>_xlfn.XLOOKUP(H1583, risk_score!A:A, risk_score!B:B, 0)</f>
        <v>Low Risk</v>
      </c>
    </row>
    <row r="1584" spans="1:14">
      <c r="A1584" s="2">
        <v>0.48162037037037037</v>
      </c>
      <c r="B1584" s="3">
        <v>44841</v>
      </c>
      <c r="C1584" s="1">
        <v>589467032</v>
      </c>
      <c r="D1584" s="1">
        <v>2134614852</v>
      </c>
      <c r="E1584" s="1">
        <v>1432.18</v>
      </c>
      <c r="F1584" s="1" t="s">
        <v>12</v>
      </c>
      <c r="G1584" s="1" t="s">
        <v>12</v>
      </c>
      <c r="H1584" s="1" t="s">
        <v>13</v>
      </c>
      <c r="I1584" s="1" t="s">
        <v>13</v>
      </c>
      <c r="J1584" s="1" t="s">
        <v>14</v>
      </c>
      <c r="K1584" s="1">
        <v>0</v>
      </c>
      <c r="L1584" s="1" t="s">
        <v>15</v>
      </c>
      <c r="M1584" s="1" t="str">
        <f t="shared" si="24"/>
        <v>Consistent</v>
      </c>
      <c r="N1584" s="1" t="str">
        <f>_xlfn.XLOOKUP(H1584, risk_score!A:A, risk_score!B:B, 0)</f>
        <v>Low Risk</v>
      </c>
    </row>
    <row r="1585" spans="1:14">
      <c r="A1585" s="2">
        <v>0.4816435185185185</v>
      </c>
      <c r="B1585" s="3">
        <v>44841</v>
      </c>
      <c r="C1585" s="1">
        <v>2438139688</v>
      </c>
      <c r="D1585" s="1">
        <v>454607472</v>
      </c>
      <c r="E1585" s="1">
        <v>1330.92</v>
      </c>
      <c r="F1585" s="1" t="s">
        <v>12</v>
      </c>
      <c r="G1585" s="1" t="s">
        <v>12</v>
      </c>
      <c r="H1585" s="1" t="s">
        <v>13</v>
      </c>
      <c r="I1585" s="1" t="s">
        <v>13</v>
      </c>
      <c r="J1585" s="1" t="s">
        <v>20</v>
      </c>
      <c r="K1585" s="1">
        <v>0</v>
      </c>
      <c r="L1585" s="1" t="s">
        <v>21</v>
      </c>
      <c r="M1585" s="1" t="str">
        <f t="shared" si="24"/>
        <v>Consistent</v>
      </c>
      <c r="N1585" s="1" t="str">
        <f>_xlfn.XLOOKUP(H1585, risk_score!A:A, risk_score!B:B, 0)</f>
        <v>Low Risk</v>
      </c>
    </row>
    <row r="1586" spans="1:14">
      <c r="A1586" s="2">
        <v>0.48167824074074073</v>
      </c>
      <c r="B1586" s="3">
        <v>44841</v>
      </c>
      <c r="C1586" s="1">
        <v>5021785800</v>
      </c>
      <c r="D1586" s="1">
        <v>4065028145</v>
      </c>
      <c r="E1586" s="1">
        <v>4395.54</v>
      </c>
      <c r="F1586" s="1" t="s">
        <v>12</v>
      </c>
      <c r="G1586" s="1" t="s">
        <v>29</v>
      </c>
      <c r="H1586" s="1" t="s">
        <v>13</v>
      </c>
      <c r="I1586" s="1" t="s">
        <v>54</v>
      </c>
      <c r="J1586" s="1" t="s">
        <v>18</v>
      </c>
      <c r="K1586" s="1">
        <v>0</v>
      </c>
      <c r="L1586" s="1" t="s">
        <v>19</v>
      </c>
      <c r="M1586" s="1" t="str">
        <f t="shared" si="24"/>
        <v>Potential Layering</v>
      </c>
      <c r="N1586" s="1" t="str">
        <f>_xlfn.XLOOKUP(H1586, risk_score!A:A, risk_score!B:B, 0)</f>
        <v>Low Risk</v>
      </c>
    </row>
    <row r="1587" spans="1:14">
      <c r="A1587" s="2">
        <v>0.48173611111111109</v>
      </c>
      <c r="B1587" s="3">
        <v>44841</v>
      </c>
      <c r="C1587" s="1">
        <v>2196677893</v>
      </c>
      <c r="D1587" s="1">
        <v>911722658</v>
      </c>
      <c r="E1587" s="1">
        <v>11536.49</v>
      </c>
      <c r="F1587" s="1" t="s">
        <v>44</v>
      </c>
      <c r="G1587" s="1" t="s">
        <v>12</v>
      </c>
      <c r="H1587" s="1" t="s">
        <v>45</v>
      </c>
      <c r="I1587" s="1" t="s">
        <v>13</v>
      </c>
      <c r="J1587" s="1" t="s">
        <v>18</v>
      </c>
      <c r="K1587" s="1">
        <v>0</v>
      </c>
      <c r="L1587" s="1" t="s">
        <v>38</v>
      </c>
      <c r="M1587" s="1" t="str">
        <f t="shared" si="24"/>
        <v>Potential Layering</v>
      </c>
      <c r="N1587" s="1" t="str">
        <f>_xlfn.XLOOKUP(H1587, risk_score!A:A, risk_score!B:B, 0)</f>
        <v>High Risk</v>
      </c>
    </row>
    <row r="1588" spans="1:14">
      <c r="A1588" s="2">
        <v>0.48173611111111109</v>
      </c>
      <c r="B1588" s="3">
        <v>44841</v>
      </c>
      <c r="C1588" s="1">
        <v>7235866084</v>
      </c>
      <c r="D1588" s="1">
        <v>6416513886</v>
      </c>
      <c r="E1588" s="1">
        <v>177.58</v>
      </c>
      <c r="F1588" s="1" t="s">
        <v>12</v>
      </c>
      <c r="G1588" s="1" t="s">
        <v>12</v>
      </c>
      <c r="H1588" s="1" t="s">
        <v>13</v>
      </c>
      <c r="I1588" s="1" t="s">
        <v>13</v>
      </c>
      <c r="J1588" s="1" t="s">
        <v>27</v>
      </c>
      <c r="K1588" s="1">
        <v>0</v>
      </c>
      <c r="L1588" s="1" t="s">
        <v>21</v>
      </c>
      <c r="M1588" s="1" t="str">
        <f t="shared" si="24"/>
        <v>Consistent</v>
      </c>
      <c r="N1588" s="1" t="str">
        <f>_xlfn.XLOOKUP(H1588, risk_score!A:A, risk_score!B:B, 0)</f>
        <v>Low Risk</v>
      </c>
    </row>
    <row r="1589" spans="1:14">
      <c r="A1589" s="2">
        <v>0.48177083333333331</v>
      </c>
      <c r="B1589" s="3">
        <v>44841</v>
      </c>
      <c r="C1589" s="1">
        <v>2199795388</v>
      </c>
      <c r="D1589" s="1">
        <v>1377603863</v>
      </c>
      <c r="E1589" s="1">
        <v>9486.07</v>
      </c>
      <c r="F1589" s="1" t="s">
        <v>12</v>
      </c>
      <c r="G1589" s="1" t="s">
        <v>12</v>
      </c>
      <c r="H1589" s="1" t="s">
        <v>13</v>
      </c>
      <c r="I1589" s="1" t="s">
        <v>13</v>
      </c>
      <c r="J1589" s="1" t="s">
        <v>22</v>
      </c>
      <c r="K1589" s="1">
        <v>0</v>
      </c>
      <c r="L1589" s="1" t="s">
        <v>23</v>
      </c>
      <c r="M1589" s="1" t="str">
        <f t="shared" si="24"/>
        <v>Consistent</v>
      </c>
      <c r="N1589" s="1" t="str">
        <f>_xlfn.XLOOKUP(H1589, risk_score!A:A, risk_score!B:B, 0)</f>
        <v>Low Risk</v>
      </c>
    </row>
    <row r="1590" spans="1:14">
      <c r="A1590" s="2">
        <v>0.48178240740740741</v>
      </c>
      <c r="B1590" s="3">
        <v>44841</v>
      </c>
      <c r="C1590" s="1">
        <v>13527377</v>
      </c>
      <c r="D1590" s="1">
        <v>2175218983</v>
      </c>
      <c r="E1590" s="1">
        <v>2488.91</v>
      </c>
      <c r="F1590" s="1" t="s">
        <v>12</v>
      </c>
      <c r="G1590" s="1" t="s">
        <v>12</v>
      </c>
      <c r="H1590" s="1" t="s">
        <v>13</v>
      </c>
      <c r="I1590" s="1" t="s">
        <v>13</v>
      </c>
      <c r="J1590" s="1" t="s">
        <v>20</v>
      </c>
      <c r="K1590" s="1">
        <v>0</v>
      </c>
      <c r="L1590" s="1" t="s">
        <v>21</v>
      </c>
      <c r="M1590" s="1" t="str">
        <f t="shared" si="24"/>
        <v>Consistent</v>
      </c>
      <c r="N1590" s="1" t="str">
        <f>_xlfn.XLOOKUP(H1590, risk_score!A:A, risk_score!B:B, 0)</f>
        <v>Low Risk</v>
      </c>
    </row>
    <row r="1591" spans="1:14">
      <c r="A1591" s="2">
        <v>0.48178240740740741</v>
      </c>
      <c r="B1591" s="3">
        <v>44841</v>
      </c>
      <c r="C1591" s="1">
        <v>8157264573</v>
      </c>
      <c r="D1591" s="1">
        <v>3331273253</v>
      </c>
      <c r="E1591" s="1">
        <v>3914.46</v>
      </c>
      <c r="F1591" s="1" t="s">
        <v>12</v>
      </c>
      <c r="G1591" s="1" t="s">
        <v>12</v>
      </c>
      <c r="H1591" s="1" t="s">
        <v>13</v>
      </c>
      <c r="I1591" s="1" t="s">
        <v>13</v>
      </c>
      <c r="J1591" s="1" t="s">
        <v>14</v>
      </c>
      <c r="K1591" s="1">
        <v>0</v>
      </c>
      <c r="L1591" s="1" t="s">
        <v>15</v>
      </c>
      <c r="M1591" s="1" t="str">
        <f t="shared" si="24"/>
        <v>Consistent</v>
      </c>
      <c r="N1591" s="1" t="str">
        <f>_xlfn.XLOOKUP(H1591, risk_score!A:A, risk_score!B:B, 0)</f>
        <v>Low Risk</v>
      </c>
    </row>
    <row r="1592" spans="1:14">
      <c r="A1592" s="2">
        <v>0.4817939814814815</v>
      </c>
      <c r="B1592" s="3">
        <v>44841</v>
      </c>
      <c r="C1592" s="1">
        <v>8770063774</v>
      </c>
      <c r="D1592" s="1">
        <v>6276632125</v>
      </c>
      <c r="E1592" s="1">
        <v>1083.1600000000001</v>
      </c>
      <c r="F1592" s="1" t="s">
        <v>12</v>
      </c>
      <c r="G1592" s="1" t="s">
        <v>12</v>
      </c>
      <c r="H1592" s="1" t="s">
        <v>13</v>
      </c>
      <c r="I1592" s="1" t="s">
        <v>13</v>
      </c>
      <c r="J1592" s="1" t="s">
        <v>27</v>
      </c>
      <c r="K1592" s="1">
        <v>0</v>
      </c>
      <c r="L1592" s="1" t="s">
        <v>21</v>
      </c>
      <c r="M1592" s="1" t="str">
        <f t="shared" si="24"/>
        <v>Consistent</v>
      </c>
      <c r="N1592" s="1" t="str">
        <f>_xlfn.XLOOKUP(H1592, risk_score!A:A, risk_score!B:B, 0)</f>
        <v>Low Risk</v>
      </c>
    </row>
    <row r="1593" spans="1:14">
      <c r="A1593" s="2">
        <v>0.48180555555555554</v>
      </c>
      <c r="B1593" s="3">
        <v>44841</v>
      </c>
      <c r="C1593" s="1">
        <v>8619636113</v>
      </c>
      <c r="D1593" s="1">
        <v>8958016274</v>
      </c>
      <c r="E1593" s="1">
        <v>7904.57</v>
      </c>
      <c r="F1593" s="1" t="s">
        <v>12</v>
      </c>
      <c r="G1593" s="1" t="s">
        <v>12</v>
      </c>
      <c r="H1593" s="1" t="s">
        <v>13</v>
      </c>
      <c r="I1593" s="1" t="s">
        <v>13</v>
      </c>
      <c r="J1593" s="1" t="s">
        <v>22</v>
      </c>
      <c r="K1593" s="1">
        <v>0</v>
      </c>
      <c r="L1593" s="1" t="s">
        <v>21</v>
      </c>
      <c r="M1593" s="1" t="str">
        <f t="shared" si="24"/>
        <v>Consistent</v>
      </c>
      <c r="N1593" s="1" t="str">
        <f>_xlfn.XLOOKUP(H1593, risk_score!A:A, risk_score!B:B, 0)</f>
        <v>Low Risk</v>
      </c>
    </row>
    <row r="1594" spans="1:14">
      <c r="A1594" s="2">
        <v>0.48180555555555554</v>
      </c>
      <c r="B1594" s="3">
        <v>44841</v>
      </c>
      <c r="C1594" s="1">
        <v>7970018365</v>
      </c>
      <c r="D1594" s="1">
        <v>2698118868</v>
      </c>
      <c r="E1594" s="1">
        <v>11093.99</v>
      </c>
      <c r="F1594" s="1" t="s">
        <v>12</v>
      </c>
      <c r="G1594" s="1" t="s">
        <v>12</v>
      </c>
      <c r="H1594" s="1" t="s">
        <v>13</v>
      </c>
      <c r="I1594" s="1" t="s">
        <v>13</v>
      </c>
      <c r="J1594" s="1" t="s">
        <v>20</v>
      </c>
      <c r="K1594" s="1">
        <v>0</v>
      </c>
      <c r="L1594" s="1" t="s">
        <v>21</v>
      </c>
      <c r="M1594" s="1" t="str">
        <f t="shared" si="24"/>
        <v>Consistent</v>
      </c>
      <c r="N1594" s="1" t="str">
        <f>_xlfn.XLOOKUP(H1594, risk_score!A:A, risk_score!B:B, 0)</f>
        <v>Low Risk</v>
      </c>
    </row>
    <row r="1595" spans="1:14">
      <c r="A1595" s="2">
        <v>0.48180555555555554</v>
      </c>
      <c r="B1595" s="3">
        <v>44841</v>
      </c>
      <c r="C1595" s="1">
        <v>1444168211</v>
      </c>
      <c r="D1595" s="1">
        <v>1202580578</v>
      </c>
      <c r="E1595" s="1">
        <v>7374.16</v>
      </c>
      <c r="F1595" s="1" t="s">
        <v>12</v>
      </c>
      <c r="G1595" s="1" t="s">
        <v>12</v>
      </c>
      <c r="H1595" s="1" t="s">
        <v>13</v>
      </c>
      <c r="I1595" s="1" t="s">
        <v>13</v>
      </c>
      <c r="J1595" s="1" t="s">
        <v>20</v>
      </c>
      <c r="K1595" s="1">
        <v>0</v>
      </c>
      <c r="L1595" s="1" t="s">
        <v>21</v>
      </c>
      <c r="M1595" s="1" t="str">
        <f t="shared" si="24"/>
        <v>Consistent</v>
      </c>
      <c r="N1595" s="1" t="str">
        <f>_xlfn.XLOOKUP(H1595, risk_score!A:A, risk_score!B:B, 0)</f>
        <v>Low Risk</v>
      </c>
    </row>
    <row r="1596" spans="1:14">
      <c r="A1596" s="2">
        <v>0.48182870370370373</v>
      </c>
      <c r="B1596" s="3">
        <v>44841</v>
      </c>
      <c r="C1596" s="1">
        <v>8136608171</v>
      </c>
      <c r="D1596" s="1">
        <v>2272587416</v>
      </c>
      <c r="E1596" s="1">
        <v>8346.91</v>
      </c>
      <c r="F1596" s="1" t="s">
        <v>12</v>
      </c>
      <c r="G1596" s="1" t="s">
        <v>12</v>
      </c>
      <c r="H1596" s="1" t="s">
        <v>13</v>
      </c>
      <c r="I1596" s="1" t="s">
        <v>13</v>
      </c>
      <c r="J1596" s="1" t="s">
        <v>27</v>
      </c>
      <c r="K1596" s="1">
        <v>0</v>
      </c>
      <c r="L1596" s="1" t="s">
        <v>21</v>
      </c>
      <c r="M1596" s="1" t="str">
        <f t="shared" si="24"/>
        <v>Consistent</v>
      </c>
      <c r="N1596" s="1" t="str">
        <f>_xlfn.XLOOKUP(H1596, risk_score!A:A, risk_score!B:B, 0)</f>
        <v>Low Risk</v>
      </c>
    </row>
    <row r="1597" spans="1:14">
      <c r="A1597" s="2">
        <v>0.48184027777777777</v>
      </c>
      <c r="B1597" s="3">
        <v>44841</v>
      </c>
      <c r="C1597" s="1">
        <v>8384582381</v>
      </c>
      <c r="D1597" s="1">
        <v>3630693113</v>
      </c>
      <c r="E1597" s="1">
        <v>4097.3100000000004</v>
      </c>
      <c r="F1597" s="1" t="s">
        <v>12</v>
      </c>
      <c r="G1597" s="1" t="s">
        <v>12</v>
      </c>
      <c r="H1597" s="1" t="s">
        <v>13</v>
      </c>
      <c r="I1597" s="1" t="s">
        <v>13</v>
      </c>
      <c r="J1597" s="1" t="s">
        <v>25</v>
      </c>
      <c r="K1597" s="1">
        <v>0</v>
      </c>
      <c r="L1597" s="1" t="s">
        <v>21</v>
      </c>
      <c r="M1597" s="1" t="str">
        <f t="shared" si="24"/>
        <v>Consistent</v>
      </c>
      <c r="N1597" s="1" t="str">
        <f>_xlfn.XLOOKUP(H1597, risk_score!A:A, risk_score!B:B, 0)</f>
        <v>Low Risk</v>
      </c>
    </row>
    <row r="1598" spans="1:14">
      <c r="A1598" s="2">
        <v>0.48185185185185186</v>
      </c>
      <c r="B1598" s="3">
        <v>44841</v>
      </c>
      <c r="C1598" s="1">
        <v>8456279067</v>
      </c>
      <c r="D1598" s="1">
        <v>4629995866</v>
      </c>
      <c r="E1598" s="1">
        <v>28315.85</v>
      </c>
      <c r="F1598" s="1" t="s">
        <v>12</v>
      </c>
      <c r="G1598" s="1" t="s">
        <v>12</v>
      </c>
      <c r="H1598" s="1" t="s">
        <v>13</v>
      </c>
      <c r="I1598" s="1" t="s">
        <v>13</v>
      </c>
      <c r="J1598" s="1" t="s">
        <v>22</v>
      </c>
      <c r="K1598" s="1">
        <v>0</v>
      </c>
      <c r="L1598" s="1" t="s">
        <v>19</v>
      </c>
      <c r="M1598" s="1" t="str">
        <f t="shared" si="24"/>
        <v>Consistent</v>
      </c>
      <c r="N1598" s="1" t="str">
        <f>_xlfn.XLOOKUP(H1598, risk_score!A:A, risk_score!B:B, 0)</f>
        <v>Low Risk</v>
      </c>
    </row>
    <row r="1599" spans="1:14">
      <c r="A1599" s="2">
        <v>0.4818634259259259</v>
      </c>
      <c r="B1599" s="3">
        <v>44841</v>
      </c>
      <c r="C1599" s="1">
        <v>5753088795</v>
      </c>
      <c r="D1599" s="1">
        <v>7892884492</v>
      </c>
      <c r="E1599" s="1">
        <v>10941.87</v>
      </c>
      <c r="F1599" s="1" t="s">
        <v>12</v>
      </c>
      <c r="G1599" s="1" t="s">
        <v>32</v>
      </c>
      <c r="H1599" s="1" t="s">
        <v>13</v>
      </c>
      <c r="I1599" s="1" t="s">
        <v>33</v>
      </c>
      <c r="J1599" s="1" t="s">
        <v>18</v>
      </c>
      <c r="K1599" s="1">
        <v>0</v>
      </c>
      <c r="L1599" s="1" t="s">
        <v>23</v>
      </c>
      <c r="M1599" s="1" t="str">
        <f t="shared" si="24"/>
        <v>Potential Layering</v>
      </c>
      <c r="N1599" s="1" t="str">
        <f>_xlfn.XLOOKUP(H1599, risk_score!A:A, risk_score!B:B, 0)</f>
        <v>Low Risk</v>
      </c>
    </row>
    <row r="1600" spans="1:14">
      <c r="A1600" s="2">
        <v>0.48188657407407409</v>
      </c>
      <c r="B1600" s="3">
        <v>44841</v>
      </c>
      <c r="C1600" s="1">
        <v>4304409594</v>
      </c>
      <c r="D1600" s="1">
        <v>7838494393</v>
      </c>
      <c r="E1600" s="1">
        <v>1606.65</v>
      </c>
      <c r="F1600" s="1" t="s">
        <v>12</v>
      </c>
      <c r="G1600" s="1" t="s">
        <v>12</v>
      </c>
      <c r="H1600" s="1" t="s">
        <v>13</v>
      </c>
      <c r="I1600" s="1" t="s">
        <v>13</v>
      </c>
      <c r="J1600" s="1" t="s">
        <v>27</v>
      </c>
      <c r="K1600" s="1">
        <v>0</v>
      </c>
      <c r="L1600" s="1" t="s">
        <v>24</v>
      </c>
      <c r="M1600" s="1" t="str">
        <f t="shared" si="24"/>
        <v>Consistent</v>
      </c>
      <c r="N1600" s="1" t="str">
        <f>_xlfn.XLOOKUP(H1600, risk_score!A:A, risk_score!B:B, 0)</f>
        <v>Low Risk</v>
      </c>
    </row>
    <row r="1601" spans="1:14">
      <c r="A1601" s="2">
        <v>0.48192129629629632</v>
      </c>
      <c r="B1601" s="3">
        <v>44841</v>
      </c>
      <c r="C1601" s="1">
        <v>8452626567</v>
      </c>
      <c r="D1601" s="1">
        <v>8480920549</v>
      </c>
      <c r="E1601" s="1">
        <v>12349.37</v>
      </c>
      <c r="F1601" s="1" t="s">
        <v>12</v>
      </c>
      <c r="G1601" s="1" t="s">
        <v>12</v>
      </c>
      <c r="H1601" s="1" t="s">
        <v>13</v>
      </c>
      <c r="I1601" s="1" t="s">
        <v>13</v>
      </c>
      <c r="J1601" s="1" t="s">
        <v>20</v>
      </c>
      <c r="K1601" s="1">
        <v>0</v>
      </c>
      <c r="L1601" s="1" t="s">
        <v>21</v>
      </c>
      <c r="M1601" s="1" t="str">
        <f t="shared" si="24"/>
        <v>Consistent</v>
      </c>
      <c r="N1601" s="1" t="str">
        <f>_xlfn.XLOOKUP(H1601, risk_score!A:A, risk_score!B:B, 0)</f>
        <v>Low Risk</v>
      </c>
    </row>
    <row r="1602" spans="1:14">
      <c r="A1602" s="2">
        <v>0.48194444444444445</v>
      </c>
      <c r="B1602" s="3">
        <v>44841</v>
      </c>
      <c r="C1602" s="1">
        <v>4526673525</v>
      </c>
      <c r="D1602" s="1">
        <v>6157568163</v>
      </c>
      <c r="E1602" s="1">
        <v>6796.17</v>
      </c>
      <c r="F1602" s="1" t="s">
        <v>16</v>
      </c>
      <c r="G1602" s="1" t="s">
        <v>12</v>
      </c>
      <c r="H1602" s="1" t="s">
        <v>17</v>
      </c>
      <c r="I1602" s="1" t="s">
        <v>13</v>
      </c>
      <c r="J1602" s="1" t="s">
        <v>18</v>
      </c>
      <c r="K1602" s="1">
        <v>0</v>
      </c>
      <c r="L1602" s="1" t="s">
        <v>21</v>
      </c>
      <c r="M1602" s="1" t="str">
        <f t="shared" si="24"/>
        <v>Potential Layering</v>
      </c>
      <c r="N1602" s="1" t="str">
        <f>_xlfn.XLOOKUP(H1602, risk_score!A:A, risk_score!B:B, 0)</f>
        <v>Medium Risk</v>
      </c>
    </row>
    <row r="1603" spans="1:14">
      <c r="A1603" s="2">
        <v>0.48194444444444445</v>
      </c>
      <c r="B1603" s="3">
        <v>44841</v>
      </c>
      <c r="C1603" s="1">
        <v>7669236826</v>
      </c>
      <c r="D1603" s="1">
        <v>6944062928</v>
      </c>
      <c r="E1603" s="1">
        <v>7591.93</v>
      </c>
      <c r="F1603" s="1" t="s">
        <v>12</v>
      </c>
      <c r="G1603" s="1" t="s">
        <v>12</v>
      </c>
      <c r="H1603" s="1" t="s">
        <v>13</v>
      </c>
      <c r="I1603" s="1" t="s">
        <v>13</v>
      </c>
      <c r="J1603" s="1" t="s">
        <v>27</v>
      </c>
      <c r="K1603" s="1">
        <v>0</v>
      </c>
      <c r="L1603" s="1" t="s">
        <v>19</v>
      </c>
      <c r="M1603" s="1" t="str">
        <f t="shared" ref="M1603:M1666" si="25">IF(F1603=G1603, "Consistent", "Potential Layering")</f>
        <v>Consistent</v>
      </c>
      <c r="N1603" s="1" t="str">
        <f>_xlfn.XLOOKUP(H1603, risk_score!A:A, risk_score!B:B, 0)</f>
        <v>Low Risk</v>
      </c>
    </row>
    <row r="1604" spans="1:14">
      <c r="A1604" s="2">
        <v>0.48194444444444445</v>
      </c>
      <c r="B1604" s="3">
        <v>44841</v>
      </c>
      <c r="C1604" s="1">
        <v>4409483858</v>
      </c>
      <c r="D1604" s="1">
        <v>7721337824</v>
      </c>
      <c r="E1604" s="1">
        <v>875.92</v>
      </c>
      <c r="F1604" s="1" t="s">
        <v>12</v>
      </c>
      <c r="G1604" s="1" t="s">
        <v>12</v>
      </c>
      <c r="H1604" s="1" t="s">
        <v>13</v>
      </c>
      <c r="I1604" s="1" t="s">
        <v>13</v>
      </c>
      <c r="J1604" s="1" t="s">
        <v>25</v>
      </c>
      <c r="K1604" s="1">
        <v>0</v>
      </c>
      <c r="L1604" s="1" t="s">
        <v>21</v>
      </c>
      <c r="M1604" s="1" t="str">
        <f t="shared" si="25"/>
        <v>Consistent</v>
      </c>
      <c r="N1604" s="1" t="str">
        <f>_xlfn.XLOOKUP(H1604, risk_score!A:A, risk_score!B:B, 0)</f>
        <v>Low Risk</v>
      </c>
    </row>
    <row r="1605" spans="1:14">
      <c r="A1605" s="2">
        <v>0.48195601851851849</v>
      </c>
      <c r="B1605" s="3">
        <v>44841</v>
      </c>
      <c r="C1605" s="1">
        <v>1157640068</v>
      </c>
      <c r="D1605" s="1">
        <v>3028756530</v>
      </c>
      <c r="E1605" s="1">
        <v>69.19</v>
      </c>
      <c r="F1605" s="1" t="s">
        <v>12</v>
      </c>
      <c r="G1605" s="1" t="s">
        <v>12</v>
      </c>
      <c r="H1605" s="1" t="s">
        <v>13</v>
      </c>
      <c r="I1605" s="1" t="s">
        <v>13</v>
      </c>
      <c r="J1605" s="1" t="s">
        <v>36</v>
      </c>
      <c r="K1605" s="1">
        <v>0</v>
      </c>
      <c r="L1605" s="1" t="s">
        <v>37</v>
      </c>
      <c r="M1605" s="1" t="str">
        <f t="shared" si="25"/>
        <v>Consistent</v>
      </c>
      <c r="N1605" s="1" t="str">
        <f>_xlfn.XLOOKUP(H1605, risk_score!A:A, risk_score!B:B, 0)</f>
        <v>Low Risk</v>
      </c>
    </row>
    <row r="1606" spans="1:14">
      <c r="A1606" s="2">
        <v>0.48197916666666668</v>
      </c>
      <c r="B1606" s="3">
        <v>44841</v>
      </c>
      <c r="C1606" s="1">
        <v>4781791357</v>
      </c>
      <c r="D1606" s="1">
        <v>7464410589</v>
      </c>
      <c r="E1606" s="1">
        <v>13697.47</v>
      </c>
      <c r="F1606" s="1" t="s">
        <v>12</v>
      </c>
      <c r="G1606" s="1" t="s">
        <v>51</v>
      </c>
      <c r="H1606" s="1" t="s">
        <v>13</v>
      </c>
      <c r="I1606" s="1" t="s">
        <v>52</v>
      </c>
      <c r="J1606" s="1" t="s">
        <v>18</v>
      </c>
      <c r="K1606" s="1">
        <v>0</v>
      </c>
      <c r="L1606" s="1" t="s">
        <v>49</v>
      </c>
      <c r="M1606" s="1" t="str">
        <f t="shared" si="25"/>
        <v>Potential Layering</v>
      </c>
      <c r="N1606" s="1" t="str">
        <f>_xlfn.XLOOKUP(H1606, risk_score!A:A, risk_score!B:B, 0)</f>
        <v>Low Risk</v>
      </c>
    </row>
    <row r="1607" spans="1:14">
      <c r="A1607" s="2">
        <v>0.48199074074074072</v>
      </c>
      <c r="B1607" s="3">
        <v>44841</v>
      </c>
      <c r="C1607" s="1">
        <v>9223045170</v>
      </c>
      <c r="D1607" s="1">
        <v>5287326909</v>
      </c>
      <c r="E1607" s="1">
        <v>4564.01</v>
      </c>
      <c r="F1607" s="1" t="s">
        <v>12</v>
      </c>
      <c r="G1607" s="1" t="s">
        <v>12</v>
      </c>
      <c r="H1607" s="1" t="s">
        <v>13</v>
      </c>
      <c r="I1607" s="1" t="s">
        <v>13</v>
      </c>
      <c r="J1607" s="1" t="s">
        <v>27</v>
      </c>
      <c r="K1607" s="1">
        <v>0</v>
      </c>
      <c r="L1607" s="1" t="s">
        <v>21</v>
      </c>
      <c r="M1607" s="1" t="str">
        <f t="shared" si="25"/>
        <v>Consistent</v>
      </c>
      <c r="N1607" s="1" t="str">
        <f>_xlfn.XLOOKUP(H1607, risk_score!A:A, risk_score!B:B, 0)</f>
        <v>Low Risk</v>
      </c>
    </row>
    <row r="1608" spans="1:14">
      <c r="A1608" s="2">
        <v>0.48202546296296295</v>
      </c>
      <c r="B1608" s="3">
        <v>44841</v>
      </c>
      <c r="C1608" s="1">
        <v>7012967496</v>
      </c>
      <c r="D1608" s="1">
        <v>6855935396</v>
      </c>
      <c r="E1608" s="1">
        <v>5479.62</v>
      </c>
      <c r="F1608" s="1" t="s">
        <v>12</v>
      </c>
      <c r="G1608" s="1" t="s">
        <v>12</v>
      </c>
      <c r="H1608" s="1" t="s">
        <v>13</v>
      </c>
      <c r="I1608" s="1" t="s">
        <v>13</v>
      </c>
      <c r="J1608" s="1" t="s">
        <v>27</v>
      </c>
      <c r="K1608" s="1">
        <v>0</v>
      </c>
      <c r="L1608" s="1" t="s">
        <v>23</v>
      </c>
      <c r="M1608" s="1" t="str">
        <f t="shared" si="25"/>
        <v>Consistent</v>
      </c>
      <c r="N1608" s="1" t="str">
        <f>_xlfn.XLOOKUP(H1608, risk_score!A:A, risk_score!B:B, 0)</f>
        <v>Low Risk</v>
      </c>
    </row>
    <row r="1609" spans="1:14">
      <c r="A1609" s="2">
        <v>0.48202546296296295</v>
      </c>
      <c r="B1609" s="3">
        <v>44841</v>
      </c>
      <c r="C1609" s="1">
        <v>8203229522</v>
      </c>
      <c r="D1609" s="1">
        <v>2074126451</v>
      </c>
      <c r="E1609" s="1">
        <v>5330.31</v>
      </c>
      <c r="F1609" s="1" t="s">
        <v>12</v>
      </c>
      <c r="G1609" s="1" t="s">
        <v>12</v>
      </c>
      <c r="H1609" s="1" t="s">
        <v>13</v>
      </c>
      <c r="I1609" s="1" t="s">
        <v>13</v>
      </c>
      <c r="J1609" s="1" t="s">
        <v>25</v>
      </c>
      <c r="K1609" s="1">
        <v>0</v>
      </c>
      <c r="L1609" s="1" t="s">
        <v>19</v>
      </c>
      <c r="M1609" s="1" t="str">
        <f t="shared" si="25"/>
        <v>Consistent</v>
      </c>
      <c r="N1609" s="1" t="str">
        <f>_xlfn.XLOOKUP(H1609, risk_score!A:A, risk_score!B:B, 0)</f>
        <v>Low Risk</v>
      </c>
    </row>
    <row r="1610" spans="1:14">
      <c r="A1610" s="2">
        <v>0.48204861111111114</v>
      </c>
      <c r="B1610" s="3">
        <v>44841</v>
      </c>
      <c r="C1610" s="1">
        <v>4164568754</v>
      </c>
      <c r="D1610" s="1">
        <v>6953672776</v>
      </c>
      <c r="E1610" s="1">
        <v>31613.7</v>
      </c>
      <c r="F1610" s="1" t="s">
        <v>12</v>
      </c>
      <c r="G1610" s="1" t="s">
        <v>34</v>
      </c>
      <c r="H1610" s="1" t="s">
        <v>13</v>
      </c>
      <c r="I1610" s="1" t="s">
        <v>35</v>
      </c>
      <c r="J1610" s="1" t="s">
        <v>18</v>
      </c>
      <c r="K1610" s="1">
        <v>0</v>
      </c>
      <c r="L1610" s="1" t="s">
        <v>23</v>
      </c>
      <c r="M1610" s="1" t="str">
        <f t="shared" si="25"/>
        <v>Potential Layering</v>
      </c>
      <c r="N1610" s="1" t="str">
        <f>_xlfn.XLOOKUP(H1610, risk_score!A:A, risk_score!B:B, 0)</f>
        <v>Low Risk</v>
      </c>
    </row>
    <row r="1611" spans="1:14">
      <c r="A1611" s="2">
        <v>0.48219907407407409</v>
      </c>
      <c r="B1611" s="3">
        <v>44841</v>
      </c>
      <c r="C1611" s="1">
        <v>2004133484</v>
      </c>
      <c r="D1611" s="1">
        <v>3079818547</v>
      </c>
      <c r="E1611" s="1">
        <v>8045.64</v>
      </c>
      <c r="F1611" s="1" t="s">
        <v>12</v>
      </c>
      <c r="G1611" s="1" t="s">
        <v>12</v>
      </c>
      <c r="H1611" s="1" t="s">
        <v>13</v>
      </c>
      <c r="I1611" s="1" t="s">
        <v>13</v>
      </c>
      <c r="J1611" s="1" t="s">
        <v>25</v>
      </c>
      <c r="K1611" s="1">
        <v>0</v>
      </c>
      <c r="L1611" s="1" t="s">
        <v>23</v>
      </c>
      <c r="M1611" s="1" t="str">
        <f t="shared" si="25"/>
        <v>Consistent</v>
      </c>
      <c r="N1611" s="1" t="str">
        <f>_xlfn.XLOOKUP(H1611, risk_score!A:A, risk_score!B:B, 0)</f>
        <v>Low Risk</v>
      </c>
    </row>
    <row r="1612" spans="1:14">
      <c r="A1612" s="2">
        <v>0.48223379629629631</v>
      </c>
      <c r="B1612" s="3">
        <v>44841</v>
      </c>
      <c r="C1612" s="1">
        <v>8456279067</v>
      </c>
      <c r="D1612" s="1">
        <v>8078722188</v>
      </c>
      <c r="E1612" s="1">
        <v>10074.73</v>
      </c>
      <c r="F1612" s="1" t="s">
        <v>12</v>
      </c>
      <c r="G1612" s="1" t="s">
        <v>12</v>
      </c>
      <c r="H1612" s="1" t="s">
        <v>13</v>
      </c>
      <c r="I1612" s="1" t="s">
        <v>13</v>
      </c>
      <c r="J1612" s="1" t="s">
        <v>27</v>
      </c>
      <c r="K1612" s="1">
        <v>0</v>
      </c>
      <c r="L1612" s="1" t="s">
        <v>19</v>
      </c>
      <c r="M1612" s="1" t="str">
        <f t="shared" si="25"/>
        <v>Consistent</v>
      </c>
      <c r="N1612" s="1" t="str">
        <f>_xlfn.XLOOKUP(H1612, risk_score!A:A, risk_score!B:B, 0)</f>
        <v>Low Risk</v>
      </c>
    </row>
    <row r="1613" spans="1:14">
      <c r="A1613" s="2">
        <v>0.48226851851851854</v>
      </c>
      <c r="B1613" s="3">
        <v>44841</v>
      </c>
      <c r="C1613" s="1">
        <v>9787411014</v>
      </c>
      <c r="D1613" s="1">
        <v>3256292285</v>
      </c>
      <c r="E1613" s="1">
        <v>15709.51</v>
      </c>
      <c r="F1613" s="1" t="s">
        <v>12</v>
      </c>
      <c r="G1613" s="1" t="s">
        <v>12</v>
      </c>
      <c r="H1613" s="1" t="s">
        <v>13</v>
      </c>
      <c r="I1613" s="1" t="s">
        <v>13</v>
      </c>
      <c r="J1613" s="1" t="s">
        <v>25</v>
      </c>
      <c r="K1613" s="1">
        <v>0</v>
      </c>
      <c r="L1613" s="1" t="s">
        <v>21</v>
      </c>
      <c r="M1613" s="1" t="str">
        <f t="shared" si="25"/>
        <v>Consistent</v>
      </c>
      <c r="N1613" s="1" t="str">
        <f>_xlfn.XLOOKUP(H1613, risk_score!A:A, risk_score!B:B, 0)</f>
        <v>Low Risk</v>
      </c>
    </row>
    <row r="1614" spans="1:14">
      <c r="A1614" s="2">
        <v>0.48226851851851854</v>
      </c>
      <c r="B1614" s="3">
        <v>44841</v>
      </c>
      <c r="C1614" s="1">
        <v>3510078932</v>
      </c>
      <c r="D1614" s="1">
        <v>1625701030</v>
      </c>
      <c r="E1614" s="1">
        <v>6332.89</v>
      </c>
      <c r="F1614" s="1" t="s">
        <v>12</v>
      </c>
      <c r="G1614" s="1" t="s">
        <v>12</v>
      </c>
      <c r="H1614" s="1" t="s">
        <v>13</v>
      </c>
      <c r="I1614" s="1" t="s">
        <v>13</v>
      </c>
      <c r="J1614" s="1" t="s">
        <v>25</v>
      </c>
      <c r="K1614" s="1">
        <v>0</v>
      </c>
      <c r="L1614" s="1" t="s">
        <v>19</v>
      </c>
      <c r="M1614" s="1" t="str">
        <f t="shared" si="25"/>
        <v>Consistent</v>
      </c>
      <c r="N1614" s="1" t="str">
        <f>_xlfn.XLOOKUP(H1614, risk_score!A:A, risk_score!B:B, 0)</f>
        <v>Low Risk</v>
      </c>
    </row>
    <row r="1615" spans="1:14">
      <c r="A1615" s="2">
        <v>0.4823263888888889</v>
      </c>
      <c r="B1615" s="3">
        <v>44841</v>
      </c>
      <c r="C1615" s="1">
        <v>9734083970</v>
      </c>
      <c r="D1615" s="1">
        <v>9232891126</v>
      </c>
      <c r="E1615" s="1">
        <v>7210.51</v>
      </c>
      <c r="F1615" s="1" t="s">
        <v>12</v>
      </c>
      <c r="G1615" s="1" t="s">
        <v>12</v>
      </c>
      <c r="H1615" s="1" t="s">
        <v>13</v>
      </c>
      <c r="I1615" s="1" t="s">
        <v>13</v>
      </c>
      <c r="J1615" s="1" t="s">
        <v>20</v>
      </c>
      <c r="K1615" s="1">
        <v>0</v>
      </c>
      <c r="L1615" s="1" t="s">
        <v>19</v>
      </c>
      <c r="M1615" s="1" t="str">
        <f t="shared" si="25"/>
        <v>Consistent</v>
      </c>
      <c r="N1615" s="1" t="str">
        <f>_xlfn.XLOOKUP(H1615, risk_score!A:A, risk_score!B:B, 0)</f>
        <v>Low Risk</v>
      </c>
    </row>
    <row r="1616" spans="1:14">
      <c r="A1616" s="2">
        <v>0.48247685185185185</v>
      </c>
      <c r="B1616" s="3">
        <v>44841</v>
      </c>
      <c r="C1616" s="1">
        <v>8203229522</v>
      </c>
      <c r="D1616" s="1">
        <v>8818164834</v>
      </c>
      <c r="E1616" s="1">
        <v>4710.42</v>
      </c>
      <c r="F1616" s="1" t="s">
        <v>12</v>
      </c>
      <c r="G1616" s="1" t="s">
        <v>12</v>
      </c>
      <c r="H1616" s="1" t="s">
        <v>13</v>
      </c>
      <c r="I1616" s="1" t="s">
        <v>13</v>
      </c>
      <c r="J1616" s="1" t="s">
        <v>25</v>
      </c>
      <c r="K1616" s="1">
        <v>0</v>
      </c>
      <c r="L1616" s="1" t="s">
        <v>19</v>
      </c>
      <c r="M1616" s="1" t="str">
        <f t="shared" si="25"/>
        <v>Consistent</v>
      </c>
      <c r="N1616" s="1" t="str">
        <f>_xlfn.XLOOKUP(H1616, risk_score!A:A, risk_score!B:B, 0)</f>
        <v>Low Risk</v>
      </c>
    </row>
    <row r="1617" spans="1:14">
      <c r="A1617" s="2">
        <v>0.48247685185185185</v>
      </c>
      <c r="B1617" s="3">
        <v>44841</v>
      </c>
      <c r="C1617" s="1">
        <v>3027936543</v>
      </c>
      <c r="D1617" s="1">
        <v>6476703638</v>
      </c>
      <c r="E1617" s="1">
        <v>276.72000000000003</v>
      </c>
      <c r="F1617" s="1" t="s">
        <v>12</v>
      </c>
      <c r="G1617" s="1" t="s">
        <v>12</v>
      </c>
      <c r="H1617" s="1" t="s">
        <v>13</v>
      </c>
      <c r="I1617" s="1" t="s">
        <v>13</v>
      </c>
      <c r="J1617" s="1" t="s">
        <v>14</v>
      </c>
      <c r="K1617" s="1">
        <v>0</v>
      </c>
      <c r="L1617" s="1" t="s">
        <v>15</v>
      </c>
      <c r="M1617" s="1" t="str">
        <f t="shared" si="25"/>
        <v>Consistent</v>
      </c>
      <c r="N1617" s="1" t="str">
        <f>_xlfn.XLOOKUP(H1617, risk_score!A:A, risk_score!B:B, 0)</f>
        <v>Low Risk</v>
      </c>
    </row>
    <row r="1618" spans="1:14">
      <c r="A1618" s="2">
        <v>0.48249999999999998</v>
      </c>
      <c r="B1618" s="3">
        <v>44841</v>
      </c>
      <c r="C1618" s="1">
        <v>7281801398</v>
      </c>
      <c r="D1618" s="1">
        <v>1493436023</v>
      </c>
      <c r="E1618" s="1">
        <v>37547.85</v>
      </c>
      <c r="F1618" s="1" t="s">
        <v>12</v>
      </c>
      <c r="G1618" s="1" t="s">
        <v>12</v>
      </c>
      <c r="H1618" s="1" t="s">
        <v>13</v>
      </c>
      <c r="I1618" s="1" t="s">
        <v>13</v>
      </c>
      <c r="J1618" s="1" t="s">
        <v>25</v>
      </c>
      <c r="K1618" s="1">
        <v>0</v>
      </c>
      <c r="L1618" s="1" t="s">
        <v>23</v>
      </c>
      <c r="M1618" s="1" t="str">
        <f t="shared" si="25"/>
        <v>Consistent</v>
      </c>
      <c r="N1618" s="1" t="str">
        <f>_xlfn.XLOOKUP(H1618, risk_score!A:A, risk_score!B:B, 0)</f>
        <v>Low Risk</v>
      </c>
    </row>
    <row r="1619" spans="1:14">
      <c r="A1619" s="2">
        <v>0.48252314814814817</v>
      </c>
      <c r="B1619" s="3">
        <v>44841</v>
      </c>
      <c r="C1619" s="1">
        <v>5764479195</v>
      </c>
      <c r="D1619" s="1">
        <v>6855935396</v>
      </c>
      <c r="E1619" s="1">
        <v>5857.97</v>
      </c>
      <c r="F1619" s="1" t="s">
        <v>12</v>
      </c>
      <c r="G1619" s="1" t="s">
        <v>12</v>
      </c>
      <c r="H1619" s="1" t="s">
        <v>13</v>
      </c>
      <c r="I1619" s="1" t="s">
        <v>13</v>
      </c>
      <c r="J1619" s="1" t="s">
        <v>25</v>
      </c>
      <c r="K1619" s="1">
        <v>0</v>
      </c>
      <c r="L1619" s="1" t="s">
        <v>23</v>
      </c>
      <c r="M1619" s="1" t="str">
        <f t="shared" si="25"/>
        <v>Consistent</v>
      </c>
      <c r="N1619" s="1" t="str">
        <f>_xlfn.XLOOKUP(H1619, risk_score!A:A, risk_score!B:B, 0)</f>
        <v>Low Risk</v>
      </c>
    </row>
    <row r="1620" spans="1:14">
      <c r="A1620" s="2">
        <v>0.48256944444444444</v>
      </c>
      <c r="B1620" s="3">
        <v>44841</v>
      </c>
      <c r="C1620" s="1">
        <v>8053683950</v>
      </c>
      <c r="D1620" s="1">
        <v>6522784509</v>
      </c>
      <c r="E1620" s="1">
        <v>5919.88</v>
      </c>
      <c r="F1620" s="1" t="s">
        <v>12</v>
      </c>
      <c r="G1620" s="1" t="s">
        <v>12</v>
      </c>
      <c r="H1620" s="1" t="s">
        <v>13</v>
      </c>
      <c r="I1620" s="1" t="s">
        <v>13</v>
      </c>
      <c r="J1620" s="1" t="s">
        <v>20</v>
      </c>
      <c r="K1620" s="1">
        <v>0</v>
      </c>
      <c r="L1620" s="1" t="s">
        <v>38</v>
      </c>
      <c r="M1620" s="1" t="str">
        <f t="shared" si="25"/>
        <v>Consistent</v>
      </c>
      <c r="N1620" s="1" t="str">
        <f>_xlfn.XLOOKUP(H1620, risk_score!A:A, risk_score!B:B, 0)</f>
        <v>Low Risk</v>
      </c>
    </row>
    <row r="1621" spans="1:14">
      <c r="A1621" s="2">
        <v>0.48256944444444444</v>
      </c>
      <c r="B1621" s="3">
        <v>44841</v>
      </c>
      <c r="C1621" s="1">
        <v>1376796548</v>
      </c>
      <c r="D1621" s="1">
        <v>6444220418</v>
      </c>
      <c r="E1621" s="1">
        <v>8020.66</v>
      </c>
      <c r="F1621" s="1" t="s">
        <v>12</v>
      </c>
      <c r="G1621" s="1" t="s">
        <v>12</v>
      </c>
      <c r="H1621" s="1" t="s">
        <v>13</v>
      </c>
      <c r="I1621" s="1" t="s">
        <v>13</v>
      </c>
      <c r="J1621" s="1" t="s">
        <v>22</v>
      </c>
      <c r="K1621" s="1">
        <v>0</v>
      </c>
      <c r="L1621" s="1" t="s">
        <v>23</v>
      </c>
      <c r="M1621" s="1" t="str">
        <f t="shared" si="25"/>
        <v>Consistent</v>
      </c>
      <c r="N1621" s="1" t="str">
        <f>_xlfn.XLOOKUP(H1621, risk_score!A:A, risk_score!B:B, 0)</f>
        <v>Low Risk</v>
      </c>
    </row>
    <row r="1622" spans="1:14">
      <c r="A1622" s="2">
        <v>0.48256944444444444</v>
      </c>
      <c r="B1622" s="3">
        <v>44841</v>
      </c>
      <c r="C1622" s="1">
        <v>1965297304</v>
      </c>
      <c r="D1622" s="1">
        <v>4730079874</v>
      </c>
      <c r="E1622" s="1">
        <v>1852.88</v>
      </c>
      <c r="F1622" s="1" t="s">
        <v>12</v>
      </c>
      <c r="G1622" s="1" t="s">
        <v>28</v>
      </c>
      <c r="H1622" s="1" t="s">
        <v>13</v>
      </c>
      <c r="I1622" s="1" t="s">
        <v>13</v>
      </c>
      <c r="J1622" s="1" t="s">
        <v>20</v>
      </c>
      <c r="K1622" s="1">
        <v>0</v>
      </c>
      <c r="L1622" s="1" t="s">
        <v>21</v>
      </c>
      <c r="M1622" s="1" t="str">
        <f t="shared" si="25"/>
        <v>Potential Layering</v>
      </c>
      <c r="N1622" s="1" t="str">
        <f>_xlfn.XLOOKUP(H1622, risk_score!A:A, risk_score!B:B, 0)</f>
        <v>Low Risk</v>
      </c>
    </row>
    <row r="1623" spans="1:14">
      <c r="A1623" s="2">
        <v>0.48259259259259257</v>
      </c>
      <c r="B1623" s="3">
        <v>44841</v>
      </c>
      <c r="C1623" s="1">
        <v>8770181801</v>
      </c>
      <c r="D1623" s="1">
        <v>8906126287</v>
      </c>
      <c r="E1623" s="1">
        <v>9353.4699999999993</v>
      </c>
      <c r="F1623" s="1" t="s">
        <v>12</v>
      </c>
      <c r="G1623" s="1" t="s">
        <v>12</v>
      </c>
      <c r="H1623" s="1" t="s">
        <v>13</v>
      </c>
      <c r="I1623" s="1" t="s">
        <v>13</v>
      </c>
      <c r="J1623" s="1" t="s">
        <v>22</v>
      </c>
      <c r="K1623" s="1">
        <v>0</v>
      </c>
      <c r="L1623" s="1" t="s">
        <v>38</v>
      </c>
      <c r="M1623" s="1" t="str">
        <f t="shared" si="25"/>
        <v>Consistent</v>
      </c>
      <c r="N1623" s="1" t="str">
        <f>_xlfn.XLOOKUP(H1623, risk_score!A:A, risk_score!B:B, 0)</f>
        <v>Low Risk</v>
      </c>
    </row>
    <row r="1624" spans="1:14">
      <c r="A1624" s="2">
        <v>0.48259259259259257</v>
      </c>
      <c r="B1624" s="3">
        <v>44841</v>
      </c>
      <c r="C1624" s="1">
        <v>2797271466</v>
      </c>
      <c r="D1624" s="1">
        <v>7981094247</v>
      </c>
      <c r="E1624" s="1">
        <v>7689.67</v>
      </c>
      <c r="F1624" s="1" t="s">
        <v>12</v>
      </c>
      <c r="G1624" s="1" t="s">
        <v>12</v>
      </c>
      <c r="H1624" s="1" t="s">
        <v>13</v>
      </c>
      <c r="I1624" s="1" t="s">
        <v>13</v>
      </c>
      <c r="J1624" s="1" t="s">
        <v>27</v>
      </c>
      <c r="K1624" s="1">
        <v>0</v>
      </c>
      <c r="L1624" s="1" t="s">
        <v>19</v>
      </c>
      <c r="M1624" s="1" t="str">
        <f t="shared" si="25"/>
        <v>Consistent</v>
      </c>
      <c r="N1624" s="1" t="str">
        <f>_xlfn.XLOOKUP(H1624, risk_score!A:A, risk_score!B:B, 0)</f>
        <v>Low Risk</v>
      </c>
    </row>
    <row r="1625" spans="1:14">
      <c r="A1625" s="2">
        <v>0.48261574074074076</v>
      </c>
      <c r="B1625" s="3">
        <v>44841</v>
      </c>
      <c r="C1625" s="1">
        <v>1162683951</v>
      </c>
      <c r="D1625" s="1">
        <v>9717423135</v>
      </c>
      <c r="E1625" s="1">
        <v>11588.67</v>
      </c>
      <c r="F1625" s="1" t="s">
        <v>12</v>
      </c>
      <c r="G1625" s="1" t="s">
        <v>12</v>
      </c>
      <c r="H1625" s="1" t="s">
        <v>13</v>
      </c>
      <c r="I1625" s="1" t="s">
        <v>13</v>
      </c>
      <c r="J1625" s="1" t="s">
        <v>27</v>
      </c>
      <c r="K1625" s="1">
        <v>0</v>
      </c>
      <c r="L1625" s="1" t="s">
        <v>21</v>
      </c>
      <c r="M1625" s="1" t="str">
        <f t="shared" si="25"/>
        <v>Consistent</v>
      </c>
      <c r="N1625" s="1" t="str">
        <f>_xlfn.XLOOKUP(H1625, risk_score!A:A, risk_score!B:B, 0)</f>
        <v>Low Risk</v>
      </c>
    </row>
    <row r="1626" spans="1:14">
      <c r="A1626" s="2">
        <v>0.4826388888888889</v>
      </c>
      <c r="B1626" s="3">
        <v>44841</v>
      </c>
      <c r="C1626" s="1">
        <v>3861925099</v>
      </c>
      <c r="D1626" s="1">
        <v>5501242883</v>
      </c>
      <c r="E1626" s="1">
        <v>709.01</v>
      </c>
      <c r="F1626" s="1" t="s">
        <v>12</v>
      </c>
      <c r="G1626" s="1" t="s">
        <v>12</v>
      </c>
      <c r="H1626" s="1" t="s">
        <v>13</v>
      </c>
      <c r="I1626" s="1" t="s">
        <v>13</v>
      </c>
      <c r="J1626" s="1" t="s">
        <v>14</v>
      </c>
      <c r="K1626" s="1">
        <v>0</v>
      </c>
      <c r="L1626" s="1" t="s">
        <v>15</v>
      </c>
      <c r="M1626" s="1" t="str">
        <f t="shared" si="25"/>
        <v>Consistent</v>
      </c>
      <c r="N1626" s="1" t="str">
        <f>_xlfn.XLOOKUP(H1626, risk_score!A:A, risk_score!B:B, 0)</f>
        <v>Low Risk</v>
      </c>
    </row>
    <row r="1627" spans="1:14">
      <c r="A1627" s="2">
        <v>0.4826388888888889</v>
      </c>
      <c r="B1627" s="3">
        <v>44841</v>
      </c>
      <c r="C1627" s="1">
        <v>4064804943</v>
      </c>
      <c r="D1627" s="1">
        <v>1074595314</v>
      </c>
      <c r="E1627" s="1">
        <v>669.24</v>
      </c>
      <c r="F1627" s="1" t="s">
        <v>12</v>
      </c>
      <c r="G1627" s="1" t="s">
        <v>12</v>
      </c>
      <c r="H1627" s="1" t="s">
        <v>13</v>
      </c>
      <c r="I1627" s="1" t="s">
        <v>13</v>
      </c>
      <c r="J1627" s="1" t="s">
        <v>25</v>
      </c>
      <c r="K1627" s="1">
        <v>0</v>
      </c>
      <c r="L1627" s="1" t="s">
        <v>21</v>
      </c>
      <c r="M1627" s="1" t="str">
        <f t="shared" si="25"/>
        <v>Consistent</v>
      </c>
      <c r="N1627" s="1" t="str">
        <f>_xlfn.XLOOKUP(H1627, risk_score!A:A, risk_score!B:B, 0)</f>
        <v>Low Risk</v>
      </c>
    </row>
    <row r="1628" spans="1:14">
      <c r="A1628" s="2">
        <v>0.4826388888888889</v>
      </c>
      <c r="B1628" s="3">
        <v>44841</v>
      </c>
      <c r="C1628" s="1">
        <v>9909574335</v>
      </c>
      <c r="D1628" s="1">
        <v>8735083798</v>
      </c>
      <c r="E1628" s="1">
        <v>172.94</v>
      </c>
      <c r="F1628" s="1" t="s">
        <v>12</v>
      </c>
      <c r="G1628" s="1" t="s">
        <v>12</v>
      </c>
      <c r="H1628" s="1" t="s">
        <v>13</v>
      </c>
      <c r="I1628" s="1" t="s">
        <v>13</v>
      </c>
      <c r="J1628" s="1" t="s">
        <v>25</v>
      </c>
      <c r="K1628" s="1">
        <v>0</v>
      </c>
      <c r="L1628" s="1" t="s">
        <v>21</v>
      </c>
      <c r="M1628" s="1" t="str">
        <f t="shared" si="25"/>
        <v>Consistent</v>
      </c>
      <c r="N1628" s="1" t="str">
        <f>_xlfn.XLOOKUP(H1628, risk_score!A:A, risk_score!B:B, 0)</f>
        <v>Low Risk</v>
      </c>
    </row>
    <row r="1629" spans="1:14">
      <c r="A1629" s="2">
        <v>0.48269675925925926</v>
      </c>
      <c r="B1629" s="3">
        <v>44841</v>
      </c>
      <c r="C1629" s="1">
        <v>8456279067</v>
      </c>
      <c r="D1629" s="1">
        <v>1212654276</v>
      </c>
      <c r="E1629" s="1">
        <v>6982.27</v>
      </c>
      <c r="F1629" s="1" t="s">
        <v>12</v>
      </c>
      <c r="G1629" s="1" t="s">
        <v>12</v>
      </c>
      <c r="H1629" s="1" t="s">
        <v>13</v>
      </c>
      <c r="I1629" s="1" t="s">
        <v>13</v>
      </c>
      <c r="J1629" s="1" t="s">
        <v>27</v>
      </c>
      <c r="K1629" s="1">
        <v>0</v>
      </c>
      <c r="L1629" s="1" t="s">
        <v>19</v>
      </c>
      <c r="M1629" s="1" t="str">
        <f t="shared" si="25"/>
        <v>Consistent</v>
      </c>
      <c r="N1629" s="1" t="str">
        <f>_xlfn.XLOOKUP(H1629, risk_score!A:A, risk_score!B:B, 0)</f>
        <v>Low Risk</v>
      </c>
    </row>
    <row r="1630" spans="1:14">
      <c r="A1630" s="2">
        <v>0.48271990740740739</v>
      </c>
      <c r="B1630" s="3">
        <v>44841</v>
      </c>
      <c r="C1630" s="1">
        <v>9746384104</v>
      </c>
      <c r="D1630" s="1">
        <v>8107460466</v>
      </c>
      <c r="E1630" s="1">
        <v>5115.13</v>
      </c>
      <c r="F1630" s="1" t="s">
        <v>12</v>
      </c>
      <c r="G1630" s="1" t="s">
        <v>12</v>
      </c>
      <c r="H1630" s="1" t="s">
        <v>13</v>
      </c>
      <c r="I1630" s="1" t="s">
        <v>13</v>
      </c>
      <c r="J1630" s="1" t="s">
        <v>20</v>
      </c>
      <c r="K1630" s="1">
        <v>0</v>
      </c>
      <c r="L1630" s="1" t="s">
        <v>19</v>
      </c>
      <c r="M1630" s="1" t="str">
        <f t="shared" si="25"/>
        <v>Consistent</v>
      </c>
      <c r="N1630" s="1" t="str">
        <f>_xlfn.XLOOKUP(H1630, risk_score!A:A, risk_score!B:B, 0)</f>
        <v>Low Risk</v>
      </c>
    </row>
    <row r="1631" spans="1:14">
      <c r="A1631" s="2">
        <v>0.48273148148148148</v>
      </c>
      <c r="B1631" s="3">
        <v>44841</v>
      </c>
      <c r="C1631" s="1">
        <v>4118958070</v>
      </c>
      <c r="D1631" s="1">
        <v>5587935380</v>
      </c>
      <c r="E1631" s="1">
        <v>18490.2</v>
      </c>
      <c r="F1631" s="1" t="s">
        <v>12</v>
      </c>
      <c r="G1631" s="1" t="s">
        <v>12</v>
      </c>
      <c r="H1631" s="1" t="s">
        <v>13</v>
      </c>
      <c r="I1631" s="1" t="s">
        <v>13</v>
      </c>
      <c r="J1631" s="1" t="s">
        <v>20</v>
      </c>
      <c r="K1631" s="1">
        <v>0</v>
      </c>
      <c r="L1631" s="1" t="s">
        <v>21</v>
      </c>
      <c r="M1631" s="1" t="str">
        <f t="shared" si="25"/>
        <v>Consistent</v>
      </c>
      <c r="N1631" s="1" t="str">
        <f>_xlfn.XLOOKUP(H1631, risk_score!A:A, risk_score!B:B, 0)</f>
        <v>Low Risk</v>
      </c>
    </row>
    <row r="1632" spans="1:14">
      <c r="A1632" s="2">
        <v>0.48273148148148148</v>
      </c>
      <c r="B1632" s="3">
        <v>44841</v>
      </c>
      <c r="C1632" s="1">
        <v>2350628776</v>
      </c>
      <c r="D1632" s="1">
        <v>1287047549</v>
      </c>
      <c r="E1632" s="1">
        <v>1493.75</v>
      </c>
      <c r="F1632" s="1" t="s">
        <v>12</v>
      </c>
      <c r="G1632" s="1" t="s">
        <v>12</v>
      </c>
      <c r="H1632" s="1" t="s">
        <v>13</v>
      </c>
      <c r="I1632" s="1" t="s">
        <v>13</v>
      </c>
      <c r="J1632" s="1" t="s">
        <v>27</v>
      </c>
      <c r="K1632" s="1">
        <v>0</v>
      </c>
      <c r="L1632" s="1" t="s">
        <v>21</v>
      </c>
      <c r="M1632" s="1" t="str">
        <f t="shared" si="25"/>
        <v>Consistent</v>
      </c>
      <c r="N1632" s="1" t="str">
        <f>_xlfn.XLOOKUP(H1632, risk_score!A:A, risk_score!B:B, 0)</f>
        <v>Low Risk</v>
      </c>
    </row>
    <row r="1633" spans="1:14">
      <c r="A1633" s="2">
        <v>0.48278935185185184</v>
      </c>
      <c r="B1633" s="3">
        <v>44841</v>
      </c>
      <c r="C1633" s="1">
        <v>8961746793</v>
      </c>
      <c r="D1633" s="1">
        <v>4508515083</v>
      </c>
      <c r="E1633" s="1">
        <v>487.95</v>
      </c>
      <c r="F1633" s="1" t="s">
        <v>12</v>
      </c>
      <c r="G1633" s="1" t="s">
        <v>12</v>
      </c>
      <c r="H1633" s="1" t="s">
        <v>13</v>
      </c>
      <c r="I1633" s="1" t="s">
        <v>13</v>
      </c>
      <c r="J1633" s="1" t="s">
        <v>27</v>
      </c>
      <c r="K1633" s="1">
        <v>0</v>
      </c>
      <c r="L1633" s="1" t="s">
        <v>21</v>
      </c>
      <c r="M1633" s="1" t="str">
        <f t="shared" si="25"/>
        <v>Consistent</v>
      </c>
      <c r="N1633" s="1" t="str">
        <f>_xlfn.XLOOKUP(H1633, risk_score!A:A, risk_score!B:B, 0)</f>
        <v>Low Risk</v>
      </c>
    </row>
    <row r="1634" spans="1:14">
      <c r="A1634" s="2">
        <v>0.48282407407407407</v>
      </c>
      <c r="B1634" s="3">
        <v>44841</v>
      </c>
      <c r="C1634" s="1">
        <v>2365007895</v>
      </c>
      <c r="D1634" s="1">
        <v>835293711</v>
      </c>
      <c r="E1634" s="1">
        <v>4717.3</v>
      </c>
      <c r="F1634" s="1" t="s">
        <v>12</v>
      </c>
      <c r="G1634" s="1" t="s">
        <v>12</v>
      </c>
      <c r="H1634" s="1" t="s">
        <v>13</v>
      </c>
      <c r="I1634" s="1" t="s">
        <v>13</v>
      </c>
      <c r="J1634" s="1" t="s">
        <v>20</v>
      </c>
      <c r="K1634" s="1">
        <v>0</v>
      </c>
      <c r="L1634" s="1" t="s">
        <v>19</v>
      </c>
      <c r="M1634" s="1" t="str">
        <f t="shared" si="25"/>
        <v>Consistent</v>
      </c>
      <c r="N1634" s="1" t="str">
        <f>_xlfn.XLOOKUP(H1634, risk_score!A:A, risk_score!B:B, 0)</f>
        <v>Low Risk</v>
      </c>
    </row>
    <row r="1635" spans="1:14">
      <c r="A1635" s="2">
        <v>0.48284722222222221</v>
      </c>
      <c r="B1635" s="3">
        <v>44841</v>
      </c>
      <c r="C1635" s="1">
        <v>7326442087</v>
      </c>
      <c r="D1635" s="1">
        <v>1493436023</v>
      </c>
      <c r="E1635" s="1">
        <v>7520.22</v>
      </c>
      <c r="F1635" s="1" t="s">
        <v>12</v>
      </c>
      <c r="G1635" s="1" t="s">
        <v>12</v>
      </c>
      <c r="H1635" s="1" t="s">
        <v>13</v>
      </c>
      <c r="I1635" s="1" t="s">
        <v>13</v>
      </c>
      <c r="J1635" s="1" t="s">
        <v>25</v>
      </c>
      <c r="K1635" s="1">
        <v>0</v>
      </c>
      <c r="L1635" s="1" t="s">
        <v>23</v>
      </c>
      <c r="M1635" s="1" t="str">
        <f t="shared" si="25"/>
        <v>Consistent</v>
      </c>
      <c r="N1635" s="1" t="str">
        <f>_xlfn.XLOOKUP(H1635, risk_score!A:A, risk_score!B:B, 0)</f>
        <v>Low Risk</v>
      </c>
    </row>
    <row r="1636" spans="1:14">
      <c r="A1636" s="2">
        <v>0.48287037037037039</v>
      </c>
      <c r="B1636" s="3">
        <v>44841</v>
      </c>
      <c r="C1636" s="1">
        <v>8468057762</v>
      </c>
      <c r="D1636" s="1">
        <v>4777806724</v>
      </c>
      <c r="E1636" s="1">
        <v>49781.279999999999</v>
      </c>
      <c r="F1636" s="1" t="s">
        <v>12</v>
      </c>
      <c r="G1636" s="1" t="s">
        <v>12</v>
      </c>
      <c r="H1636" s="1" t="s">
        <v>13</v>
      </c>
      <c r="I1636" s="1" t="s">
        <v>13</v>
      </c>
      <c r="J1636" s="1" t="s">
        <v>20</v>
      </c>
      <c r="K1636" s="1">
        <v>0</v>
      </c>
      <c r="L1636" s="1" t="s">
        <v>21</v>
      </c>
      <c r="M1636" s="1" t="str">
        <f t="shared" si="25"/>
        <v>Consistent</v>
      </c>
      <c r="N1636" s="1" t="str">
        <f>_xlfn.XLOOKUP(H1636, risk_score!A:A, risk_score!B:B, 0)</f>
        <v>Low Risk</v>
      </c>
    </row>
    <row r="1637" spans="1:14">
      <c r="A1637" s="2">
        <v>0.48288194444444443</v>
      </c>
      <c r="B1637" s="3">
        <v>44841</v>
      </c>
      <c r="C1637" s="1">
        <v>9055543964</v>
      </c>
      <c r="D1637" s="1">
        <v>9972771675</v>
      </c>
      <c r="E1637" s="1">
        <v>65.37</v>
      </c>
      <c r="F1637" s="1" t="s">
        <v>12</v>
      </c>
      <c r="G1637" s="1" t="s">
        <v>12</v>
      </c>
      <c r="H1637" s="1" t="s">
        <v>13</v>
      </c>
      <c r="I1637" s="1" t="s">
        <v>13</v>
      </c>
      <c r="J1637" s="1" t="s">
        <v>27</v>
      </c>
      <c r="K1637" s="1">
        <v>0</v>
      </c>
      <c r="L1637" s="1" t="s">
        <v>21</v>
      </c>
      <c r="M1637" s="1" t="str">
        <f t="shared" si="25"/>
        <v>Consistent</v>
      </c>
      <c r="N1637" s="1" t="str">
        <f>_xlfn.XLOOKUP(H1637, risk_score!A:A, risk_score!B:B, 0)</f>
        <v>Low Risk</v>
      </c>
    </row>
    <row r="1638" spans="1:14">
      <c r="A1638" s="2">
        <v>0.48288194444444443</v>
      </c>
      <c r="B1638" s="3">
        <v>44841</v>
      </c>
      <c r="C1638" s="1">
        <v>2561938455</v>
      </c>
      <c r="D1638" s="1">
        <v>6855935396</v>
      </c>
      <c r="E1638" s="1">
        <v>15073.74</v>
      </c>
      <c r="F1638" s="1" t="s">
        <v>12</v>
      </c>
      <c r="G1638" s="1" t="s">
        <v>12</v>
      </c>
      <c r="H1638" s="1" t="s">
        <v>13</v>
      </c>
      <c r="I1638" s="1" t="s">
        <v>13</v>
      </c>
      <c r="J1638" s="1" t="s">
        <v>27</v>
      </c>
      <c r="K1638" s="1">
        <v>0</v>
      </c>
      <c r="L1638" s="1" t="s">
        <v>23</v>
      </c>
      <c r="M1638" s="1" t="str">
        <f t="shared" si="25"/>
        <v>Consistent</v>
      </c>
      <c r="N1638" s="1" t="str">
        <f>_xlfn.XLOOKUP(H1638, risk_score!A:A, risk_score!B:B, 0)</f>
        <v>Low Risk</v>
      </c>
    </row>
    <row r="1639" spans="1:14">
      <c r="A1639" s="2">
        <v>0.48289351851851853</v>
      </c>
      <c r="B1639" s="3">
        <v>44841</v>
      </c>
      <c r="C1639" s="1">
        <v>3952347143</v>
      </c>
      <c r="D1639" s="1">
        <v>7892884492</v>
      </c>
      <c r="E1639" s="1">
        <v>8737.25</v>
      </c>
      <c r="F1639" s="1" t="s">
        <v>12</v>
      </c>
      <c r="G1639" s="1" t="s">
        <v>32</v>
      </c>
      <c r="H1639" s="1" t="s">
        <v>13</v>
      </c>
      <c r="I1639" s="1" t="s">
        <v>33</v>
      </c>
      <c r="J1639" s="1" t="s">
        <v>18</v>
      </c>
      <c r="K1639" s="1">
        <v>0</v>
      </c>
      <c r="L1639" s="1" t="s">
        <v>23</v>
      </c>
      <c r="M1639" s="1" t="str">
        <f t="shared" si="25"/>
        <v>Potential Layering</v>
      </c>
      <c r="N1639" s="1" t="str">
        <f>_xlfn.XLOOKUP(H1639, risk_score!A:A, risk_score!B:B, 0)</f>
        <v>Low Risk</v>
      </c>
    </row>
    <row r="1640" spans="1:14">
      <c r="A1640" s="2">
        <v>0.48290509259259257</v>
      </c>
      <c r="B1640" s="3">
        <v>44841</v>
      </c>
      <c r="C1640" s="1">
        <v>4735423572</v>
      </c>
      <c r="D1640" s="1">
        <v>1665994281</v>
      </c>
      <c r="E1640" s="1">
        <v>6568.29</v>
      </c>
      <c r="F1640" s="1" t="s">
        <v>12</v>
      </c>
      <c r="G1640" s="1" t="s">
        <v>12</v>
      </c>
      <c r="H1640" s="1" t="s">
        <v>13</v>
      </c>
      <c r="I1640" s="1" t="s">
        <v>13</v>
      </c>
      <c r="J1640" s="1" t="s">
        <v>27</v>
      </c>
      <c r="K1640" s="1">
        <v>0</v>
      </c>
      <c r="L1640" s="1" t="s">
        <v>21</v>
      </c>
      <c r="M1640" s="1" t="str">
        <f t="shared" si="25"/>
        <v>Consistent</v>
      </c>
      <c r="N1640" s="1" t="str">
        <f>_xlfn.XLOOKUP(H1640, risk_score!A:A, risk_score!B:B, 0)</f>
        <v>Low Risk</v>
      </c>
    </row>
    <row r="1641" spans="1:14">
      <c r="A1641" s="2">
        <v>0.48293981481481479</v>
      </c>
      <c r="B1641" s="3">
        <v>44841</v>
      </c>
      <c r="C1641" s="1">
        <v>3614082527</v>
      </c>
      <c r="D1641" s="1">
        <v>833800673</v>
      </c>
      <c r="E1641" s="1">
        <v>19854.25</v>
      </c>
      <c r="F1641" s="1" t="s">
        <v>12</v>
      </c>
      <c r="G1641" s="1" t="s">
        <v>12</v>
      </c>
      <c r="H1641" s="1" t="s">
        <v>13</v>
      </c>
      <c r="I1641" s="1" t="s">
        <v>13</v>
      </c>
      <c r="J1641" s="1" t="s">
        <v>22</v>
      </c>
      <c r="K1641" s="1">
        <v>0</v>
      </c>
      <c r="L1641" s="1" t="s">
        <v>19</v>
      </c>
      <c r="M1641" s="1" t="str">
        <f t="shared" si="25"/>
        <v>Consistent</v>
      </c>
      <c r="N1641" s="1" t="str">
        <f>_xlfn.XLOOKUP(H1641, risk_score!A:A, risk_score!B:B, 0)</f>
        <v>Low Risk</v>
      </c>
    </row>
    <row r="1642" spans="1:14">
      <c r="A1642" s="2">
        <v>0.48295138888888889</v>
      </c>
      <c r="B1642" s="3">
        <v>44841</v>
      </c>
      <c r="C1642" s="1">
        <v>3647307227</v>
      </c>
      <c r="D1642" s="1">
        <v>6275379420</v>
      </c>
      <c r="E1642" s="1">
        <v>5980.74</v>
      </c>
      <c r="F1642" s="1" t="s">
        <v>12</v>
      </c>
      <c r="G1642" s="1" t="s">
        <v>12</v>
      </c>
      <c r="H1642" s="1" t="s">
        <v>13</v>
      </c>
      <c r="I1642" s="1" t="s">
        <v>13</v>
      </c>
      <c r="J1642" s="1" t="s">
        <v>27</v>
      </c>
      <c r="K1642" s="1">
        <v>0</v>
      </c>
      <c r="L1642" s="1" t="s">
        <v>21</v>
      </c>
      <c r="M1642" s="1" t="str">
        <f t="shared" si="25"/>
        <v>Consistent</v>
      </c>
      <c r="N1642" s="1" t="str">
        <f>_xlfn.XLOOKUP(H1642, risk_score!A:A, risk_score!B:B, 0)</f>
        <v>Low Risk</v>
      </c>
    </row>
    <row r="1643" spans="1:14">
      <c r="A1643" s="2">
        <v>0.48297453703703702</v>
      </c>
      <c r="B1643" s="3">
        <v>44841</v>
      </c>
      <c r="C1643" s="1">
        <v>5366309224</v>
      </c>
      <c r="D1643" s="1">
        <v>1636413422</v>
      </c>
      <c r="E1643" s="1">
        <v>22.32</v>
      </c>
      <c r="F1643" s="1" t="s">
        <v>12</v>
      </c>
      <c r="G1643" s="1" t="s">
        <v>12</v>
      </c>
      <c r="H1643" s="1" t="s">
        <v>13</v>
      </c>
      <c r="I1643" s="1" t="s">
        <v>13</v>
      </c>
      <c r="J1643" s="1" t="s">
        <v>36</v>
      </c>
      <c r="K1643" s="1">
        <v>0</v>
      </c>
      <c r="L1643" s="1" t="s">
        <v>37</v>
      </c>
      <c r="M1643" s="1" t="str">
        <f t="shared" si="25"/>
        <v>Consistent</v>
      </c>
      <c r="N1643" s="1" t="str">
        <f>_xlfn.XLOOKUP(H1643, risk_score!A:A, risk_score!B:B, 0)</f>
        <v>Low Risk</v>
      </c>
    </row>
    <row r="1644" spans="1:14">
      <c r="A1644" s="2">
        <v>0.48298611111111112</v>
      </c>
      <c r="B1644" s="3">
        <v>44841</v>
      </c>
      <c r="C1644" s="1">
        <v>2797271466</v>
      </c>
      <c r="D1644" s="1">
        <v>8149040968</v>
      </c>
      <c r="E1644" s="1">
        <v>12986.36</v>
      </c>
      <c r="F1644" s="1" t="s">
        <v>12</v>
      </c>
      <c r="G1644" s="1" t="s">
        <v>12</v>
      </c>
      <c r="H1644" s="1" t="s">
        <v>13</v>
      </c>
      <c r="I1644" s="1" t="s">
        <v>13</v>
      </c>
      <c r="J1644" s="1" t="s">
        <v>20</v>
      </c>
      <c r="K1644" s="1">
        <v>0</v>
      </c>
      <c r="L1644" s="1" t="s">
        <v>19</v>
      </c>
      <c r="M1644" s="1" t="str">
        <f t="shared" si="25"/>
        <v>Consistent</v>
      </c>
      <c r="N1644" s="1" t="str">
        <f>_xlfn.XLOOKUP(H1644, risk_score!A:A, risk_score!B:B, 0)</f>
        <v>Low Risk</v>
      </c>
    </row>
    <row r="1645" spans="1:14">
      <c r="A1645" s="2">
        <v>0.48299768518518521</v>
      </c>
      <c r="B1645" s="3">
        <v>44841</v>
      </c>
      <c r="C1645" s="1">
        <v>3692650448</v>
      </c>
      <c r="D1645" s="1">
        <v>3557075547</v>
      </c>
      <c r="E1645" s="1">
        <v>123.5</v>
      </c>
      <c r="F1645" s="1" t="s">
        <v>12</v>
      </c>
      <c r="G1645" s="1" t="s">
        <v>12</v>
      </c>
      <c r="H1645" s="1" t="s">
        <v>13</v>
      </c>
      <c r="I1645" s="1" t="s">
        <v>13</v>
      </c>
      <c r="J1645" s="1" t="s">
        <v>20</v>
      </c>
      <c r="K1645" s="1">
        <v>0</v>
      </c>
      <c r="L1645" s="1" t="s">
        <v>21</v>
      </c>
      <c r="M1645" s="1" t="str">
        <f t="shared" si="25"/>
        <v>Consistent</v>
      </c>
      <c r="N1645" s="1" t="str">
        <f>_xlfn.XLOOKUP(H1645, risk_score!A:A, risk_score!B:B, 0)</f>
        <v>Low Risk</v>
      </c>
    </row>
    <row r="1646" spans="1:14">
      <c r="A1646" s="2">
        <v>0.48299768518518521</v>
      </c>
      <c r="B1646" s="3">
        <v>44841</v>
      </c>
      <c r="C1646" s="1">
        <v>7037591332</v>
      </c>
      <c r="D1646" s="1">
        <v>7199625988</v>
      </c>
      <c r="E1646" s="1">
        <v>5913.69</v>
      </c>
      <c r="F1646" s="1" t="s">
        <v>12</v>
      </c>
      <c r="G1646" s="1" t="s">
        <v>12</v>
      </c>
      <c r="H1646" s="1" t="s">
        <v>13</v>
      </c>
      <c r="I1646" s="1" t="s">
        <v>13</v>
      </c>
      <c r="J1646" s="1" t="s">
        <v>25</v>
      </c>
      <c r="K1646" s="1">
        <v>0</v>
      </c>
      <c r="L1646" s="1" t="s">
        <v>23</v>
      </c>
      <c r="M1646" s="1" t="str">
        <f t="shared" si="25"/>
        <v>Consistent</v>
      </c>
      <c r="N1646" s="1" t="str">
        <f>_xlfn.XLOOKUP(H1646, risk_score!A:A, risk_score!B:B, 0)</f>
        <v>Low Risk</v>
      </c>
    </row>
    <row r="1647" spans="1:14">
      <c r="A1647" s="2">
        <v>0.48299768518518521</v>
      </c>
      <c r="B1647" s="3">
        <v>44841</v>
      </c>
      <c r="C1647" s="1">
        <v>3696248769</v>
      </c>
      <c r="D1647" s="1">
        <v>8345023292</v>
      </c>
      <c r="E1647" s="1">
        <v>1159.6600000000001</v>
      </c>
      <c r="F1647" s="1" t="s">
        <v>12</v>
      </c>
      <c r="G1647" s="1" t="s">
        <v>12</v>
      </c>
      <c r="H1647" s="1" t="s">
        <v>13</v>
      </c>
      <c r="I1647" s="1" t="s">
        <v>13</v>
      </c>
      <c r="J1647" s="1" t="s">
        <v>22</v>
      </c>
      <c r="K1647" s="1">
        <v>0</v>
      </c>
      <c r="L1647" s="1" t="s">
        <v>21</v>
      </c>
      <c r="M1647" s="1" t="str">
        <f t="shared" si="25"/>
        <v>Consistent</v>
      </c>
      <c r="N1647" s="1" t="str">
        <f>_xlfn.XLOOKUP(H1647, risk_score!A:A, risk_score!B:B, 0)</f>
        <v>Low Risk</v>
      </c>
    </row>
    <row r="1648" spans="1:14">
      <c r="A1648" s="2">
        <v>0.48305555555555557</v>
      </c>
      <c r="B1648" s="3">
        <v>44841</v>
      </c>
      <c r="C1648" s="1">
        <v>3614082527</v>
      </c>
      <c r="D1648" s="1">
        <v>8915336540</v>
      </c>
      <c r="E1648" s="1">
        <v>6521.59</v>
      </c>
      <c r="F1648" s="1" t="s">
        <v>12</v>
      </c>
      <c r="G1648" s="1" t="s">
        <v>12</v>
      </c>
      <c r="H1648" s="1" t="s">
        <v>13</v>
      </c>
      <c r="I1648" s="1" t="s">
        <v>13</v>
      </c>
      <c r="J1648" s="1" t="s">
        <v>27</v>
      </c>
      <c r="K1648" s="1">
        <v>0</v>
      </c>
      <c r="L1648" s="1" t="s">
        <v>19</v>
      </c>
      <c r="M1648" s="1" t="str">
        <f t="shared" si="25"/>
        <v>Consistent</v>
      </c>
      <c r="N1648" s="1" t="str">
        <f>_xlfn.XLOOKUP(H1648, risk_score!A:A, risk_score!B:B, 0)</f>
        <v>Low Risk</v>
      </c>
    </row>
    <row r="1649" spans="1:14">
      <c r="A1649" s="2">
        <v>0.48305555555555557</v>
      </c>
      <c r="B1649" s="3">
        <v>44841</v>
      </c>
      <c r="C1649" s="1">
        <v>6971152180</v>
      </c>
      <c r="D1649" s="1">
        <v>7053767290</v>
      </c>
      <c r="E1649" s="1">
        <v>313.36</v>
      </c>
      <c r="F1649" s="1" t="s">
        <v>12</v>
      </c>
      <c r="G1649" s="1" t="s">
        <v>12</v>
      </c>
      <c r="H1649" s="1" t="s">
        <v>13</v>
      </c>
      <c r="I1649" s="1" t="s">
        <v>13</v>
      </c>
      <c r="J1649" s="1" t="s">
        <v>25</v>
      </c>
      <c r="K1649" s="1">
        <v>0</v>
      </c>
      <c r="L1649" s="1" t="s">
        <v>21</v>
      </c>
      <c r="M1649" s="1" t="str">
        <f t="shared" si="25"/>
        <v>Consistent</v>
      </c>
      <c r="N1649" s="1" t="str">
        <f>_xlfn.XLOOKUP(H1649, risk_score!A:A, risk_score!B:B, 0)</f>
        <v>Low Risk</v>
      </c>
    </row>
    <row r="1650" spans="1:14">
      <c r="A1650" s="2">
        <v>0.4830902777777778</v>
      </c>
      <c r="B1650" s="3">
        <v>44841</v>
      </c>
      <c r="C1650" s="1">
        <v>3510078932</v>
      </c>
      <c r="D1650" s="1">
        <v>9418077278</v>
      </c>
      <c r="E1650" s="1">
        <v>9856.06</v>
      </c>
      <c r="F1650" s="1" t="s">
        <v>12</v>
      </c>
      <c r="G1650" s="1" t="s">
        <v>12</v>
      </c>
      <c r="H1650" s="1" t="s">
        <v>13</v>
      </c>
      <c r="I1650" s="1" t="s">
        <v>13</v>
      </c>
      <c r="J1650" s="1" t="s">
        <v>27</v>
      </c>
      <c r="K1650" s="1">
        <v>0</v>
      </c>
      <c r="L1650" s="1" t="s">
        <v>19</v>
      </c>
      <c r="M1650" s="1" t="str">
        <f t="shared" si="25"/>
        <v>Consistent</v>
      </c>
      <c r="N1650" s="1" t="str">
        <f>_xlfn.XLOOKUP(H1650, risk_score!A:A, risk_score!B:B, 0)</f>
        <v>Low Risk</v>
      </c>
    </row>
    <row r="1651" spans="1:14">
      <c r="A1651" s="2">
        <v>0.48312500000000003</v>
      </c>
      <c r="B1651" s="3">
        <v>44841</v>
      </c>
      <c r="C1651" s="1">
        <v>3758118046</v>
      </c>
      <c r="D1651" s="1">
        <v>6081504025</v>
      </c>
      <c r="E1651" s="1">
        <v>5903.33</v>
      </c>
      <c r="F1651" s="1" t="s">
        <v>12</v>
      </c>
      <c r="G1651" s="1" t="s">
        <v>34</v>
      </c>
      <c r="H1651" s="1" t="s">
        <v>13</v>
      </c>
      <c r="I1651" s="1" t="s">
        <v>35</v>
      </c>
      <c r="J1651" s="1" t="s">
        <v>18</v>
      </c>
      <c r="K1651" s="4">
        <v>1</v>
      </c>
      <c r="L1651" s="1" t="s">
        <v>63</v>
      </c>
      <c r="M1651" s="1" t="str">
        <f t="shared" si="25"/>
        <v>Potential Layering</v>
      </c>
      <c r="N1651" s="1" t="str">
        <f>_xlfn.XLOOKUP(H1651, risk_score!A:A, risk_score!B:B, 0)</f>
        <v>Low Risk</v>
      </c>
    </row>
    <row r="1652" spans="1:14">
      <c r="A1652" s="2">
        <v>0.48313657407407407</v>
      </c>
      <c r="B1652" s="3">
        <v>44841</v>
      </c>
      <c r="C1652" s="1">
        <v>6282070189</v>
      </c>
      <c r="D1652" s="1">
        <v>8518184956</v>
      </c>
      <c r="E1652" s="1">
        <v>17969.41</v>
      </c>
      <c r="F1652" s="1" t="s">
        <v>12</v>
      </c>
      <c r="G1652" s="1" t="s">
        <v>12</v>
      </c>
      <c r="H1652" s="1" t="s">
        <v>13</v>
      </c>
      <c r="I1652" s="1" t="s">
        <v>13</v>
      </c>
      <c r="J1652" s="1" t="s">
        <v>20</v>
      </c>
      <c r="K1652" s="1">
        <v>0</v>
      </c>
      <c r="L1652" s="1" t="s">
        <v>23</v>
      </c>
      <c r="M1652" s="1" t="str">
        <f t="shared" si="25"/>
        <v>Consistent</v>
      </c>
      <c r="N1652" s="1" t="str">
        <f>_xlfn.XLOOKUP(H1652, risk_score!A:A, risk_score!B:B, 0)</f>
        <v>Low Risk</v>
      </c>
    </row>
    <row r="1653" spans="1:14">
      <c r="A1653" s="2">
        <v>0.48314814814814816</v>
      </c>
      <c r="B1653" s="3">
        <v>44841</v>
      </c>
      <c r="C1653" s="1">
        <v>6057444675</v>
      </c>
      <c r="D1653" s="1">
        <v>1845194308</v>
      </c>
      <c r="E1653" s="1">
        <v>18735.71</v>
      </c>
      <c r="F1653" s="1" t="s">
        <v>12</v>
      </c>
      <c r="G1653" s="1" t="s">
        <v>12</v>
      </c>
      <c r="H1653" s="1" t="s">
        <v>13</v>
      </c>
      <c r="I1653" s="1" t="s">
        <v>13</v>
      </c>
      <c r="J1653" s="1" t="s">
        <v>22</v>
      </c>
      <c r="K1653" s="1">
        <v>0</v>
      </c>
      <c r="L1653" s="1" t="s">
        <v>19</v>
      </c>
      <c r="M1653" s="1" t="str">
        <f t="shared" si="25"/>
        <v>Consistent</v>
      </c>
      <c r="N1653" s="1" t="str">
        <f>_xlfn.XLOOKUP(H1653, risk_score!A:A, risk_score!B:B, 0)</f>
        <v>Low Risk</v>
      </c>
    </row>
    <row r="1654" spans="1:14">
      <c r="A1654" s="2">
        <v>0.48317129629629629</v>
      </c>
      <c r="B1654" s="3">
        <v>44841</v>
      </c>
      <c r="C1654" s="1">
        <v>8823232130</v>
      </c>
      <c r="D1654" s="1">
        <v>1806287031</v>
      </c>
      <c r="E1654" s="1">
        <v>1848.11</v>
      </c>
      <c r="F1654" s="1" t="s">
        <v>12</v>
      </c>
      <c r="G1654" s="1" t="s">
        <v>12</v>
      </c>
      <c r="H1654" s="1" t="s">
        <v>13</v>
      </c>
      <c r="I1654" s="1" t="s">
        <v>13</v>
      </c>
      <c r="J1654" s="1" t="s">
        <v>20</v>
      </c>
      <c r="K1654" s="1">
        <v>0</v>
      </c>
      <c r="L1654" s="1" t="s">
        <v>24</v>
      </c>
      <c r="M1654" s="1" t="str">
        <f t="shared" si="25"/>
        <v>Consistent</v>
      </c>
      <c r="N1654" s="1" t="str">
        <f>_xlfn.XLOOKUP(H1654, risk_score!A:A, risk_score!B:B, 0)</f>
        <v>Low Risk</v>
      </c>
    </row>
    <row r="1655" spans="1:14">
      <c r="A1655" s="2">
        <v>0.48319444444444443</v>
      </c>
      <c r="B1655" s="3">
        <v>44841</v>
      </c>
      <c r="C1655" s="1">
        <v>3469159594</v>
      </c>
      <c r="D1655" s="1">
        <v>2156048489</v>
      </c>
      <c r="E1655" s="1">
        <v>2643.79</v>
      </c>
      <c r="F1655" s="1" t="s">
        <v>12</v>
      </c>
      <c r="G1655" s="1" t="s">
        <v>12</v>
      </c>
      <c r="H1655" s="1" t="s">
        <v>13</v>
      </c>
      <c r="I1655" s="1" t="s">
        <v>13</v>
      </c>
      <c r="J1655" s="1" t="s">
        <v>14</v>
      </c>
      <c r="K1655" s="1">
        <v>0</v>
      </c>
      <c r="L1655" s="1" t="s">
        <v>15</v>
      </c>
      <c r="M1655" s="1" t="str">
        <f t="shared" si="25"/>
        <v>Consistent</v>
      </c>
      <c r="N1655" s="1" t="str">
        <f>_xlfn.XLOOKUP(H1655, risk_score!A:A, risk_score!B:B, 0)</f>
        <v>Low Risk</v>
      </c>
    </row>
    <row r="1656" spans="1:14">
      <c r="A1656" s="2">
        <v>0.48321759259259262</v>
      </c>
      <c r="B1656" s="3">
        <v>44841</v>
      </c>
      <c r="C1656" s="1">
        <v>8753242686</v>
      </c>
      <c r="D1656" s="1">
        <v>7391029446</v>
      </c>
      <c r="E1656" s="1">
        <v>8348.41</v>
      </c>
      <c r="F1656" s="1" t="s">
        <v>12</v>
      </c>
      <c r="G1656" s="1" t="s">
        <v>12</v>
      </c>
      <c r="H1656" s="1" t="s">
        <v>13</v>
      </c>
      <c r="I1656" s="1" t="s">
        <v>13</v>
      </c>
      <c r="J1656" s="1" t="s">
        <v>20</v>
      </c>
      <c r="K1656" s="1">
        <v>0</v>
      </c>
      <c r="L1656" s="1" t="s">
        <v>21</v>
      </c>
      <c r="M1656" s="1" t="str">
        <f t="shared" si="25"/>
        <v>Consistent</v>
      </c>
      <c r="N1656" s="1" t="str">
        <f>_xlfn.XLOOKUP(H1656, risk_score!A:A, risk_score!B:B, 0)</f>
        <v>Low Risk</v>
      </c>
    </row>
    <row r="1657" spans="1:14">
      <c r="A1657" s="2">
        <v>0.48324074074074075</v>
      </c>
      <c r="B1657" s="3">
        <v>44841</v>
      </c>
      <c r="C1657" s="1">
        <v>7723120112</v>
      </c>
      <c r="D1657" s="1">
        <v>1431561040</v>
      </c>
      <c r="E1657" s="1">
        <v>8541.19</v>
      </c>
      <c r="F1657" s="1" t="s">
        <v>12</v>
      </c>
      <c r="G1657" s="1" t="s">
        <v>12</v>
      </c>
      <c r="H1657" s="1" t="s">
        <v>13</v>
      </c>
      <c r="I1657" s="1" t="s">
        <v>13</v>
      </c>
      <c r="J1657" s="1" t="s">
        <v>27</v>
      </c>
      <c r="K1657" s="1">
        <v>0</v>
      </c>
      <c r="L1657" s="1" t="s">
        <v>23</v>
      </c>
      <c r="M1657" s="1" t="str">
        <f t="shared" si="25"/>
        <v>Consistent</v>
      </c>
      <c r="N1657" s="1" t="str">
        <f>_xlfn.XLOOKUP(H1657, risk_score!A:A, risk_score!B:B, 0)</f>
        <v>Low Risk</v>
      </c>
    </row>
    <row r="1658" spans="1:14">
      <c r="A1658" s="2">
        <v>0.48324074074074075</v>
      </c>
      <c r="B1658" s="3">
        <v>44841</v>
      </c>
      <c r="C1658" s="1">
        <v>9103659322</v>
      </c>
      <c r="D1658" s="1">
        <v>5547718525</v>
      </c>
      <c r="E1658" s="1">
        <v>2206.4</v>
      </c>
      <c r="F1658" s="1" t="s">
        <v>12</v>
      </c>
      <c r="G1658" s="1" t="s">
        <v>12</v>
      </c>
      <c r="H1658" s="1" t="s">
        <v>13</v>
      </c>
      <c r="I1658" s="1" t="s">
        <v>13</v>
      </c>
      <c r="J1658" s="1" t="s">
        <v>22</v>
      </c>
      <c r="K1658" s="1">
        <v>0</v>
      </c>
      <c r="L1658" s="1" t="s">
        <v>38</v>
      </c>
      <c r="M1658" s="1" t="str">
        <f t="shared" si="25"/>
        <v>Consistent</v>
      </c>
      <c r="N1658" s="1" t="str">
        <f>_xlfn.XLOOKUP(H1658, risk_score!A:A, risk_score!B:B, 0)</f>
        <v>Low Risk</v>
      </c>
    </row>
    <row r="1659" spans="1:14">
      <c r="A1659" s="2">
        <v>0.48325231481481479</v>
      </c>
      <c r="B1659" s="3">
        <v>44841</v>
      </c>
      <c r="C1659" s="1">
        <v>5024173895</v>
      </c>
      <c r="D1659" s="1">
        <v>822870103</v>
      </c>
      <c r="E1659" s="1">
        <v>2284.7800000000002</v>
      </c>
      <c r="F1659" s="1" t="s">
        <v>12</v>
      </c>
      <c r="G1659" s="1" t="s">
        <v>12</v>
      </c>
      <c r="H1659" s="1" t="s">
        <v>13</v>
      </c>
      <c r="I1659" s="1" t="s">
        <v>13</v>
      </c>
      <c r="J1659" s="1" t="s">
        <v>14</v>
      </c>
      <c r="K1659" s="1">
        <v>0</v>
      </c>
      <c r="L1659" s="1" t="s">
        <v>15</v>
      </c>
      <c r="M1659" s="1" t="str">
        <f t="shared" si="25"/>
        <v>Consistent</v>
      </c>
      <c r="N1659" s="1" t="str">
        <f>_xlfn.XLOOKUP(H1659, risk_score!A:A, risk_score!B:B, 0)</f>
        <v>Low Risk</v>
      </c>
    </row>
    <row r="1660" spans="1:14">
      <c r="A1660" s="2">
        <v>0.48327546296296298</v>
      </c>
      <c r="B1660" s="3">
        <v>44841</v>
      </c>
      <c r="C1660" s="1">
        <v>7669236826</v>
      </c>
      <c r="D1660" s="1">
        <v>7207182461</v>
      </c>
      <c r="E1660" s="1">
        <v>10450.540000000001</v>
      </c>
      <c r="F1660" s="1" t="s">
        <v>12</v>
      </c>
      <c r="G1660" s="1" t="s">
        <v>12</v>
      </c>
      <c r="H1660" s="1" t="s">
        <v>13</v>
      </c>
      <c r="I1660" s="1" t="s">
        <v>13</v>
      </c>
      <c r="J1660" s="1" t="s">
        <v>22</v>
      </c>
      <c r="K1660" s="1">
        <v>0</v>
      </c>
      <c r="L1660" s="1" t="s">
        <v>19</v>
      </c>
      <c r="M1660" s="1" t="str">
        <f t="shared" si="25"/>
        <v>Consistent</v>
      </c>
      <c r="N1660" s="1" t="str">
        <f>_xlfn.XLOOKUP(H1660, risk_score!A:A, risk_score!B:B, 0)</f>
        <v>Low Risk</v>
      </c>
    </row>
    <row r="1661" spans="1:14">
      <c r="A1661" s="2">
        <v>0.48328703703703701</v>
      </c>
      <c r="B1661" s="3">
        <v>44841</v>
      </c>
      <c r="C1661" s="1">
        <v>2625399659</v>
      </c>
      <c r="D1661" s="1">
        <v>9476803334</v>
      </c>
      <c r="E1661" s="1">
        <v>5273.63</v>
      </c>
      <c r="F1661" s="1" t="s">
        <v>12</v>
      </c>
      <c r="G1661" s="1" t="s">
        <v>12</v>
      </c>
      <c r="H1661" s="1" t="s">
        <v>13</v>
      </c>
      <c r="I1661" s="1" t="s">
        <v>13</v>
      </c>
      <c r="J1661" s="1" t="s">
        <v>27</v>
      </c>
      <c r="K1661" s="1">
        <v>0</v>
      </c>
      <c r="L1661" s="1" t="s">
        <v>21</v>
      </c>
      <c r="M1661" s="1" t="str">
        <f t="shared" si="25"/>
        <v>Consistent</v>
      </c>
      <c r="N1661" s="1" t="str">
        <f>_xlfn.XLOOKUP(H1661, risk_score!A:A, risk_score!B:B, 0)</f>
        <v>Low Risk</v>
      </c>
    </row>
    <row r="1662" spans="1:14">
      <c r="A1662" s="2">
        <v>0.4833101851851852</v>
      </c>
      <c r="B1662" s="3">
        <v>44841</v>
      </c>
      <c r="C1662" s="1">
        <v>2797271466</v>
      </c>
      <c r="D1662" s="1">
        <v>8586189106</v>
      </c>
      <c r="E1662" s="1">
        <v>6611.19</v>
      </c>
      <c r="F1662" s="1" t="s">
        <v>12</v>
      </c>
      <c r="G1662" s="1" t="s">
        <v>12</v>
      </c>
      <c r="H1662" s="1" t="s">
        <v>13</v>
      </c>
      <c r="I1662" s="1" t="s">
        <v>13</v>
      </c>
      <c r="J1662" s="1" t="s">
        <v>22</v>
      </c>
      <c r="K1662" s="1">
        <v>0</v>
      </c>
      <c r="L1662" s="1" t="s">
        <v>19</v>
      </c>
      <c r="M1662" s="1" t="str">
        <f t="shared" si="25"/>
        <v>Consistent</v>
      </c>
      <c r="N1662" s="1" t="str">
        <f>_xlfn.XLOOKUP(H1662, risk_score!A:A, risk_score!B:B, 0)</f>
        <v>Low Risk</v>
      </c>
    </row>
    <row r="1663" spans="1:14">
      <c r="A1663" s="2">
        <v>0.4833912037037037</v>
      </c>
      <c r="B1663" s="3">
        <v>44841</v>
      </c>
      <c r="C1663" s="1">
        <v>1226327777</v>
      </c>
      <c r="D1663" s="1">
        <v>4917614154</v>
      </c>
      <c r="E1663" s="1">
        <v>1104.67</v>
      </c>
      <c r="F1663" s="1" t="s">
        <v>12</v>
      </c>
      <c r="G1663" s="1" t="s">
        <v>12</v>
      </c>
      <c r="H1663" s="1" t="s">
        <v>13</v>
      </c>
      <c r="I1663" s="1" t="s">
        <v>13</v>
      </c>
      <c r="J1663" s="1" t="s">
        <v>27</v>
      </c>
      <c r="K1663" s="1">
        <v>0</v>
      </c>
      <c r="L1663" s="1" t="s">
        <v>21</v>
      </c>
      <c r="M1663" s="1" t="str">
        <f t="shared" si="25"/>
        <v>Consistent</v>
      </c>
      <c r="N1663" s="1" t="str">
        <f>_xlfn.XLOOKUP(H1663, risk_score!A:A, risk_score!B:B, 0)</f>
        <v>Low Risk</v>
      </c>
    </row>
    <row r="1664" spans="1:14">
      <c r="A1664" s="2">
        <v>0.48340277777777779</v>
      </c>
      <c r="B1664" s="3">
        <v>44841</v>
      </c>
      <c r="C1664" s="1">
        <v>9334990172</v>
      </c>
      <c r="D1664" s="1">
        <v>6349911170</v>
      </c>
      <c r="E1664" s="1">
        <v>1125.3499999999999</v>
      </c>
      <c r="F1664" s="1" t="s">
        <v>12</v>
      </c>
      <c r="G1664" s="1" t="s">
        <v>12</v>
      </c>
      <c r="H1664" s="1" t="s">
        <v>13</v>
      </c>
      <c r="I1664" s="1" t="s">
        <v>13</v>
      </c>
      <c r="J1664" s="1" t="s">
        <v>20</v>
      </c>
      <c r="K1664" s="1">
        <v>0</v>
      </c>
      <c r="L1664" s="1" t="s">
        <v>21</v>
      </c>
      <c r="M1664" s="1" t="str">
        <f t="shared" si="25"/>
        <v>Consistent</v>
      </c>
      <c r="N1664" s="1" t="str">
        <f>_xlfn.XLOOKUP(H1664, risk_score!A:A, risk_score!B:B, 0)</f>
        <v>Low Risk</v>
      </c>
    </row>
    <row r="1665" spans="1:14">
      <c r="A1665" s="2">
        <v>0.48341435185185183</v>
      </c>
      <c r="B1665" s="3">
        <v>44841</v>
      </c>
      <c r="C1665" s="1">
        <v>9179140007</v>
      </c>
      <c r="D1665" s="1">
        <v>4128830742</v>
      </c>
      <c r="E1665" s="1">
        <v>273.68</v>
      </c>
      <c r="F1665" s="1" t="s">
        <v>12</v>
      </c>
      <c r="G1665" s="1" t="s">
        <v>12</v>
      </c>
      <c r="H1665" s="1" t="s">
        <v>13</v>
      </c>
      <c r="I1665" s="1" t="s">
        <v>13</v>
      </c>
      <c r="J1665" s="1" t="s">
        <v>36</v>
      </c>
      <c r="K1665" s="1">
        <v>0</v>
      </c>
      <c r="L1665" s="1" t="s">
        <v>37</v>
      </c>
      <c r="M1665" s="1" t="str">
        <f t="shared" si="25"/>
        <v>Consistent</v>
      </c>
      <c r="N1665" s="1" t="str">
        <f>_xlfn.XLOOKUP(H1665, risk_score!A:A, risk_score!B:B, 0)</f>
        <v>Low Risk</v>
      </c>
    </row>
    <row r="1666" spans="1:14">
      <c r="A1666" s="2">
        <v>0.48343750000000002</v>
      </c>
      <c r="B1666" s="3">
        <v>44841</v>
      </c>
      <c r="C1666" s="1">
        <v>3711717506</v>
      </c>
      <c r="D1666" s="1">
        <v>9595998934</v>
      </c>
      <c r="E1666" s="1">
        <v>6903.44</v>
      </c>
      <c r="F1666" s="1" t="s">
        <v>12</v>
      </c>
      <c r="G1666" s="1" t="s">
        <v>12</v>
      </c>
      <c r="H1666" s="1" t="s">
        <v>13</v>
      </c>
      <c r="I1666" s="1" t="s">
        <v>13</v>
      </c>
      <c r="J1666" s="1" t="s">
        <v>22</v>
      </c>
      <c r="K1666" s="1">
        <v>0</v>
      </c>
      <c r="L1666" s="1" t="s">
        <v>21</v>
      </c>
      <c r="M1666" s="1" t="str">
        <f t="shared" si="25"/>
        <v>Consistent</v>
      </c>
      <c r="N1666" s="1" t="str">
        <f>_xlfn.XLOOKUP(H1666, risk_score!A:A, risk_score!B:B, 0)</f>
        <v>Low Risk</v>
      </c>
    </row>
    <row r="1667" spans="1:14">
      <c r="A1667" s="2">
        <v>0.48344907407407406</v>
      </c>
      <c r="B1667" s="3">
        <v>44841</v>
      </c>
      <c r="C1667" s="1">
        <v>7798797588</v>
      </c>
      <c r="D1667" s="1">
        <v>5063830510</v>
      </c>
      <c r="E1667" s="1">
        <v>1739.25</v>
      </c>
      <c r="F1667" s="1" t="s">
        <v>12</v>
      </c>
      <c r="G1667" s="1" t="s">
        <v>12</v>
      </c>
      <c r="H1667" s="1" t="s">
        <v>13</v>
      </c>
      <c r="I1667" s="1" t="s">
        <v>13</v>
      </c>
      <c r="J1667" s="1" t="s">
        <v>25</v>
      </c>
      <c r="K1667" s="1">
        <v>0</v>
      </c>
      <c r="L1667" s="1" t="s">
        <v>21</v>
      </c>
      <c r="M1667" s="1" t="str">
        <f t="shared" ref="M1667:M1730" si="26">IF(F1667=G1667, "Consistent", "Potential Layering")</f>
        <v>Consistent</v>
      </c>
      <c r="N1667" s="1" t="str">
        <f>_xlfn.XLOOKUP(H1667, risk_score!A:A, risk_score!B:B, 0)</f>
        <v>Low Risk</v>
      </c>
    </row>
    <row r="1668" spans="1:14">
      <c r="A1668" s="2">
        <v>0.48344907407407406</v>
      </c>
      <c r="B1668" s="3">
        <v>44841</v>
      </c>
      <c r="C1668" s="1">
        <v>4332882742</v>
      </c>
      <c r="D1668" s="1">
        <v>5858369125</v>
      </c>
      <c r="E1668" s="1">
        <v>13214.6</v>
      </c>
      <c r="F1668" s="1" t="s">
        <v>12</v>
      </c>
      <c r="G1668" s="1" t="s">
        <v>12</v>
      </c>
      <c r="H1668" s="1" t="s">
        <v>13</v>
      </c>
      <c r="I1668" s="1" t="s">
        <v>13</v>
      </c>
      <c r="J1668" s="1" t="s">
        <v>20</v>
      </c>
      <c r="K1668" s="1">
        <v>0</v>
      </c>
      <c r="L1668" s="1" t="s">
        <v>23</v>
      </c>
      <c r="M1668" s="1" t="str">
        <f t="shared" si="26"/>
        <v>Consistent</v>
      </c>
      <c r="N1668" s="1" t="str">
        <f>_xlfn.XLOOKUP(H1668, risk_score!A:A, risk_score!B:B, 0)</f>
        <v>Low Risk</v>
      </c>
    </row>
    <row r="1669" spans="1:14">
      <c r="A1669" s="2">
        <v>0.48348379629629629</v>
      </c>
      <c r="B1669" s="3">
        <v>44841</v>
      </c>
      <c r="C1669" s="1">
        <v>9474817546</v>
      </c>
      <c r="D1669" s="1">
        <v>1493436023</v>
      </c>
      <c r="E1669" s="1">
        <v>33124.870000000003</v>
      </c>
      <c r="F1669" s="1" t="s">
        <v>12</v>
      </c>
      <c r="G1669" s="1" t="s">
        <v>12</v>
      </c>
      <c r="H1669" s="1" t="s">
        <v>13</v>
      </c>
      <c r="I1669" s="1" t="s">
        <v>13</v>
      </c>
      <c r="J1669" s="1" t="s">
        <v>27</v>
      </c>
      <c r="K1669" s="1">
        <v>0</v>
      </c>
      <c r="L1669" s="1" t="s">
        <v>23</v>
      </c>
      <c r="M1669" s="1" t="str">
        <f t="shared" si="26"/>
        <v>Consistent</v>
      </c>
      <c r="N1669" s="1" t="str">
        <f>_xlfn.XLOOKUP(H1669, risk_score!A:A, risk_score!B:B, 0)</f>
        <v>Low Risk</v>
      </c>
    </row>
    <row r="1670" spans="1:14">
      <c r="A1670" s="2">
        <v>0.48354166666666665</v>
      </c>
      <c r="B1670" s="3">
        <v>44841</v>
      </c>
      <c r="C1670" s="1">
        <v>4685818979</v>
      </c>
      <c r="D1670" s="1">
        <v>3508746949</v>
      </c>
      <c r="E1670" s="1">
        <v>10692.01</v>
      </c>
      <c r="F1670" s="1" t="s">
        <v>12</v>
      </c>
      <c r="G1670" s="1" t="s">
        <v>12</v>
      </c>
      <c r="H1670" s="1" t="s">
        <v>13</v>
      </c>
      <c r="I1670" s="1" t="s">
        <v>13</v>
      </c>
      <c r="J1670" s="1" t="s">
        <v>20</v>
      </c>
      <c r="K1670" s="1">
        <v>0</v>
      </c>
      <c r="L1670" s="1" t="s">
        <v>21</v>
      </c>
      <c r="M1670" s="1" t="str">
        <f t="shared" si="26"/>
        <v>Consistent</v>
      </c>
      <c r="N1670" s="1" t="str">
        <f>_xlfn.XLOOKUP(H1670, risk_score!A:A, risk_score!B:B, 0)</f>
        <v>Low Risk</v>
      </c>
    </row>
    <row r="1671" spans="1:14">
      <c r="A1671" s="2">
        <v>0.48354166666666665</v>
      </c>
      <c r="B1671" s="3">
        <v>44841</v>
      </c>
      <c r="C1671" s="1">
        <v>5748357482</v>
      </c>
      <c r="D1671" s="1">
        <v>2075294138</v>
      </c>
      <c r="E1671" s="1">
        <v>5295.12</v>
      </c>
      <c r="F1671" s="1" t="s">
        <v>12</v>
      </c>
      <c r="G1671" s="1" t="s">
        <v>12</v>
      </c>
      <c r="H1671" s="1" t="s">
        <v>13</v>
      </c>
      <c r="I1671" s="1" t="s">
        <v>13</v>
      </c>
      <c r="J1671" s="1" t="s">
        <v>27</v>
      </c>
      <c r="K1671" s="1">
        <v>0</v>
      </c>
      <c r="L1671" s="1" t="s">
        <v>21</v>
      </c>
      <c r="M1671" s="1" t="str">
        <f t="shared" si="26"/>
        <v>Consistent</v>
      </c>
      <c r="N1671" s="1" t="str">
        <f>_xlfn.XLOOKUP(H1671, risk_score!A:A, risk_score!B:B, 0)</f>
        <v>Low Risk</v>
      </c>
    </row>
    <row r="1672" spans="1:14">
      <c r="A1672" s="2">
        <v>0.48356481481481484</v>
      </c>
      <c r="B1672" s="3">
        <v>44841</v>
      </c>
      <c r="C1672" s="1">
        <v>8615470871</v>
      </c>
      <c r="D1672" s="1">
        <v>5896180453</v>
      </c>
      <c r="E1672" s="1">
        <v>6897.79</v>
      </c>
      <c r="F1672" s="1" t="s">
        <v>12</v>
      </c>
      <c r="G1672" s="1" t="s">
        <v>12</v>
      </c>
      <c r="H1672" s="1" t="s">
        <v>13</v>
      </c>
      <c r="I1672" s="1" t="s">
        <v>13</v>
      </c>
      <c r="J1672" s="1" t="s">
        <v>20</v>
      </c>
      <c r="K1672" s="1">
        <v>0</v>
      </c>
      <c r="L1672" s="1" t="s">
        <v>23</v>
      </c>
      <c r="M1672" s="1" t="str">
        <f t="shared" si="26"/>
        <v>Consistent</v>
      </c>
      <c r="N1672" s="1" t="str">
        <f>_xlfn.XLOOKUP(H1672, risk_score!A:A, risk_score!B:B, 0)</f>
        <v>Low Risk</v>
      </c>
    </row>
    <row r="1673" spans="1:14">
      <c r="A1673" s="2">
        <v>0.48356481481481484</v>
      </c>
      <c r="B1673" s="3">
        <v>44841</v>
      </c>
      <c r="C1673" s="1">
        <v>3941982399</v>
      </c>
      <c r="D1673" s="1">
        <v>7542072066</v>
      </c>
      <c r="E1673" s="1">
        <v>2210.5500000000002</v>
      </c>
      <c r="F1673" s="1" t="s">
        <v>12</v>
      </c>
      <c r="G1673" s="1" t="s">
        <v>26</v>
      </c>
      <c r="H1673" s="1" t="s">
        <v>13</v>
      </c>
      <c r="I1673" s="1" t="s">
        <v>56</v>
      </c>
      <c r="J1673" s="1" t="s">
        <v>18</v>
      </c>
      <c r="K1673" s="1">
        <v>0</v>
      </c>
      <c r="L1673" s="1" t="s">
        <v>21</v>
      </c>
      <c r="M1673" s="1" t="str">
        <f t="shared" si="26"/>
        <v>Potential Layering</v>
      </c>
      <c r="N1673" s="1" t="str">
        <f>_xlfn.XLOOKUP(H1673, risk_score!A:A, risk_score!B:B, 0)</f>
        <v>Low Risk</v>
      </c>
    </row>
    <row r="1674" spans="1:14">
      <c r="A1674" s="2">
        <v>0.48356481481481484</v>
      </c>
      <c r="B1674" s="3">
        <v>44841</v>
      </c>
      <c r="C1674" s="1">
        <v>2457436704</v>
      </c>
      <c r="D1674" s="1">
        <v>2309469364</v>
      </c>
      <c r="E1674" s="1">
        <v>1968.27</v>
      </c>
      <c r="F1674" s="1" t="s">
        <v>12</v>
      </c>
      <c r="G1674" s="1" t="s">
        <v>12</v>
      </c>
      <c r="H1674" s="1" t="s">
        <v>13</v>
      </c>
      <c r="I1674" s="1" t="s">
        <v>13</v>
      </c>
      <c r="J1674" s="1" t="s">
        <v>14</v>
      </c>
      <c r="K1674" s="1">
        <v>0</v>
      </c>
      <c r="L1674" s="1" t="s">
        <v>15</v>
      </c>
      <c r="M1674" s="1" t="str">
        <f t="shared" si="26"/>
        <v>Consistent</v>
      </c>
      <c r="N1674" s="1" t="str">
        <f>_xlfn.XLOOKUP(H1674, risk_score!A:A, risk_score!B:B, 0)</f>
        <v>Low Risk</v>
      </c>
    </row>
    <row r="1675" spans="1:14">
      <c r="A1675" s="2">
        <v>0.48356481481481484</v>
      </c>
      <c r="B1675" s="3">
        <v>44841</v>
      </c>
      <c r="C1675" s="1">
        <v>569955345</v>
      </c>
      <c r="D1675" s="1">
        <v>3695545812</v>
      </c>
      <c r="E1675" s="1">
        <v>6021.01</v>
      </c>
      <c r="F1675" s="1" t="s">
        <v>12</v>
      </c>
      <c r="G1675" s="1" t="s">
        <v>12</v>
      </c>
      <c r="H1675" s="1" t="s">
        <v>13</v>
      </c>
      <c r="I1675" s="1" t="s">
        <v>13</v>
      </c>
      <c r="J1675" s="1" t="s">
        <v>20</v>
      </c>
      <c r="K1675" s="1">
        <v>0</v>
      </c>
      <c r="L1675" s="1" t="s">
        <v>23</v>
      </c>
      <c r="M1675" s="1" t="str">
        <f t="shared" si="26"/>
        <v>Consistent</v>
      </c>
      <c r="N1675" s="1" t="str">
        <f>_xlfn.XLOOKUP(H1675, risk_score!A:A, risk_score!B:B, 0)</f>
        <v>Low Risk</v>
      </c>
    </row>
    <row r="1676" spans="1:14">
      <c r="A1676" s="2">
        <v>0.48358796296296297</v>
      </c>
      <c r="B1676" s="3">
        <v>44841</v>
      </c>
      <c r="C1676" s="1">
        <v>7472872279</v>
      </c>
      <c r="D1676" s="1">
        <v>7713295507</v>
      </c>
      <c r="E1676" s="1">
        <v>5927.76</v>
      </c>
      <c r="F1676" s="1" t="s">
        <v>12</v>
      </c>
      <c r="G1676" s="1" t="s">
        <v>12</v>
      </c>
      <c r="H1676" s="1" t="s">
        <v>13</v>
      </c>
      <c r="I1676" s="1" t="s">
        <v>13</v>
      </c>
      <c r="J1676" s="1" t="s">
        <v>25</v>
      </c>
      <c r="K1676" s="1">
        <v>0</v>
      </c>
      <c r="L1676" s="1" t="s">
        <v>21</v>
      </c>
      <c r="M1676" s="1" t="str">
        <f t="shared" si="26"/>
        <v>Consistent</v>
      </c>
      <c r="N1676" s="1" t="str">
        <f>_xlfn.XLOOKUP(H1676, risk_score!A:A, risk_score!B:B, 0)</f>
        <v>Low Risk</v>
      </c>
    </row>
    <row r="1677" spans="1:14">
      <c r="A1677" s="2">
        <v>0.48358796296296297</v>
      </c>
      <c r="B1677" s="3">
        <v>44841</v>
      </c>
      <c r="C1677" s="1">
        <v>7179627796</v>
      </c>
      <c r="D1677" s="1">
        <v>3933129163</v>
      </c>
      <c r="E1677" s="1">
        <v>3855.62</v>
      </c>
      <c r="F1677" s="1" t="s">
        <v>12</v>
      </c>
      <c r="G1677" s="1" t="s">
        <v>12</v>
      </c>
      <c r="H1677" s="1" t="s">
        <v>13</v>
      </c>
      <c r="I1677" s="1" t="s">
        <v>13</v>
      </c>
      <c r="J1677" s="1" t="s">
        <v>22</v>
      </c>
      <c r="K1677" s="1">
        <v>0</v>
      </c>
      <c r="L1677" s="1" t="s">
        <v>24</v>
      </c>
      <c r="M1677" s="1" t="str">
        <f t="shared" si="26"/>
        <v>Consistent</v>
      </c>
      <c r="N1677" s="1" t="str">
        <f>_xlfn.XLOOKUP(H1677, risk_score!A:A, risk_score!B:B, 0)</f>
        <v>Low Risk</v>
      </c>
    </row>
    <row r="1678" spans="1:14">
      <c r="A1678" s="2">
        <v>0.48359953703703706</v>
      </c>
      <c r="B1678" s="3">
        <v>44841</v>
      </c>
      <c r="C1678" s="1">
        <v>6747554875</v>
      </c>
      <c r="D1678" s="1">
        <v>6078736948</v>
      </c>
      <c r="E1678" s="1">
        <v>11439.6</v>
      </c>
      <c r="F1678" s="1" t="s">
        <v>12</v>
      </c>
      <c r="G1678" s="1" t="s">
        <v>12</v>
      </c>
      <c r="H1678" s="1" t="s">
        <v>13</v>
      </c>
      <c r="I1678" s="1" t="s">
        <v>13</v>
      </c>
      <c r="J1678" s="1" t="s">
        <v>22</v>
      </c>
      <c r="K1678" s="1">
        <v>0</v>
      </c>
      <c r="L1678" s="1" t="s">
        <v>21</v>
      </c>
      <c r="M1678" s="1" t="str">
        <f t="shared" si="26"/>
        <v>Consistent</v>
      </c>
      <c r="N1678" s="1" t="str">
        <f>_xlfn.XLOOKUP(H1678, risk_score!A:A, risk_score!B:B, 0)</f>
        <v>Low Risk</v>
      </c>
    </row>
    <row r="1679" spans="1:14">
      <c r="A1679" s="2">
        <v>0.48364583333333333</v>
      </c>
      <c r="B1679" s="3">
        <v>44841</v>
      </c>
      <c r="C1679" s="1">
        <v>1376796548</v>
      </c>
      <c r="D1679" s="1">
        <v>6444220418</v>
      </c>
      <c r="E1679" s="1">
        <v>8161.45</v>
      </c>
      <c r="F1679" s="1" t="s">
        <v>12</v>
      </c>
      <c r="G1679" s="1" t="s">
        <v>12</v>
      </c>
      <c r="H1679" s="1" t="s">
        <v>13</v>
      </c>
      <c r="I1679" s="1" t="s">
        <v>13</v>
      </c>
      <c r="J1679" s="1" t="s">
        <v>25</v>
      </c>
      <c r="K1679" s="1">
        <v>0</v>
      </c>
      <c r="L1679" s="1" t="s">
        <v>23</v>
      </c>
      <c r="M1679" s="1" t="str">
        <f t="shared" si="26"/>
        <v>Consistent</v>
      </c>
      <c r="N1679" s="1" t="str">
        <f>_xlfn.XLOOKUP(H1679, risk_score!A:A, risk_score!B:B, 0)</f>
        <v>Low Risk</v>
      </c>
    </row>
    <row r="1680" spans="1:14">
      <c r="A1680" s="2">
        <v>0.48365740740740742</v>
      </c>
      <c r="B1680" s="3">
        <v>44841</v>
      </c>
      <c r="C1680" s="1">
        <v>2147527699</v>
      </c>
      <c r="D1680" s="1">
        <v>409707192</v>
      </c>
      <c r="E1680" s="1">
        <v>10446.93</v>
      </c>
      <c r="F1680" s="1" t="s">
        <v>12</v>
      </c>
      <c r="G1680" s="1" t="s">
        <v>12</v>
      </c>
      <c r="H1680" s="1" t="s">
        <v>13</v>
      </c>
      <c r="I1680" s="1" t="s">
        <v>13</v>
      </c>
      <c r="J1680" s="1" t="s">
        <v>22</v>
      </c>
      <c r="K1680" s="1">
        <v>0</v>
      </c>
      <c r="L1680" s="1" t="s">
        <v>23</v>
      </c>
      <c r="M1680" s="1" t="str">
        <f t="shared" si="26"/>
        <v>Consistent</v>
      </c>
      <c r="N1680" s="1" t="str">
        <f>_xlfn.XLOOKUP(H1680, risk_score!A:A, risk_score!B:B, 0)</f>
        <v>Low Risk</v>
      </c>
    </row>
    <row r="1681" spans="1:14">
      <c r="A1681" s="2">
        <v>0.48366898148148146</v>
      </c>
      <c r="B1681" s="3">
        <v>44841</v>
      </c>
      <c r="C1681" s="1">
        <v>9901680164</v>
      </c>
      <c r="D1681" s="1">
        <v>1465487567</v>
      </c>
      <c r="E1681" s="1">
        <v>9682.26</v>
      </c>
      <c r="F1681" s="1" t="s">
        <v>12</v>
      </c>
      <c r="G1681" s="1" t="s">
        <v>12</v>
      </c>
      <c r="H1681" s="1" t="s">
        <v>13</v>
      </c>
      <c r="I1681" s="1" t="s">
        <v>13</v>
      </c>
      <c r="J1681" s="1" t="s">
        <v>27</v>
      </c>
      <c r="K1681" s="1">
        <v>0</v>
      </c>
      <c r="L1681" s="1" t="s">
        <v>23</v>
      </c>
      <c r="M1681" s="1" t="str">
        <f t="shared" si="26"/>
        <v>Consistent</v>
      </c>
      <c r="N1681" s="1" t="str">
        <f>_xlfn.XLOOKUP(H1681, risk_score!A:A, risk_score!B:B, 0)</f>
        <v>Low Risk</v>
      </c>
    </row>
    <row r="1682" spans="1:14">
      <c r="A1682" s="2">
        <v>0.48370370370370369</v>
      </c>
      <c r="B1682" s="3">
        <v>44841</v>
      </c>
      <c r="C1682" s="1">
        <v>9879668061</v>
      </c>
      <c r="D1682" s="1">
        <v>5818896769</v>
      </c>
      <c r="E1682" s="1">
        <v>5880.51</v>
      </c>
      <c r="F1682" s="1" t="s">
        <v>12</v>
      </c>
      <c r="G1682" s="1" t="s">
        <v>12</v>
      </c>
      <c r="H1682" s="1" t="s">
        <v>13</v>
      </c>
      <c r="I1682" s="1" t="s">
        <v>13</v>
      </c>
      <c r="J1682" s="1" t="s">
        <v>14</v>
      </c>
      <c r="K1682" s="1">
        <v>0</v>
      </c>
      <c r="L1682" s="1" t="s">
        <v>15</v>
      </c>
      <c r="M1682" s="1" t="str">
        <f t="shared" si="26"/>
        <v>Consistent</v>
      </c>
      <c r="N1682" s="1" t="str">
        <f>_xlfn.XLOOKUP(H1682, risk_score!A:A, risk_score!B:B, 0)</f>
        <v>Low Risk</v>
      </c>
    </row>
    <row r="1683" spans="1:14">
      <c r="A1683" s="2">
        <v>0.48372685185185182</v>
      </c>
      <c r="B1683" s="3">
        <v>44841</v>
      </c>
      <c r="C1683" s="1">
        <v>7421451752</v>
      </c>
      <c r="D1683" s="1">
        <v>887047763</v>
      </c>
      <c r="E1683" s="1">
        <v>11483.06</v>
      </c>
      <c r="F1683" s="1" t="s">
        <v>12</v>
      </c>
      <c r="G1683" s="1" t="s">
        <v>12</v>
      </c>
      <c r="H1683" s="1" t="s">
        <v>13</v>
      </c>
      <c r="I1683" s="1" t="s">
        <v>13</v>
      </c>
      <c r="J1683" s="1" t="s">
        <v>25</v>
      </c>
      <c r="K1683" s="1">
        <v>0</v>
      </c>
      <c r="L1683" s="1" t="s">
        <v>19</v>
      </c>
      <c r="M1683" s="1" t="str">
        <f t="shared" si="26"/>
        <v>Consistent</v>
      </c>
      <c r="N1683" s="1" t="str">
        <f>_xlfn.XLOOKUP(H1683, risk_score!A:A, risk_score!B:B, 0)</f>
        <v>Low Risk</v>
      </c>
    </row>
    <row r="1684" spans="1:14">
      <c r="A1684" s="2">
        <v>0.48376157407407405</v>
      </c>
      <c r="B1684" s="3">
        <v>44841</v>
      </c>
      <c r="C1684" s="1">
        <v>8456279067</v>
      </c>
      <c r="D1684" s="1">
        <v>1831928079</v>
      </c>
      <c r="E1684" s="1">
        <v>6927.19</v>
      </c>
      <c r="F1684" s="1" t="s">
        <v>12</v>
      </c>
      <c r="G1684" s="1" t="s">
        <v>12</v>
      </c>
      <c r="H1684" s="1" t="s">
        <v>13</v>
      </c>
      <c r="I1684" s="1" t="s">
        <v>13</v>
      </c>
      <c r="J1684" s="1" t="s">
        <v>22</v>
      </c>
      <c r="K1684" s="1">
        <v>0</v>
      </c>
      <c r="L1684" s="1" t="s">
        <v>19</v>
      </c>
      <c r="M1684" s="1" t="str">
        <f t="shared" si="26"/>
        <v>Consistent</v>
      </c>
      <c r="N1684" s="1" t="str">
        <f>_xlfn.XLOOKUP(H1684, risk_score!A:A, risk_score!B:B, 0)</f>
        <v>Low Risk</v>
      </c>
    </row>
    <row r="1685" spans="1:14">
      <c r="A1685" s="2">
        <v>0.48378472222222224</v>
      </c>
      <c r="B1685" s="3">
        <v>44841</v>
      </c>
      <c r="C1685" s="1">
        <v>525950594</v>
      </c>
      <c r="D1685" s="1">
        <v>409707192</v>
      </c>
      <c r="E1685" s="1">
        <v>6046.53</v>
      </c>
      <c r="F1685" s="1" t="s">
        <v>12</v>
      </c>
      <c r="G1685" s="1" t="s">
        <v>12</v>
      </c>
      <c r="H1685" s="1" t="s">
        <v>13</v>
      </c>
      <c r="I1685" s="1" t="s">
        <v>13</v>
      </c>
      <c r="J1685" s="1" t="s">
        <v>22</v>
      </c>
      <c r="K1685" s="1">
        <v>0</v>
      </c>
      <c r="L1685" s="1" t="s">
        <v>23</v>
      </c>
      <c r="M1685" s="1" t="str">
        <f t="shared" si="26"/>
        <v>Consistent</v>
      </c>
      <c r="N1685" s="1" t="str">
        <f>_xlfn.XLOOKUP(H1685, risk_score!A:A, risk_score!B:B, 0)</f>
        <v>Low Risk</v>
      </c>
    </row>
    <row r="1686" spans="1:14">
      <c r="A1686" s="2">
        <v>0.48379629629629628</v>
      </c>
      <c r="B1686" s="3">
        <v>44841</v>
      </c>
      <c r="C1686" s="1">
        <v>8952177221</v>
      </c>
      <c r="D1686" s="1">
        <v>5585080337</v>
      </c>
      <c r="E1686" s="1">
        <v>10583.53</v>
      </c>
      <c r="F1686" s="1" t="s">
        <v>12</v>
      </c>
      <c r="G1686" s="1" t="s">
        <v>12</v>
      </c>
      <c r="H1686" s="1" t="s">
        <v>13</v>
      </c>
      <c r="I1686" s="1" t="s">
        <v>13</v>
      </c>
      <c r="J1686" s="1" t="s">
        <v>20</v>
      </c>
      <c r="K1686" s="1">
        <v>0</v>
      </c>
      <c r="L1686" s="1" t="s">
        <v>19</v>
      </c>
      <c r="M1686" s="1" t="str">
        <f t="shared" si="26"/>
        <v>Consistent</v>
      </c>
      <c r="N1686" s="1" t="str">
        <f>_xlfn.XLOOKUP(H1686, risk_score!A:A, risk_score!B:B, 0)</f>
        <v>Low Risk</v>
      </c>
    </row>
    <row r="1687" spans="1:14">
      <c r="A1687" s="2">
        <v>0.48380787037037037</v>
      </c>
      <c r="B1687" s="3">
        <v>44841</v>
      </c>
      <c r="C1687" s="1">
        <v>9534729015</v>
      </c>
      <c r="D1687" s="1">
        <v>7689295746</v>
      </c>
      <c r="E1687" s="1">
        <v>5344.31</v>
      </c>
      <c r="F1687" s="1" t="s">
        <v>12</v>
      </c>
      <c r="G1687" s="1" t="s">
        <v>12</v>
      </c>
      <c r="H1687" s="1" t="s">
        <v>13</v>
      </c>
      <c r="I1687" s="1" t="s">
        <v>13</v>
      </c>
      <c r="J1687" s="1" t="s">
        <v>22</v>
      </c>
      <c r="K1687" s="1">
        <v>0</v>
      </c>
      <c r="L1687" s="1" t="s">
        <v>19</v>
      </c>
      <c r="M1687" s="1" t="str">
        <f t="shared" si="26"/>
        <v>Consistent</v>
      </c>
      <c r="N1687" s="1" t="str">
        <f>_xlfn.XLOOKUP(H1687, risk_score!A:A, risk_score!B:B, 0)</f>
        <v>Low Risk</v>
      </c>
    </row>
    <row r="1688" spans="1:14">
      <c r="A1688" s="2">
        <v>0.48380787037037037</v>
      </c>
      <c r="B1688" s="3">
        <v>44841</v>
      </c>
      <c r="C1688" s="1">
        <v>9168588789</v>
      </c>
      <c r="D1688" s="1">
        <v>4889197724</v>
      </c>
      <c r="E1688" s="1">
        <v>8189.38</v>
      </c>
      <c r="F1688" s="1" t="s">
        <v>12</v>
      </c>
      <c r="G1688" s="1" t="s">
        <v>12</v>
      </c>
      <c r="H1688" s="1" t="s">
        <v>13</v>
      </c>
      <c r="I1688" s="1" t="s">
        <v>13</v>
      </c>
      <c r="J1688" s="1" t="s">
        <v>25</v>
      </c>
      <c r="K1688" s="1">
        <v>0</v>
      </c>
      <c r="L1688" s="1" t="s">
        <v>38</v>
      </c>
      <c r="M1688" s="1" t="str">
        <f t="shared" si="26"/>
        <v>Consistent</v>
      </c>
      <c r="N1688" s="1" t="str">
        <f>_xlfn.XLOOKUP(H1688, risk_score!A:A, risk_score!B:B, 0)</f>
        <v>Low Risk</v>
      </c>
    </row>
    <row r="1689" spans="1:14">
      <c r="A1689" s="2">
        <v>0.48381944444444447</v>
      </c>
      <c r="B1689" s="3">
        <v>44841</v>
      </c>
      <c r="C1689" s="1">
        <v>7421451752</v>
      </c>
      <c r="D1689" s="1">
        <v>4086663568</v>
      </c>
      <c r="E1689" s="1">
        <v>8498.99</v>
      </c>
      <c r="F1689" s="1" t="s">
        <v>12</v>
      </c>
      <c r="G1689" s="1" t="s">
        <v>12</v>
      </c>
      <c r="H1689" s="1" t="s">
        <v>13</v>
      </c>
      <c r="I1689" s="1" t="s">
        <v>13</v>
      </c>
      <c r="J1689" s="1" t="s">
        <v>22</v>
      </c>
      <c r="K1689" s="1">
        <v>0</v>
      </c>
      <c r="L1689" s="1" t="s">
        <v>19</v>
      </c>
      <c r="M1689" s="1" t="str">
        <f t="shared" si="26"/>
        <v>Consistent</v>
      </c>
      <c r="N1689" s="1" t="str">
        <f>_xlfn.XLOOKUP(H1689, risk_score!A:A, risk_score!B:B, 0)</f>
        <v>Low Risk</v>
      </c>
    </row>
    <row r="1690" spans="1:14">
      <c r="A1690" s="2">
        <v>0.4838425925925926</v>
      </c>
      <c r="B1690" s="3">
        <v>44841</v>
      </c>
      <c r="C1690" s="1">
        <v>7155736136</v>
      </c>
      <c r="D1690" s="1">
        <v>1316458123</v>
      </c>
      <c r="E1690" s="1">
        <v>5691.63</v>
      </c>
      <c r="F1690" s="1" t="s">
        <v>12</v>
      </c>
      <c r="G1690" s="1" t="s">
        <v>34</v>
      </c>
      <c r="H1690" s="1" t="s">
        <v>13</v>
      </c>
      <c r="I1690" s="1" t="s">
        <v>35</v>
      </c>
      <c r="J1690" s="1" t="s">
        <v>18</v>
      </c>
      <c r="K1690" s="1">
        <v>0</v>
      </c>
      <c r="L1690" s="1" t="s">
        <v>23</v>
      </c>
      <c r="M1690" s="1" t="str">
        <f t="shared" si="26"/>
        <v>Potential Layering</v>
      </c>
      <c r="N1690" s="1" t="str">
        <f>_xlfn.XLOOKUP(H1690, risk_score!A:A, risk_score!B:B, 0)</f>
        <v>Low Risk</v>
      </c>
    </row>
    <row r="1691" spans="1:14">
      <c r="A1691" s="2">
        <v>0.4839236111111111</v>
      </c>
      <c r="B1691" s="3">
        <v>44841</v>
      </c>
      <c r="C1691" s="1">
        <v>9658628699</v>
      </c>
      <c r="D1691" s="1">
        <v>3695545812</v>
      </c>
      <c r="E1691" s="1">
        <v>12042</v>
      </c>
      <c r="F1691" s="1" t="s">
        <v>12</v>
      </c>
      <c r="G1691" s="1" t="s">
        <v>12</v>
      </c>
      <c r="H1691" s="1" t="s">
        <v>13</v>
      </c>
      <c r="I1691" s="1" t="s">
        <v>13</v>
      </c>
      <c r="J1691" s="1" t="s">
        <v>22</v>
      </c>
      <c r="K1691" s="1">
        <v>0</v>
      </c>
      <c r="L1691" s="1" t="s">
        <v>23</v>
      </c>
      <c r="M1691" s="1" t="str">
        <f t="shared" si="26"/>
        <v>Consistent</v>
      </c>
      <c r="N1691" s="1" t="str">
        <f>_xlfn.XLOOKUP(H1691, risk_score!A:A, risk_score!B:B, 0)</f>
        <v>Low Risk</v>
      </c>
    </row>
    <row r="1692" spans="1:14">
      <c r="A1692" s="2">
        <v>0.48393518518518519</v>
      </c>
      <c r="B1692" s="3">
        <v>44841</v>
      </c>
      <c r="C1692" s="1">
        <v>3432416988</v>
      </c>
      <c r="D1692" s="1">
        <v>5132087338</v>
      </c>
      <c r="E1692" s="1">
        <v>6765.74</v>
      </c>
      <c r="F1692" s="1" t="s">
        <v>12</v>
      </c>
      <c r="G1692" s="1" t="s">
        <v>12</v>
      </c>
      <c r="H1692" s="1" t="s">
        <v>13</v>
      </c>
      <c r="I1692" s="1" t="s">
        <v>13</v>
      </c>
      <c r="J1692" s="1" t="s">
        <v>22</v>
      </c>
      <c r="K1692" s="1">
        <v>0</v>
      </c>
      <c r="L1692" s="1" t="s">
        <v>21</v>
      </c>
      <c r="M1692" s="1" t="str">
        <f t="shared" si="26"/>
        <v>Consistent</v>
      </c>
      <c r="N1692" s="1" t="str">
        <f>_xlfn.XLOOKUP(H1692, risk_score!A:A, risk_score!B:B, 0)</f>
        <v>Low Risk</v>
      </c>
    </row>
    <row r="1693" spans="1:14">
      <c r="A1693" s="2">
        <v>0.48396990740740742</v>
      </c>
      <c r="B1693" s="3">
        <v>44841</v>
      </c>
      <c r="C1693" s="1">
        <v>7421451752</v>
      </c>
      <c r="D1693" s="1">
        <v>4492966047</v>
      </c>
      <c r="E1693" s="1">
        <v>11190.23</v>
      </c>
      <c r="F1693" s="1" t="s">
        <v>12</v>
      </c>
      <c r="G1693" s="1" t="s">
        <v>12</v>
      </c>
      <c r="H1693" s="1" t="s">
        <v>13</v>
      </c>
      <c r="I1693" s="1" t="s">
        <v>13</v>
      </c>
      <c r="J1693" s="1" t="s">
        <v>25</v>
      </c>
      <c r="K1693" s="1">
        <v>0</v>
      </c>
      <c r="L1693" s="1" t="s">
        <v>19</v>
      </c>
      <c r="M1693" s="1" t="str">
        <f t="shared" si="26"/>
        <v>Consistent</v>
      </c>
      <c r="N1693" s="1" t="str">
        <f>_xlfn.XLOOKUP(H1693, risk_score!A:A, risk_score!B:B, 0)</f>
        <v>Low Risk</v>
      </c>
    </row>
    <row r="1694" spans="1:14">
      <c r="A1694" s="2">
        <v>0.48396990740740742</v>
      </c>
      <c r="B1694" s="3">
        <v>44841</v>
      </c>
      <c r="C1694" s="1">
        <v>8713878179</v>
      </c>
      <c r="D1694" s="1">
        <v>6855935396</v>
      </c>
      <c r="E1694" s="1">
        <v>8426.65</v>
      </c>
      <c r="F1694" s="1" t="s">
        <v>12</v>
      </c>
      <c r="G1694" s="1" t="s">
        <v>12</v>
      </c>
      <c r="H1694" s="1" t="s">
        <v>13</v>
      </c>
      <c r="I1694" s="1" t="s">
        <v>13</v>
      </c>
      <c r="J1694" s="1" t="s">
        <v>27</v>
      </c>
      <c r="K1694" s="1">
        <v>0</v>
      </c>
      <c r="L1694" s="1" t="s">
        <v>23</v>
      </c>
      <c r="M1694" s="1" t="str">
        <f t="shared" si="26"/>
        <v>Consistent</v>
      </c>
      <c r="N1694" s="1" t="str">
        <f>_xlfn.XLOOKUP(H1694, risk_score!A:A, risk_score!B:B, 0)</f>
        <v>Low Risk</v>
      </c>
    </row>
    <row r="1695" spans="1:14">
      <c r="A1695" s="2">
        <v>0.48396990740740742</v>
      </c>
      <c r="B1695" s="3">
        <v>44841</v>
      </c>
      <c r="C1695" s="1">
        <v>8365941229</v>
      </c>
      <c r="D1695" s="1">
        <v>6444220418</v>
      </c>
      <c r="E1695" s="1">
        <v>8340.6200000000008</v>
      </c>
      <c r="F1695" s="1" t="s">
        <v>12</v>
      </c>
      <c r="G1695" s="1" t="s">
        <v>12</v>
      </c>
      <c r="H1695" s="1" t="s">
        <v>13</v>
      </c>
      <c r="I1695" s="1" t="s">
        <v>13</v>
      </c>
      <c r="J1695" s="1" t="s">
        <v>20</v>
      </c>
      <c r="K1695" s="1">
        <v>0</v>
      </c>
      <c r="L1695" s="1" t="s">
        <v>23</v>
      </c>
      <c r="M1695" s="1" t="str">
        <f t="shared" si="26"/>
        <v>Consistent</v>
      </c>
      <c r="N1695" s="1" t="str">
        <f>_xlfn.XLOOKUP(H1695, risk_score!A:A, risk_score!B:B, 0)</f>
        <v>Low Risk</v>
      </c>
    </row>
    <row r="1696" spans="1:14">
      <c r="A1696" s="2">
        <v>0.48396990740740742</v>
      </c>
      <c r="B1696" s="3">
        <v>44841</v>
      </c>
      <c r="C1696" s="1">
        <v>9938221650</v>
      </c>
      <c r="D1696" s="1">
        <v>628238240</v>
      </c>
      <c r="E1696" s="1">
        <v>6706.92</v>
      </c>
      <c r="F1696" s="1" t="s">
        <v>44</v>
      </c>
      <c r="G1696" s="1" t="s">
        <v>12</v>
      </c>
      <c r="H1696" s="1" t="s">
        <v>45</v>
      </c>
      <c r="I1696" s="1" t="s">
        <v>13</v>
      </c>
      <c r="J1696" s="1" t="s">
        <v>18</v>
      </c>
      <c r="K1696" s="1">
        <v>0</v>
      </c>
      <c r="L1696" s="1" t="s">
        <v>21</v>
      </c>
      <c r="M1696" s="1" t="str">
        <f t="shared" si="26"/>
        <v>Potential Layering</v>
      </c>
      <c r="N1696" s="1" t="str">
        <f>_xlfn.XLOOKUP(H1696, risk_score!A:A, risk_score!B:B, 0)</f>
        <v>High Risk</v>
      </c>
    </row>
    <row r="1697" spans="1:14">
      <c r="A1697" s="2">
        <v>0.48396990740740742</v>
      </c>
      <c r="B1697" s="3">
        <v>44841</v>
      </c>
      <c r="C1697" s="1">
        <v>6447841775</v>
      </c>
      <c r="D1697" s="1">
        <v>7080357663</v>
      </c>
      <c r="E1697" s="1">
        <v>11989.5</v>
      </c>
      <c r="F1697" s="1" t="s">
        <v>12</v>
      </c>
      <c r="G1697" s="1" t="s">
        <v>12</v>
      </c>
      <c r="H1697" s="1" t="s">
        <v>13</v>
      </c>
      <c r="I1697" s="1" t="s">
        <v>13</v>
      </c>
      <c r="J1697" s="1" t="s">
        <v>22</v>
      </c>
      <c r="K1697" s="1">
        <v>0</v>
      </c>
      <c r="L1697" s="1" t="s">
        <v>23</v>
      </c>
      <c r="M1697" s="1" t="str">
        <f t="shared" si="26"/>
        <v>Consistent</v>
      </c>
      <c r="N1697" s="1" t="str">
        <f>_xlfn.XLOOKUP(H1697, risk_score!A:A, risk_score!B:B, 0)</f>
        <v>Low Risk</v>
      </c>
    </row>
    <row r="1698" spans="1:14">
      <c r="A1698" s="2">
        <v>0.48399305555555555</v>
      </c>
      <c r="B1698" s="3">
        <v>44841</v>
      </c>
      <c r="C1698" s="1">
        <v>4652896235</v>
      </c>
      <c r="D1698" s="1">
        <v>7080357663</v>
      </c>
      <c r="E1698" s="1">
        <v>5813.17</v>
      </c>
      <c r="F1698" s="1" t="s">
        <v>12</v>
      </c>
      <c r="G1698" s="1" t="s">
        <v>12</v>
      </c>
      <c r="H1698" s="1" t="s">
        <v>13</v>
      </c>
      <c r="I1698" s="1" t="s">
        <v>13</v>
      </c>
      <c r="J1698" s="1" t="s">
        <v>25</v>
      </c>
      <c r="K1698" s="1">
        <v>0</v>
      </c>
      <c r="L1698" s="1" t="s">
        <v>23</v>
      </c>
      <c r="M1698" s="1" t="str">
        <f t="shared" si="26"/>
        <v>Consistent</v>
      </c>
      <c r="N1698" s="1" t="str">
        <f>_xlfn.XLOOKUP(H1698, risk_score!A:A, risk_score!B:B, 0)</f>
        <v>Low Risk</v>
      </c>
    </row>
    <row r="1699" spans="1:14">
      <c r="A1699" s="2">
        <v>0.48408564814814814</v>
      </c>
      <c r="B1699" s="3">
        <v>44841</v>
      </c>
      <c r="C1699" s="1">
        <v>3168051873</v>
      </c>
      <c r="D1699" s="1">
        <v>6160971830</v>
      </c>
      <c r="E1699" s="1">
        <v>5873</v>
      </c>
      <c r="F1699" s="1" t="s">
        <v>12</v>
      </c>
      <c r="G1699" s="1" t="s">
        <v>12</v>
      </c>
      <c r="H1699" s="1" t="s">
        <v>13</v>
      </c>
      <c r="I1699" s="1" t="s">
        <v>13</v>
      </c>
      <c r="J1699" s="1" t="s">
        <v>20</v>
      </c>
      <c r="K1699" s="1">
        <v>0</v>
      </c>
      <c r="L1699" s="1" t="s">
        <v>19</v>
      </c>
      <c r="M1699" s="1" t="str">
        <f t="shared" si="26"/>
        <v>Consistent</v>
      </c>
      <c r="N1699" s="1" t="str">
        <f>_xlfn.XLOOKUP(H1699, risk_score!A:A, risk_score!B:B, 0)</f>
        <v>Low Risk</v>
      </c>
    </row>
    <row r="1700" spans="1:14">
      <c r="A1700" s="2">
        <v>0.48416666666666669</v>
      </c>
      <c r="B1700" s="3">
        <v>44841</v>
      </c>
      <c r="C1700" s="1">
        <v>6232885366</v>
      </c>
      <c r="D1700" s="1">
        <v>3079818547</v>
      </c>
      <c r="E1700" s="1">
        <v>6051.42</v>
      </c>
      <c r="F1700" s="1" t="s">
        <v>12</v>
      </c>
      <c r="G1700" s="1" t="s">
        <v>12</v>
      </c>
      <c r="H1700" s="1" t="s">
        <v>13</v>
      </c>
      <c r="I1700" s="1" t="s">
        <v>13</v>
      </c>
      <c r="J1700" s="1" t="s">
        <v>25</v>
      </c>
      <c r="K1700" s="1">
        <v>0</v>
      </c>
      <c r="L1700" s="1" t="s">
        <v>23</v>
      </c>
      <c r="M1700" s="1" t="str">
        <f t="shared" si="26"/>
        <v>Consistent</v>
      </c>
      <c r="N1700" s="1" t="str">
        <f>_xlfn.XLOOKUP(H1700, risk_score!A:A, risk_score!B:B, 0)</f>
        <v>Low Risk</v>
      </c>
    </row>
    <row r="1701" spans="1:14">
      <c r="A1701" s="2">
        <v>0.48417824074074073</v>
      </c>
      <c r="B1701" s="3">
        <v>44841</v>
      </c>
      <c r="C1701" s="1">
        <v>7468424181</v>
      </c>
      <c r="D1701" s="1">
        <v>7379455895</v>
      </c>
      <c r="E1701" s="1">
        <v>2304.15</v>
      </c>
      <c r="F1701" s="1" t="s">
        <v>12</v>
      </c>
      <c r="G1701" s="1" t="s">
        <v>12</v>
      </c>
      <c r="H1701" s="1" t="s">
        <v>13</v>
      </c>
      <c r="I1701" s="1" t="s">
        <v>13</v>
      </c>
      <c r="J1701" s="1" t="s">
        <v>25</v>
      </c>
      <c r="K1701" s="1">
        <v>0</v>
      </c>
      <c r="L1701" s="1" t="s">
        <v>21</v>
      </c>
      <c r="M1701" s="1" t="str">
        <f t="shared" si="26"/>
        <v>Consistent</v>
      </c>
      <c r="N1701" s="1" t="str">
        <f>_xlfn.XLOOKUP(H1701, risk_score!A:A, risk_score!B:B, 0)</f>
        <v>Low Risk</v>
      </c>
    </row>
    <row r="1702" spans="1:14">
      <c r="A1702" s="2">
        <v>0.48420138888888886</v>
      </c>
      <c r="B1702" s="3">
        <v>44841</v>
      </c>
      <c r="C1702" s="1">
        <v>8155316307</v>
      </c>
      <c r="D1702" s="1">
        <v>3775476274</v>
      </c>
      <c r="E1702" s="1">
        <v>4373.72</v>
      </c>
      <c r="F1702" s="1" t="s">
        <v>12</v>
      </c>
      <c r="G1702" s="1" t="s">
        <v>12</v>
      </c>
      <c r="H1702" s="1" t="s">
        <v>13</v>
      </c>
      <c r="I1702" s="1" t="s">
        <v>13</v>
      </c>
      <c r="J1702" s="1" t="s">
        <v>27</v>
      </c>
      <c r="K1702" s="1">
        <v>0</v>
      </c>
      <c r="L1702" s="1" t="s">
        <v>21</v>
      </c>
      <c r="M1702" s="1" t="str">
        <f t="shared" si="26"/>
        <v>Consistent</v>
      </c>
      <c r="N1702" s="1" t="str">
        <f>_xlfn.XLOOKUP(H1702, risk_score!A:A, risk_score!B:B, 0)</f>
        <v>Low Risk</v>
      </c>
    </row>
    <row r="1703" spans="1:14">
      <c r="A1703" s="2">
        <v>0.48420138888888886</v>
      </c>
      <c r="B1703" s="3">
        <v>44841</v>
      </c>
      <c r="C1703" s="1">
        <v>9243779950</v>
      </c>
      <c r="D1703" s="1">
        <v>1529063813</v>
      </c>
      <c r="E1703" s="1">
        <v>6309.7</v>
      </c>
      <c r="F1703" s="1" t="s">
        <v>12</v>
      </c>
      <c r="G1703" s="1" t="s">
        <v>12</v>
      </c>
      <c r="H1703" s="1" t="s">
        <v>13</v>
      </c>
      <c r="I1703" s="1" t="s">
        <v>13</v>
      </c>
      <c r="J1703" s="1" t="s">
        <v>20</v>
      </c>
      <c r="K1703" s="1">
        <v>0</v>
      </c>
      <c r="L1703" s="1" t="s">
        <v>21</v>
      </c>
      <c r="M1703" s="1" t="str">
        <f t="shared" si="26"/>
        <v>Consistent</v>
      </c>
      <c r="N1703" s="1" t="str">
        <f>_xlfn.XLOOKUP(H1703, risk_score!A:A, risk_score!B:B, 0)</f>
        <v>Low Risk</v>
      </c>
    </row>
    <row r="1704" spans="1:14">
      <c r="A1704" s="2">
        <v>0.48425925925925928</v>
      </c>
      <c r="B1704" s="3">
        <v>44841</v>
      </c>
      <c r="C1704" s="1">
        <v>5844004044</v>
      </c>
      <c r="D1704" s="1">
        <v>4528021946</v>
      </c>
      <c r="E1704" s="1">
        <v>1386.38</v>
      </c>
      <c r="F1704" s="1" t="s">
        <v>26</v>
      </c>
      <c r="G1704" s="1" t="s">
        <v>12</v>
      </c>
      <c r="H1704" s="1" t="s">
        <v>56</v>
      </c>
      <c r="I1704" s="1" t="s">
        <v>13</v>
      </c>
      <c r="J1704" s="1" t="s">
        <v>18</v>
      </c>
      <c r="K1704" s="1">
        <v>0</v>
      </c>
      <c r="L1704" s="1" t="s">
        <v>24</v>
      </c>
      <c r="M1704" s="1" t="str">
        <f t="shared" si="26"/>
        <v>Potential Layering</v>
      </c>
      <c r="N1704" s="1" t="str">
        <f>_xlfn.XLOOKUP(H1704, risk_score!A:A, risk_score!B:B, 0)</f>
        <v>Medium Risk</v>
      </c>
    </row>
    <row r="1705" spans="1:14">
      <c r="A1705" s="2">
        <v>0.48431712962962964</v>
      </c>
      <c r="B1705" s="3">
        <v>44841</v>
      </c>
      <c r="C1705" s="1">
        <v>5251674452</v>
      </c>
      <c r="D1705" s="1">
        <v>622243973</v>
      </c>
      <c r="E1705" s="1">
        <v>4328.62</v>
      </c>
      <c r="F1705" s="1" t="s">
        <v>12</v>
      </c>
      <c r="G1705" s="1" t="s">
        <v>12</v>
      </c>
      <c r="H1705" s="1" t="s">
        <v>13</v>
      </c>
      <c r="I1705" s="1" t="s">
        <v>13</v>
      </c>
      <c r="J1705" s="1" t="s">
        <v>25</v>
      </c>
      <c r="K1705" s="1">
        <v>0</v>
      </c>
      <c r="L1705" s="1" t="s">
        <v>21</v>
      </c>
      <c r="M1705" s="1" t="str">
        <f t="shared" si="26"/>
        <v>Consistent</v>
      </c>
      <c r="N1705" s="1" t="str">
        <f>_xlfn.XLOOKUP(H1705, risk_score!A:A, risk_score!B:B, 0)</f>
        <v>Low Risk</v>
      </c>
    </row>
    <row r="1706" spans="1:14">
      <c r="A1706" s="2">
        <v>0.48431712962962964</v>
      </c>
      <c r="B1706" s="3">
        <v>44841</v>
      </c>
      <c r="C1706" s="1">
        <v>9369454215</v>
      </c>
      <c r="D1706" s="1">
        <v>5363422485</v>
      </c>
      <c r="E1706" s="1">
        <v>5336.64</v>
      </c>
      <c r="F1706" s="1" t="s">
        <v>12</v>
      </c>
      <c r="G1706" s="1" t="s">
        <v>12</v>
      </c>
      <c r="H1706" s="1" t="s">
        <v>13</v>
      </c>
      <c r="I1706" s="1" t="s">
        <v>13</v>
      </c>
      <c r="J1706" s="1" t="s">
        <v>25</v>
      </c>
      <c r="K1706" s="1">
        <v>0</v>
      </c>
      <c r="L1706" s="1" t="s">
        <v>38</v>
      </c>
      <c r="M1706" s="1" t="str">
        <f t="shared" si="26"/>
        <v>Consistent</v>
      </c>
      <c r="N1706" s="1" t="str">
        <f>_xlfn.XLOOKUP(H1706, risk_score!A:A, risk_score!B:B, 0)</f>
        <v>Low Risk</v>
      </c>
    </row>
    <row r="1707" spans="1:14">
      <c r="A1707" s="2">
        <v>0.48439814814814813</v>
      </c>
      <c r="B1707" s="3">
        <v>44841</v>
      </c>
      <c r="C1707" s="1">
        <v>2869675648</v>
      </c>
      <c r="D1707" s="1">
        <v>2903746745</v>
      </c>
      <c r="E1707" s="1">
        <v>2187.11</v>
      </c>
      <c r="F1707" s="1" t="s">
        <v>12</v>
      </c>
      <c r="G1707" s="1" t="s">
        <v>12</v>
      </c>
      <c r="H1707" s="1" t="s">
        <v>13</v>
      </c>
      <c r="I1707" s="1" t="s">
        <v>13</v>
      </c>
      <c r="J1707" s="1" t="s">
        <v>20</v>
      </c>
      <c r="K1707" s="1">
        <v>0</v>
      </c>
      <c r="L1707" s="1" t="s">
        <v>21</v>
      </c>
      <c r="M1707" s="1" t="str">
        <f t="shared" si="26"/>
        <v>Consistent</v>
      </c>
      <c r="N1707" s="1" t="str">
        <f>_xlfn.XLOOKUP(H1707, risk_score!A:A, risk_score!B:B, 0)</f>
        <v>Low Risk</v>
      </c>
    </row>
    <row r="1708" spans="1:14">
      <c r="A1708" s="2">
        <v>0.48442129629629632</v>
      </c>
      <c r="B1708" s="3">
        <v>44841</v>
      </c>
      <c r="C1708" s="1">
        <v>3499302975</v>
      </c>
      <c r="D1708" s="1">
        <v>2435158911</v>
      </c>
      <c r="E1708" s="1">
        <v>8736.86</v>
      </c>
      <c r="F1708" s="1" t="s">
        <v>12</v>
      </c>
      <c r="G1708" s="1" t="s">
        <v>12</v>
      </c>
      <c r="H1708" s="1" t="s">
        <v>13</v>
      </c>
      <c r="I1708" s="1" t="s">
        <v>13</v>
      </c>
      <c r="J1708" s="1" t="s">
        <v>22</v>
      </c>
      <c r="K1708" s="1">
        <v>0</v>
      </c>
      <c r="L1708" s="1" t="s">
        <v>21</v>
      </c>
      <c r="M1708" s="1" t="str">
        <f t="shared" si="26"/>
        <v>Consistent</v>
      </c>
      <c r="N1708" s="1" t="str">
        <f>_xlfn.XLOOKUP(H1708, risk_score!A:A, risk_score!B:B, 0)</f>
        <v>Low Risk</v>
      </c>
    </row>
    <row r="1709" spans="1:14">
      <c r="A1709" s="2">
        <v>0.48446759259259259</v>
      </c>
      <c r="B1709" s="3">
        <v>44841</v>
      </c>
      <c r="C1709" s="1">
        <v>6380185082</v>
      </c>
      <c r="D1709" s="1">
        <v>1316458123</v>
      </c>
      <c r="E1709" s="1">
        <v>4544.74</v>
      </c>
      <c r="F1709" s="1" t="s">
        <v>12</v>
      </c>
      <c r="G1709" s="1" t="s">
        <v>34</v>
      </c>
      <c r="H1709" s="1" t="s">
        <v>13</v>
      </c>
      <c r="I1709" s="1" t="s">
        <v>35</v>
      </c>
      <c r="J1709" s="1" t="s">
        <v>18</v>
      </c>
      <c r="K1709" s="1">
        <v>0</v>
      </c>
      <c r="L1709" s="1" t="s">
        <v>23</v>
      </c>
      <c r="M1709" s="1" t="str">
        <f t="shared" si="26"/>
        <v>Potential Layering</v>
      </c>
      <c r="N1709" s="1" t="str">
        <f>_xlfn.XLOOKUP(H1709, risk_score!A:A, risk_score!B:B, 0)</f>
        <v>Low Risk</v>
      </c>
    </row>
    <row r="1710" spans="1:14">
      <c r="A1710" s="2">
        <v>0.48447916666666668</v>
      </c>
      <c r="B1710" s="3">
        <v>44841</v>
      </c>
      <c r="C1710" s="1">
        <v>2403186083</v>
      </c>
      <c r="D1710" s="1">
        <v>3115472752</v>
      </c>
      <c r="E1710" s="1">
        <v>3632.19</v>
      </c>
      <c r="F1710" s="1" t="s">
        <v>12</v>
      </c>
      <c r="G1710" s="1" t="s">
        <v>12</v>
      </c>
      <c r="H1710" s="1" t="s">
        <v>13</v>
      </c>
      <c r="I1710" s="1" t="s">
        <v>13</v>
      </c>
      <c r="J1710" s="1" t="s">
        <v>20</v>
      </c>
      <c r="K1710" s="1">
        <v>0</v>
      </c>
      <c r="L1710" s="1" t="s">
        <v>24</v>
      </c>
      <c r="M1710" s="1" t="str">
        <f t="shared" si="26"/>
        <v>Consistent</v>
      </c>
      <c r="N1710" s="1" t="str">
        <f>_xlfn.XLOOKUP(H1710, risk_score!A:A, risk_score!B:B, 0)</f>
        <v>Low Risk</v>
      </c>
    </row>
    <row r="1711" spans="1:14">
      <c r="A1711" s="2">
        <v>0.48452546296296295</v>
      </c>
      <c r="B1711" s="3">
        <v>44841</v>
      </c>
      <c r="C1711" s="1">
        <v>7924551009</v>
      </c>
      <c r="D1711" s="1">
        <v>7199625988</v>
      </c>
      <c r="E1711" s="1">
        <v>15795.17</v>
      </c>
      <c r="F1711" s="1" t="s">
        <v>12</v>
      </c>
      <c r="G1711" s="1" t="s">
        <v>12</v>
      </c>
      <c r="H1711" s="1" t="s">
        <v>13</v>
      </c>
      <c r="I1711" s="1" t="s">
        <v>13</v>
      </c>
      <c r="J1711" s="1" t="s">
        <v>27</v>
      </c>
      <c r="K1711" s="1">
        <v>0</v>
      </c>
      <c r="L1711" s="1" t="s">
        <v>23</v>
      </c>
      <c r="M1711" s="1" t="str">
        <f t="shared" si="26"/>
        <v>Consistent</v>
      </c>
      <c r="N1711" s="1" t="str">
        <f>_xlfn.XLOOKUP(H1711, risk_score!A:A, risk_score!B:B, 0)</f>
        <v>Low Risk</v>
      </c>
    </row>
    <row r="1712" spans="1:14">
      <c r="A1712" s="2">
        <v>0.48452546296296295</v>
      </c>
      <c r="B1712" s="3">
        <v>44841</v>
      </c>
      <c r="C1712" s="1">
        <v>7501327339</v>
      </c>
      <c r="D1712" s="1">
        <v>4961006135</v>
      </c>
      <c r="E1712" s="1">
        <v>6455.29</v>
      </c>
      <c r="F1712" s="1" t="s">
        <v>12</v>
      </c>
      <c r="G1712" s="1" t="s">
        <v>12</v>
      </c>
      <c r="H1712" s="1" t="s">
        <v>13</v>
      </c>
      <c r="I1712" s="1" t="s">
        <v>13</v>
      </c>
      <c r="J1712" s="1" t="s">
        <v>25</v>
      </c>
      <c r="K1712" s="1">
        <v>0</v>
      </c>
      <c r="L1712" s="1" t="s">
        <v>19</v>
      </c>
      <c r="M1712" s="1" t="str">
        <f t="shared" si="26"/>
        <v>Consistent</v>
      </c>
      <c r="N1712" s="1" t="str">
        <f>_xlfn.XLOOKUP(H1712, risk_score!A:A, risk_score!B:B, 0)</f>
        <v>Low Risk</v>
      </c>
    </row>
    <row r="1713" spans="1:14">
      <c r="A1713" s="2">
        <v>0.48454861111111114</v>
      </c>
      <c r="B1713" s="3">
        <v>44841</v>
      </c>
      <c r="C1713" s="1">
        <v>8933023369</v>
      </c>
      <c r="D1713" s="1">
        <v>7210156742</v>
      </c>
      <c r="E1713" s="1">
        <v>3303.77</v>
      </c>
      <c r="F1713" s="1" t="s">
        <v>12</v>
      </c>
      <c r="G1713" s="1" t="s">
        <v>12</v>
      </c>
      <c r="H1713" s="1" t="s">
        <v>13</v>
      </c>
      <c r="I1713" s="1" t="s">
        <v>13</v>
      </c>
      <c r="J1713" s="1" t="s">
        <v>25</v>
      </c>
      <c r="K1713" s="1">
        <v>0</v>
      </c>
      <c r="L1713" s="1" t="s">
        <v>21</v>
      </c>
      <c r="M1713" s="1" t="str">
        <f t="shared" si="26"/>
        <v>Consistent</v>
      </c>
      <c r="N1713" s="1" t="str">
        <f>_xlfn.XLOOKUP(H1713, risk_score!A:A, risk_score!B:B, 0)</f>
        <v>Low Risk</v>
      </c>
    </row>
    <row r="1714" spans="1:14">
      <c r="A1714" s="2">
        <v>0.48457175925925927</v>
      </c>
      <c r="B1714" s="3">
        <v>44841</v>
      </c>
      <c r="C1714" s="1">
        <v>2351530109</v>
      </c>
      <c r="D1714" s="1">
        <v>6768712672</v>
      </c>
      <c r="E1714" s="1">
        <v>3291.34</v>
      </c>
      <c r="F1714" s="1" t="s">
        <v>12</v>
      </c>
      <c r="G1714" s="1" t="s">
        <v>12</v>
      </c>
      <c r="H1714" s="1" t="s">
        <v>13</v>
      </c>
      <c r="I1714" s="1" t="s">
        <v>13</v>
      </c>
      <c r="J1714" s="1" t="s">
        <v>14</v>
      </c>
      <c r="K1714" s="1">
        <v>0</v>
      </c>
      <c r="L1714" s="1" t="s">
        <v>15</v>
      </c>
      <c r="M1714" s="1" t="str">
        <f t="shared" si="26"/>
        <v>Consistent</v>
      </c>
      <c r="N1714" s="1" t="str">
        <f>_xlfn.XLOOKUP(H1714, risk_score!A:A, risk_score!B:B, 0)</f>
        <v>Low Risk</v>
      </c>
    </row>
    <row r="1715" spans="1:14">
      <c r="A1715" s="2">
        <v>0.48457175925925927</v>
      </c>
      <c r="B1715" s="3">
        <v>44841</v>
      </c>
      <c r="C1715" s="1">
        <v>5042064131</v>
      </c>
      <c r="D1715" s="1">
        <v>5628674969</v>
      </c>
      <c r="E1715" s="1">
        <v>5528.57</v>
      </c>
      <c r="F1715" s="1" t="s">
        <v>12</v>
      </c>
      <c r="G1715" s="1" t="s">
        <v>12</v>
      </c>
      <c r="H1715" s="1" t="s">
        <v>13</v>
      </c>
      <c r="I1715" s="1" t="s">
        <v>13</v>
      </c>
      <c r="J1715" s="1" t="s">
        <v>22</v>
      </c>
      <c r="K1715" s="1">
        <v>0</v>
      </c>
      <c r="L1715" s="1" t="s">
        <v>23</v>
      </c>
      <c r="M1715" s="1" t="str">
        <f t="shared" si="26"/>
        <v>Consistent</v>
      </c>
      <c r="N1715" s="1" t="str">
        <f>_xlfn.XLOOKUP(H1715, risk_score!A:A, risk_score!B:B, 0)</f>
        <v>Low Risk</v>
      </c>
    </row>
    <row r="1716" spans="1:14">
      <c r="A1716" s="2">
        <v>0.4846759259259259</v>
      </c>
      <c r="B1716" s="3">
        <v>44841</v>
      </c>
      <c r="C1716" s="1">
        <v>3146137198</v>
      </c>
      <c r="D1716" s="1">
        <v>5174133394</v>
      </c>
      <c r="E1716" s="1">
        <v>308.64999999999998</v>
      </c>
      <c r="F1716" s="1" t="s">
        <v>12</v>
      </c>
      <c r="G1716" s="1" t="s">
        <v>12</v>
      </c>
      <c r="H1716" s="1" t="s">
        <v>13</v>
      </c>
      <c r="I1716" s="1" t="s">
        <v>13</v>
      </c>
      <c r="J1716" s="1" t="s">
        <v>27</v>
      </c>
      <c r="K1716" s="1">
        <v>0</v>
      </c>
      <c r="L1716" s="1" t="s">
        <v>21</v>
      </c>
      <c r="M1716" s="1" t="str">
        <f t="shared" si="26"/>
        <v>Consistent</v>
      </c>
      <c r="N1716" s="1" t="str">
        <f>_xlfn.XLOOKUP(H1716, risk_score!A:A, risk_score!B:B, 0)</f>
        <v>Low Risk</v>
      </c>
    </row>
    <row r="1717" spans="1:14">
      <c r="A1717" s="2">
        <v>0.4846759259259259</v>
      </c>
      <c r="B1717" s="3">
        <v>44841</v>
      </c>
      <c r="C1717" s="1">
        <v>9658628699</v>
      </c>
      <c r="D1717" s="1">
        <v>3695545812</v>
      </c>
      <c r="E1717" s="1">
        <v>12216.5</v>
      </c>
      <c r="F1717" s="1" t="s">
        <v>12</v>
      </c>
      <c r="G1717" s="1" t="s">
        <v>12</v>
      </c>
      <c r="H1717" s="1" t="s">
        <v>13</v>
      </c>
      <c r="I1717" s="1" t="s">
        <v>13</v>
      </c>
      <c r="J1717" s="1" t="s">
        <v>25</v>
      </c>
      <c r="K1717" s="1">
        <v>0</v>
      </c>
      <c r="L1717" s="1" t="s">
        <v>23</v>
      </c>
      <c r="M1717" s="1" t="str">
        <f t="shared" si="26"/>
        <v>Consistent</v>
      </c>
      <c r="N1717" s="1" t="str">
        <f>_xlfn.XLOOKUP(H1717, risk_score!A:A, risk_score!B:B, 0)</f>
        <v>Low Risk</v>
      </c>
    </row>
    <row r="1718" spans="1:14">
      <c r="A1718" s="2">
        <v>0.48468749999999999</v>
      </c>
      <c r="B1718" s="3">
        <v>44841</v>
      </c>
      <c r="C1718" s="1">
        <v>892793859</v>
      </c>
      <c r="D1718" s="1">
        <v>9346701114</v>
      </c>
      <c r="E1718" s="1">
        <v>1652.65</v>
      </c>
      <c r="F1718" s="1" t="s">
        <v>12</v>
      </c>
      <c r="G1718" s="1" t="s">
        <v>29</v>
      </c>
      <c r="H1718" s="1" t="s">
        <v>13</v>
      </c>
      <c r="I1718" s="1" t="s">
        <v>31</v>
      </c>
      <c r="J1718" s="1" t="s">
        <v>18</v>
      </c>
      <c r="K1718" s="1">
        <v>0</v>
      </c>
      <c r="L1718" s="1" t="s">
        <v>21</v>
      </c>
      <c r="M1718" s="1" t="str">
        <f t="shared" si="26"/>
        <v>Potential Layering</v>
      </c>
      <c r="N1718" s="1" t="str">
        <f>_xlfn.XLOOKUP(H1718, risk_score!A:A, risk_score!B:B, 0)</f>
        <v>Low Risk</v>
      </c>
    </row>
    <row r="1719" spans="1:14">
      <c r="A1719" s="2">
        <v>0.48469907407407409</v>
      </c>
      <c r="B1719" s="3">
        <v>44841</v>
      </c>
      <c r="C1719" s="1">
        <v>5019961553</v>
      </c>
      <c r="D1719" s="1">
        <v>5466123934</v>
      </c>
      <c r="E1719" s="1">
        <v>8496.1</v>
      </c>
      <c r="F1719" s="1" t="s">
        <v>12</v>
      </c>
      <c r="G1719" s="1" t="s">
        <v>12</v>
      </c>
      <c r="H1719" s="1" t="s">
        <v>13</v>
      </c>
      <c r="I1719" s="1" t="s">
        <v>13</v>
      </c>
      <c r="J1719" s="1" t="s">
        <v>20</v>
      </c>
      <c r="K1719" s="1">
        <v>0</v>
      </c>
      <c r="L1719" s="1" t="s">
        <v>23</v>
      </c>
      <c r="M1719" s="1" t="str">
        <f t="shared" si="26"/>
        <v>Consistent</v>
      </c>
      <c r="N1719" s="1" t="str">
        <f>_xlfn.XLOOKUP(H1719, risk_score!A:A, risk_score!B:B, 0)</f>
        <v>Low Risk</v>
      </c>
    </row>
    <row r="1720" spans="1:14">
      <c r="A1720" s="2">
        <v>0.48474537037037035</v>
      </c>
      <c r="B1720" s="3">
        <v>44841</v>
      </c>
      <c r="C1720" s="1">
        <v>9222757302</v>
      </c>
      <c r="D1720" s="1">
        <v>5109623450</v>
      </c>
      <c r="E1720" s="1">
        <v>9164.6200000000008</v>
      </c>
      <c r="F1720" s="1" t="s">
        <v>12</v>
      </c>
      <c r="G1720" s="1" t="s">
        <v>12</v>
      </c>
      <c r="H1720" s="1" t="s">
        <v>13</v>
      </c>
      <c r="I1720" s="1" t="s">
        <v>13</v>
      </c>
      <c r="J1720" s="1" t="s">
        <v>22</v>
      </c>
      <c r="K1720" s="1">
        <v>0</v>
      </c>
      <c r="L1720" s="1" t="s">
        <v>23</v>
      </c>
      <c r="M1720" s="1" t="str">
        <f t="shared" si="26"/>
        <v>Consistent</v>
      </c>
      <c r="N1720" s="1" t="str">
        <f>_xlfn.XLOOKUP(H1720, risk_score!A:A, risk_score!B:B, 0)</f>
        <v>Low Risk</v>
      </c>
    </row>
    <row r="1721" spans="1:14">
      <c r="A1721" s="2">
        <v>0.48478009259259258</v>
      </c>
      <c r="B1721" s="3">
        <v>44841</v>
      </c>
      <c r="C1721" s="1">
        <v>36476669</v>
      </c>
      <c r="D1721" s="1">
        <v>458677348</v>
      </c>
      <c r="E1721" s="1">
        <v>1699.63</v>
      </c>
      <c r="F1721" s="1" t="s">
        <v>12</v>
      </c>
      <c r="G1721" s="1" t="s">
        <v>12</v>
      </c>
      <c r="H1721" s="1" t="s">
        <v>13</v>
      </c>
      <c r="I1721" s="1" t="s">
        <v>13</v>
      </c>
      <c r="J1721" s="1" t="s">
        <v>27</v>
      </c>
      <c r="K1721" s="1">
        <v>0</v>
      </c>
      <c r="L1721" s="1" t="s">
        <v>21</v>
      </c>
      <c r="M1721" s="1" t="str">
        <f t="shared" si="26"/>
        <v>Consistent</v>
      </c>
      <c r="N1721" s="1" t="str">
        <f>_xlfn.XLOOKUP(H1721, risk_score!A:A, risk_score!B:B, 0)</f>
        <v>Low Risk</v>
      </c>
    </row>
    <row r="1722" spans="1:14">
      <c r="A1722" s="2">
        <v>0.48479166666666668</v>
      </c>
      <c r="B1722" s="3">
        <v>44841</v>
      </c>
      <c r="C1722" s="1">
        <v>5790471849</v>
      </c>
      <c r="D1722" s="1">
        <v>378335393</v>
      </c>
      <c r="E1722" s="1">
        <v>2178.2600000000002</v>
      </c>
      <c r="F1722" s="1" t="s">
        <v>12</v>
      </c>
      <c r="G1722" s="1" t="s">
        <v>12</v>
      </c>
      <c r="H1722" s="1" t="s">
        <v>13</v>
      </c>
      <c r="I1722" s="1" t="s">
        <v>13</v>
      </c>
      <c r="J1722" s="1" t="s">
        <v>20</v>
      </c>
      <c r="K1722" s="1">
        <v>0</v>
      </c>
      <c r="L1722" s="1" t="s">
        <v>38</v>
      </c>
      <c r="M1722" s="1" t="str">
        <f t="shared" si="26"/>
        <v>Consistent</v>
      </c>
      <c r="N1722" s="1" t="str">
        <f>_xlfn.XLOOKUP(H1722, risk_score!A:A, risk_score!B:B, 0)</f>
        <v>Low Risk</v>
      </c>
    </row>
    <row r="1723" spans="1:14">
      <c r="A1723" s="2">
        <v>0.4848263888888889</v>
      </c>
      <c r="B1723" s="3">
        <v>44841</v>
      </c>
      <c r="C1723" s="1">
        <v>3440654296</v>
      </c>
      <c r="D1723" s="1">
        <v>8172080174</v>
      </c>
      <c r="E1723" s="1">
        <v>5564.16</v>
      </c>
      <c r="F1723" s="1" t="s">
        <v>12</v>
      </c>
      <c r="G1723" s="1" t="s">
        <v>12</v>
      </c>
      <c r="H1723" s="1" t="s">
        <v>13</v>
      </c>
      <c r="I1723" s="1" t="s">
        <v>13</v>
      </c>
      <c r="J1723" s="1" t="s">
        <v>27</v>
      </c>
      <c r="K1723" s="1">
        <v>0</v>
      </c>
      <c r="L1723" s="1" t="s">
        <v>23</v>
      </c>
      <c r="M1723" s="1" t="str">
        <f t="shared" si="26"/>
        <v>Consistent</v>
      </c>
      <c r="N1723" s="1" t="str">
        <f>_xlfn.XLOOKUP(H1723, risk_score!A:A, risk_score!B:B, 0)</f>
        <v>Low Risk</v>
      </c>
    </row>
    <row r="1724" spans="1:14">
      <c r="A1724" s="2">
        <v>0.4848263888888889</v>
      </c>
      <c r="B1724" s="3">
        <v>44841</v>
      </c>
      <c r="C1724" s="1">
        <v>1397358796</v>
      </c>
      <c r="D1724" s="1">
        <v>3221983588</v>
      </c>
      <c r="E1724" s="1">
        <v>2533.12</v>
      </c>
      <c r="F1724" s="1" t="s">
        <v>12</v>
      </c>
      <c r="G1724" s="1" t="s">
        <v>12</v>
      </c>
      <c r="H1724" s="1" t="s">
        <v>13</v>
      </c>
      <c r="I1724" s="1" t="s">
        <v>13</v>
      </c>
      <c r="J1724" s="1" t="s">
        <v>20</v>
      </c>
      <c r="K1724" s="1">
        <v>0</v>
      </c>
      <c r="L1724" s="1" t="s">
        <v>24</v>
      </c>
      <c r="M1724" s="1" t="str">
        <f t="shared" si="26"/>
        <v>Consistent</v>
      </c>
      <c r="N1724" s="1" t="str">
        <f>_xlfn.XLOOKUP(H1724, risk_score!A:A, risk_score!B:B, 0)</f>
        <v>Low Risk</v>
      </c>
    </row>
    <row r="1725" spans="1:14">
      <c r="A1725" s="2">
        <v>0.48486111111111113</v>
      </c>
      <c r="B1725" s="3">
        <v>44841</v>
      </c>
      <c r="C1725" s="1">
        <v>8143659093</v>
      </c>
      <c r="D1725" s="1">
        <v>8014308751</v>
      </c>
      <c r="E1725" s="1">
        <v>19208.55</v>
      </c>
      <c r="F1725" s="1" t="s">
        <v>12</v>
      </c>
      <c r="G1725" s="1" t="s">
        <v>12</v>
      </c>
      <c r="H1725" s="1" t="s">
        <v>13</v>
      </c>
      <c r="I1725" s="1" t="s">
        <v>13</v>
      </c>
      <c r="J1725" s="1" t="s">
        <v>25</v>
      </c>
      <c r="K1725" s="1">
        <v>0</v>
      </c>
      <c r="L1725" s="1" t="s">
        <v>21</v>
      </c>
      <c r="M1725" s="1" t="str">
        <f t="shared" si="26"/>
        <v>Consistent</v>
      </c>
      <c r="N1725" s="1" t="str">
        <f>_xlfn.XLOOKUP(H1725, risk_score!A:A, risk_score!B:B, 0)</f>
        <v>Low Risk</v>
      </c>
    </row>
    <row r="1726" spans="1:14">
      <c r="A1726" s="2">
        <v>0.48487268518518517</v>
      </c>
      <c r="B1726" s="3">
        <v>44841</v>
      </c>
      <c r="C1726" s="1">
        <v>3709430533</v>
      </c>
      <c r="D1726" s="1">
        <v>4125359800</v>
      </c>
      <c r="E1726" s="1">
        <v>13613.88</v>
      </c>
      <c r="F1726" s="1" t="s">
        <v>12</v>
      </c>
      <c r="G1726" s="1" t="s">
        <v>12</v>
      </c>
      <c r="H1726" s="1" t="s">
        <v>13</v>
      </c>
      <c r="I1726" s="1" t="s">
        <v>13</v>
      </c>
      <c r="J1726" s="1" t="s">
        <v>25</v>
      </c>
      <c r="K1726" s="1">
        <v>0</v>
      </c>
      <c r="L1726" s="1" t="s">
        <v>19</v>
      </c>
      <c r="M1726" s="1" t="str">
        <f t="shared" si="26"/>
        <v>Consistent</v>
      </c>
      <c r="N1726" s="1" t="str">
        <f>_xlfn.XLOOKUP(H1726, risk_score!A:A, risk_score!B:B, 0)</f>
        <v>Low Risk</v>
      </c>
    </row>
    <row r="1727" spans="1:14">
      <c r="A1727" s="2">
        <v>0.48488425925925926</v>
      </c>
      <c r="B1727" s="3">
        <v>44841</v>
      </c>
      <c r="C1727" s="1">
        <v>9043937507</v>
      </c>
      <c r="D1727" s="1">
        <v>5212916191</v>
      </c>
      <c r="E1727" s="1">
        <v>2027.88</v>
      </c>
      <c r="F1727" s="1" t="s">
        <v>12</v>
      </c>
      <c r="G1727" s="1" t="s">
        <v>12</v>
      </c>
      <c r="H1727" s="1" t="s">
        <v>13</v>
      </c>
      <c r="I1727" s="1" t="s">
        <v>13</v>
      </c>
      <c r="J1727" s="1" t="s">
        <v>22</v>
      </c>
      <c r="K1727" s="1">
        <v>0</v>
      </c>
      <c r="L1727" s="1" t="s">
        <v>21</v>
      </c>
      <c r="M1727" s="1" t="str">
        <f t="shared" si="26"/>
        <v>Consistent</v>
      </c>
      <c r="N1727" s="1" t="str">
        <f>_xlfn.XLOOKUP(H1727, risk_score!A:A, risk_score!B:B, 0)</f>
        <v>Low Risk</v>
      </c>
    </row>
    <row r="1728" spans="1:14">
      <c r="A1728" s="2">
        <v>0.4849074074074074</v>
      </c>
      <c r="B1728" s="3">
        <v>44841</v>
      </c>
      <c r="C1728" s="1">
        <v>1915450576</v>
      </c>
      <c r="D1728" s="1">
        <v>5162401694</v>
      </c>
      <c r="E1728" s="1">
        <v>10442.56</v>
      </c>
      <c r="F1728" s="1" t="s">
        <v>12</v>
      </c>
      <c r="G1728" s="1" t="s">
        <v>12</v>
      </c>
      <c r="H1728" s="1" t="s">
        <v>13</v>
      </c>
      <c r="I1728" s="1" t="s">
        <v>13</v>
      </c>
      <c r="J1728" s="1" t="s">
        <v>27</v>
      </c>
      <c r="K1728" s="1">
        <v>0</v>
      </c>
      <c r="L1728" s="1" t="s">
        <v>19</v>
      </c>
      <c r="M1728" s="1" t="str">
        <f t="shared" si="26"/>
        <v>Consistent</v>
      </c>
      <c r="N1728" s="1" t="str">
        <f>_xlfn.XLOOKUP(H1728, risk_score!A:A, risk_score!B:B, 0)</f>
        <v>Low Risk</v>
      </c>
    </row>
    <row r="1729" spans="1:14">
      <c r="A1729" s="2">
        <v>0.4849074074074074</v>
      </c>
      <c r="B1729" s="3">
        <v>44841</v>
      </c>
      <c r="C1729" s="1">
        <v>9392700144</v>
      </c>
      <c r="D1729" s="1">
        <v>5622502267</v>
      </c>
      <c r="E1729" s="1">
        <v>19963.98</v>
      </c>
      <c r="F1729" s="1" t="s">
        <v>12</v>
      </c>
      <c r="G1729" s="1" t="s">
        <v>12</v>
      </c>
      <c r="H1729" s="1" t="s">
        <v>13</v>
      </c>
      <c r="I1729" s="1" t="s">
        <v>13</v>
      </c>
      <c r="J1729" s="1" t="s">
        <v>22</v>
      </c>
      <c r="K1729" s="1">
        <v>0</v>
      </c>
      <c r="L1729" s="1" t="s">
        <v>21</v>
      </c>
      <c r="M1729" s="1" t="str">
        <f t="shared" si="26"/>
        <v>Consistent</v>
      </c>
      <c r="N1729" s="1" t="str">
        <f>_xlfn.XLOOKUP(H1729, risk_score!A:A, risk_score!B:B, 0)</f>
        <v>Low Risk</v>
      </c>
    </row>
    <row r="1730" spans="1:14">
      <c r="A1730" s="2">
        <v>0.48499999999999999</v>
      </c>
      <c r="B1730" s="3">
        <v>44841</v>
      </c>
      <c r="C1730" s="1">
        <v>1552291084</v>
      </c>
      <c r="D1730" s="1">
        <v>8306908463</v>
      </c>
      <c r="E1730" s="1">
        <v>6131.07</v>
      </c>
      <c r="F1730" s="1" t="s">
        <v>12</v>
      </c>
      <c r="G1730" s="1" t="s">
        <v>12</v>
      </c>
      <c r="H1730" s="1" t="s">
        <v>13</v>
      </c>
      <c r="I1730" s="1" t="s">
        <v>13</v>
      </c>
      <c r="J1730" s="1" t="s">
        <v>20</v>
      </c>
      <c r="K1730" s="1">
        <v>0</v>
      </c>
      <c r="L1730" s="1" t="s">
        <v>21</v>
      </c>
      <c r="M1730" s="1" t="str">
        <f t="shared" si="26"/>
        <v>Consistent</v>
      </c>
      <c r="N1730" s="1" t="str">
        <f>_xlfn.XLOOKUP(H1730, risk_score!A:A, risk_score!B:B, 0)</f>
        <v>Low Risk</v>
      </c>
    </row>
    <row r="1731" spans="1:14">
      <c r="A1731" s="2">
        <v>0.48506944444444444</v>
      </c>
      <c r="B1731" s="3">
        <v>44841</v>
      </c>
      <c r="C1731" s="1">
        <v>6130835432</v>
      </c>
      <c r="D1731" s="1">
        <v>5768970733</v>
      </c>
      <c r="E1731" s="1">
        <v>2135.4499999999998</v>
      </c>
      <c r="F1731" s="1" t="s">
        <v>12</v>
      </c>
      <c r="G1731" s="1" t="s">
        <v>12</v>
      </c>
      <c r="H1731" s="1" t="s">
        <v>13</v>
      </c>
      <c r="I1731" s="1" t="s">
        <v>13</v>
      </c>
      <c r="J1731" s="1" t="s">
        <v>25</v>
      </c>
      <c r="K1731" s="1">
        <v>0</v>
      </c>
      <c r="L1731" s="1" t="s">
        <v>21</v>
      </c>
      <c r="M1731" s="1" t="str">
        <f t="shared" ref="M1731:M1794" si="27">IF(F1731=G1731, "Consistent", "Potential Layering")</f>
        <v>Consistent</v>
      </c>
      <c r="N1731" s="1" t="str">
        <f>_xlfn.XLOOKUP(H1731, risk_score!A:A, risk_score!B:B, 0)</f>
        <v>Low Risk</v>
      </c>
    </row>
    <row r="1732" spans="1:14">
      <c r="A1732" s="2">
        <v>0.48509259259259258</v>
      </c>
      <c r="B1732" s="3">
        <v>44841</v>
      </c>
      <c r="C1732" s="1">
        <v>5293966138</v>
      </c>
      <c r="D1732" s="1">
        <v>3079818547</v>
      </c>
      <c r="E1732" s="1">
        <v>14531.84</v>
      </c>
      <c r="F1732" s="1" t="s">
        <v>12</v>
      </c>
      <c r="G1732" s="1" t="s">
        <v>12</v>
      </c>
      <c r="H1732" s="1" t="s">
        <v>13</v>
      </c>
      <c r="I1732" s="1" t="s">
        <v>13</v>
      </c>
      <c r="J1732" s="1" t="s">
        <v>27</v>
      </c>
      <c r="K1732" s="1">
        <v>0</v>
      </c>
      <c r="L1732" s="1" t="s">
        <v>23</v>
      </c>
      <c r="M1732" s="1" t="str">
        <f t="shared" si="27"/>
        <v>Consistent</v>
      </c>
      <c r="N1732" s="1" t="str">
        <f>_xlfn.XLOOKUP(H1732, risk_score!A:A, risk_score!B:B, 0)</f>
        <v>Low Risk</v>
      </c>
    </row>
    <row r="1733" spans="1:14">
      <c r="A1733" s="2">
        <v>0.48516203703703703</v>
      </c>
      <c r="B1733" s="3">
        <v>44841</v>
      </c>
      <c r="C1733" s="1">
        <v>1253215932</v>
      </c>
      <c r="D1733" s="1">
        <v>5835375424</v>
      </c>
      <c r="E1733" s="1">
        <v>248.62</v>
      </c>
      <c r="F1733" s="1" t="s">
        <v>12</v>
      </c>
      <c r="G1733" s="1" t="s">
        <v>12</v>
      </c>
      <c r="H1733" s="1" t="s">
        <v>13</v>
      </c>
      <c r="I1733" s="1" t="s">
        <v>13</v>
      </c>
      <c r="J1733" s="1" t="s">
        <v>36</v>
      </c>
      <c r="K1733" s="1">
        <v>0</v>
      </c>
      <c r="L1733" s="1" t="s">
        <v>37</v>
      </c>
      <c r="M1733" s="1" t="str">
        <f t="shared" si="27"/>
        <v>Consistent</v>
      </c>
      <c r="N1733" s="1" t="str">
        <f>_xlfn.XLOOKUP(H1733, risk_score!A:A, risk_score!B:B, 0)</f>
        <v>Low Risk</v>
      </c>
    </row>
    <row r="1734" spans="1:14">
      <c r="A1734" s="2">
        <v>0.48516203703703703</v>
      </c>
      <c r="B1734" s="3">
        <v>44841</v>
      </c>
      <c r="C1734" s="1">
        <v>5955166219</v>
      </c>
      <c r="D1734" s="1">
        <v>9631229705</v>
      </c>
      <c r="E1734" s="1">
        <v>1785.36</v>
      </c>
      <c r="F1734" s="1" t="s">
        <v>12</v>
      </c>
      <c r="G1734" s="1" t="s">
        <v>12</v>
      </c>
      <c r="H1734" s="1" t="s">
        <v>13</v>
      </c>
      <c r="I1734" s="1" t="s">
        <v>13</v>
      </c>
      <c r="J1734" s="1" t="s">
        <v>14</v>
      </c>
      <c r="K1734" s="1">
        <v>0</v>
      </c>
      <c r="L1734" s="1" t="s">
        <v>15</v>
      </c>
      <c r="M1734" s="1" t="str">
        <f t="shared" si="27"/>
        <v>Consistent</v>
      </c>
      <c r="N1734" s="1" t="str">
        <f>_xlfn.XLOOKUP(H1734, risk_score!A:A, risk_score!B:B, 0)</f>
        <v>Low Risk</v>
      </c>
    </row>
    <row r="1735" spans="1:14">
      <c r="A1735" s="2">
        <v>0.48517361111111112</v>
      </c>
      <c r="B1735" s="3">
        <v>44841</v>
      </c>
      <c r="C1735" s="1">
        <v>2603494478</v>
      </c>
      <c r="D1735" s="1">
        <v>6646502650</v>
      </c>
      <c r="E1735" s="1">
        <v>9170.73</v>
      </c>
      <c r="F1735" s="1" t="s">
        <v>12</v>
      </c>
      <c r="G1735" s="1" t="s">
        <v>29</v>
      </c>
      <c r="H1735" s="1" t="s">
        <v>13</v>
      </c>
      <c r="I1735" s="1" t="s">
        <v>31</v>
      </c>
      <c r="J1735" s="1" t="s">
        <v>18</v>
      </c>
      <c r="K1735" s="1">
        <v>0</v>
      </c>
      <c r="L1735" s="1" t="s">
        <v>23</v>
      </c>
      <c r="M1735" s="1" t="str">
        <f t="shared" si="27"/>
        <v>Potential Layering</v>
      </c>
      <c r="N1735" s="1" t="str">
        <f>_xlfn.XLOOKUP(H1735, risk_score!A:A, risk_score!B:B, 0)</f>
        <v>Low Risk</v>
      </c>
    </row>
    <row r="1736" spans="1:14">
      <c r="A1736" s="2">
        <v>0.48520833333333335</v>
      </c>
      <c r="B1736" s="3">
        <v>44841</v>
      </c>
      <c r="C1736" s="1">
        <v>6086421020</v>
      </c>
      <c r="D1736" s="1">
        <v>6624920676</v>
      </c>
      <c r="E1736" s="1">
        <v>6213.15</v>
      </c>
      <c r="F1736" s="1" t="s">
        <v>12</v>
      </c>
      <c r="G1736" s="1" t="s">
        <v>12</v>
      </c>
      <c r="H1736" s="1" t="s">
        <v>13</v>
      </c>
      <c r="I1736" s="1" t="s">
        <v>13</v>
      </c>
      <c r="J1736" s="1" t="s">
        <v>25</v>
      </c>
      <c r="K1736" s="1">
        <v>0</v>
      </c>
      <c r="L1736" s="1" t="s">
        <v>19</v>
      </c>
      <c r="M1736" s="1" t="str">
        <f t="shared" si="27"/>
        <v>Consistent</v>
      </c>
      <c r="N1736" s="1" t="str">
        <f>_xlfn.XLOOKUP(H1736, risk_score!A:A, risk_score!B:B, 0)</f>
        <v>Low Risk</v>
      </c>
    </row>
    <row r="1737" spans="1:14">
      <c r="A1737" s="2">
        <v>0.48520833333333335</v>
      </c>
      <c r="B1737" s="3">
        <v>44841</v>
      </c>
      <c r="C1737" s="1">
        <v>3007675845</v>
      </c>
      <c r="D1737" s="1">
        <v>4569823094</v>
      </c>
      <c r="E1737" s="1">
        <v>5184.01</v>
      </c>
      <c r="F1737" s="1" t="s">
        <v>12</v>
      </c>
      <c r="G1737" s="1" t="s">
        <v>12</v>
      </c>
      <c r="H1737" s="1" t="s">
        <v>13</v>
      </c>
      <c r="I1737" s="1" t="s">
        <v>13</v>
      </c>
      <c r="J1737" s="1" t="s">
        <v>25</v>
      </c>
      <c r="K1737" s="1">
        <v>0</v>
      </c>
      <c r="L1737" s="1" t="s">
        <v>21</v>
      </c>
      <c r="M1737" s="1" t="str">
        <f t="shared" si="27"/>
        <v>Consistent</v>
      </c>
      <c r="N1737" s="1" t="str">
        <f>_xlfn.XLOOKUP(H1737, risk_score!A:A, risk_score!B:B, 0)</f>
        <v>Low Risk</v>
      </c>
    </row>
    <row r="1738" spans="1:14">
      <c r="A1738" s="2">
        <v>0.48523148148148149</v>
      </c>
      <c r="B1738" s="3">
        <v>44841</v>
      </c>
      <c r="C1738" s="1">
        <v>2576623544</v>
      </c>
      <c r="D1738" s="1">
        <v>621060264</v>
      </c>
      <c r="E1738" s="1">
        <v>10370.41</v>
      </c>
      <c r="F1738" s="1" t="s">
        <v>12</v>
      </c>
      <c r="G1738" s="1" t="s">
        <v>12</v>
      </c>
      <c r="H1738" s="1" t="s">
        <v>13</v>
      </c>
      <c r="I1738" s="1" t="s">
        <v>13</v>
      </c>
      <c r="J1738" s="1" t="s">
        <v>22</v>
      </c>
      <c r="K1738" s="1">
        <v>0</v>
      </c>
      <c r="L1738" s="1" t="s">
        <v>23</v>
      </c>
      <c r="M1738" s="1" t="str">
        <f t="shared" si="27"/>
        <v>Consistent</v>
      </c>
      <c r="N1738" s="1" t="str">
        <f>_xlfn.XLOOKUP(H1738, risk_score!A:A, risk_score!B:B, 0)</f>
        <v>Low Risk</v>
      </c>
    </row>
    <row r="1739" spans="1:14">
      <c r="A1739" s="2">
        <v>0.48526620370370371</v>
      </c>
      <c r="B1739" s="3">
        <v>44841</v>
      </c>
      <c r="C1739" s="1">
        <v>4838237223</v>
      </c>
      <c r="D1739" s="1">
        <v>6080874262</v>
      </c>
      <c r="E1739" s="1">
        <v>2459.0300000000002</v>
      </c>
      <c r="F1739" s="1" t="s">
        <v>12</v>
      </c>
      <c r="G1739" s="1" t="s">
        <v>12</v>
      </c>
      <c r="H1739" s="1" t="s">
        <v>13</v>
      </c>
      <c r="I1739" s="1" t="s">
        <v>13</v>
      </c>
      <c r="J1739" s="1" t="s">
        <v>22</v>
      </c>
      <c r="K1739" s="1">
        <v>0</v>
      </c>
      <c r="L1739" s="1" t="s">
        <v>21</v>
      </c>
      <c r="M1739" s="1" t="str">
        <f t="shared" si="27"/>
        <v>Consistent</v>
      </c>
      <c r="N1739" s="1" t="str">
        <f>_xlfn.XLOOKUP(H1739, risk_score!A:A, risk_score!B:B, 0)</f>
        <v>Low Risk</v>
      </c>
    </row>
    <row r="1740" spans="1:14">
      <c r="A1740" s="2">
        <v>0.48528935185185185</v>
      </c>
      <c r="B1740" s="3">
        <v>44841</v>
      </c>
      <c r="C1740" s="1">
        <v>6268108506</v>
      </c>
      <c r="D1740" s="1">
        <v>4498596578</v>
      </c>
      <c r="E1740" s="1">
        <v>27650.99</v>
      </c>
      <c r="F1740" s="1" t="s">
        <v>12</v>
      </c>
      <c r="G1740" s="1" t="s">
        <v>12</v>
      </c>
      <c r="H1740" s="1" t="s">
        <v>13</v>
      </c>
      <c r="I1740" s="1" t="s">
        <v>13</v>
      </c>
      <c r="J1740" s="1" t="s">
        <v>27</v>
      </c>
      <c r="K1740" s="1">
        <v>0</v>
      </c>
      <c r="L1740" s="1" t="s">
        <v>21</v>
      </c>
      <c r="M1740" s="1" t="str">
        <f t="shared" si="27"/>
        <v>Consistent</v>
      </c>
      <c r="N1740" s="1" t="str">
        <f>_xlfn.XLOOKUP(H1740, risk_score!A:A, risk_score!B:B, 0)</f>
        <v>Low Risk</v>
      </c>
    </row>
    <row r="1741" spans="1:14">
      <c r="A1741" s="2">
        <v>0.48534722222222221</v>
      </c>
      <c r="B1741" s="3">
        <v>44841</v>
      </c>
      <c r="C1741" s="1">
        <v>7711304271</v>
      </c>
      <c r="D1741" s="1">
        <v>2451874011</v>
      </c>
      <c r="E1741" s="1">
        <v>2677.62</v>
      </c>
      <c r="F1741" s="1" t="s">
        <v>12</v>
      </c>
      <c r="G1741" s="1" t="s">
        <v>12</v>
      </c>
      <c r="H1741" s="1" t="s">
        <v>13</v>
      </c>
      <c r="I1741" s="1" t="s">
        <v>13</v>
      </c>
      <c r="J1741" s="1" t="s">
        <v>27</v>
      </c>
      <c r="K1741" s="1">
        <v>0</v>
      </c>
      <c r="L1741" s="1" t="s">
        <v>21</v>
      </c>
      <c r="M1741" s="1" t="str">
        <f t="shared" si="27"/>
        <v>Consistent</v>
      </c>
      <c r="N1741" s="1" t="str">
        <f>_xlfn.XLOOKUP(H1741, risk_score!A:A, risk_score!B:B, 0)</f>
        <v>Low Risk</v>
      </c>
    </row>
    <row r="1742" spans="1:14">
      <c r="A1742" s="2">
        <v>0.4853587962962963</v>
      </c>
      <c r="B1742" s="3">
        <v>44841</v>
      </c>
      <c r="C1742" s="1">
        <v>6086421020</v>
      </c>
      <c r="D1742" s="1">
        <v>1253036863</v>
      </c>
      <c r="E1742" s="1">
        <v>24077.58</v>
      </c>
      <c r="F1742" s="1" t="s">
        <v>12</v>
      </c>
      <c r="G1742" s="1" t="s">
        <v>34</v>
      </c>
      <c r="H1742" s="1" t="s">
        <v>13</v>
      </c>
      <c r="I1742" s="1" t="s">
        <v>35</v>
      </c>
      <c r="J1742" s="1" t="s">
        <v>18</v>
      </c>
      <c r="K1742" s="1">
        <v>0</v>
      </c>
      <c r="L1742" s="1" t="s">
        <v>19</v>
      </c>
      <c r="M1742" s="1" t="str">
        <f t="shared" si="27"/>
        <v>Potential Layering</v>
      </c>
      <c r="N1742" s="1" t="str">
        <f>_xlfn.XLOOKUP(H1742, risk_score!A:A, risk_score!B:B, 0)</f>
        <v>Low Risk</v>
      </c>
    </row>
    <row r="1743" spans="1:14">
      <c r="A1743" s="2">
        <v>0.48540509259259257</v>
      </c>
      <c r="B1743" s="3">
        <v>44841</v>
      </c>
      <c r="C1743" s="1">
        <v>1604485677</v>
      </c>
      <c r="D1743" s="1">
        <v>4727699208</v>
      </c>
      <c r="E1743" s="1">
        <v>8714.3799999999992</v>
      </c>
      <c r="F1743" s="1" t="s">
        <v>12</v>
      </c>
      <c r="G1743" s="1" t="s">
        <v>12</v>
      </c>
      <c r="H1743" s="1" t="s">
        <v>13</v>
      </c>
      <c r="I1743" s="1" t="s">
        <v>13</v>
      </c>
      <c r="J1743" s="1" t="s">
        <v>25</v>
      </c>
      <c r="K1743" s="1">
        <v>0</v>
      </c>
      <c r="L1743" s="1" t="s">
        <v>21</v>
      </c>
      <c r="M1743" s="1" t="str">
        <f t="shared" si="27"/>
        <v>Consistent</v>
      </c>
      <c r="N1743" s="1" t="str">
        <f>_xlfn.XLOOKUP(H1743, risk_score!A:A, risk_score!B:B, 0)</f>
        <v>Low Risk</v>
      </c>
    </row>
    <row r="1744" spans="1:14">
      <c r="A1744" s="2">
        <v>0.48540509259259257</v>
      </c>
      <c r="B1744" s="3">
        <v>44841</v>
      </c>
      <c r="C1744" s="1">
        <v>3510078932</v>
      </c>
      <c r="D1744" s="1">
        <v>9059301099</v>
      </c>
      <c r="E1744" s="1">
        <v>8375</v>
      </c>
      <c r="F1744" s="1" t="s">
        <v>12</v>
      </c>
      <c r="G1744" s="1" t="s">
        <v>12</v>
      </c>
      <c r="H1744" s="1" t="s">
        <v>13</v>
      </c>
      <c r="I1744" s="1" t="s">
        <v>13</v>
      </c>
      <c r="J1744" s="1" t="s">
        <v>27</v>
      </c>
      <c r="K1744" s="1">
        <v>0</v>
      </c>
      <c r="L1744" s="1" t="s">
        <v>19</v>
      </c>
      <c r="M1744" s="1" t="str">
        <f t="shared" si="27"/>
        <v>Consistent</v>
      </c>
      <c r="N1744" s="1" t="str">
        <f>_xlfn.XLOOKUP(H1744, risk_score!A:A, risk_score!B:B, 0)</f>
        <v>Low Risk</v>
      </c>
    </row>
    <row r="1745" spans="1:14">
      <c r="A1745" s="2">
        <v>0.48542824074074076</v>
      </c>
      <c r="B1745" s="3">
        <v>44841</v>
      </c>
      <c r="C1745" s="1">
        <v>5262790133</v>
      </c>
      <c r="D1745" s="1">
        <v>7708979254</v>
      </c>
      <c r="E1745" s="1">
        <v>435.62</v>
      </c>
      <c r="F1745" s="1" t="s">
        <v>12</v>
      </c>
      <c r="G1745" s="1" t="s">
        <v>16</v>
      </c>
      <c r="H1745" s="1" t="s">
        <v>13</v>
      </c>
      <c r="I1745" s="1" t="s">
        <v>17</v>
      </c>
      <c r="J1745" s="1" t="s">
        <v>18</v>
      </c>
      <c r="K1745" s="1">
        <v>0</v>
      </c>
      <c r="L1745" s="1" t="s">
        <v>21</v>
      </c>
      <c r="M1745" s="1" t="str">
        <f t="shared" si="27"/>
        <v>Potential Layering</v>
      </c>
      <c r="N1745" s="1" t="str">
        <f>_xlfn.XLOOKUP(H1745, risk_score!A:A, risk_score!B:B, 0)</f>
        <v>Low Risk</v>
      </c>
    </row>
    <row r="1746" spans="1:14">
      <c r="A1746" s="2">
        <v>0.48550925925925925</v>
      </c>
      <c r="B1746" s="3">
        <v>44841</v>
      </c>
      <c r="C1746" s="1">
        <v>6307900258</v>
      </c>
      <c r="D1746" s="1">
        <v>2688676847</v>
      </c>
      <c r="E1746" s="1">
        <v>1140.92</v>
      </c>
      <c r="F1746" s="1" t="s">
        <v>12</v>
      </c>
      <c r="G1746" s="1" t="s">
        <v>12</v>
      </c>
      <c r="H1746" s="1" t="s">
        <v>13</v>
      </c>
      <c r="I1746" s="1" t="s">
        <v>13</v>
      </c>
      <c r="J1746" s="1" t="s">
        <v>22</v>
      </c>
      <c r="K1746" s="1">
        <v>0</v>
      </c>
      <c r="L1746" s="1" t="s">
        <v>21</v>
      </c>
      <c r="M1746" s="1" t="str">
        <f t="shared" si="27"/>
        <v>Consistent</v>
      </c>
      <c r="N1746" s="1" t="str">
        <f>_xlfn.XLOOKUP(H1746, risk_score!A:A, risk_score!B:B, 0)</f>
        <v>Low Risk</v>
      </c>
    </row>
    <row r="1747" spans="1:14">
      <c r="A1747" s="2">
        <v>0.48553240740740738</v>
      </c>
      <c r="B1747" s="3">
        <v>44841</v>
      </c>
      <c r="C1747" s="1">
        <v>3011203127</v>
      </c>
      <c r="D1747" s="1">
        <v>5858369125</v>
      </c>
      <c r="E1747" s="1">
        <v>6014.12</v>
      </c>
      <c r="F1747" s="1" t="s">
        <v>12</v>
      </c>
      <c r="G1747" s="1" t="s">
        <v>12</v>
      </c>
      <c r="H1747" s="1" t="s">
        <v>13</v>
      </c>
      <c r="I1747" s="1" t="s">
        <v>13</v>
      </c>
      <c r="J1747" s="1" t="s">
        <v>22</v>
      </c>
      <c r="K1747" s="1">
        <v>0</v>
      </c>
      <c r="L1747" s="1" t="s">
        <v>23</v>
      </c>
      <c r="M1747" s="1" t="str">
        <f t="shared" si="27"/>
        <v>Consistent</v>
      </c>
      <c r="N1747" s="1" t="str">
        <f>_xlfn.XLOOKUP(H1747, risk_score!A:A, risk_score!B:B, 0)</f>
        <v>Low Risk</v>
      </c>
    </row>
    <row r="1748" spans="1:14">
      <c r="A1748" s="2">
        <v>0.48557870370370371</v>
      </c>
      <c r="B1748" s="3">
        <v>44841</v>
      </c>
      <c r="C1748" s="1">
        <v>3614082527</v>
      </c>
      <c r="D1748" s="1">
        <v>833800673</v>
      </c>
      <c r="E1748" s="1">
        <v>20094.13</v>
      </c>
      <c r="F1748" s="1" t="s">
        <v>12</v>
      </c>
      <c r="G1748" s="1" t="s">
        <v>12</v>
      </c>
      <c r="H1748" s="1" t="s">
        <v>13</v>
      </c>
      <c r="I1748" s="1" t="s">
        <v>13</v>
      </c>
      <c r="J1748" s="1" t="s">
        <v>22</v>
      </c>
      <c r="K1748" s="1">
        <v>0</v>
      </c>
      <c r="L1748" s="1" t="s">
        <v>19</v>
      </c>
      <c r="M1748" s="1" t="str">
        <f t="shared" si="27"/>
        <v>Consistent</v>
      </c>
      <c r="N1748" s="1" t="str">
        <f>_xlfn.XLOOKUP(H1748, risk_score!A:A, risk_score!B:B, 0)</f>
        <v>Low Risk</v>
      </c>
    </row>
    <row r="1749" spans="1:14">
      <c r="A1749" s="2">
        <v>0.4855902777777778</v>
      </c>
      <c r="B1749" s="3">
        <v>44841</v>
      </c>
      <c r="C1749" s="1">
        <v>2450448709</v>
      </c>
      <c r="D1749" s="1">
        <v>3061704875</v>
      </c>
      <c r="E1749" s="1">
        <v>9100.19</v>
      </c>
      <c r="F1749" s="1" t="s">
        <v>12</v>
      </c>
      <c r="G1749" s="1" t="s">
        <v>12</v>
      </c>
      <c r="H1749" s="1" t="s">
        <v>13</v>
      </c>
      <c r="I1749" s="1" t="s">
        <v>13</v>
      </c>
      <c r="J1749" s="1" t="s">
        <v>27</v>
      </c>
      <c r="K1749" s="1">
        <v>0</v>
      </c>
      <c r="L1749" s="1" t="s">
        <v>21</v>
      </c>
      <c r="M1749" s="1" t="str">
        <f t="shared" si="27"/>
        <v>Consistent</v>
      </c>
      <c r="N1749" s="1" t="str">
        <f>_xlfn.XLOOKUP(H1749, risk_score!A:A, risk_score!B:B, 0)</f>
        <v>Low Risk</v>
      </c>
    </row>
    <row r="1750" spans="1:14">
      <c r="A1750" s="2">
        <v>0.48561342592592593</v>
      </c>
      <c r="B1750" s="3">
        <v>44841</v>
      </c>
      <c r="C1750" s="1">
        <v>9941194188</v>
      </c>
      <c r="D1750" s="1">
        <v>8518184956</v>
      </c>
      <c r="E1750" s="1">
        <v>20746.72</v>
      </c>
      <c r="F1750" s="1" t="s">
        <v>12</v>
      </c>
      <c r="G1750" s="1" t="s">
        <v>12</v>
      </c>
      <c r="H1750" s="1" t="s">
        <v>13</v>
      </c>
      <c r="I1750" s="1" t="s">
        <v>13</v>
      </c>
      <c r="J1750" s="1" t="s">
        <v>20</v>
      </c>
      <c r="K1750" s="1">
        <v>0</v>
      </c>
      <c r="L1750" s="1" t="s">
        <v>23</v>
      </c>
      <c r="M1750" s="1" t="str">
        <f t="shared" si="27"/>
        <v>Consistent</v>
      </c>
      <c r="N1750" s="1" t="str">
        <f>_xlfn.XLOOKUP(H1750, risk_score!A:A, risk_score!B:B, 0)</f>
        <v>Low Risk</v>
      </c>
    </row>
    <row r="1751" spans="1:14">
      <c r="A1751" s="2">
        <v>0.48564814814814816</v>
      </c>
      <c r="B1751" s="3">
        <v>44841</v>
      </c>
      <c r="C1751" s="1">
        <v>7758268667</v>
      </c>
      <c r="D1751" s="1">
        <v>6000485397</v>
      </c>
      <c r="E1751" s="1">
        <v>9248.75</v>
      </c>
      <c r="F1751" s="1" t="s">
        <v>12</v>
      </c>
      <c r="G1751" s="1" t="s">
        <v>12</v>
      </c>
      <c r="H1751" s="1" t="s">
        <v>13</v>
      </c>
      <c r="I1751" s="1" t="s">
        <v>13</v>
      </c>
      <c r="J1751" s="1" t="s">
        <v>20</v>
      </c>
      <c r="K1751" s="1">
        <v>0</v>
      </c>
      <c r="L1751" s="1" t="s">
        <v>19</v>
      </c>
      <c r="M1751" s="1" t="str">
        <f t="shared" si="27"/>
        <v>Consistent</v>
      </c>
      <c r="N1751" s="1" t="str">
        <f>_xlfn.XLOOKUP(H1751, risk_score!A:A, risk_score!B:B, 0)</f>
        <v>Low Risk</v>
      </c>
    </row>
    <row r="1752" spans="1:14">
      <c r="A1752" s="2">
        <v>0.48564814814814816</v>
      </c>
      <c r="B1752" s="3">
        <v>44841</v>
      </c>
      <c r="C1752" s="1">
        <v>4652896235</v>
      </c>
      <c r="D1752" s="1">
        <v>7080357663</v>
      </c>
      <c r="E1752" s="1">
        <v>5823.52</v>
      </c>
      <c r="F1752" s="1" t="s">
        <v>12</v>
      </c>
      <c r="G1752" s="1" t="s">
        <v>12</v>
      </c>
      <c r="H1752" s="1" t="s">
        <v>13</v>
      </c>
      <c r="I1752" s="1" t="s">
        <v>13</v>
      </c>
      <c r="J1752" s="1" t="s">
        <v>27</v>
      </c>
      <c r="K1752" s="1">
        <v>0</v>
      </c>
      <c r="L1752" s="1" t="s">
        <v>23</v>
      </c>
      <c r="M1752" s="1" t="str">
        <f t="shared" si="27"/>
        <v>Consistent</v>
      </c>
      <c r="N1752" s="1" t="str">
        <f>_xlfn.XLOOKUP(H1752, risk_score!A:A, risk_score!B:B, 0)</f>
        <v>Low Risk</v>
      </c>
    </row>
    <row r="1753" spans="1:14">
      <c r="A1753" s="2">
        <v>0.48564814814814816</v>
      </c>
      <c r="B1753" s="3">
        <v>44841</v>
      </c>
      <c r="C1753" s="1">
        <v>5464175275</v>
      </c>
      <c r="D1753" s="1">
        <v>7581615865</v>
      </c>
      <c r="E1753" s="1">
        <v>3014.2</v>
      </c>
      <c r="F1753" s="1" t="s">
        <v>12</v>
      </c>
      <c r="G1753" s="1" t="s">
        <v>12</v>
      </c>
      <c r="H1753" s="1" t="s">
        <v>13</v>
      </c>
      <c r="I1753" s="1" t="s">
        <v>13</v>
      </c>
      <c r="J1753" s="1" t="s">
        <v>25</v>
      </c>
      <c r="K1753" s="1">
        <v>0</v>
      </c>
      <c r="L1753" s="1" t="s">
        <v>21</v>
      </c>
      <c r="M1753" s="1" t="str">
        <f t="shared" si="27"/>
        <v>Consistent</v>
      </c>
      <c r="N1753" s="1" t="str">
        <f>_xlfn.XLOOKUP(H1753, risk_score!A:A, risk_score!B:B, 0)</f>
        <v>Low Risk</v>
      </c>
    </row>
    <row r="1754" spans="1:14">
      <c r="A1754" s="2">
        <v>0.4856712962962963</v>
      </c>
      <c r="B1754" s="3">
        <v>44841</v>
      </c>
      <c r="C1754" s="1">
        <v>3300785782</v>
      </c>
      <c r="D1754" s="1">
        <v>8293391480</v>
      </c>
      <c r="E1754" s="1">
        <v>922.96</v>
      </c>
      <c r="F1754" s="1" t="s">
        <v>12</v>
      </c>
      <c r="G1754" s="1" t="s">
        <v>12</v>
      </c>
      <c r="H1754" s="1" t="s">
        <v>13</v>
      </c>
      <c r="I1754" s="1" t="s">
        <v>13</v>
      </c>
      <c r="J1754" s="1" t="s">
        <v>22</v>
      </c>
      <c r="K1754" s="1">
        <v>0</v>
      </c>
      <c r="L1754" s="1" t="s">
        <v>21</v>
      </c>
      <c r="M1754" s="1" t="str">
        <f t="shared" si="27"/>
        <v>Consistent</v>
      </c>
      <c r="N1754" s="1" t="str">
        <f>_xlfn.XLOOKUP(H1754, risk_score!A:A, risk_score!B:B, 0)</f>
        <v>Low Risk</v>
      </c>
    </row>
    <row r="1755" spans="1:14">
      <c r="A1755" s="2">
        <v>0.48569444444444443</v>
      </c>
      <c r="B1755" s="3">
        <v>44841</v>
      </c>
      <c r="C1755" s="1">
        <v>4975393053</v>
      </c>
      <c r="D1755" s="1">
        <v>608997915</v>
      </c>
      <c r="E1755" s="1">
        <v>14138.77</v>
      </c>
      <c r="F1755" s="1" t="s">
        <v>12</v>
      </c>
      <c r="G1755" s="1" t="s">
        <v>12</v>
      </c>
      <c r="H1755" s="1" t="s">
        <v>13</v>
      </c>
      <c r="I1755" s="1" t="s">
        <v>13</v>
      </c>
      <c r="J1755" s="1" t="s">
        <v>27</v>
      </c>
      <c r="K1755" s="1">
        <v>0</v>
      </c>
      <c r="L1755" s="1" t="s">
        <v>24</v>
      </c>
      <c r="M1755" s="1" t="str">
        <f t="shared" si="27"/>
        <v>Consistent</v>
      </c>
      <c r="N1755" s="1" t="str">
        <f>_xlfn.XLOOKUP(H1755, risk_score!A:A, risk_score!B:B, 0)</f>
        <v>Low Risk</v>
      </c>
    </row>
    <row r="1756" spans="1:14">
      <c r="A1756" s="2">
        <v>0.48574074074074075</v>
      </c>
      <c r="B1756" s="3">
        <v>44841</v>
      </c>
      <c r="C1756" s="1">
        <v>283280424</v>
      </c>
      <c r="D1756" s="1">
        <v>4122102510</v>
      </c>
      <c r="E1756" s="1">
        <v>2938.74</v>
      </c>
      <c r="F1756" s="1" t="s">
        <v>12</v>
      </c>
      <c r="G1756" s="1" t="s">
        <v>12</v>
      </c>
      <c r="H1756" s="1" t="s">
        <v>13</v>
      </c>
      <c r="I1756" s="1" t="s">
        <v>13</v>
      </c>
      <c r="J1756" s="1" t="s">
        <v>22</v>
      </c>
      <c r="K1756" s="1">
        <v>0</v>
      </c>
      <c r="L1756" s="1" t="s">
        <v>21</v>
      </c>
      <c r="M1756" s="1" t="str">
        <f t="shared" si="27"/>
        <v>Consistent</v>
      </c>
      <c r="N1756" s="1" t="str">
        <f>_xlfn.XLOOKUP(H1756, risk_score!A:A, risk_score!B:B, 0)</f>
        <v>Low Risk</v>
      </c>
    </row>
    <row r="1757" spans="1:14">
      <c r="A1757" s="2">
        <v>0.48574074074074075</v>
      </c>
      <c r="B1757" s="3">
        <v>44841</v>
      </c>
      <c r="C1757" s="1">
        <v>1667716246</v>
      </c>
      <c r="D1757" s="1">
        <v>6441818635</v>
      </c>
      <c r="E1757" s="1">
        <v>8257.82</v>
      </c>
      <c r="F1757" s="1" t="s">
        <v>12</v>
      </c>
      <c r="G1757" s="1" t="s">
        <v>12</v>
      </c>
      <c r="H1757" s="1" t="s">
        <v>13</v>
      </c>
      <c r="I1757" s="1" t="s">
        <v>13</v>
      </c>
      <c r="J1757" s="1" t="s">
        <v>22</v>
      </c>
      <c r="K1757" s="1">
        <v>0</v>
      </c>
      <c r="L1757" s="1" t="s">
        <v>24</v>
      </c>
      <c r="M1757" s="1" t="str">
        <f t="shared" si="27"/>
        <v>Consistent</v>
      </c>
      <c r="N1757" s="1" t="str">
        <f>_xlfn.XLOOKUP(H1757, risk_score!A:A, risk_score!B:B, 0)</f>
        <v>Low Risk</v>
      </c>
    </row>
    <row r="1758" spans="1:14">
      <c r="A1758" s="2">
        <v>0.48577546296296298</v>
      </c>
      <c r="B1758" s="3">
        <v>44841</v>
      </c>
      <c r="C1758" s="1">
        <v>4804619152</v>
      </c>
      <c r="D1758" s="1">
        <v>3695545812</v>
      </c>
      <c r="E1758" s="1">
        <v>8567.18</v>
      </c>
      <c r="F1758" s="1" t="s">
        <v>12</v>
      </c>
      <c r="G1758" s="1" t="s">
        <v>12</v>
      </c>
      <c r="H1758" s="1" t="s">
        <v>13</v>
      </c>
      <c r="I1758" s="1" t="s">
        <v>13</v>
      </c>
      <c r="J1758" s="1" t="s">
        <v>25</v>
      </c>
      <c r="K1758" s="1">
        <v>0</v>
      </c>
      <c r="L1758" s="1" t="s">
        <v>23</v>
      </c>
      <c r="M1758" s="1" t="str">
        <f t="shared" si="27"/>
        <v>Consistent</v>
      </c>
      <c r="N1758" s="1" t="str">
        <f>_xlfn.XLOOKUP(H1758, risk_score!A:A, risk_score!B:B, 0)</f>
        <v>Low Risk</v>
      </c>
    </row>
    <row r="1759" spans="1:14">
      <c r="A1759" s="2">
        <v>0.48578703703703702</v>
      </c>
      <c r="B1759" s="3">
        <v>44841</v>
      </c>
      <c r="C1759" s="1">
        <v>2045644966</v>
      </c>
      <c r="D1759" s="1">
        <v>621060264</v>
      </c>
      <c r="E1759" s="1">
        <v>7036.07</v>
      </c>
      <c r="F1759" s="1" t="s">
        <v>12</v>
      </c>
      <c r="G1759" s="1" t="s">
        <v>12</v>
      </c>
      <c r="H1759" s="1" t="s">
        <v>13</v>
      </c>
      <c r="I1759" s="1" t="s">
        <v>13</v>
      </c>
      <c r="J1759" s="1" t="s">
        <v>25</v>
      </c>
      <c r="K1759" s="1">
        <v>0</v>
      </c>
      <c r="L1759" s="1" t="s">
        <v>23</v>
      </c>
      <c r="M1759" s="1" t="str">
        <f t="shared" si="27"/>
        <v>Consistent</v>
      </c>
      <c r="N1759" s="1" t="str">
        <f>_xlfn.XLOOKUP(H1759, risk_score!A:A, risk_score!B:B, 0)</f>
        <v>Low Risk</v>
      </c>
    </row>
    <row r="1760" spans="1:14">
      <c r="A1760" s="2">
        <v>0.48581018518518521</v>
      </c>
      <c r="B1760" s="3">
        <v>44841</v>
      </c>
      <c r="C1760" s="1">
        <v>6176317543</v>
      </c>
      <c r="D1760" s="1">
        <v>8241405397</v>
      </c>
      <c r="E1760" s="1">
        <v>1179.6500000000001</v>
      </c>
      <c r="F1760" s="1" t="s">
        <v>12</v>
      </c>
      <c r="G1760" s="1" t="s">
        <v>12</v>
      </c>
      <c r="H1760" s="1" t="s">
        <v>13</v>
      </c>
      <c r="I1760" s="1" t="s">
        <v>13</v>
      </c>
      <c r="J1760" s="1" t="s">
        <v>20</v>
      </c>
      <c r="K1760" s="1">
        <v>0</v>
      </c>
      <c r="L1760" s="1" t="s">
        <v>21</v>
      </c>
      <c r="M1760" s="1" t="str">
        <f t="shared" si="27"/>
        <v>Consistent</v>
      </c>
      <c r="N1760" s="1" t="str">
        <f>_xlfn.XLOOKUP(H1760, risk_score!A:A, risk_score!B:B, 0)</f>
        <v>Low Risk</v>
      </c>
    </row>
    <row r="1761" spans="1:14">
      <c r="A1761" s="2">
        <v>0.48584490740740743</v>
      </c>
      <c r="B1761" s="3">
        <v>44841</v>
      </c>
      <c r="C1761" s="1">
        <v>3168051873</v>
      </c>
      <c r="D1761" s="1">
        <v>4856706287</v>
      </c>
      <c r="E1761" s="1">
        <v>13440.35</v>
      </c>
      <c r="F1761" s="1" t="s">
        <v>12</v>
      </c>
      <c r="G1761" s="1" t="s">
        <v>12</v>
      </c>
      <c r="H1761" s="1" t="s">
        <v>13</v>
      </c>
      <c r="I1761" s="1" t="s">
        <v>13</v>
      </c>
      <c r="J1761" s="1" t="s">
        <v>20</v>
      </c>
      <c r="K1761" s="1">
        <v>0</v>
      </c>
      <c r="L1761" s="1" t="s">
        <v>19</v>
      </c>
      <c r="M1761" s="1" t="str">
        <f t="shared" si="27"/>
        <v>Consistent</v>
      </c>
      <c r="N1761" s="1" t="str">
        <f>_xlfn.XLOOKUP(H1761, risk_score!A:A, risk_score!B:B, 0)</f>
        <v>Low Risk</v>
      </c>
    </row>
    <row r="1762" spans="1:14">
      <c r="A1762" s="2">
        <v>0.48584490740740743</v>
      </c>
      <c r="B1762" s="3">
        <v>44841</v>
      </c>
      <c r="C1762" s="1">
        <v>9921560807</v>
      </c>
      <c r="D1762" s="1">
        <v>7467880755</v>
      </c>
      <c r="E1762" s="1">
        <v>2116.39</v>
      </c>
      <c r="F1762" s="1" t="s">
        <v>12</v>
      </c>
      <c r="G1762" s="1" t="s">
        <v>12</v>
      </c>
      <c r="H1762" s="1" t="s">
        <v>13</v>
      </c>
      <c r="I1762" s="1" t="s">
        <v>13</v>
      </c>
      <c r="J1762" s="1" t="s">
        <v>14</v>
      </c>
      <c r="K1762" s="1">
        <v>0</v>
      </c>
      <c r="L1762" s="1" t="s">
        <v>15</v>
      </c>
      <c r="M1762" s="1" t="str">
        <f t="shared" si="27"/>
        <v>Consistent</v>
      </c>
      <c r="N1762" s="1" t="str">
        <f>_xlfn.XLOOKUP(H1762, risk_score!A:A, risk_score!B:B, 0)</f>
        <v>Low Risk</v>
      </c>
    </row>
    <row r="1763" spans="1:14">
      <c r="A1763" s="2">
        <v>0.48584490740740743</v>
      </c>
      <c r="B1763" s="3">
        <v>44841</v>
      </c>
      <c r="C1763" s="1">
        <v>7421451752</v>
      </c>
      <c r="D1763" s="1">
        <v>804519509</v>
      </c>
      <c r="E1763" s="1">
        <v>6065.7</v>
      </c>
      <c r="F1763" s="1" t="s">
        <v>12</v>
      </c>
      <c r="G1763" s="1" t="s">
        <v>12</v>
      </c>
      <c r="H1763" s="1" t="s">
        <v>13</v>
      </c>
      <c r="I1763" s="1" t="s">
        <v>13</v>
      </c>
      <c r="J1763" s="1" t="s">
        <v>22</v>
      </c>
      <c r="K1763" s="1">
        <v>0</v>
      </c>
      <c r="L1763" s="1" t="s">
        <v>19</v>
      </c>
      <c r="M1763" s="1" t="str">
        <f t="shared" si="27"/>
        <v>Consistent</v>
      </c>
      <c r="N1763" s="1" t="str">
        <f>_xlfn.XLOOKUP(H1763, risk_score!A:A, risk_score!B:B, 0)</f>
        <v>Low Risk</v>
      </c>
    </row>
    <row r="1764" spans="1:14">
      <c r="A1764" s="2">
        <v>0.48584490740740743</v>
      </c>
      <c r="B1764" s="3">
        <v>44841</v>
      </c>
      <c r="C1764" s="1">
        <v>2192295697</v>
      </c>
      <c r="D1764" s="1">
        <v>7450979302</v>
      </c>
      <c r="E1764" s="1">
        <v>3329.06</v>
      </c>
      <c r="F1764" s="1" t="s">
        <v>12</v>
      </c>
      <c r="G1764" s="1" t="s">
        <v>12</v>
      </c>
      <c r="H1764" s="1" t="s">
        <v>13</v>
      </c>
      <c r="I1764" s="1" t="s">
        <v>13</v>
      </c>
      <c r="J1764" s="1" t="s">
        <v>25</v>
      </c>
      <c r="K1764" s="1">
        <v>0</v>
      </c>
      <c r="L1764" s="1" t="s">
        <v>21</v>
      </c>
      <c r="M1764" s="1" t="str">
        <f t="shared" si="27"/>
        <v>Consistent</v>
      </c>
      <c r="N1764" s="1" t="str">
        <f>_xlfn.XLOOKUP(H1764, risk_score!A:A, risk_score!B:B, 0)</f>
        <v>Low Risk</v>
      </c>
    </row>
    <row r="1765" spans="1:14">
      <c r="A1765" s="2">
        <v>0.48586805555555557</v>
      </c>
      <c r="B1765" s="3">
        <v>44841</v>
      </c>
      <c r="C1765" s="1">
        <v>9901680164</v>
      </c>
      <c r="D1765" s="1">
        <v>1465487567</v>
      </c>
      <c r="E1765" s="1">
        <v>9504.35</v>
      </c>
      <c r="F1765" s="1" t="s">
        <v>12</v>
      </c>
      <c r="G1765" s="1" t="s">
        <v>12</v>
      </c>
      <c r="H1765" s="1" t="s">
        <v>13</v>
      </c>
      <c r="I1765" s="1" t="s">
        <v>13</v>
      </c>
      <c r="J1765" s="1" t="s">
        <v>20</v>
      </c>
      <c r="K1765" s="1">
        <v>0</v>
      </c>
      <c r="L1765" s="1" t="s">
        <v>23</v>
      </c>
      <c r="M1765" s="1" t="str">
        <f t="shared" si="27"/>
        <v>Consistent</v>
      </c>
      <c r="N1765" s="1" t="str">
        <f>_xlfn.XLOOKUP(H1765, risk_score!A:A, risk_score!B:B, 0)</f>
        <v>Low Risk</v>
      </c>
    </row>
    <row r="1766" spans="1:14">
      <c r="A1766" s="2">
        <v>0.48590277777777779</v>
      </c>
      <c r="B1766" s="3">
        <v>44841</v>
      </c>
      <c r="C1766" s="1">
        <v>539802231</v>
      </c>
      <c r="D1766" s="1">
        <v>3179215472</v>
      </c>
      <c r="E1766" s="1">
        <v>241.56</v>
      </c>
      <c r="F1766" s="1" t="s">
        <v>12</v>
      </c>
      <c r="G1766" s="1" t="s">
        <v>12</v>
      </c>
      <c r="H1766" s="1" t="s">
        <v>13</v>
      </c>
      <c r="I1766" s="1" t="s">
        <v>13</v>
      </c>
      <c r="J1766" s="1" t="s">
        <v>25</v>
      </c>
      <c r="K1766" s="1">
        <v>0</v>
      </c>
      <c r="L1766" s="1" t="s">
        <v>21</v>
      </c>
      <c r="M1766" s="1" t="str">
        <f t="shared" si="27"/>
        <v>Consistent</v>
      </c>
      <c r="N1766" s="1" t="str">
        <f>_xlfn.XLOOKUP(H1766, risk_score!A:A, risk_score!B:B, 0)</f>
        <v>Low Risk</v>
      </c>
    </row>
    <row r="1767" spans="1:14">
      <c r="A1767" s="2">
        <v>0.48590277777777779</v>
      </c>
      <c r="B1767" s="3">
        <v>44841</v>
      </c>
      <c r="C1767" s="1">
        <v>1584271198</v>
      </c>
      <c r="D1767" s="1">
        <v>1934689485</v>
      </c>
      <c r="E1767" s="1">
        <v>618.04999999999995</v>
      </c>
      <c r="F1767" s="1" t="s">
        <v>12</v>
      </c>
      <c r="G1767" s="1" t="s">
        <v>12</v>
      </c>
      <c r="H1767" s="1" t="s">
        <v>13</v>
      </c>
      <c r="I1767" s="1" t="s">
        <v>13</v>
      </c>
      <c r="J1767" s="1" t="s">
        <v>22</v>
      </c>
      <c r="K1767" s="1">
        <v>0</v>
      </c>
      <c r="L1767" s="1" t="s">
        <v>21</v>
      </c>
      <c r="M1767" s="1" t="str">
        <f t="shared" si="27"/>
        <v>Consistent</v>
      </c>
      <c r="N1767" s="1" t="str">
        <f>_xlfn.XLOOKUP(H1767, risk_score!A:A, risk_score!B:B, 0)</f>
        <v>Low Risk</v>
      </c>
    </row>
    <row r="1768" spans="1:14">
      <c r="A1768" s="2">
        <v>0.48591435185185183</v>
      </c>
      <c r="B1768" s="3">
        <v>44841</v>
      </c>
      <c r="C1768" s="1">
        <v>1630883469</v>
      </c>
      <c r="D1768" s="1">
        <v>9600420220</v>
      </c>
      <c r="E1768" s="1">
        <v>11222.02</v>
      </c>
      <c r="F1768" s="1" t="s">
        <v>12</v>
      </c>
      <c r="G1768" s="1" t="s">
        <v>12</v>
      </c>
      <c r="H1768" s="1" t="s">
        <v>13</v>
      </c>
      <c r="I1768" s="1" t="s">
        <v>13</v>
      </c>
      <c r="J1768" s="1" t="s">
        <v>22</v>
      </c>
      <c r="K1768" s="1">
        <v>0</v>
      </c>
      <c r="L1768" s="1" t="s">
        <v>23</v>
      </c>
      <c r="M1768" s="1" t="str">
        <f t="shared" si="27"/>
        <v>Consistent</v>
      </c>
      <c r="N1768" s="1" t="str">
        <f>_xlfn.XLOOKUP(H1768, risk_score!A:A, risk_score!B:B, 0)</f>
        <v>Low Risk</v>
      </c>
    </row>
    <row r="1769" spans="1:14">
      <c r="A1769" s="2">
        <v>0.48592592592592593</v>
      </c>
      <c r="B1769" s="3">
        <v>44841</v>
      </c>
      <c r="C1769" s="1">
        <v>4584388496</v>
      </c>
      <c r="D1769" s="1">
        <v>621060264</v>
      </c>
      <c r="E1769" s="1">
        <v>6884.38</v>
      </c>
      <c r="F1769" s="1" t="s">
        <v>12</v>
      </c>
      <c r="G1769" s="1" t="s">
        <v>12</v>
      </c>
      <c r="H1769" s="1" t="s">
        <v>13</v>
      </c>
      <c r="I1769" s="1" t="s">
        <v>13</v>
      </c>
      <c r="J1769" s="1" t="s">
        <v>25</v>
      </c>
      <c r="K1769" s="1">
        <v>0</v>
      </c>
      <c r="L1769" s="1" t="s">
        <v>23</v>
      </c>
      <c r="M1769" s="1" t="str">
        <f t="shared" si="27"/>
        <v>Consistent</v>
      </c>
      <c r="N1769" s="1" t="str">
        <f>_xlfn.XLOOKUP(H1769, risk_score!A:A, risk_score!B:B, 0)</f>
        <v>Low Risk</v>
      </c>
    </row>
    <row r="1770" spans="1:14">
      <c r="A1770" s="2">
        <v>0.48593750000000002</v>
      </c>
      <c r="B1770" s="3">
        <v>44841</v>
      </c>
      <c r="C1770" s="1">
        <v>5016065737</v>
      </c>
      <c r="D1770" s="1">
        <v>6301402873</v>
      </c>
      <c r="E1770" s="1">
        <v>11698.26</v>
      </c>
      <c r="F1770" s="1" t="s">
        <v>12</v>
      </c>
      <c r="G1770" s="1" t="s">
        <v>12</v>
      </c>
      <c r="H1770" s="1" t="s">
        <v>13</v>
      </c>
      <c r="I1770" s="1" t="s">
        <v>13</v>
      </c>
      <c r="J1770" s="1" t="s">
        <v>20</v>
      </c>
      <c r="K1770" s="1">
        <v>0</v>
      </c>
      <c r="L1770" s="1" t="s">
        <v>21</v>
      </c>
      <c r="M1770" s="1" t="str">
        <f t="shared" si="27"/>
        <v>Consistent</v>
      </c>
      <c r="N1770" s="1" t="str">
        <f>_xlfn.XLOOKUP(H1770, risk_score!A:A, risk_score!B:B, 0)</f>
        <v>Low Risk</v>
      </c>
    </row>
    <row r="1771" spans="1:14">
      <c r="A1771" s="2">
        <v>0.48594907407407406</v>
      </c>
      <c r="B1771" s="3">
        <v>44841</v>
      </c>
      <c r="C1771" s="1">
        <v>3930127189</v>
      </c>
      <c r="D1771" s="1">
        <v>3220735304</v>
      </c>
      <c r="E1771" s="1">
        <v>20091.7</v>
      </c>
      <c r="F1771" s="1" t="s">
        <v>12</v>
      </c>
      <c r="G1771" s="1" t="s">
        <v>12</v>
      </c>
      <c r="H1771" s="1" t="s">
        <v>13</v>
      </c>
      <c r="I1771" s="1" t="s">
        <v>13</v>
      </c>
      <c r="J1771" s="1" t="s">
        <v>27</v>
      </c>
      <c r="K1771" s="1">
        <v>0</v>
      </c>
      <c r="L1771" s="1" t="s">
        <v>23</v>
      </c>
      <c r="M1771" s="1" t="str">
        <f t="shared" si="27"/>
        <v>Consistent</v>
      </c>
      <c r="N1771" s="1" t="str">
        <f>_xlfn.XLOOKUP(H1771, risk_score!A:A, risk_score!B:B, 0)</f>
        <v>Low Risk</v>
      </c>
    </row>
    <row r="1772" spans="1:14">
      <c r="A1772" s="2">
        <v>0.48596064814814816</v>
      </c>
      <c r="B1772" s="3">
        <v>44841</v>
      </c>
      <c r="C1772" s="1">
        <v>1716006167</v>
      </c>
      <c r="D1772" s="1">
        <v>5006452737</v>
      </c>
      <c r="E1772" s="1">
        <v>4224.78</v>
      </c>
      <c r="F1772" s="1" t="s">
        <v>12</v>
      </c>
      <c r="G1772" s="1" t="s">
        <v>12</v>
      </c>
      <c r="H1772" s="1" t="s">
        <v>13</v>
      </c>
      <c r="I1772" s="1" t="s">
        <v>13</v>
      </c>
      <c r="J1772" s="1" t="s">
        <v>27</v>
      </c>
      <c r="K1772" s="1">
        <v>0</v>
      </c>
      <c r="L1772" s="1" t="s">
        <v>21</v>
      </c>
      <c r="M1772" s="1" t="str">
        <f t="shared" si="27"/>
        <v>Consistent</v>
      </c>
      <c r="N1772" s="1" t="str">
        <f>_xlfn.XLOOKUP(H1772, risk_score!A:A, risk_score!B:B, 0)</f>
        <v>Low Risk</v>
      </c>
    </row>
    <row r="1773" spans="1:14">
      <c r="A1773" s="2">
        <v>0.48597222222222225</v>
      </c>
      <c r="B1773" s="3">
        <v>44841</v>
      </c>
      <c r="C1773" s="1">
        <v>7438507951</v>
      </c>
      <c r="D1773" s="1">
        <v>3220735304</v>
      </c>
      <c r="E1773" s="1">
        <v>18945</v>
      </c>
      <c r="F1773" s="1" t="s">
        <v>12</v>
      </c>
      <c r="G1773" s="1" t="s">
        <v>12</v>
      </c>
      <c r="H1773" s="1" t="s">
        <v>13</v>
      </c>
      <c r="I1773" s="1" t="s">
        <v>13</v>
      </c>
      <c r="J1773" s="1" t="s">
        <v>25</v>
      </c>
      <c r="K1773" s="1">
        <v>0</v>
      </c>
      <c r="L1773" s="1" t="s">
        <v>23</v>
      </c>
      <c r="M1773" s="1" t="str">
        <f t="shared" si="27"/>
        <v>Consistent</v>
      </c>
      <c r="N1773" s="1" t="str">
        <f>_xlfn.XLOOKUP(H1773, risk_score!A:A, risk_score!B:B, 0)</f>
        <v>Low Risk</v>
      </c>
    </row>
    <row r="1774" spans="1:14">
      <c r="A1774" s="2">
        <v>0.48603009259259261</v>
      </c>
      <c r="B1774" s="3">
        <v>44841</v>
      </c>
      <c r="C1774" s="1">
        <v>6086421020</v>
      </c>
      <c r="D1774" s="1">
        <v>674564051</v>
      </c>
      <c r="E1774" s="1">
        <v>14188.48</v>
      </c>
      <c r="F1774" s="1" t="s">
        <v>12</v>
      </c>
      <c r="G1774" s="1" t="s">
        <v>12</v>
      </c>
      <c r="H1774" s="1" t="s">
        <v>13</v>
      </c>
      <c r="I1774" s="1" t="s">
        <v>13</v>
      </c>
      <c r="J1774" s="1" t="s">
        <v>22</v>
      </c>
      <c r="K1774" s="1">
        <v>0</v>
      </c>
      <c r="L1774" s="1" t="s">
        <v>19</v>
      </c>
      <c r="M1774" s="1" t="str">
        <f t="shared" si="27"/>
        <v>Consistent</v>
      </c>
      <c r="N1774" s="1" t="str">
        <f>_xlfn.XLOOKUP(H1774, risk_score!A:A, risk_score!B:B, 0)</f>
        <v>Low Risk</v>
      </c>
    </row>
    <row r="1775" spans="1:14">
      <c r="A1775" s="2">
        <v>0.48609953703703701</v>
      </c>
      <c r="B1775" s="3">
        <v>44841</v>
      </c>
      <c r="C1775" s="1">
        <v>5028204460</v>
      </c>
      <c r="D1775" s="1">
        <v>3358200698</v>
      </c>
      <c r="E1775" s="1">
        <v>6226.13</v>
      </c>
      <c r="F1775" s="1" t="s">
        <v>12</v>
      </c>
      <c r="G1775" s="1" t="s">
        <v>12</v>
      </c>
      <c r="H1775" s="1" t="s">
        <v>13</v>
      </c>
      <c r="I1775" s="1" t="s">
        <v>13</v>
      </c>
      <c r="J1775" s="1" t="s">
        <v>20</v>
      </c>
      <c r="K1775" s="1">
        <v>0</v>
      </c>
      <c r="L1775" s="1" t="s">
        <v>21</v>
      </c>
      <c r="M1775" s="1" t="str">
        <f t="shared" si="27"/>
        <v>Consistent</v>
      </c>
      <c r="N1775" s="1" t="str">
        <f>_xlfn.XLOOKUP(H1775, risk_score!A:A, risk_score!B:B, 0)</f>
        <v>Low Risk</v>
      </c>
    </row>
    <row r="1776" spans="1:14">
      <c r="A1776" s="2">
        <v>0.48609953703703701</v>
      </c>
      <c r="B1776" s="3">
        <v>44841</v>
      </c>
      <c r="C1776" s="1">
        <v>7501327339</v>
      </c>
      <c r="D1776" s="1">
        <v>3230579354</v>
      </c>
      <c r="E1776" s="1">
        <v>11260.93</v>
      </c>
      <c r="F1776" s="1" t="s">
        <v>12</v>
      </c>
      <c r="G1776" s="1" t="s">
        <v>12</v>
      </c>
      <c r="H1776" s="1" t="s">
        <v>13</v>
      </c>
      <c r="I1776" s="1" t="s">
        <v>13</v>
      </c>
      <c r="J1776" s="1" t="s">
        <v>20</v>
      </c>
      <c r="K1776" s="1">
        <v>0</v>
      </c>
      <c r="L1776" s="1" t="s">
        <v>19</v>
      </c>
      <c r="M1776" s="1" t="str">
        <f t="shared" si="27"/>
        <v>Consistent</v>
      </c>
      <c r="N1776" s="1" t="str">
        <f>_xlfn.XLOOKUP(H1776, risk_score!A:A, risk_score!B:B, 0)</f>
        <v>Low Risk</v>
      </c>
    </row>
    <row r="1777" spans="1:14">
      <c r="A1777" s="2">
        <v>0.48613425925925924</v>
      </c>
      <c r="B1777" s="3">
        <v>44841</v>
      </c>
      <c r="C1777" s="1">
        <v>9828143010</v>
      </c>
      <c r="D1777" s="1">
        <v>5628674969</v>
      </c>
      <c r="E1777" s="1">
        <v>8351.7800000000007</v>
      </c>
      <c r="F1777" s="1" t="s">
        <v>12</v>
      </c>
      <c r="G1777" s="1" t="s">
        <v>12</v>
      </c>
      <c r="H1777" s="1" t="s">
        <v>13</v>
      </c>
      <c r="I1777" s="1" t="s">
        <v>13</v>
      </c>
      <c r="J1777" s="1" t="s">
        <v>22</v>
      </c>
      <c r="K1777" s="1">
        <v>0</v>
      </c>
      <c r="L1777" s="1" t="s">
        <v>23</v>
      </c>
      <c r="M1777" s="1" t="str">
        <f t="shared" si="27"/>
        <v>Consistent</v>
      </c>
      <c r="N1777" s="1" t="str">
        <f>_xlfn.XLOOKUP(H1777, risk_score!A:A, risk_score!B:B, 0)</f>
        <v>Low Risk</v>
      </c>
    </row>
    <row r="1778" spans="1:14">
      <c r="A1778" s="2">
        <v>0.48614583333333333</v>
      </c>
      <c r="B1778" s="3">
        <v>44841</v>
      </c>
      <c r="C1778" s="1">
        <v>4326633137</v>
      </c>
      <c r="D1778" s="1">
        <v>3114502972</v>
      </c>
      <c r="E1778" s="1">
        <v>20291.89</v>
      </c>
      <c r="F1778" s="1" t="s">
        <v>12</v>
      </c>
      <c r="G1778" s="1" t="s">
        <v>12</v>
      </c>
      <c r="H1778" s="1" t="s">
        <v>13</v>
      </c>
      <c r="I1778" s="1" t="s">
        <v>13</v>
      </c>
      <c r="J1778" s="1" t="s">
        <v>27</v>
      </c>
      <c r="K1778" s="1">
        <v>0</v>
      </c>
      <c r="L1778" s="1" t="s">
        <v>21</v>
      </c>
      <c r="M1778" s="1" t="str">
        <f t="shared" si="27"/>
        <v>Consistent</v>
      </c>
      <c r="N1778" s="1" t="str">
        <f>_xlfn.XLOOKUP(H1778, risk_score!A:A, risk_score!B:B, 0)</f>
        <v>Low Risk</v>
      </c>
    </row>
    <row r="1779" spans="1:14">
      <c r="A1779" s="2">
        <v>0.48615740740740743</v>
      </c>
      <c r="B1779" s="3">
        <v>44841</v>
      </c>
      <c r="C1779" s="1">
        <v>600224003</v>
      </c>
      <c r="D1779" s="1">
        <v>3074091941</v>
      </c>
      <c r="E1779" s="1">
        <v>3239.58</v>
      </c>
      <c r="F1779" s="1" t="s">
        <v>12</v>
      </c>
      <c r="G1779" s="1" t="s">
        <v>12</v>
      </c>
      <c r="H1779" s="1" t="s">
        <v>13</v>
      </c>
      <c r="I1779" s="1" t="s">
        <v>13</v>
      </c>
      <c r="J1779" s="1" t="s">
        <v>14</v>
      </c>
      <c r="K1779" s="1">
        <v>0</v>
      </c>
      <c r="L1779" s="1" t="s">
        <v>15</v>
      </c>
      <c r="M1779" s="1" t="str">
        <f t="shared" si="27"/>
        <v>Consistent</v>
      </c>
      <c r="N1779" s="1" t="str">
        <f>_xlfn.XLOOKUP(H1779, risk_score!A:A, risk_score!B:B, 0)</f>
        <v>Low Risk</v>
      </c>
    </row>
    <row r="1780" spans="1:14">
      <c r="A1780" s="2">
        <v>0.48615740740740743</v>
      </c>
      <c r="B1780" s="3">
        <v>44841</v>
      </c>
      <c r="C1780" s="1">
        <v>4777404343</v>
      </c>
      <c r="D1780" s="1">
        <v>1323718593</v>
      </c>
      <c r="E1780" s="1">
        <v>2303.5700000000002</v>
      </c>
      <c r="F1780" s="1" t="s">
        <v>12</v>
      </c>
      <c r="G1780" s="1" t="s">
        <v>12</v>
      </c>
      <c r="H1780" s="1" t="s">
        <v>13</v>
      </c>
      <c r="I1780" s="1" t="s">
        <v>13</v>
      </c>
      <c r="J1780" s="1" t="s">
        <v>25</v>
      </c>
      <c r="K1780" s="1">
        <v>0</v>
      </c>
      <c r="L1780" s="1" t="s">
        <v>24</v>
      </c>
      <c r="M1780" s="1" t="str">
        <f t="shared" si="27"/>
        <v>Consistent</v>
      </c>
      <c r="N1780" s="1" t="str">
        <f>_xlfn.XLOOKUP(H1780, risk_score!A:A, risk_score!B:B, 0)</f>
        <v>Low Risk</v>
      </c>
    </row>
    <row r="1781" spans="1:14">
      <c r="A1781" s="2">
        <v>0.48618055555555556</v>
      </c>
      <c r="B1781" s="3">
        <v>44841</v>
      </c>
      <c r="C1781" s="1">
        <v>6904668523</v>
      </c>
      <c r="D1781" s="1">
        <v>3540529623</v>
      </c>
      <c r="E1781" s="1">
        <v>9313.4500000000007</v>
      </c>
      <c r="F1781" s="1" t="s">
        <v>12</v>
      </c>
      <c r="G1781" s="1" t="s">
        <v>12</v>
      </c>
      <c r="H1781" s="1" t="s">
        <v>13</v>
      </c>
      <c r="I1781" s="1" t="s">
        <v>13</v>
      </c>
      <c r="J1781" s="1" t="s">
        <v>20</v>
      </c>
      <c r="K1781" s="1">
        <v>0</v>
      </c>
      <c r="L1781" s="1" t="s">
        <v>19</v>
      </c>
      <c r="M1781" s="1" t="str">
        <f t="shared" si="27"/>
        <v>Consistent</v>
      </c>
      <c r="N1781" s="1" t="str">
        <f>_xlfn.XLOOKUP(H1781, risk_score!A:A, risk_score!B:B, 0)</f>
        <v>Low Risk</v>
      </c>
    </row>
    <row r="1782" spans="1:14">
      <c r="A1782" s="2">
        <v>0.48618055555555556</v>
      </c>
      <c r="B1782" s="3">
        <v>44841</v>
      </c>
      <c r="C1782" s="1">
        <v>9200802467</v>
      </c>
      <c r="D1782" s="1">
        <v>1377603863</v>
      </c>
      <c r="E1782" s="1">
        <v>5423.36</v>
      </c>
      <c r="F1782" s="1" t="s">
        <v>12</v>
      </c>
      <c r="G1782" s="1" t="s">
        <v>12</v>
      </c>
      <c r="H1782" s="1" t="s">
        <v>13</v>
      </c>
      <c r="I1782" s="1" t="s">
        <v>13</v>
      </c>
      <c r="J1782" s="1" t="s">
        <v>20</v>
      </c>
      <c r="K1782" s="1">
        <v>0</v>
      </c>
      <c r="L1782" s="1" t="s">
        <v>23</v>
      </c>
      <c r="M1782" s="1" t="str">
        <f t="shared" si="27"/>
        <v>Consistent</v>
      </c>
      <c r="N1782" s="1" t="str">
        <f>_xlfn.XLOOKUP(H1782, risk_score!A:A, risk_score!B:B, 0)</f>
        <v>Low Risk</v>
      </c>
    </row>
    <row r="1783" spans="1:14">
      <c r="A1783" s="2">
        <v>0.48621527777777779</v>
      </c>
      <c r="B1783" s="3">
        <v>44841</v>
      </c>
      <c r="C1783" s="1">
        <v>2806625410</v>
      </c>
      <c r="D1783" s="1">
        <v>2102474519</v>
      </c>
      <c r="E1783" s="1">
        <v>8190.2</v>
      </c>
      <c r="F1783" s="1" t="s">
        <v>12</v>
      </c>
      <c r="G1783" s="1" t="s">
        <v>12</v>
      </c>
      <c r="H1783" s="1" t="s">
        <v>13</v>
      </c>
      <c r="I1783" s="1" t="s">
        <v>13</v>
      </c>
      <c r="J1783" s="1" t="s">
        <v>27</v>
      </c>
      <c r="K1783" s="1">
        <v>0</v>
      </c>
      <c r="L1783" s="1" t="s">
        <v>24</v>
      </c>
      <c r="M1783" s="1" t="str">
        <f t="shared" si="27"/>
        <v>Consistent</v>
      </c>
      <c r="N1783" s="1" t="str">
        <f>_xlfn.XLOOKUP(H1783, risk_score!A:A, risk_score!B:B, 0)</f>
        <v>Low Risk</v>
      </c>
    </row>
    <row r="1784" spans="1:14">
      <c r="A1784" s="2">
        <v>0.48622685185185183</v>
      </c>
      <c r="B1784" s="3">
        <v>44841</v>
      </c>
      <c r="C1784" s="1">
        <v>5576849137</v>
      </c>
      <c r="D1784" s="1">
        <v>9860188650</v>
      </c>
      <c r="E1784" s="1">
        <v>88.2</v>
      </c>
      <c r="F1784" s="1" t="s">
        <v>12</v>
      </c>
      <c r="G1784" s="1" t="s">
        <v>12</v>
      </c>
      <c r="H1784" s="1" t="s">
        <v>13</v>
      </c>
      <c r="I1784" s="1" t="s">
        <v>13</v>
      </c>
      <c r="J1784" s="1" t="s">
        <v>27</v>
      </c>
      <c r="K1784" s="1">
        <v>0</v>
      </c>
      <c r="L1784" s="1" t="s">
        <v>21</v>
      </c>
      <c r="M1784" s="1" t="str">
        <f t="shared" si="27"/>
        <v>Consistent</v>
      </c>
      <c r="N1784" s="1" t="str">
        <f>_xlfn.XLOOKUP(H1784, risk_score!A:A, risk_score!B:B, 0)</f>
        <v>Low Risk</v>
      </c>
    </row>
    <row r="1785" spans="1:14">
      <c r="A1785" s="2">
        <v>0.48623842592592592</v>
      </c>
      <c r="B1785" s="3">
        <v>44841</v>
      </c>
      <c r="C1785" s="1">
        <v>3799080345</v>
      </c>
      <c r="D1785" s="1">
        <v>9483784761</v>
      </c>
      <c r="E1785" s="1">
        <v>522.75</v>
      </c>
      <c r="F1785" s="1" t="s">
        <v>12</v>
      </c>
      <c r="G1785" s="1" t="s">
        <v>12</v>
      </c>
      <c r="H1785" s="1" t="s">
        <v>13</v>
      </c>
      <c r="I1785" s="1" t="s">
        <v>13</v>
      </c>
      <c r="J1785" s="1" t="s">
        <v>25</v>
      </c>
      <c r="K1785" s="1">
        <v>0</v>
      </c>
      <c r="L1785" s="1" t="s">
        <v>21</v>
      </c>
      <c r="M1785" s="1" t="str">
        <f t="shared" si="27"/>
        <v>Consistent</v>
      </c>
      <c r="N1785" s="1" t="str">
        <f>_xlfn.XLOOKUP(H1785, risk_score!A:A, risk_score!B:B, 0)</f>
        <v>Low Risk</v>
      </c>
    </row>
    <row r="1786" spans="1:14">
      <c r="A1786" s="2">
        <v>0.48625000000000002</v>
      </c>
      <c r="B1786" s="3">
        <v>44841</v>
      </c>
      <c r="C1786" s="1">
        <v>7584000699</v>
      </c>
      <c r="D1786" s="1">
        <v>2042062597</v>
      </c>
      <c r="E1786" s="1">
        <v>3568.81</v>
      </c>
      <c r="F1786" s="1" t="s">
        <v>12</v>
      </c>
      <c r="G1786" s="1" t="s">
        <v>12</v>
      </c>
      <c r="H1786" s="1" t="s">
        <v>13</v>
      </c>
      <c r="I1786" s="1" t="s">
        <v>13</v>
      </c>
      <c r="J1786" s="1" t="s">
        <v>20</v>
      </c>
      <c r="K1786" s="1">
        <v>0</v>
      </c>
      <c r="L1786" s="1" t="s">
        <v>38</v>
      </c>
      <c r="M1786" s="1" t="str">
        <f t="shared" si="27"/>
        <v>Consistent</v>
      </c>
      <c r="N1786" s="1" t="str">
        <f>_xlfn.XLOOKUP(H1786, risk_score!A:A, risk_score!B:B, 0)</f>
        <v>Low Risk</v>
      </c>
    </row>
    <row r="1787" spans="1:14">
      <c r="A1787" s="2">
        <v>0.48625000000000002</v>
      </c>
      <c r="B1787" s="3">
        <v>44841</v>
      </c>
      <c r="C1787" s="1">
        <v>2582573162</v>
      </c>
      <c r="D1787" s="1">
        <v>2196511176</v>
      </c>
      <c r="E1787" s="1">
        <v>194</v>
      </c>
      <c r="F1787" s="1" t="s">
        <v>12</v>
      </c>
      <c r="G1787" s="1" t="s">
        <v>12</v>
      </c>
      <c r="H1787" s="1" t="s">
        <v>13</v>
      </c>
      <c r="I1787" s="1" t="s">
        <v>13</v>
      </c>
      <c r="J1787" s="1" t="s">
        <v>22</v>
      </c>
      <c r="K1787" s="1">
        <v>0</v>
      </c>
      <c r="L1787" s="1" t="s">
        <v>21</v>
      </c>
      <c r="M1787" s="1" t="str">
        <f t="shared" si="27"/>
        <v>Consistent</v>
      </c>
      <c r="N1787" s="1" t="str">
        <f>_xlfn.XLOOKUP(H1787, risk_score!A:A, risk_score!B:B, 0)</f>
        <v>Low Risk</v>
      </c>
    </row>
    <row r="1788" spans="1:14">
      <c r="A1788" s="2">
        <v>0.48626157407407405</v>
      </c>
      <c r="B1788" s="3">
        <v>44841</v>
      </c>
      <c r="C1788" s="1">
        <v>4121839534</v>
      </c>
      <c r="D1788" s="1">
        <v>2331522463</v>
      </c>
      <c r="E1788" s="1">
        <v>2570.5500000000002</v>
      </c>
      <c r="F1788" s="1" t="s">
        <v>12</v>
      </c>
      <c r="G1788" s="1" t="s">
        <v>29</v>
      </c>
      <c r="H1788" s="1" t="s">
        <v>13</v>
      </c>
      <c r="I1788" s="1" t="s">
        <v>54</v>
      </c>
      <c r="J1788" s="1" t="s">
        <v>18</v>
      </c>
      <c r="K1788" s="1">
        <v>0</v>
      </c>
      <c r="L1788" s="1" t="s">
        <v>21</v>
      </c>
      <c r="M1788" s="1" t="str">
        <f t="shared" si="27"/>
        <v>Potential Layering</v>
      </c>
      <c r="N1788" s="1" t="str">
        <f>_xlfn.XLOOKUP(H1788, risk_score!A:A, risk_score!B:B, 0)</f>
        <v>Low Risk</v>
      </c>
    </row>
    <row r="1789" spans="1:14">
      <c r="A1789" s="2">
        <v>0.48627314814814815</v>
      </c>
      <c r="B1789" s="3">
        <v>44841</v>
      </c>
      <c r="C1789" s="1">
        <v>5027320484</v>
      </c>
      <c r="D1789" s="1">
        <v>2329855233</v>
      </c>
      <c r="E1789" s="1">
        <v>1128.57</v>
      </c>
      <c r="F1789" s="1" t="s">
        <v>12</v>
      </c>
      <c r="G1789" s="1" t="s">
        <v>12</v>
      </c>
      <c r="H1789" s="1" t="s">
        <v>13</v>
      </c>
      <c r="I1789" s="1" t="s">
        <v>13</v>
      </c>
      <c r="J1789" s="1" t="s">
        <v>25</v>
      </c>
      <c r="K1789" s="1">
        <v>0</v>
      </c>
      <c r="L1789" s="1" t="s">
        <v>21</v>
      </c>
      <c r="M1789" s="1" t="str">
        <f t="shared" si="27"/>
        <v>Consistent</v>
      </c>
      <c r="N1789" s="1" t="str">
        <f>_xlfn.XLOOKUP(H1789, risk_score!A:A, risk_score!B:B, 0)</f>
        <v>Low Risk</v>
      </c>
    </row>
    <row r="1790" spans="1:14">
      <c r="A1790" s="2">
        <v>0.48629629629629628</v>
      </c>
      <c r="B1790" s="3">
        <v>44841</v>
      </c>
      <c r="C1790" s="1">
        <v>7924551009</v>
      </c>
      <c r="D1790" s="1">
        <v>7199625988</v>
      </c>
      <c r="E1790" s="1">
        <v>15569.12</v>
      </c>
      <c r="F1790" s="1" t="s">
        <v>12</v>
      </c>
      <c r="G1790" s="1" t="s">
        <v>12</v>
      </c>
      <c r="H1790" s="1" t="s">
        <v>13</v>
      </c>
      <c r="I1790" s="1" t="s">
        <v>13</v>
      </c>
      <c r="J1790" s="1" t="s">
        <v>22</v>
      </c>
      <c r="K1790" s="1">
        <v>0</v>
      </c>
      <c r="L1790" s="1" t="s">
        <v>23</v>
      </c>
      <c r="M1790" s="1" t="str">
        <f t="shared" si="27"/>
        <v>Consistent</v>
      </c>
      <c r="N1790" s="1" t="str">
        <f>_xlfn.XLOOKUP(H1790, risk_score!A:A, risk_score!B:B, 0)</f>
        <v>Low Risk</v>
      </c>
    </row>
    <row r="1791" spans="1:14">
      <c r="A1791" s="2">
        <v>0.48631944444444447</v>
      </c>
      <c r="B1791" s="3">
        <v>44841</v>
      </c>
      <c r="C1791" s="1">
        <v>9114804496</v>
      </c>
      <c r="D1791" s="1">
        <v>223832802</v>
      </c>
      <c r="E1791" s="1">
        <v>1138.67</v>
      </c>
      <c r="F1791" s="1" t="s">
        <v>12</v>
      </c>
      <c r="G1791" s="1" t="s">
        <v>12</v>
      </c>
      <c r="H1791" s="1" t="s">
        <v>13</v>
      </c>
      <c r="I1791" s="1" t="s">
        <v>13</v>
      </c>
      <c r="J1791" s="1" t="s">
        <v>20</v>
      </c>
      <c r="K1791" s="1">
        <v>0</v>
      </c>
      <c r="L1791" s="1" t="s">
        <v>21</v>
      </c>
      <c r="M1791" s="1" t="str">
        <f t="shared" si="27"/>
        <v>Consistent</v>
      </c>
      <c r="N1791" s="1" t="str">
        <f>_xlfn.XLOOKUP(H1791, risk_score!A:A, risk_score!B:B, 0)</f>
        <v>Low Risk</v>
      </c>
    </row>
    <row r="1792" spans="1:14">
      <c r="A1792" s="2">
        <v>0.48633101851851851</v>
      </c>
      <c r="B1792" s="3">
        <v>44841</v>
      </c>
      <c r="C1792" s="1">
        <v>5631378216</v>
      </c>
      <c r="D1792" s="1">
        <v>5628674969</v>
      </c>
      <c r="E1792" s="1">
        <v>8972.91</v>
      </c>
      <c r="F1792" s="1" t="s">
        <v>12</v>
      </c>
      <c r="G1792" s="1" t="s">
        <v>12</v>
      </c>
      <c r="H1792" s="1" t="s">
        <v>13</v>
      </c>
      <c r="I1792" s="1" t="s">
        <v>13</v>
      </c>
      <c r="J1792" s="1" t="s">
        <v>27</v>
      </c>
      <c r="K1792" s="1">
        <v>0</v>
      </c>
      <c r="L1792" s="1" t="s">
        <v>23</v>
      </c>
      <c r="M1792" s="1" t="str">
        <f t="shared" si="27"/>
        <v>Consistent</v>
      </c>
      <c r="N1792" s="1" t="str">
        <f>_xlfn.XLOOKUP(H1792, risk_score!A:A, risk_score!B:B, 0)</f>
        <v>Low Risk</v>
      </c>
    </row>
    <row r="1793" spans="1:14">
      <c r="A1793" s="2">
        <v>0.48633101851851851</v>
      </c>
      <c r="B1793" s="3">
        <v>44841</v>
      </c>
      <c r="C1793" s="1">
        <v>9971840652</v>
      </c>
      <c r="D1793" s="1">
        <v>228160503</v>
      </c>
      <c r="E1793" s="1">
        <v>12.63</v>
      </c>
      <c r="F1793" s="1" t="s">
        <v>12</v>
      </c>
      <c r="G1793" s="1" t="s">
        <v>12</v>
      </c>
      <c r="H1793" s="1" t="s">
        <v>13</v>
      </c>
      <c r="I1793" s="1" t="s">
        <v>13</v>
      </c>
      <c r="J1793" s="1" t="s">
        <v>36</v>
      </c>
      <c r="K1793" s="1">
        <v>0</v>
      </c>
      <c r="L1793" s="1" t="s">
        <v>37</v>
      </c>
      <c r="M1793" s="1" t="str">
        <f t="shared" si="27"/>
        <v>Consistent</v>
      </c>
      <c r="N1793" s="1" t="str">
        <f>_xlfn.XLOOKUP(H1793, risk_score!A:A, risk_score!B:B, 0)</f>
        <v>Low Risk</v>
      </c>
    </row>
    <row r="1794" spans="1:14">
      <c r="A1794" s="2">
        <v>0.48637731481481483</v>
      </c>
      <c r="B1794" s="3">
        <v>44841</v>
      </c>
      <c r="C1794" s="1">
        <v>5607311289</v>
      </c>
      <c r="D1794" s="1">
        <v>6599750390</v>
      </c>
      <c r="E1794" s="1">
        <v>2750.23</v>
      </c>
      <c r="F1794" s="1" t="s">
        <v>12</v>
      </c>
      <c r="G1794" s="1" t="s">
        <v>12</v>
      </c>
      <c r="H1794" s="1" t="s">
        <v>13</v>
      </c>
      <c r="I1794" s="1" t="s">
        <v>13</v>
      </c>
      <c r="J1794" s="1" t="s">
        <v>27</v>
      </c>
      <c r="K1794" s="1">
        <v>0</v>
      </c>
      <c r="L1794" s="1" t="s">
        <v>24</v>
      </c>
      <c r="M1794" s="1" t="str">
        <f t="shared" si="27"/>
        <v>Consistent</v>
      </c>
      <c r="N1794" s="1" t="str">
        <f>_xlfn.XLOOKUP(H1794, risk_score!A:A, risk_score!B:B, 0)</f>
        <v>Low Risk</v>
      </c>
    </row>
    <row r="1795" spans="1:14">
      <c r="A1795" s="2">
        <v>0.48640046296296297</v>
      </c>
      <c r="B1795" s="3">
        <v>44841</v>
      </c>
      <c r="C1795" s="1">
        <v>3659970814</v>
      </c>
      <c r="D1795" s="1">
        <v>5466123934</v>
      </c>
      <c r="E1795" s="1">
        <v>18637.96</v>
      </c>
      <c r="F1795" s="1" t="s">
        <v>12</v>
      </c>
      <c r="G1795" s="1" t="s">
        <v>12</v>
      </c>
      <c r="H1795" s="1" t="s">
        <v>13</v>
      </c>
      <c r="I1795" s="1" t="s">
        <v>13</v>
      </c>
      <c r="J1795" s="1" t="s">
        <v>22</v>
      </c>
      <c r="K1795" s="1">
        <v>0</v>
      </c>
      <c r="L1795" s="1" t="s">
        <v>23</v>
      </c>
      <c r="M1795" s="1" t="str">
        <f t="shared" ref="M1795:M1858" si="28">IF(F1795=G1795, "Consistent", "Potential Layering")</f>
        <v>Consistent</v>
      </c>
      <c r="N1795" s="1" t="str">
        <f>_xlfn.XLOOKUP(H1795, risk_score!A:A, risk_score!B:B, 0)</f>
        <v>Low Risk</v>
      </c>
    </row>
    <row r="1796" spans="1:14">
      <c r="A1796" s="2">
        <v>0.48641203703703706</v>
      </c>
      <c r="B1796" s="3">
        <v>44841</v>
      </c>
      <c r="C1796" s="1">
        <v>9261836642</v>
      </c>
      <c r="D1796" s="1">
        <v>7080357663</v>
      </c>
      <c r="E1796" s="1">
        <v>13626.41</v>
      </c>
      <c r="F1796" s="1" t="s">
        <v>12</v>
      </c>
      <c r="G1796" s="1" t="s">
        <v>12</v>
      </c>
      <c r="H1796" s="1" t="s">
        <v>13</v>
      </c>
      <c r="I1796" s="1" t="s">
        <v>13</v>
      </c>
      <c r="J1796" s="1" t="s">
        <v>20</v>
      </c>
      <c r="K1796" s="1">
        <v>0</v>
      </c>
      <c r="L1796" s="1" t="s">
        <v>23</v>
      </c>
      <c r="M1796" s="1" t="str">
        <f t="shared" si="28"/>
        <v>Consistent</v>
      </c>
      <c r="N1796" s="1" t="str">
        <f>_xlfn.XLOOKUP(H1796, risk_score!A:A, risk_score!B:B, 0)</f>
        <v>Low Risk</v>
      </c>
    </row>
    <row r="1797" spans="1:14">
      <c r="A1797" s="2">
        <v>0.48643518518518519</v>
      </c>
      <c r="B1797" s="3">
        <v>44841</v>
      </c>
      <c r="C1797" s="1">
        <v>1087195568</v>
      </c>
      <c r="D1797" s="1">
        <v>9950541310</v>
      </c>
      <c r="E1797" s="1">
        <v>52.81</v>
      </c>
      <c r="F1797" s="1" t="s">
        <v>12</v>
      </c>
      <c r="G1797" s="1" t="s">
        <v>12</v>
      </c>
      <c r="H1797" s="1" t="s">
        <v>13</v>
      </c>
      <c r="I1797" s="1" t="s">
        <v>13</v>
      </c>
      <c r="J1797" s="1" t="s">
        <v>36</v>
      </c>
      <c r="K1797" s="1">
        <v>0</v>
      </c>
      <c r="L1797" s="1" t="s">
        <v>37</v>
      </c>
      <c r="M1797" s="1" t="str">
        <f t="shared" si="28"/>
        <v>Consistent</v>
      </c>
      <c r="N1797" s="1" t="str">
        <f>_xlfn.XLOOKUP(H1797, risk_score!A:A, risk_score!B:B, 0)</f>
        <v>Low Risk</v>
      </c>
    </row>
    <row r="1798" spans="1:14">
      <c r="A1798" s="2">
        <v>0.48646990740740742</v>
      </c>
      <c r="B1798" s="3">
        <v>44841</v>
      </c>
      <c r="C1798" s="1">
        <v>9390133059</v>
      </c>
      <c r="D1798" s="1">
        <v>1750168908</v>
      </c>
      <c r="E1798" s="1">
        <v>1181.28</v>
      </c>
      <c r="F1798" s="1" t="s">
        <v>12</v>
      </c>
      <c r="G1798" s="1" t="s">
        <v>12</v>
      </c>
      <c r="H1798" s="1" t="s">
        <v>13</v>
      </c>
      <c r="I1798" s="1" t="s">
        <v>13</v>
      </c>
      <c r="J1798" s="1" t="s">
        <v>20</v>
      </c>
      <c r="K1798" s="1">
        <v>0</v>
      </c>
      <c r="L1798" s="1" t="s">
        <v>24</v>
      </c>
      <c r="M1798" s="1" t="str">
        <f t="shared" si="28"/>
        <v>Consistent</v>
      </c>
      <c r="N1798" s="1" t="str">
        <f>_xlfn.XLOOKUP(H1798, risk_score!A:A, risk_score!B:B, 0)</f>
        <v>Low Risk</v>
      </c>
    </row>
    <row r="1799" spans="1:14">
      <c r="A1799" s="2">
        <v>0.48650462962962965</v>
      </c>
      <c r="B1799" s="3">
        <v>44841</v>
      </c>
      <c r="C1799" s="1">
        <v>2797271466</v>
      </c>
      <c r="D1799" s="1">
        <v>4528663768</v>
      </c>
      <c r="E1799" s="1">
        <v>7433.9</v>
      </c>
      <c r="F1799" s="1" t="s">
        <v>12</v>
      </c>
      <c r="G1799" s="1" t="s">
        <v>12</v>
      </c>
      <c r="H1799" s="1" t="s">
        <v>13</v>
      </c>
      <c r="I1799" s="1" t="s">
        <v>13</v>
      </c>
      <c r="J1799" s="1" t="s">
        <v>27</v>
      </c>
      <c r="K1799" s="1">
        <v>0</v>
      </c>
      <c r="L1799" s="1" t="s">
        <v>19</v>
      </c>
      <c r="M1799" s="1" t="str">
        <f t="shared" si="28"/>
        <v>Consistent</v>
      </c>
      <c r="N1799" s="1" t="str">
        <f>_xlfn.XLOOKUP(H1799, risk_score!A:A, risk_score!B:B, 0)</f>
        <v>Low Risk</v>
      </c>
    </row>
    <row r="1800" spans="1:14">
      <c r="A1800" s="2">
        <v>0.48653935185185188</v>
      </c>
      <c r="B1800" s="3">
        <v>44841</v>
      </c>
      <c r="C1800" s="1">
        <v>8543292650</v>
      </c>
      <c r="D1800" s="1">
        <v>5687550863</v>
      </c>
      <c r="E1800" s="1">
        <v>318.10000000000002</v>
      </c>
      <c r="F1800" s="1" t="s">
        <v>12</v>
      </c>
      <c r="G1800" s="1" t="s">
        <v>12</v>
      </c>
      <c r="H1800" s="1" t="s">
        <v>13</v>
      </c>
      <c r="I1800" s="1" t="s">
        <v>13</v>
      </c>
      <c r="J1800" s="1" t="s">
        <v>36</v>
      </c>
      <c r="K1800" s="1">
        <v>0</v>
      </c>
      <c r="L1800" s="1" t="s">
        <v>37</v>
      </c>
      <c r="M1800" s="1" t="str">
        <f t="shared" si="28"/>
        <v>Consistent</v>
      </c>
      <c r="N1800" s="1" t="str">
        <f>_xlfn.XLOOKUP(H1800, risk_score!A:A, risk_score!B:B, 0)</f>
        <v>Low Risk</v>
      </c>
    </row>
    <row r="1801" spans="1:14">
      <c r="A1801" s="2">
        <v>0.48657407407407405</v>
      </c>
      <c r="B1801" s="3">
        <v>44841</v>
      </c>
      <c r="C1801" s="1">
        <v>8273126721</v>
      </c>
      <c r="D1801" s="1">
        <v>409707192</v>
      </c>
      <c r="E1801" s="1">
        <v>6100.04</v>
      </c>
      <c r="F1801" s="1" t="s">
        <v>12</v>
      </c>
      <c r="G1801" s="1" t="s">
        <v>12</v>
      </c>
      <c r="H1801" s="1" t="s">
        <v>13</v>
      </c>
      <c r="I1801" s="1" t="s">
        <v>13</v>
      </c>
      <c r="J1801" s="1" t="s">
        <v>27</v>
      </c>
      <c r="K1801" s="1">
        <v>0</v>
      </c>
      <c r="L1801" s="1" t="s">
        <v>23</v>
      </c>
      <c r="M1801" s="1" t="str">
        <f t="shared" si="28"/>
        <v>Consistent</v>
      </c>
      <c r="N1801" s="1" t="str">
        <f>_xlfn.XLOOKUP(H1801, risk_score!A:A, risk_score!B:B, 0)</f>
        <v>Low Risk</v>
      </c>
    </row>
    <row r="1802" spans="1:14">
      <c r="A1802" s="2">
        <v>0.48658564814814814</v>
      </c>
      <c r="B1802" s="3">
        <v>44841</v>
      </c>
      <c r="C1802" s="1">
        <v>6566598426</v>
      </c>
      <c r="D1802" s="1">
        <v>1850298015</v>
      </c>
      <c r="E1802" s="1">
        <v>5212.57</v>
      </c>
      <c r="F1802" s="1" t="s">
        <v>12</v>
      </c>
      <c r="G1802" s="1" t="s">
        <v>12</v>
      </c>
      <c r="H1802" s="1" t="s">
        <v>13</v>
      </c>
      <c r="I1802" s="1" t="s">
        <v>13</v>
      </c>
      <c r="J1802" s="1" t="s">
        <v>27</v>
      </c>
      <c r="K1802" s="1">
        <v>0</v>
      </c>
      <c r="L1802" s="1" t="s">
        <v>21</v>
      </c>
      <c r="M1802" s="1" t="str">
        <f t="shared" si="28"/>
        <v>Consistent</v>
      </c>
      <c r="N1802" s="1" t="str">
        <f>_xlfn.XLOOKUP(H1802, risk_score!A:A, risk_score!B:B, 0)</f>
        <v>Low Risk</v>
      </c>
    </row>
    <row r="1803" spans="1:14">
      <c r="A1803" s="2">
        <v>0.48658564814814814</v>
      </c>
      <c r="B1803" s="3">
        <v>44841</v>
      </c>
      <c r="C1803" s="1">
        <v>4794239383</v>
      </c>
      <c r="D1803" s="1">
        <v>9912627676</v>
      </c>
      <c r="E1803" s="1">
        <v>249.77</v>
      </c>
      <c r="F1803" s="1" t="s">
        <v>12</v>
      </c>
      <c r="G1803" s="1" t="s">
        <v>12</v>
      </c>
      <c r="H1803" s="1" t="s">
        <v>13</v>
      </c>
      <c r="I1803" s="1" t="s">
        <v>13</v>
      </c>
      <c r="J1803" s="1" t="s">
        <v>27</v>
      </c>
      <c r="K1803" s="1">
        <v>0</v>
      </c>
      <c r="L1803" s="1" t="s">
        <v>21</v>
      </c>
      <c r="M1803" s="1" t="str">
        <f t="shared" si="28"/>
        <v>Consistent</v>
      </c>
      <c r="N1803" s="1" t="str">
        <f>_xlfn.XLOOKUP(H1803, risk_score!A:A, risk_score!B:B, 0)</f>
        <v>Low Risk</v>
      </c>
    </row>
    <row r="1804" spans="1:14">
      <c r="A1804" s="2">
        <v>0.4866435185185185</v>
      </c>
      <c r="B1804" s="3">
        <v>44841</v>
      </c>
      <c r="C1804" s="1">
        <v>6057444675</v>
      </c>
      <c r="D1804" s="1">
        <v>1845194308</v>
      </c>
      <c r="E1804" s="1">
        <v>18498.13</v>
      </c>
      <c r="F1804" s="1" t="s">
        <v>12</v>
      </c>
      <c r="G1804" s="1" t="s">
        <v>12</v>
      </c>
      <c r="H1804" s="1" t="s">
        <v>13</v>
      </c>
      <c r="I1804" s="1" t="s">
        <v>13</v>
      </c>
      <c r="J1804" s="1" t="s">
        <v>27</v>
      </c>
      <c r="K1804" s="1">
        <v>0</v>
      </c>
      <c r="L1804" s="1" t="s">
        <v>19</v>
      </c>
      <c r="M1804" s="1" t="str">
        <f t="shared" si="28"/>
        <v>Consistent</v>
      </c>
      <c r="N1804" s="1" t="str">
        <f>_xlfn.XLOOKUP(H1804, risk_score!A:A, risk_score!B:B, 0)</f>
        <v>Low Risk</v>
      </c>
    </row>
    <row r="1805" spans="1:14">
      <c r="A1805" s="2">
        <v>0.48670138888888886</v>
      </c>
      <c r="B1805" s="3">
        <v>44841</v>
      </c>
      <c r="C1805" s="1">
        <v>7849241516</v>
      </c>
      <c r="D1805" s="1">
        <v>1465487567</v>
      </c>
      <c r="E1805" s="1">
        <v>7143.81</v>
      </c>
      <c r="F1805" s="1" t="s">
        <v>12</v>
      </c>
      <c r="G1805" s="1" t="s">
        <v>12</v>
      </c>
      <c r="H1805" s="1" t="s">
        <v>13</v>
      </c>
      <c r="I1805" s="1" t="s">
        <v>13</v>
      </c>
      <c r="J1805" s="1" t="s">
        <v>22</v>
      </c>
      <c r="K1805" s="1">
        <v>0</v>
      </c>
      <c r="L1805" s="1" t="s">
        <v>23</v>
      </c>
      <c r="M1805" s="1" t="str">
        <f t="shared" si="28"/>
        <v>Consistent</v>
      </c>
      <c r="N1805" s="1" t="str">
        <f>_xlfn.XLOOKUP(H1805, risk_score!A:A, risk_score!B:B, 0)</f>
        <v>Low Risk</v>
      </c>
    </row>
    <row r="1806" spans="1:14">
      <c r="A1806" s="2">
        <v>0.48670138888888886</v>
      </c>
      <c r="B1806" s="3">
        <v>44841</v>
      </c>
      <c r="C1806" s="1">
        <v>9534729015</v>
      </c>
      <c r="D1806" s="1">
        <v>8950761727</v>
      </c>
      <c r="E1806" s="1">
        <v>6880.34</v>
      </c>
      <c r="F1806" s="1" t="s">
        <v>12</v>
      </c>
      <c r="G1806" s="1" t="s">
        <v>12</v>
      </c>
      <c r="H1806" s="1" t="s">
        <v>13</v>
      </c>
      <c r="I1806" s="1" t="s">
        <v>13</v>
      </c>
      <c r="J1806" s="1" t="s">
        <v>22</v>
      </c>
      <c r="K1806" s="1">
        <v>0</v>
      </c>
      <c r="L1806" s="1" t="s">
        <v>19</v>
      </c>
      <c r="M1806" s="1" t="str">
        <f t="shared" si="28"/>
        <v>Consistent</v>
      </c>
      <c r="N1806" s="1" t="str">
        <f>_xlfn.XLOOKUP(H1806, risk_score!A:A, risk_score!B:B, 0)</f>
        <v>Low Risk</v>
      </c>
    </row>
    <row r="1807" spans="1:14">
      <c r="A1807" s="2">
        <v>0.48673611111111109</v>
      </c>
      <c r="B1807" s="3">
        <v>44841</v>
      </c>
      <c r="C1807" s="1">
        <v>3704842202</v>
      </c>
      <c r="D1807" s="1">
        <v>4571776362</v>
      </c>
      <c r="E1807" s="1">
        <v>1247.6400000000001</v>
      </c>
      <c r="F1807" s="1" t="s">
        <v>12</v>
      </c>
      <c r="G1807" s="1" t="s">
        <v>12</v>
      </c>
      <c r="H1807" s="1" t="s">
        <v>13</v>
      </c>
      <c r="I1807" s="1" t="s">
        <v>13</v>
      </c>
      <c r="J1807" s="1" t="s">
        <v>25</v>
      </c>
      <c r="K1807" s="1">
        <v>0</v>
      </c>
      <c r="L1807" s="1" t="s">
        <v>21</v>
      </c>
      <c r="M1807" s="1" t="str">
        <f t="shared" si="28"/>
        <v>Consistent</v>
      </c>
      <c r="N1807" s="1" t="str">
        <f>_xlfn.XLOOKUP(H1807, risk_score!A:A, risk_score!B:B, 0)</f>
        <v>Low Risk</v>
      </c>
    </row>
    <row r="1808" spans="1:14">
      <c r="A1808" s="2">
        <v>0.48674768518518519</v>
      </c>
      <c r="B1808" s="3">
        <v>44841</v>
      </c>
      <c r="C1808" s="1">
        <v>7144452110</v>
      </c>
      <c r="D1808" s="1">
        <v>7624614525</v>
      </c>
      <c r="E1808" s="1">
        <v>245.25</v>
      </c>
      <c r="F1808" s="1" t="s">
        <v>12</v>
      </c>
      <c r="G1808" s="1" t="s">
        <v>12</v>
      </c>
      <c r="H1808" s="1" t="s">
        <v>13</v>
      </c>
      <c r="I1808" s="1" t="s">
        <v>13</v>
      </c>
      <c r="J1808" s="1" t="s">
        <v>22</v>
      </c>
      <c r="K1808" s="1">
        <v>0</v>
      </c>
      <c r="L1808" s="1" t="s">
        <v>21</v>
      </c>
      <c r="M1808" s="1" t="str">
        <f t="shared" si="28"/>
        <v>Consistent</v>
      </c>
      <c r="N1808" s="1" t="str">
        <f>_xlfn.XLOOKUP(H1808, risk_score!A:A, risk_score!B:B, 0)</f>
        <v>Low Risk</v>
      </c>
    </row>
    <row r="1809" spans="1:14">
      <c r="A1809" s="2">
        <v>0.48674768518518519</v>
      </c>
      <c r="B1809" s="3">
        <v>44841</v>
      </c>
      <c r="C1809" s="1">
        <v>5276618736</v>
      </c>
      <c r="D1809" s="1">
        <v>8172080174</v>
      </c>
      <c r="E1809" s="1">
        <v>6114.47</v>
      </c>
      <c r="F1809" s="1" t="s">
        <v>12</v>
      </c>
      <c r="G1809" s="1" t="s">
        <v>12</v>
      </c>
      <c r="H1809" s="1" t="s">
        <v>13</v>
      </c>
      <c r="I1809" s="1" t="s">
        <v>13</v>
      </c>
      <c r="J1809" s="1" t="s">
        <v>22</v>
      </c>
      <c r="K1809" s="1">
        <v>0</v>
      </c>
      <c r="L1809" s="1" t="s">
        <v>23</v>
      </c>
      <c r="M1809" s="1" t="str">
        <f t="shared" si="28"/>
        <v>Consistent</v>
      </c>
      <c r="N1809" s="1" t="str">
        <f>_xlfn.XLOOKUP(H1809, risk_score!A:A, risk_score!B:B, 0)</f>
        <v>Low Risk</v>
      </c>
    </row>
    <row r="1810" spans="1:14">
      <c r="A1810" s="2">
        <v>0.48677083333333332</v>
      </c>
      <c r="B1810" s="3">
        <v>44841</v>
      </c>
      <c r="C1810" s="1">
        <v>1758305731</v>
      </c>
      <c r="D1810" s="1">
        <v>2712343473</v>
      </c>
      <c r="E1810" s="1">
        <v>4339.1000000000004</v>
      </c>
      <c r="F1810" s="1" t="s">
        <v>12</v>
      </c>
      <c r="G1810" s="1" t="s">
        <v>12</v>
      </c>
      <c r="H1810" s="1" t="s">
        <v>13</v>
      </c>
      <c r="I1810" s="1" t="s">
        <v>13</v>
      </c>
      <c r="J1810" s="1" t="s">
        <v>25</v>
      </c>
      <c r="K1810" s="1">
        <v>0</v>
      </c>
      <c r="L1810" s="1" t="s">
        <v>21</v>
      </c>
      <c r="M1810" s="1" t="str">
        <f t="shared" si="28"/>
        <v>Consistent</v>
      </c>
      <c r="N1810" s="1" t="str">
        <f>_xlfn.XLOOKUP(H1810, risk_score!A:A, risk_score!B:B, 0)</f>
        <v>Low Risk</v>
      </c>
    </row>
    <row r="1811" spans="1:14">
      <c r="A1811" s="2">
        <v>0.486875</v>
      </c>
      <c r="B1811" s="3">
        <v>44841</v>
      </c>
      <c r="C1811" s="1">
        <v>7700588772</v>
      </c>
      <c r="D1811" s="1">
        <v>9105769228</v>
      </c>
      <c r="E1811" s="1">
        <v>6527.78</v>
      </c>
      <c r="F1811" s="1" t="s">
        <v>12</v>
      </c>
      <c r="G1811" s="1" t="s">
        <v>12</v>
      </c>
      <c r="H1811" s="1" t="s">
        <v>13</v>
      </c>
      <c r="I1811" s="1" t="s">
        <v>13</v>
      </c>
      <c r="J1811" s="1" t="s">
        <v>25</v>
      </c>
      <c r="K1811" s="1">
        <v>0</v>
      </c>
      <c r="L1811" s="1" t="s">
        <v>23</v>
      </c>
      <c r="M1811" s="1" t="str">
        <f t="shared" si="28"/>
        <v>Consistent</v>
      </c>
      <c r="N1811" s="1" t="str">
        <f>_xlfn.XLOOKUP(H1811, risk_score!A:A, risk_score!B:B, 0)</f>
        <v>Low Risk</v>
      </c>
    </row>
    <row r="1812" spans="1:14">
      <c r="A1812" s="2">
        <v>0.48689814814814814</v>
      </c>
      <c r="B1812" s="3">
        <v>44841</v>
      </c>
      <c r="C1812" s="1">
        <v>6904668523</v>
      </c>
      <c r="D1812" s="1">
        <v>4959470648</v>
      </c>
      <c r="E1812" s="1">
        <v>8187.05</v>
      </c>
      <c r="F1812" s="1" t="s">
        <v>12</v>
      </c>
      <c r="G1812" s="1" t="s">
        <v>12</v>
      </c>
      <c r="H1812" s="1" t="s">
        <v>13</v>
      </c>
      <c r="I1812" s="1" t="s">
        <v>13</v>
      </c>
      <c r="J1812" s="1" t="s">
        <v>25</v>
      </c>
      <c r="K1812" s="1">
        <v>0</v>
      </c>
      <c r="L1812" s="1" t="s">
        <v>19</v>
      </c>
      <c r="M1812" s="1" t="str">
        <f t="shared" si="28"/>
        <v>Consistent</v>
      </c>
      <c r="N1812" s="1" t="str">
        <f>_xlfn.XLOOKUP(H1812, risk_score!A:A, risk_score!B:B, 0)</f>
        <v>Low Risk</v>
      </c>
    </row>
    <row r="1813" spans="1:14">
      <c r="A1813" s="2">
        <v>0.48692129629629627</v>
      </c>
      <c r="B1813" s="3">
        <v>44841</v>
      </c>
      <c r="C1813" s="1">
        <v>6176940453</v>
      </c>
      <c r="D1813" s="1">
        <v>9986297616</v>
      </c>
      <c r="E1813" s="1">
        <v>1683.24</v>
      </c>
      <c r="F1813" s="1" t="s">
        <v>12</v>
      </c>
      <c r="G1813" s="1" t="s">
        <v>12</v>
      </c>
      <c r="H1813" s="1" t="s">
        <v>13</v>
      </c>
      <c r="I1813" s="1" t="s">
        <v>13</v>
      </c>
      <c r="J1813" s="1" t="s">
        <v>20</v>
      </c>
      <c r="K1813" s="1">
        <v>0</v>
      </c>
      <c r="L1813" s="1" t="s">
        <v>21</v>
      </c>
      <c r="M1813" s="1" t="str">
        <f t="shared" si="28"/>
        <v>Consistent</v>
      </c>
      <c r="N1813" s="1" t="str">
        <f>_xlfn.XLOOKUP(H1813, risk_score!A:A, risk_score!B:B, 0)</f>
        <v>Low Risk</v>
      </c>
    </row>
    <row r="1814" spans="1:14">
      <c r="A1814" s="2">
        <v>0.48694444444444446</v>
      </c>
      <c r="B1814" s="3">
        <v>44841</v>
      </c>
      <c r="C1814" s="1">
        <v>6086421020</v>
      </c>
      <c r="D1814" s="1">
        <v>8785037379</v>
      </c>
      <c r="E1814" s="1">
        <v>8339.35</v>
      </c>
      <c r="F1814" s="1" t="s">
        <v>12</v>
      </c>
      <c r="G1814" s="1" t="s">
        <v>12</v>
      </c>
      <c r="H1814" s="1" t="s">
        <v>13</v>
      </c>
      <c r="I1814" s="1" t="s">
        <v>13</v>
      </c>
      <c r="J1814" s="1" t="s">
        <v>22</v>
      </c>
      <c r="K1814" s="1">
        <v>0</v>
      </c>
      <c r="L1814" s="1" t="s">
        <v>19</v>
      </c>
      <c r="M1814" s="1" t="str">
        <f t="shared" si="28"/>
        <v>Consistent</v>
      </c>
      <c r="N1814" s="1" t="str">
        <f>_xlfn.XLOOKUP(H1814, risk_score!A:A, risk_score!B:B, 0)</f>
        <v>Low Risk</v>
      </c>
    </row>
    <row r="1815" spans="1:14">
      <c r="A1815" s="2">
        <v>0.48703703703703705</v>
      </c>
      <c r="B1815" s="3">
        <v>44841</v>
      </c>
      <c r="C1815" s="1">
        <v>9053053995</v>
      </c>
      <c r="D1815" s="1">
        <v>6646502650</v>
      </c>
      <c r="E1815" s="1">
        <v>5672.42</v>
      </c>
      <c r="F1815" s="1" t="s">
        <v>12</v>
      </c>
      <c r="G1815" s="1" t="s">
        <v>29</v>
      </c>
      <c r="H1815" s="1" t="s">
        <v>13</v>
      </c>
      <c r="I1815" s="1" t="s">
        <v>31</v>
      </c>
      <c r="J1815" s="1" t="s">
        <v>18</v>
      </c>
      <c r="K1815" s="1">
        <v>0</v>
      </c>
      <c r="L1815" s="1" t="s">
        <v>23</v>
      </c>
      <c r="M1815" s="1" t="str">
        <f t="shared" si="28"/>
        <v>Potential Layering</v>
      </c>
      <c r="N1815" s="1" t="str">
        <f>_xlfn.XLOOKUP(H1815, risk_score!A:A, risk_score!B:B, 0)</f>
        <v>Low Risk</v>
      </c>
    </row>
    <row r="1816" spans="1:14">
      <c r="A1816" s="2">
        <v>0.48704861111111108</v>
      </c>
      <c r="B1816" s="3">
        <v>44841</v>
      </c>
      <c r="C1816" s="1">
        <v>6086421020</v>
      </c>
      <c r="D1816" s="1">
        <v>8140432476</v>
      </c>
      <c r="E1816" s="1">
        <v>7893.29</v>
      </c>
      <c r="F1816" s="1" t="s">
        <v>12</v>
      </c>
      <c r="G1816" s="1" t="s">
        <v>12</v>
      </c>
      <c r="H1816" s="1" t="s">
        <v>13</v>
      </c>
      <c r="I1816" s="1" t="s">
        <v>13</v>
      </c>
      <c r="J1816" s="1" t="s">
        <v>25</v>
      </c>
      <c r="K1816" s="1">
        <v>0</v>
      </c>
      <c r="L1816" s="1" t="s">
        <v>19</v>
      </c>
      <c r="M1816" s="1" t="str">
        <f t="shared" si="28"/>
        <v>Consistent</v>
      </c>
      <c r="N1816" s="1" t="str">
        <f>_xlfn.XLOOKUP(H1816, risk_score!A:A, risk_score!B:B, 0)</f>
        <v>Low Risk</v>
      </c>
    </row>
    <row r="1817" spans="1:14">
      <c r="A1817" s="2">
        <v>0.48708333333333331</v>
      </c>
      <c r="B1817" s="3">
        <v>44841</v>
      </c>
      <c r="C1817" s="1">
        <v>1601920823</v>
      </c>
      <c r="D1817" s="1">
        <v>3119408271</v>
      </c>
      <c r="E1817" s="1">
        <v>2482.7600000000002</v>
      </c>
      <c r="F1817" s="1" t="s">
        <v>12</v>
      </c>
      <c r="G1817" s="1" t="s">
        <v>12</v>
      </c>
      <c r="H1817" s="1" t="s">
        <v>13</v>
      </c>
      <c r="I1817" s="1" t="s">
        <v>13</v>
      </c>
      <c r="J1817" s="1" t="s">
        <v>27</v>
      </c>
      <c r="K1817" s="1">
        <v>0</v>
      </c>
      <c r="L1817" s="1" t="s">
        <v>21</v>
      </c>
      <c r="M1817" s="1" t="str">
        <f t="shared" si="28"/>
        <v>Consistent</v>
      </c>
      <c r="N1817" s="1" t="str">
        <f>_xlfn.XLOOKUP(H1817, risk_score!A:A, risk_score!B:B, 0)</f>
        <v>Low Risk</v>
      </c>
    </row>
    <row r="1818" spans="1:14">
      <c r="A1818" s="2">
        <v>0.48708333333333331</v>
      </c>
      <c r="B1818" s="3">
        <v>44841</v>
      </c>
      <c r="C1818" s="1">
        <v>7739934912</v>
      </c>
      <c r="D1818" s="1">
        <v>9005303200</v>
      </c>
      <c r="E1818" s="1">
        <v>164.23</v>
      </c>
      <c r="F1818" s="1" t="s">
        <v>12</v>
      </c>
      <c r="G1818" s="1" t="s">
        <v>12</v>
      </c>
      <c r="H1818" s="1" t="s">
        <v>13</v>
      </c>
      <c r="I1818" s="1" t="s">
        <v>13</v>
      </c>
      <c r="J1818" s="1" t="s">
        <v>22</v>
      </c>
      <c r="K1818" s="1">
        <v>0</v>
      </c>
      <c r="L1818" s="1" t="s">
        <v>21</v>
      </c>
      <c r="M1818" s="1" t="str">
        <f t="shared" si="28"/>
        <v>Consistent</v>
      </c>
      <c r="N1818" s="1" t="str">
        <f>_xlfn.XLOOKUP(H1818, risk_score!A:A, risk_score!B:B, 0)</f>
        <v>Low Risk</v>
      </c>
    </row>
    <row r="1819" spans="1:14">
      <c r="A1819" s="2">
        <v>0.48712962962962963</v>
      </c>
      <c r="B1819" s="3">
        <v>44841</v>
      </c>
      <c r="C1819" s="1">
        <v>3090819765</v>
      </c>
      <c r="D1819" s="1">
        <v>3248814819</v>
      </c>
      <c r="E1819" s="1">
        <v>5155.46</v>
      </c>
      <c r="F1819" s="1" t="s">
        <v>12</v>
      </c>
      <c r="G1819" s="1" t="s">
        <v>12</v>
      </c>
      <c r="H1819" s="1" t="s">
        <v>13</v>
      </c>
      <c r="I1819" s="1" t="s">
        <v>13</v>
      </c>
      <c r="J1819" s="1" t="s">
        <v>25</v>
      </c>
      <c r="K1819" s="1">
        <v>0</v>
      </c>
      <c r="L1819" s="1" t="s">
        <v>21</v>
      </c>
      <c r="M1819" s="1" t="str">
        <f t="shared" si="28"/>
        <v>Consistent</v>
      </c>
      <c r="N1819" s="1" t="str">
        <f>_xlfn.XLOOKUP(H1819, risk_score!A:A, risk_score!B:B, 0)</f>
        <v>Low Risk</v>
      </c>
    </row>
    <row r="1820" spans="1:14">
      <c r="A1820" s="2">
        <v>0.48712962962962963</v>
      </c>
      <c r="B1820" s="3">
        <v>44841</v>
      </c>
      <c r="C1820" s="1">
        <v>8825384768</v>
      </c>
      <c r="D1820" s="1">
        <v>7332120767</v>
      </c>
      <c r="E1820" s="1">
        <v>2580.39</v>
      </c>
      <c r="F1820" s="1" t="s">
        <v>12</v>
      </c>
      <c r="G1820" s="1" t="s">
        <v>12</v>
      </c>
      <c r="H1820" s="1" t="s">
        <v>13</v>
      </c>
      <c r="I1820" s="1" t="s">
        <v>13</v>
      </c>
      <c r="J1820" s="1" t="s">
        <v>22</v>
      </c>
      <c r="K1820" s="1">
        <v>0</v>
      </c>
      <c r="L1820" s="1" t="s">
        <v>21</v>
      </c>
      <c r="M1820" s="1" t="str">
        <f t="shared" si="28"/>
        <v>Consistent</v>
      </c>
      <c r="N1820" s="1" t="str">
        <f>_xlfn.XLOOKUP(H1820, risk_score!A:A, risk_score!B:B, 0)</f>
        <v>Low Risk</v>
      </c>
    </row>
    <row r="1821" spans="1:14">
      <c r="A1821" s="2">
        <v>0.48715277777777777</v>
      </c>
      <c r="B1821" s="3">
        <v>44841</v>
      </c>
      <c r="C1821" s="1">
        <v>648385159</v>
      </c>
      <c r="D1821" s="1">
        <v>9359330538</v>
      </c>
      <c r="E1821" s="1">
        <v>1802.64</v>
      </c>
      <c r="F1821" s="1" t="s">
        <v>12</v>
      </c>
      <c r="G1821" s="1" t="s">
        <v>12</v>
      </c>
      <c r="H1821" s="1" t="s">
        <v>13</v>
      </c>
      <c r="I1821" s="1" t="s">
        <v>13</v>
      </c>
      <c r="J1821" s="1" t="s">
        <v>22</v>
      </c>
      <c r="K1821" s="1">
        <v>0</v>
      </c>
      <c r="L1821" s="1" t="s">
        <v>21</v>
      </c>
      <c r="M1821" s="1" t="str">
        <f t="shared" si="28"/>
        <v>Consistent</v>
      </c>
      <c r="N1821" s="1" t="str">
        <f>_xlfn.XLOOKUP(H1821, risk_score!A:A, risk_score!B:B, 0)</f>
        <v>Low Risk</v>
      </c>
    </row>
    <row r="1822" spans="1:14">
      <c r="A1822" s="2">
        <v>0.48716435185185186</v>
      </c>
      <c r="B1822" s="3">
        <v>44841</v>
      </c>
      <c r="C1822" s="1">
        <v>7333920669</v>
      </c>
      <c r="D1822" s="1">
        <v>6955344555</v>
      </c>
      <c r="E1822" s="1">
        <v>11490.01</v>
      </c>
      <c r="F1822" s="1" t="s">
        <v>12</v>
      </c>
      <c r="G1822" s="1" t="s">
        <v>12</v>
      </c>
      <c r="H1822" s="1" t="s">
        <v>13</v>
      </c>
      <c r="I1822" s="1" t="s">
        <v>13</v>
      </c>
      <c r="J1822" s="1" t="s">
        <v>27</v>
      </c>
      <c r="K1822" s="1">
        <v>0</v>
      </c>
      <c r="L1822" s="1" t="s">
        <v>58</v>
      </c>
      <c r="M1822" s="1" t="str">
        <f t="shared" si="28"/>
        <v>Consistent</v>
      </c>
      <c r="N1822" s="1" t="str">
        <f>_xlfn.XLOOKUP(H1822, risk_score!A:A, risk_score!B:B, 0)</f>
        <v>Low Risk</v>
      </c>
    </row>
    <row r="1823" spans="1:14">
      <c r="A1823" s="2">
        <v>0.4871875</v>
      </c>
      <c r="B1823" s="3">
        <v>44841</v>
      </c>
      <c r="C1823" s="1">
        <v>1378784400</v>
      </c>
      <c r="D1823" s="1">
        <v>6533060638</v>
      </c>
      <c r="E1823" s="1">
        <v>5066.05</v>
      </c>
      <c r="F1823" s="1" t="s">
        <v>12</v>
      </c>
      <c r="G1823" s="1" t="s">
        <v>12</v>
      </c>
      <c r="H1823" s="1" t="s">
        <v>13</v>
      </c>
      <c r="I1823" s="1" t="s">
        <v>13</v>
      </c>
      <c r="J1823" s="1" t="s">
        <v>25</v>
      </c>
      <c r="K1823" s="1">
        <v>0</v>
      </c>
      <c r="L1823" s="1" t="s">
        <v>19</v>
      </c>
      <c r="M1823" s="1" t="str">
        <f t="shared" si="28"/>
        <v>Consistent</v>
      </c>
      <c r="N1823" s="1" t="str">
        <f>_xlfn.XLOOKUP(H1823, risk_score!A:A, risk_score!B:B, 0)</f>
        <v>Low Risk</v>
      </c>
    </row>
    <row r="1824" spans="1:14">
      <c r="A1824" s="2">
        <v>0.4871875</v>
      </c>
      <c r="B1824" s="3">
        <v>44841</v>
      </c>
      <c r="C1824" s="1">
        <v>9813599732</v>
      </c>
      <c r="D1824" s="1">
        <v>492319715</v>
      </c>
      <c r="E1824" s="1">
        <v>426.42</v>
      </c>
      <c r="F1824" s="1" t="s">
        <v>12</v>
      </c>
      <c r="G1824" s="1" t="s">
        <v>12</v>
      </c>
      <c r="H1824" s="1" t="s">
        <v>13</v>
      </c>
      <c r="I1824" s="1" t="s">
        <v>13</v>
      </c>
      <c r="J1824" s="1" t="s">
        <v>27</v>
      </c>
      <c r="K1824" s="1">
        <v>0</v>
      </c>
      <c r="L1824" s="1" t="s">
        <v>21</v>
      </c>
      <c r="M1824" s="1" t="str">
        <f t="shared" si="28"/>
        <v>Consistent</v>
      </c>
      <c r="N1824" s="1" t="str">
        <f>_xlfn.XLOOKUP(H1824, risk_score!A:A, risk_score!B:B, 0)</f>
        <v>Low Risk</v>
      </c>
    </row>
    <row r="1825" spans="1:14">
      <c r="A1825" s="2">
        <v>0.4871875</v>
      </c>
      <c r="B1825" s="3">
        <v>44841</v>
      </c>
      <c r="C1825" s="1">
        <v>2365007895</v>
      </c>
      <c r="D1825" s="1">
        <v>8015553278</v>
      </c>
      <c r="E1825" s="1">
        <v>6953.43</v>
      </c>
      <c r="F1825" s="1" t="s">
        <v>12</v>
      </c>
      <c r="G1825" s="1" t="s">
        <v>12</v>
      </c>
      <c r="H1825" s="1" t="s">
        <v>13</v>
      </c>
      <c r="I1825" s="1" t="s">
        <v>13</v>
      </c>
      <c r="J1825" s="1" t="s">
        <v>27</v>
      </c>
      <c r="K1825" s="1">
        <v>0</v>
      </c>
      <c r="L1825" s="1" t="s">
        <v>19</v>
      </c>
      <c r="M1825" s="1" t="str">
        <f t="shared" si="28"/>
        <v>Consistent</v>
      </c>
      <c r="N1825" s="1" t="str">
        <f>_xlfn.XLOOKUP(H1825, risk_score!A:A, risk_score!B:B, 0)</f>
        <v>Low Risk</v>
      </c>
    </row>
    <row r="1826" spans="1:14">
      <c r="A1826" s="2">
        <v>0.48719907407407409</v>
      </c>
      <c r="B1826" s="3">
        <v>44841</v>
      </c>
      <c r="C1826" s="1">
        <v>675669049</v>
      </c>
      <c r="D1826" s="1">
        <v>3559090340</v>
      </c>
      <c r="E1826" s="1">
        <v>11111.47</v>
      </c>
      <c r="F1826" s="1" t="s">
        <v>12</v>
      </c>
      <c r="G1826" s="1" t="s">
        <v>12</v>
      </c>
      <c r="H1826" s="1" t="s">
        <v>13</v>
      </c>
      <c r="I1826" s="1" t="s">
        <v>13</v>
      </c>
      <c r="J1826" s="1" t="s">
        <v>25</v>
      </c>
      <c r="K1826" s="1">
        <v>0</v>
      </c>
      <c r="L1826" s="1" t="s">
        <v>19</v>
      </c>
      <c r="M1826" s="1" t="str">
        <f t="shared" si="28"/>
        <v>Consistent</v>
      </c>
      <c r="N1826" s="1" t="str">
        <f>_xlfn.XLOOKUP(H1826, risk_score!A:A, risk_score!B:B, 0)</f>
        <v>Low Risk</v>
      </c>
    </row>
    <row r="1827" spans="1:14">
      <c r="A1827" s="2">
        <v>0.48722222222222222</v>
      </c>
      <c r="B1827" s="3">
        <v>44841</v>
      </c>
      <c r="C1827" s="1">
        <v>8572039029</v>
      </c>
      <c r="D1827" s="1">
        <v>1431561040</v>
      </c>
      <c r="E1827" s="1">
        <v>10196.94</v>
      </c>
      <c r="F1827" s="1" t="s">
        <v>29</v>
      </c>
      <c r="G1827" s="1" t="s">
        <v>12</v>
      </c>
      <c r="H1827" s="1" t="s">
        <v>31</v>
      </c>
      <c r="I1827" s="1" t="s">
        <v>13</v>
      </c>
      <c r="J1827" s="1" t="s">
        <v>18</v>
      </c>
      <c r="K1827" s="1">
        <v>0</v>
      </c>
      <c r="L1827" s="1" t="s">
        <v>23</v>
      </c>
      <c r="M1827" s="1" t="str">
        <f t="shared" si="28"/>
        <v>Potential Layering</v>
      </c>
      <c r="N1827" s="1" t="str">
        <f>_xlfn.XLOOKUP(H1827, risk_score!A:A, risk_score!B:B, 0)</f>
        <v>Low Risk</v>
      </c>
    </row>
    <row r="1828" spans="1:14">
      <c r="A1828" s="2">
        <v>0.48722222222222222</v>
      </c>
      <c r="B1828" s="3">
        <v>44841</v>
      </c>
      <c r="C1828" s="1">
        <v>9045243923</v>
      </c>
      <c r="D1828" s="1">
        <v>6642761979</v>
      </c>
      <c r="E1828" s="1">
        <v>11198.15</v>
      </c>
      <c r="F1828" s="1" t="s">
        <v>12</v>
      </c>
      <c r="G1828" s="1" t="s">
        <v>12</v>
      </c>
      <c r="H1828" s="1" t="s">
        <v>13</v>
      </c>
      <c r="I1828" s="1" t="s">
        <v>13</v>
      </c>
      <c r="J1828" s="1" t="s">
        <v>25</v>
      </c>
      <c r="K1828" s="1">
        <v>0</v>
      </c>
      <c r="L1828" s="1" t="s">
        <v>21</v>
      </c>
      <c r="M1828" s="1" t="str">
        <f t="shared" si="28"/>
        <v>Consistent</v>
      </c>
      <c r="N1828" s="1" t="str">
        <f>_xlfn.XLOOKUP(H1828, risk_score!A:A, risk_score!B:B, 0)</f>
        <v>Low Risk</v>
      </c>
    </row>
    <row r="1829" spans="1:14">
      <c r="A1829" s="2">
        <v>0.48725694444444445</v>
      </c>
      <c r="B1829" s="3">
        <v>44841</v>
      </c>
      <c r="C1829" s="1">
        <v>3510078932</v>
      </c>
      <c r="D1829" s="1">
        <v>8722924810</v>
      </c>
      <c r="E1829" s="1">
        <v>8071.3</v>
      </c>
      <c r="F1829" s="1" t="s">
        <v>12</v>
      </c>
      <c r="G1829" s="1" t="s">
        <v>39</v>
      </c>
      <c r="H1829" s="1" t="s">
        <v>13</v>
      </c>
      <c r="I1829" s="1" t="s">
        <v>40</v>
      </c>
      <c r="J1829" s="1" t="s">
        <v>18</v>
      </c>
      <c r="K1829" s="1">
        <v>0</v>
      </c>
      <c r="L1829" s="1" t="s">
        <v>19</v>
      </c>
      <c r="M1829" s="1" t="str">
        <f t="shared" si="28"/>
        <v>Potential Layering</v>
      </c>
      <c r="N1829" s="1" t="str">
        <f>_xlfn.XLOOKUP(H1829, risk_score!A:A, risk_score!B:B, 0)</f>
        <v>Low Risk</v>
      </c>
    </row>
    <row r="1830" spans="1:14">
      <c r="A1830" s="2">
        <v>0.48729166666666668</v>
      </c>
      <c r="B1830" s="3">
        <v>44841</v>
      </c>
      <c r="C1830" s="1">
        <v>5392755044</v>
      </c>
      <c r="D1830" s="1">
        <v>2544092504</v>
      </c>
      <c r="E1830" s="1">
        <v>3611.4</v>
      </c>
      <c r="F1830" s="1" t="s">
        <v>16</v>
      </c>
      <c r="G1830" s="1" t="s">
        <v>12</v>
      </c>
      <c r="H1830" s="1" t="s">
        <v>17</v>
      </c>
      <c r="I1830" s="1" t="s">
        <v>13</v>
      </c>
      <c r="J1830" s="1" t="s">
        <v>18</v>
      </c>
      <c r="K1830" s="1">
        <v>0</v>
      </c>
      <c r="L1830" s="1" t="s">
        <v>24</v>
      </c>
      <c r="M1830" s="1" t="str">
        <f t="shared" si="28"/>
        <v>Potential Layering</v>
      </c>
      <c r="N1830" s="1" t="str">
        <f>_xlfn.XLOOKUP(H1830, risk_score!A:A, risk_score!B:B, 0)</f>
        <v>Medium Risk</v>
      </c>
    </row>
    <row r="1831" spans="1:14">
      <c r="A1831" s="2">
        <v>0.48730324074074072</v>
      </c>
      <c r="B1831" s="3">
        <v>44841</v>
      </c>
      <c r="C1831" s="1">
        <v>1591240989</v>
      </c>
      <c r="D1831" s="1">
        <v>5631986688</v>
      </c>
      <c r="E1831" s="1">
        <v>2597.94</v>
      </c>
      <c r="F1831" s="1" t="s">
        <v>12</v>
      </c>
      <c r="G1831" s="1" t="s">
        <v>12</v>
      </c>
      <c r="H1831" s="1" t="s">
        <v>13</v>
      </c>
      <c r="I1831" s="1" t="s">
        <v>13</v>
      </c>
      <c r="J1831" s="1" t="s">
        <v>22</v>
      </c>
      <c r="K1831" s="1">
        <v>0</v>
      </c>
      <c r="L1831" s="1" t="s">
        <v>21</v>
      </c>
      <c r="M1831" s="1" t="str">
        <f t="shared" si="28"/>
        <v>Consistent</v>
      </c>
      <c r="N1831" s="1" t="str">
        <f>_xlfn.XLOOKUP(H1831, risk_score!A:A, risk_score!B:B, 0)</f>
        <v>Low Risk</v>
      </c>
    </row>
    <row r="1832" spans="1:14">
      <c r="A1832" s="2">
        <v>0.48730324074074072</v>
      </c>
      <c r="B1832" s="3">
        <v>44841</v>
      </c>
      <c r="C1832" s="1">
        <v>9544431251</v>
      </c>
      <c r="D1832" s="1">
        <v>9029221399</v>
      </c>
      <c r="E1832" s="1">
        <v>1886.68</v>
      </c>
      <c r="F1832" s="1" t="s">
        <v>12</v>
      </c>
      <c r="G1832" s="1" t="s">
        <v>12</v>
      </c>
      <c r="H1832" s="1" t="s">
        <v>13</v>
      </c>
      <c r="I1832" s="1" t="s">
        <v>13</v>
      </c>
      <c r="J1832" s="1" t="s">
        <v>25</v>
      </c>
      <c r="K1832" s="1">
        <v>0</v>
      </c>
      <c r="L1832" s="1" t="s">
        <v>24</v>
      </c>
      <c r="M1832" s="1" t="str">
        <f t="shared" si="28"/>
        <v>Consistent</v>
      </c>
      <c r="N1832" s="1" t="str">
        <f>_xlfn.XLOOKUP(H1832, risk_score!A:A, risk_score!B:B, 0)</f>
        <v>Low Risk</v>
      </c>
    </row>
    <row r="1833" spans="1:14">
      <c r="A1833" s="2">
        <v>0.48732638888888891</v>
      </c>
      <c r="B1833" s="3">
        <v>44841</v>
      </c>
      <c r="C1833" s="1">
        <v>270412504</v>
      </c>
      <c r="D1833" s="1">
        <v>3038508895</v>
      </c>
      <c r="E1833" s="1">
        <v>1430.95</v>
      </c>
      <c r="F1833" s="1" t="s">
        <v>12</v>
      </c>
      <c r="G1833" s="1" t="s">
        <v>12</v>
      </c>
      <c r="H1833" s="1" t="s">
        <v>13</v>
      </c>
      <c r="I1833" s="1" t="s">
        <v>13</v>
      </c>
      <c r="J1833" s="1" t="s">
        <v>22</v>
      </c>
      <c r="K1833" s="1">
        <v>0</v>
      </c>
      <c r="L1833" s="1" t="s">
        <v>21</v>
      </c>
      <c r="M1833" s="1" t="str">
        <f t="shared" si="28"/>
        <v>Consistent</v>
      </c>
      <c r="N1833" s="1" t="str">
        <f>_xlfn.XLOOKUP(H1833, risk_score!A:A, risk_score!B:B, 0)</f>
        <v>Low Risk</v>
      </c>
    </row>
    <row r="1834" spans="1:14">
      <c r="A1834" s="2">
        <v>0.48734953703703704</v>
      </c>
      <c r="B1834" s="3">
        <v>44841</v>
      </c>
      <c r="C1834" s="1">
        <v>6907410080</v>
      </c>
      <c r="D1834" s="1">
        <v>2816543942</v>
      </c>
      <c r="E1834" s="1">
        <v>290.86</v>
      </c>
      <c r="F1834" s="1" t="s">
        <v>12</v>
      </c>
      <c r="G1834" s="1" t="s">
        <v>12</v>
      </c>
      <c r="H1834" s="1" t="s">
        <v>13</v>
      </c>
      <c r="I1834" s="1" t="s">
        <v>13</v>
      </c>
      <c r="J1834" s="1" t="s">
        <v>20</v>
      </c>
      <c r="K1834" s="1">
        <v>0</v>
      </c>
      <c r="L1834" s="1" t="s">
        <v>21</v>
      </c>
      <c r="M1834" s="1" t="str">
        <f t="shared" si="28"/>
        <v>Consistent</v>
      </c>
      <c r="N1834" s="1" t="str">
        <f>_xlfn.XLOOKUP(H1834, risk_score!A:A, risk_score!B:B, 0)</f>
        <v>Low Risk</v>
      </c>
    </row>
    <row r="1835" spans="1:14">
      <c r="A1835" s="2">
        <v>0.48736111111111113</v>
      </c>
      <c r="B1835" s="3">
        <v>44841</v>
      </c>
      <c r="C1835" s="1">
        <v>4895071896</v>
      </c>
      <c r="D1835" s="1">
        <v>3408749958</v>
      </c>
      <c r="E1835" s="1">
        <v>973.79</v>
      </c>
      <c r="F1835" s="1" t="s">
        <v>12</v>
      </c>
      <c r="G1835" s="1" t="s">
        <v>12</v>
      </c>
      <c r="H1835" s="1" t="s">
        <v>13</v>
      </c>
      <c r="I1835" s="1" t="s">
        <v>13</v>
      </c>
      <c r="J1835" s="1" t="s">
        <v>14</v>
      </c>
      <c r="K1835" s="1">
        <v>0</v>
      </c>
      <c r="L1835" s="1" t="s">
        <v>15</v>
      </c>
      <c r="M1835" s="1" t="str">
        <f t="shared" si="28"/>
        <v>Consistent</v>
      </c>
      <c r="N1835" s="1" t="str">
        <f>_xlfn.XLOOKUP(H1835, risk_score!A:A, risk_score!B:B, 0)</f>
        <v>Low Risk</v>
      </c>
    </row>
    <row r="1836" spans="1:14">
      <c r="A1836" s="2">
        <v>0.4874074074074074</v>
      </c>
      <c r="B1836" s="3">
        <v>44841</v>
      </c>
      <c r="C1836" s="1">
        <v>7695306517</v>
      </c>
      <c r="D1836" s="1">
        <v>1320927231</v>
      </c>
      <c r="E1836" s="1">
        <v>9511.15</v>
      </c>
      <c r="F1836" s="1" t="s">
        <v>12</v>
      </c>
      <c r="G1836" s="1" t="s">
        <v>12</v>
      </c>
      <c r="H1836" s="1" t="s">
        <v>13</v>
      </c>
      <c r="I1836" s="1" t="s">
        <v>13</v>
      </c>
      <c r="J1836" s="1" t="s">
        <v>22</v>
      </c>
      <c r="K1836" s="1">
        <v>0</v>
      </c>
      <c r="L1836" s="1" t="s">
        <v>23</v>
      </c>
      <c r="M1836" s="1" t="str">
        <f t="shared" si="28"/>
        <v>Consistent</v>
      </c>
      <c r="N1836" s="1" t="str">
        <f>_xlfn.XLOOKUP(H1836, risk_score!A:A, risk_score!B:B, 0)</f>
        <v>Low Risk</v>
      </c>
    </row>
    <row r="1837" spans="1:14">
      <c r="A1837" s="2">
        <v>0.4874074074074074</v>
      </c>
      <c r="B1837" s="3">
        <v>44841</v>
      </c>
      <c r="C1837" s="1">
        <v>7472250515</v>
      </c>
      <c r="D1837" s="1">
        <v>6582957966</v>
      </c>
      <c r="E1837" s="1">
        <v>1309.76</v>
      </c>
      <c r="F1837" s="1" t="s">
        <v>12</v>
      </c>
      <c r="G1837" s="1" t="s">
        <v>12</v>
      </c>
      <c r="H1837" s="1" t="s">
        <v>13</v>
      </c>
      <c r="I1837" s="1" t="s">
        <v>13</v>
      </c>
      <c r="J1837" s="1" t="s">
        <v>27</v>
      </c>
      <c r="K1837" s="1">
        <v>0</v>
      </c>
      <c r="L1837" s="1" t="s">
        <v>21</v>
      </c>
      <c r="M1837" s="1" t="str">
        <f t="shared" si="28"/>
        <v>Consistent</v>
      </c>
      <c r="N1837" s="1" t="str">
        <f>_xlfn.XLOOKUP(H1837, risk_score!A:A, risk_score!B:B, 0)</f>
        <v>Low Risk</v>
      </c>
    </row>
    <row r="1838" spans="1:14">
      <c r="A1838" s="2">
        <v>0.48743055555555553</v>
      </c>
      <c r="B1838" s="3">
        <v>44841</v>
      </c>
      <c r="C1838" s="1">
        <v>9442180171</v>
      </c>
      <c r="D1838" s="1">
        <v>6223365730</v>
      </c>
      <c r="E1838" s="1">
        <v>11828.85</v>
      </c>
      <c r="F1838" s="1" t="s">
        <v>12</v>
      </c>
      <c r="G1838" s="1" t="s">
        <v>12</v>
      </c>
      <c r="H1838" s="1" t="s">
        <v>13</v>
      </c>
      <c r="I1838" s="1" t="s">
        <v>13</v>
      </c>
      <c r="J1838" s="1" t="s">
        <v>20</v>
      </c>
      <c r="K1838" s="1">
        <v>0</v>
      </c>
      <c r="L1838" s="1" t="s">
        <v>23</v>
      </c>
      <c r="M1838" s="1" t="str">
        <f t="shared" si="28"/>
        <v>Consistent</v>
      </c>
      <c r="N1838" s="1" t="str">
        <f>_xlfn.XLOOKUP(H1838, risk_score!A:A, risk_score!B:B, 0)</f>
        <v>Low Risk</v>
      </c>
    </row>
    <row r="1839" spans="1:14">
      <c r="A1839" s="2">
        <v>0.48746527777777776</v>
      </c>
      <c r="B1839" s="3">
        <v>44841</v>
      </c>
      <c r="C1839" s="1">
        <v>6009985803</v>
      </c>
      <c r="D1839" s="1">
        <v>7126767127</v>
      </c>
      <c r="E1839" s="1">
        <v>13751.08</v>
      </c>
      <c r="F1839" s="1" t="s">
        <v>12</v>
      </c>
      <c r="G1839" s="1" t="s">
        <v>12</v>
      </c>
      <c r="H1839" s="1" t="s">
        <v>13</v>
      </c>
      <c r="I1839" s="1" t="s">
        <v>13</v>
      </c>
      <c r="J1839" s="1" t="s">
        <v>22</v>
      </c>
      <c r="K1839" s="1">
        <v>0</v>
      </c>
      <c r="L1839" s="1" t="s">
        <v>21</v>
      </c>
      <c r="M1839" s="1" t="str">
        <f t="shared" si="28"/>
        <v>Consistent</v>
      </c>
      <c r="N1839" s="1" t="str">
        <f>_xlfn.XLOOKUP(H1839, risk_score!A:A, risk_score!B:B, 0)</f>
        <v>Low Risk</v>
      </c>
    </row>
    <row r="1840" spans="1:14">
      <c r="A1840" s="2">
        <v>0.48751157407407408</v>
      </c>
      <c r="B1840" s="3">
        <v>44841</v>
      </c>
      <c r="C1840" s="1">
        <v>5906035370</v>
      </c>
      <c r="D1840" s="1">
        <v>5363117119</v>
      </c>
      <c r="E1840" s="1">
        <v>12810.38</v>
      </c>
      <c r="F1840" s="1" t="s">
        <v>12</v>
      </c>
      <c r="G1840" s="1" t="s">
        <v>12</v>
      </c>
      <c r="H1840" s="1" t="s">
        <v>13</v>
      </c>
      <c r="I1840" s="1" t="s">
        <v>13</v>
      </c>
      <c r="J1840" s="1" t="s">
        <v>20</v>
      </c>
      <c r="K1840" s="1">
        <v>0</v>
      </c>
      <c r="L1840" s="1" t="s">
        <v>23</v>
      </c>
      <c r="M1840" s="1" t="str">
        <f t="shared" si="28"/>
        <v>Consistent</v>
      </c>
      <c r="N1840" s="1" t="str">
        <f>_xlfn.XLOOKUP(H1840, risk_score!A:A, risk_score!B:B, 0)</f>
        <v>Low Risk</v>
      </c>
    </row>
    <row r="1841" spans="1:14">
      <c r="A1841" s="2">
        <v>0.48754629629629631</v>
      </c>
      <c r="B1841" s="3">
        <v>44841</v>
      </c>
      <c r="C1841" s="1">
        <v>8709432505</v>
      </c>
      <c r="D1841" s="1">
        <v>3969995853</v>
      </c>
      <c r="E1841" s="1">
        <v>1943.49</v>
      </c>
      <c r="F1841" s="1" t="s">
        <v>12</v>
      </c>
      <c r="G1841" s="1" t="s">
        <v>12</v>
      </c>
      <c r="H1841" s="1" t="s">
        <v>13</v>
      </c>
      <c r="I1841" s="1" t="s">
        <v>13</v>
      </c>
      <c r="J1841" s="1" t="s">
        <v>14</v>
      </c>
      <c r="K1841" s="1">
        <v>0</v>
      </c>
      <c r="L1841" s="1" t="s">
        <v>15</v>
      </c>
      <c r="M1841" s="1" t="str">
        <f t="shared" si="28"/>
        <v>Consistent</v>
      </c>
      <c r="N1841" s="1" t="str">
        <f>_xlfn.XLOOKUP(H1841, risk_score!A:A, risk_score!B:B, 0)</f>
        <v>Low Risk</v>
      </c>
    </row>
    <row r="1842" spans="1:14">
      <c r="A1842" s="2">
        <v>0.48755787037037035</v>
      </c>
      <c r="B1842" s="3">
        <v>44841</v>
      </c>
      <c r="C1842" s="1">
        <v>5169941082</v>
      </c>
      <c r="D1842" s="1">
        <v>7514676765</v>
      </c>
      <c r="E1842" s="1">
        <v>7133.74</v>
      </c>
      <c r="F1842" s="1" t="s">
        <v>12</v>
      </c>
      <c r="G1842" s="1" t="s">
        <v>12</v>
      </c>
      <c r="H1842" s="1" t="s">
        <v>13</v>
      </c>
      <c r="I1842" s="1" t="s">
        <v>13</v>
      </c>
      <c r="J1842" s="1" t="s">
        <v>20</v>
      </c>
      <c r="K1842" s="1">
        <v>0</v>
      </c>
      <c r="L1842" s="1" t="s">
        <v>21</v>
      </c>
      <c r="M1842" s="1" t="str">
        <f t="shared" si="28"/>
        <v>Consistent</v>
      </c>
      <c r="N1842" s="1" t="str">
        <f>_xlfn.XLOOKUP(H1842, risk_score!A:A, risk_score!B:B, 0)</f>
        <v>Low Risk</v>
      </c>
    </row>
    <row r="1843" spans="1:14">
      <c r="A1843" s="2">
        <v>0.48756944444444444</v>
      </c>
      <c r="B1843" s="3">
        <v>44841</v>
      </c>
      <c r="C1843" s="1">
        <v>2295019842</v>
      </c>
      <c r="D1843" s="1">
        <v>9677171534</v>
      </c>
      <c r="E1843" s="1">
        <v>225.57</v>
      </c>
      <c r="F1843" s="1" t="s">
        <v>12</v>
      </c>
      <c r="G1843" s="1" t="s">
        <v>12</v>
      </c>
      <c r="H1843" s="1" t="s">
        <v>13</v>
      </c>
      <c r="I1843" s="1" t="s">
        <v>13</v>
      </c>
      <c r="J1843" s="1" t="s">
        <v>22</v>
      </c>
      <c r="K1843" s="1">
        <v>0</v>
      </c>
      <c r="L1843" s="1" t="s">
        <v>21</v>
      </c>
      <c r="M1843" s="1" t="str">
        <f t="shared" si="28"/>
        <v>Consistent</v>
      </c>
      <c r="N1843" s="1" t="str">
        <f>_xlfn.XLOOKUP(H1843, risk_score!A:A, risk_score!B:B, 0)</f>
        <v>Low Risk</v>
      </c>
    </row>
    <row r="1844" spans="1:14">
      <c r="A1844" s="2">
        <v>0.48756944444444444</v>
      </c>
      <c r="B1844" s="3">
        <v>44841</v>
      </c>
      <c r="C1844" s="1">
        <v>5038354427</v>
      </c>
      <c r="D1844" s="1">
        <v>436157946</v>
      </c>
      <c r="E1844" s="1">
        <v>2339.6799999999998</v>
      </c>
      <c r="F1844" s="1" t="s">
        <v>12</v>
      </c>
      <c r="G1844" s="1" t="s">
        <v>12</v>
      </c>
      <c r="H1844" s="1" t="s">
        <v>13</v>
      </c>
      <c r="I1844" s="1" t="s">
        <v>13</v>
      </c>
      <c r="J1844" s="1" t="s">
        <v>14</v>
      </c>
      <c r="K1844" s="1">
        <v>0</v>
      </c>
      <c r="L1844" s="1" t="s">
        <v>15</v>
      </c>
      <c r="M1844" s="1" t="str">
        <f t="shared" si="28"/>
        <v>Consistent</v>
      </c>
      <c r="N1844" s="1" t="str">
        <f>_xlfn.XLOOKUP(H1844, risk_score!A:A, risk_score!B:B, 0)</f>
        <v>Low Risk</v>
      </c>
    </row>
    <row r="1845" spans="1:14">
      <c r="A1845" s="2">
        <v>0.48760416666666667</v>
      </c>
      <c r="B1845" s="3">
        <v>44841</v>
      </c>
      <c r="C1845" s="1">
        <v>3879485543</v>
      </c>
      <c r="D1845" s="1">
        <v>3943914030</v>
      </c>
      <c r="E1845" s="1">
        <v>6836.06</v>
      </c>
      <c r="F1845" s="1" t="s">
        <v>12</v>
      </c>
      <c r="G1845" s="1" t="s">
        <v>12</v>
      </c>
      <c r="H1845" s="1" t="s">
        <v>13</v>
      </c>
      <c r="I1845" s="1" t="s">
        <v>13</v>
      </c>
      <c r="J1845" s="1" t="s">
        <v>22</v>
      </c>
      <c r="K1845" s="1">
        <v>0</v>
      </c>
      <c r="L1845" s="1" t="s">
        <v>38</v>
      </c>
      <c r="M1845" s="1" t="str">
        <f t="shared" si="28"/>
        <v>Consistent</v>
      </c>
      <c r="N1845" s="1" t="str">
        <f>_xlfn.XLOOKUP(H1845, risk_score!A:A, risk_score!B:B, 0)</f>
        <v>Low Risk</v>
      </c>
    </row>
    <row r="1846" spans="1:14">
      <c r="A1846" s="2">
        <v>0.48762731481481481</v>
      </c>
      <c r="B1846" s="3">
        <v>44841</v>
      </c>
      <c r="C1846" s="1">
        <v>9673864368</v>
      </c>
      <c r="D1846" s="1">
        <v>7080357663</v>
      </c>
      <c r="E1846" s="1">
        <v>12498.39</v>
      </c>
      <c r="F1846" s="1" t="s">
        <v>12</v>
      </c>
      <c r="G1846" s="1" t="s">
        <v>12</v>
      </c>
      <c r="H1846" s="1" t="s">
        <v>13</v>
      </c>
      <c r="I1846" s="1" t="s">
        <v>13</v>
      </c>
      <c r="J1846" s="1" t="s">
        <v>27</v>
      </c>
      <c r="K1846" s="1">
        <v>0</v>
      </c>
      <c r="L1846" s="1" t="s">
        <v>23</v>
      </c>
      <c r="M1846" s="1" t="str">
        <f t="shared" si="28"/>
        <v>Consistent</v>
      </c>
      <c r="N1846" s="1" t="str">
        <f>_xlfn.XLOOKUP(H1846, risk_score!A:A, risk_score!B:B, 0)</f>
        <v>Low Risk</v>
      </c>
    </row>
    <row r="1847" spans="1:14">
      <c r="A1847" s="2">
        <v>0.48765046296296294</v>
      </c>
      <c r="B1847" s="3">
        <v>44841</v>
      </c>
      <c r="C1847" s="1">
        <v>602348327</v>
      </c>
      <c r="D1847" s="1">
        <v>6034997194</v>
      </c>
      <c r="E1847" s="1">
        <v>7444.25</v>
      </c>
      <c r="F1847" s="1" t="s">
        <v>29</v>
      </c>
      <c r="G1847" s="1" t="s">
        <v>12</v>
      </c>
      <c r="H1847" s="1" t="s">
        <v>30</v>
      </c>
      <c r="I1847" s="1" t="s">
        <v>13</v>
      </c>
      <c r="J1847" s="1" t="s">
        <v>18</v>
      </c>
      <c r="K1847" s="1">
        <v>0</v>
      </c>
      <c r="L1847" s="1" t="s">
        <v>23</v>
      </c>
      <c r="M1847" s="1" t="str">
        <f t="shared" si="28"/>
        <v>Potential Layering</v>
      </c>
      <c r="N1847" s="1" t="str">
        <f>_xlfn.XLOOKUP(H1847, risk_score!A:A, risk_score!B:B, 0)</f>
        <v>Low Risk</v>
      </c>
    </row>
    <row r="1848" spans="1:14">
      <c r="A1848" s="2">
        <v>0.48766203703703703</v>
      </c>
      <c r="B1848" s="3">
        <v>44841</v>
      </c>
      <c r="C1848" s="1">
        <v>4109275762</v>
      </c>
      <c r="D1848" s="1">
        <v>9776245941</v>
      </c>
      <c r="E1848" s="1">
        <v>16615.650000000001</v>
      </c>
      <c r="F1848" s="1" t="s">
        <v>12</v>
      </c>
      <c r="G1848" s="1" t="s">
        <v>12</v>
      </c>
      <c r="H1848" s="1" t="s">
        <v>13</v>
      </c>
      <c r="I1848" s="1" t="s">
        <v>13</v>
      </c>
      <c r="J1848" s="1" t="s">
        <v>25</v>
      </c>
      <c r="K1848" s="1">
        <v>0</v>
      </c>
      <c r="L1848" s="1" t="s">
        <v>38</v>
      </c>
      <c r="M1848" s="1" t="str">
        <f t="shared" si="28"/>
        <v>Consistent</v>
      </c>
      <c r="N1848" s="1" t="str">
        <f>_xlfn.XLOOKUP(H1848, risk_score!A:A, risk_score!B:B, 0)</f>
        <v>Low Risk</v>
      </c>
    </row>
    <row r="1849" spans="1:14">
      <c r="A1849" s="2">
        <v>0.48766203703703703</v>
      </c>
      <c r="B1849" s="3">
        <v>44841</v>
      </c>
      <c r="C1849" s="1">
        <v>6123832547</v>
      </c>
      <c r="D1849" s="1">
        <v>7717488272</v>
      </c>
      <c r="E1849" s="1">
        <v>2630.45</v>
      </c>
      <c r="F1849" s="1" t="s">
        <v>12</v>
      </c>
      <c r="G1849" s="1" t="s">
        <v>12</v>
      </c>
      <c r="H1849" s="1" t="s">
        <v>13</v>
      </c>
      <c r="I1849" s="1" t="s">
        <v>13</v>
      </c>
      <c r="J1849" s="1" t="s">
        <v>20</v>
      </c>
      <c r="K1849" s="1">
        <v>0</v>
      </c>
      <c r="L1849" s="1" t="s">
        <v>21</v>
      </c>
      <c r="M1849" s="1" t="str">
        <f t="shared" si="28"/>
        <v>Consistent</v>
      </c>
      <c r="N1849" s="1" t="str">
        <f>_xlfn.XLOOKUP(H1849, risk_score!A:A, risk_score!B:B, 0)</f>
        <v>Low Risk</v>
      </c>
    </row>
    <row r="1850" spans="1:14">
      <c r="A1850" s="2">
        <v>0.48766203703703703</v>
      </c>
      <c r="B1850" s="3">
        <v>44841</v>
      </c>
      <c r="C1850" s="1">
        <v>7669236826</v>
      </c>
      <c r="D1850" s="1">
        <v>1675218057</v>
      </c>
      <c r="E1850" s="1">
        <v>7848.47</v>
      </c>
      <c r="F1850" s="1" t="s">
        <v>12</v>
      </c>
      <c r="G1850" s="1" t="s">
        <v>12</v>
      </c>
      <c r="H1850" s="1" t="s">
        <v>13</v>
      </c>
      <c r="I1850" s="1" t="s">
        <v>13</v>
      </c>
      <c r="J1850" s="1" t="s">
        <v>22</v>
      </c>
      <c r="K1850" s="1">
        <v>0</v>
      </c>
      <c r="L1850" s="1" t="s">
        <v>19</v>
      </c>
      <c r="M1850" s="1" t="str">
        <f t="shared" si="28"/>
        <v>Consistent</v>
      </c>
      <c r="N1850" s="1" t="str">
        <f>_xlfn.XLOOKUP(H1850, risk_score!A:A, risk_score!B:B, 0)</f>
        <v>Low Risk</v>
      </c>
    </row>
    <row r="1851" spans="1:14">
      <c r="A1851" s="2">
        <v>0.48769675925925926</v>
      </c>
      <c r="B1851" s="3">
        <v>44841</v>
      </c>
      <c r="C1851" s="1">
        <v>4463810338</v>
      </c>
      <c r="D1851" s="1">
        <v>8650898621</v>
      </c>
      <c r="E1851" s="1">
        <v>5244.48</v>
      </c>
      <c r="F1851" s="1" t="s">
        <v>12</v>
      </c>
      <c r="G1851" s="1" t="s">
        <v>12</v>
      </c>
      <c r="H1851" s="1" t="s">
        <v>13</v>
      </c>
      <c r="I1851" s="1" t="s">
        <v>13</v>
      </c>
      <c r="J1851" s="1" t="s">
        <v>27</v>
      </c>
      <c r="K1851" s="1">
        <v>0</v>
      </c>
      <c r="L1851" s="1" t="s">
        <v>21</v>
      </c>
      <c r="M1851" s="1" t="str">
        <f t="shared" si="28"/>
        <v>Consistent</v>
      </c>
      <c r="N1851" s="1" t="str">
        <f>_xlfn.XLOOKUP(H1851, risk_score!A:A, risk_score!B:B, 0)</f>
        <v>Low Risk</v>
      </c>
    </row>
    <row r="1852" spans="1:14">
      <c r="A1852" s="2">
        <v>0.48771990740740739</v>
      </c>
      <c r="B1852" s="3">
        <v>44841</v>
      </c>
      <c r="C1852" s="1">
        <v>3851728451</v>
      </c>
      <c r="D1852" s="1">
        <v>3250377172</v>
      </c>
      <c r="E1852" s="1">
        <v>509.14</v>
      </c>
      <c r="F1852" s="1" t="s">
        <v>12</v>
      </c>
      <c r="G1852" s="1" t="s">
        <v>12</v>
      </c>
      <c r="H1852" s="1" t="s">
        <v>13</v>
      </c>
      <c r="I1852" s="1" t="s">
        <v>13</v>
      </c>
      <c r="J1852" s="1" t="s">
        <v>27</v>
      </c>
      <c r="K1852" s="1">
        <v>0</v>
      </c>
      <c r="L1852" s="1" t="s">
        <v>21</v>
      </c>
      <c r="M1852" s="1" t="str">
        <f t="shared" si="28"/>
        <v>Consistent</v>
      </c>
      <c r="N1852" s="1" t="str">
        <f>_xlfn.XLOOKUP(H1852, risk_score!A:A, risk_score!B:B, 0)</f>
        <v>Low Risk</v>
      </c>
    </row>
    <row r="1853" spans="1:14">
      <c r="A1853" s="2">
        <v>0.48774305555555558</v>
      </c>
      <c r="B1853" s="3">
        <v>44841</v>
      </c>
      <c r="C1853" s="1">
        <v>5011473749</v>
      </c>
      <c r="D1853" s="1">
        <v>5896180453</v>
      </c>
      <c r="E1853" s="1">
        <v>19495.580000000002</v>
      </c>
      <c r="F1853" s="1" t="s">
        <v>12</v>
      </c>
      <c r="G1853" s="1" t="s">
        <v>12</v>
      </c>
      <c r="H1853" s="1" t="s">
        <v>13</v>
      </c>
      <c r="I1853" s="1" t="s">
        <v>13</v>
      </c>
      <c r="J1853" s="1" t="s">
        <v>22</v>
      </c>
      <c r="K1853" s="1">
        <v>0</v>
      </c>
      <c r="L1853" s="1" t="s">
        <v>23</v>
      </c>
      <c r="M1853" s="1" t="str">
        <f t="shared" si="28"/>
        <v>Consistent</v>
      </c>
      <c r="N1853" s="1" t="str">
        <f>_xlfn.XLOOKUP(H1853, risk_score!A:A, risk_score!B:B, 0)</f>
        <v>Low Risk</v>
      </c>
    </row>
    <row r="1854" spans="1:14">
      <c r="A1854" s="2">
        <v>0.4878587962962963</v>
      </c>
      <c r="B1854" s="3">
        <v>44841</v>
      </c>
      <c r="C1854" s="1">
        <v>7048064365</v>
      </c>
      <c r="D1854" s="1">
        <v>4891593500</v>
      </c>
      <c r="E1854" s="1">
        <v>5857.88</v>
      </c>
      <c r="F1854" s="1" t="s">
        <v>12</v>
      </c>
      <c r="G1854" s="1" t="s">
        <v>12</v>
      </c>
      <c r="H1854" s="1" t="s">
        <v>13</v>
      </c>
      <c r="I1854" s="1" t="s">
        <v>13</v>
      </c>
      <c r="J1854" s="1" t="s">
        <v>25</v>
      </c>
      <c r="K1854" s="1">
        <v>0</v>
      </c>
      <c r="L1854" s="1" t="s">
        <v>24</v>
      </c>
      <c r="M1854" s="1" t="str">
        <f t="shared" si="28"/>
        <v>Consistent</v>
      </c>
      <c r="N1854" s="1" t="str">
        <f>_xlfn.XLOOKUP(H1854, risk_score!A:A, risk_score!B:B, 0)</f>
        <v>Low Risk</v>
      </c>
    </row>
    <row r="1855" spans="1:14">
      <c r="A1855" s="2">
        <v>0.48787037037037034</v>
      </c>
      <c r="B1855" s="3">
        <v>44841</v>
      </c>
      <c r="C1855" s="1">
        <v>6908837384</v>
      </c>
      <c r="D1855" s="1">
        <v>3996644993</v>
      </c>
      <c r="E1855" s="1">
        <v>3869.13</v>
      </c>
      <c r="F1855" s="1" t="s">
        <v>12</v>
      </c>
      <c r="G1855" s="1" t="s">
        <v>12</v>
      </c>
      <c r="H1855" s="1" t="s">
        <v>13</v>
      </c>
      <c r="I1855" s="1" t="s">
        <v>13</v>
      </c>
      <c r="J1855" s="1" t="s">
        <v>27</v>
      </c>
      <c r="K1855" s="1">
        <v>0</v>
      </c>
      <c r="L1855" s="1" t="s">
        <v>21</v>
      </c>
      <c r="M1855" s="1" t="str">
        <f t="shared" si="28"/>
        <v>Consistent</v>
      </c>
      <c r="N1855" s="1" t="str">
        <f>_xlfn.XLOOKUP(H1855, risk_score!A:A, risk_score!B:B, 0)</f>
        <v>Low Risk</v>
      </c>
    </row>
    <row r="1856" spans="1:14">
      <c r="A1856" s="2">
        <v>0.48788194444444444</v>
      </c>
      <c r="B1856" s="3">
        <v>44841</v>
      </c>
      <c r="C1856" s="1">
        <v>2826317502</v>
      </c>
      <c r="D1856" s="1">
        <v>4270865741</v>
      </c>
      <c r="E1856" s="1">
        <v>4835.7700000000004</v>
      </c>
      <c r="F1856" s="1" t="s">
        <v>12</v>
      </c>
      <c r="G1856" s="1" t="s">
        <v>12</v>
      </c>
      <c r="H1856" s="1" t="s">
        <v>13</v>
      </c>
      <c r="I1856" s="1" t="s">
        <v>13</v>
      </c>
      <c r="J1856" s="1" t="s">
        <v>20</v>
      </c>
      <c r="K1856" s="1">
        <v>0</v>
      </c>
      <c r="L1856" s="1" t="s">
        <v>23</v>
      </c>
      <c r="M1856" s="1" t="str">
        <f t="shared" si="28"/>
        <v>Consistent</v>
      </c>
      <c r="N1856" s="1" t="str">
        <f>_xlfn.XLOOKUP(H1856, risk_score!A:A, risk_score!B:B, 0)</f>
        <v>Low Risk</v>
      </c>
    </row>
    <row r="1857" spans="1:14">
      <c r="A1857" s="2">
        <v>0.48790509259259257</v>
      </c>
      <c r="B1857" s="3">
        <v>44841</v>
      </c>
      <c r="C1857" s="1">
        <v>3241181026</v>
      </c>
      <c r="D1857" s="1">
        <v>6494203450</v>
      </c>
      <c r="E1857" s="1">
        <v>1389.33</v>
      </c>
      <c r="F1857" s="1" t="s">
        <v>12</v>
      </c>
      <c r="G1857" s="1" t="s">
        <v>12</v>
      </c>
      <c r="H1857" s="1" t="s">
        <v>13</v>
      </c>
      <c r="I1857" s="1" t="s">
        <v>13</v>
      </c>
      <c r="J1857" s="1" t="s">
        <v>25</v>
      </c>
      <c r="K1857" s="1">
        <v>0</v>
      </c>
      <c r="L1857" s="1" t="s">
        <v>21</v>
      </c>
      <c r="M1857" s="1" t="str">
        <f t="shared" si="28"/>
        <v>Consistent</v>
      </c>
      <c r="N1857" s="1" t="str">
        <f>_xlfn.XLOOKUP(H1857, risk_score!A:A, risk_score!B:B, 0)</f>
        <v>Low Risk</v>
      </c>
    </row>
    <row r="1858" spans="1:14">
      <c r="A1858" s="2">
        <v>0.48790509259259257</v>
      </c>
      <c r="B1858" s="3">
        <v>44841</v>
      </c>
      <c r="C1858" s="1">
        <v>3360176026</v>
      </c>
      <c r="D1858" s="1">
        <v>8811539711</v>
      </c>
      <c r="E1858" s="1">
        <v>1438.38</v>
      </c>
      <c r="F1858" s="1" t="s">
        <v>12</v>
      </c>
      <c r="G1858" s="1" t="s">
        <v>12</v>
      </c>
      <c r="H1858" s="1" t="s">
        <v>13</v>
      </c>
      <c r="I1858" s="1" t="s">
        <v>13</v>
      </c>
      <c r="J1858" s="1" t="s">
        <v>20</v>
      </c>
      <c r="K1858" s="1">
        <v>0</v>
      </c>
      <c r="L1858" s="1" t="s">
        <v>21</v>
      </c>
      <c r="M1858" s="1" t="str">
        <f t="shared" si="28"/>
        <v>Consistent</v>
      </c>
      <c r="N1858" s="1" t="str">
        <f>_xlfn.XLOOKUP(H1858, risk_score!A:A, risk_score!B:B, 0)</f>
        <v>Low Risk</v>
      </c>
    </row>
    <row r="1859" spans="1:14">
      <c r="A1859" s="2">
        <v>0.48791666666666667</v>
      </c>
      <c r="B1859" s="3">
        <v>44841</v>
      </c>
      <c r="C1859" s="1">
        <v>2797271466</v>
      </c>
      <c r="D1859" s="1">
        <v>4525312913</v>
      </c>
      <c r="E1859" s="1">
        <v>12730.69</v>
      </c>
      <c r="F1859" s="1" t="s">
        <v>12</v>
      </c>
      <c r="G1859" s="1" t="s">
        <v>12</v>
      </c>
      <c r="H1859" s="1" t="s">
        <v>13</v>
      </c>
      <c r="I1859" s="1" t="s">
        <v>13</v>
      </c>
      <c r="J1859" s="1" t="s">
        <v>20</v>
      </c>
      <c r="K1859" s="1">
        <v>0</v>
      </c>
      <c r="L1859" s="1" t="s">
        <v>19</v>
      </c>
      <c r="M1859" s="1" t="str">
        <f t="shared" ref="M1859:M1922" si="29">IF(F1859=G1859, "Consistent", "Potential Layering")</f>
        <v>Consistent</v>
      </c>
      <c r="N1859" s="1" t="str">
        <f>_xlfn.XLOOKUP(H1859, risk_score!A:A, risk_score!B:B, 0)</f>
        <v>Low Risk</v>
      </c>
    </row>
    <row r="1860" spans="1:14">
      <c r="A1860" s="2">
        <v>0.48796296296296299</v>
      </c>
      <c r="B1860" s="3">
        <v>44841</v>
      </c>
      <c r="C1860" s="1">
        <v>2465841512</v>
      </c>
      <c r="D1860" s="1">
        <v>428091371</v>
      </c>
      <c r="E1860" s="1">
        <v>3480.22</v>
      </c>
      <c r="F1860" s="1" t="s">
        <v>12</v>
      </c>
      <c r="G1860" s="1" t="s">
        <v>12</v>
      </c>
      <c r="H1860" s="1" t="s">
        <v>13</v>
      </c>
      <c r="I1860" s="1" t="s">
        <v>13</v>
      </c>
      <c r="J1860" s="1" t="s">
        <v>27</v>
      </c>
      <c r="K1860" s="1">
        <v>0</v>
      </c>
      <c r="L1860" s="1" t="s">
        <v>21</v>
      </c>
      <c r="M1860" s="1" t="str">
        <f t="shared" si="29"/>
        <v>Consistent</v>
      </c>
      <c r="N1860" s="1" t="str">
        <f>_xlfn.XLOOKUP(H1860, risk_score!A:A, risk_score!B:B, 0)</f>
        <v>Low Risk</v>
      </c>
    </row>
    <row r="1861" spans="1:14">
      <c r="A1861" s="2">
        <v>0.48797453703703703</v>
      </c>
      <c r="B1861" s="3">
        <v>44841</v>
      </c>
      <c r="C1861" s="1">
        <v>6717960462</v>
      </c>
      <c r="D1861" s="1">
        <v>2263617111</v>
      </c>
      <c r="E1861" s="1">
        <v>853.55</v>
      </c>
      <c r="F1861" s="1" t="s">
        <v>12</v>
      </c>
      <c r="G1861" s="1" t="s">
        <v>12</v>
      </c>
      <c r="H1861" s="1" t="s">
        <v>13</v>
      </c>
      <c r="I1861" s="1" t="s">
        <v>13</v>
      </c>
      <c r="J1861" s="1" t="s">
        <v>27</v>
      </c>
      <c r="K1861" s="1">
        <v>0</v>
      </c>
      <c r="L1861" s="1" t="s">
        <v>21</v>
      </c>
      <c r="M1861" s="1" t="str">
        <f t="shared" si="29"/>
        <v>Consistent</v>
      </c>
      <c r="N1861" s="1" t="str">
        <f>_xlfn.XLOOKUP(H1861, risk_score!A:A, risk_score!B:B, 0)</f>
        <v>Low Risk</v>
      </c>
    </row>
    <row r="1862" spans="1:14">
      <c r="A1862" s="2">
        <v>0.48797453703703703</v>
      </c>
      <c r="B1862" s="3">
        <v>44841</v>
      </c>
      <c r="C1862" s="1">
        <v>7125011674</v>
      </c>
      <c r="D1862" s="1">
        <v>6034997194</v>
      </c>
      <c r="E1862" s="1">
        <v>5113.1499999999996</v>
      </c>
      <c r="F1862" s="1" t="s">
        <v>12</v>
      </c>
      <c r="G1862" s="1" t="s">
        <v>12</v>
      </c>
      <c r="H1862" s="1" t="s">
        <v>13</v>
      </c>
      <c r="I1862" s="1" t="s">
        <v>13</v>
      </c>
      <c r="J1862" s="1" t="s">
        <v>25</v>
      </c>
      <c r="K1862" s="1">
        <v>0</v>
      </c>
      <c r="L1862" s="1" t="s">
        <v>23</v>
      </c>
      <c r="M1862" s="1" t="str">
        <f t="shared" si="29"/>
        <v>Consistent</v>
      </c>
      <c r="N1862" s="1" t="str">
        <f>_xlfn.XLOOKUP(H1862, risk_score!A:A, risk_score!B:B, 0)</f>
        <v>Low Risk</v>
      </c>
    </row>
    <row r="1863" spans="1:14">
      <c r="A1863" s="2">
        <v>0.48803240740740739</v>
      </c>
      <c r="B1863" s="3">
        <v>44841</v>
      </c>
      <c r="C1863" s="1">
        <v>4408502490</v>
      </c>
      <c r="D1863" s="1">
        <v>7066136075</v>
      </c>
      <c r="E1863" s="1">
        <v>11910.96</v>
      </c>
      <c r="F1863" s="1" t="s">
        <v>12</v>
      </c>
      <c r="G1863" s="1" t="s">
        <v>12</v>
      </c>
      <c r="H1863" s="1" t="s">
        <v>13</v>
      </c>
      <c r="I1863" s="1" t="s">
        <v>13</v>
      </c>
      <c r="J1863" s="1" t="s">
        <v>25</v>
      </c>
      <c r="K1863" s="1">
        <v>0</v>
      </c>
      <c r="L1863" s="1" t="s">
        <v>21</v>
      </c>
      <c r="M1863" s="1" t="str">
        <f t="shared" si="29"/>
        <v>Consistent</v>
      </c>
      <c r="N1863" s="1" t="str">
        <f>_xlfn.XLOOKUP(H1863, risk_score!A:A, risk_score!B:B, 0)</f>
        <v>Low Risk</v>
      </c>
    </row>
    <row r="1864" spans="1:14">
      <c r="A1864" s="2">
        <v>0.48803240740740739</v>
      </c>
      <c r="B1864" s="3">
        <v>44841</v>
      </c>
      <c r="C1864" s="1">
        <v>7423492101</v>
      </c>
      <c r="D1864" s="1">
        <v>8172080174</v>
      </c>
      <c r="E1864" s="1">
        <v>10953.17</v>
      </c>
      <c r="F1864" s="1" t="s">
        <v>12</v>
      </c>
      <c r="G1864" s="1" t="s">
        <v>12</v>
      </c>
      <c r="H1864" s="1" t="s">
        <v>13</v>
      </c>
      <c r="I1864" s="1" t="s">
        <v>13</v>
      </c>
      <c r="J1864" s="1" t="s">
        <v>20</v>
      </c>
      <c r="K1864" s="1">
        <v>0</v>
      </c>
      <c r="L1864" s="1" t="s">
        <v>23</v>
      </c>
      <c r="M1864" s="1" t="str">
        <f t="shared" si="29"/>
        <v>Consistent</v>
      </c>
      <c r="N1864" s="1" t="str">
        <f>_xlfn.XLOOKUP(H1864, risk_score!A:A, risk_score!B:B, 0)</f>
        <v>Low Risk</v>
      </c>
    </row>
    <row r="1865" spans="1:14">
      <c r="A1865" s="2">
        <v>0.48804398148148148</v>
      </c>
      <c r="B1865" s="3">
        <v>44841</v>
      </c>
      <c r="C1865" s="1">
        <v>5293429200</v>
      </c>
      <c r="D1865" s="1">
        <v>6825452782</v>
      </c>
      <c r="E1865" s="1">
        <v>106.03</v>
      </c>
      <c r="F1865" s="1" t="s">
        <v>12</v>
      </c>
      <c r="G1865" s="1" t="s">
        <v>12</v>
      </c>
      <c r="H1865" s="1" t="s">
        <v>13</v>
      </c>
      <c r="I1865" s="1" t="s">
        <v>13</v>
      </c>
      <c r="J1865" s="1" t="s">
        <v>22</v>
      </c>
      <c r="K1865" s="1">
        <v>0</v>
      </c>
      <c r="L1865" s="1" t="s">
        <v>21</v>
      </c>
      <c r="M1865" s="1" t="str">
        <f t="shared" si="29"/>
        <v>Consistent</v>
      </c>
      <c r="N1865" s="1" t="str">
        <f>_xlfn.XLOOKUP(H1865, risk_score!A:A, risk_score!B:B, 0)</f>
        <v>Low Risk</v>
      </c>
    </row>
    <row r="1866" spans="1:14">
      <c r="A1866" s="2">
        <v>0.48804398148148148</v>
      </c>
      <c r="B1866" s="3">
        <v>44841</v>
      </c>
      <c r="C1866" s="1">
        <v>5804227223</v>
      </c>
      <c r="D1866" s="1">
        <v>7047814082</v>
      </c>
      <c r="E1866" s="1">
        <v>1823.91</v>
      </c>
      <c r="F1866" s="1" t="s">
        <v>12</v>
      </c>
      <c r="G1866" s="1" t="s">
        <v>12</v>
      </c>
      <c r="H1866" s="1" t="s">
        <v>13</v>
      </c>
      <c r="I1866" s="1" t="s">
        <v>13</v>
      </c>
      <c r="J1866" s="1" t="s">
        <v>22</v>
      </c>
      <c r="K1866" s="1">
        <v>0</v>
      </c>
      <c r="L1866" s="1" t="s">
        <v>38</v>
      </c>
      <c r="M1866" s="1" t="str">
        <f t="shared" si="29"/>
        <v>Consistent</v>
      </c>
      <c r="N1866" s="1" t="str">
        <f>_xlfn.XLOOKUP(H1866, risk_score!A:A, risk_score!B:B, 0)</f>
        <v>Low Risk</v>
      </c>
    </row>
    <row r="1867" spans="1:14">
      <c r="A1867" s="2">
        <v>0.48806712962962961</v>
      </c>
      <c r="B1867" s="3">
        <v>44841</v>
      </c>
      <c r="C1867" s="1">
        <v>5851883842</v>
      </c>
      <c r="D1867" s="1">
        <v>6260073007</v>
      </c>
      <c r="E1867" s="1">
        <v>986.4</v>
      </c>
      <c r="F1867" s="1" t="s">
        <v>12</v>
      </c>
      <c r="G1867" s="1" t="s">
        <v>12</v>
      </c>
      <c r="H1867" s="1" t="s">
        <v>13</v>
      </c>
      <c r="I1867" s="1" t="s">
        <v>13</v>
      </c>
      <c r="J1867" s="1" t="s">
        <v>27</v>
      </c>
      <c r="K1867" s="1">
        <v>0</v>
      </c>
      <c r="L1867" s="1" t="s">
        <v>21</v>
      </c>
      <c r="M1867" s="1" t="str">
        <f t="shared" si="29"/>
        <v>Consistent</v>
      </c>
      <c r="N1867" s="1" t="str">
        <f>_xlfn.XLOOKUP(H1867, risk_score!A:A, risk_score!B:B, 0)</f>
        <v>Low Risk</v>
      </c>
    </row>
    <row r="1868" spans="1:14">
      <c r="A1868" s="2">
        <v>0.48806712962962961</v>
      </c>
      <c r="B1868" s="3">
        <v>44841</v>
      </c>
      <c r="C1868" s="1">
        <v>3709430533</v>
      </c>
      <c r="D1868" s="1">
        <v>8716511495</v>
      </c>
      <c r="E1868" s="1">
        <v>9648.51</v>
      </c>
      <c r="F1868" s="1" t="s">
        <v>12</v>
      </c>
      <c r="G1868" s="1" t="s">
        <v>12</v>
      </c>
      <c r="H1868" s="1" t="s">
        <v>13</v>
      </c>
      <c r="I1868" s="1" t="s">
        <v>13</v>
      </c>
      <c r="J1868" s="1" t="s">
        <v>22</v>
      </c>
      <c r="K1868" s="1">
        <v>0</v>
      </c>
      <c r="L1868" s="1" t="s">
        <v>19</v>
      </c>
      <c r="M1868" s="1" t="str">
        <f t="shared" si="29"/>
        <v>Consistent</v>
      </c>
      <c r="N1868" s="1" t="str">
        <f>_xlfn.XLOOKUP(H1868, risk_score!A:A, risk_score!B:B, 0)</f>
        <v>Low Risk</v>
      </c>
    </row>
    <row r="1869" spans="1:14">
      <c r="A1869" s="2">
        <v>0.48807870370370371</v>
      </c>
      <c r="B1869" s="3">
        <v>44841</v>
      </c>
      <c r="C1869" s="1">
        <v>8925130468</v>
      </c>
      <c r="D1869" s="1">
        <v>3079818547</v>
      </c>
      <c r="E1869" s="1">
        <v>12672.13</v>
      </c>
      <c r="F1869" s="1" t="s">
        <v>12</v>
      </c>
      <c r="G1869" s="1" t="s">
        <v>12</v>
      </c>
      <c r="H1869" s="1" t="s">
        <v>13</v>
      </c>
      <c r="I1869" s="1" t="s">
        <v>13</v>
      </c>
      <c r="J1869" s="1" t="s">
        <v>20</v>
      </c>
      <c r="K1869" s="1">
        <v>0</v>
      </c>
      <c r="L1869" s="1" t="s">
        <v>23</v>
      </c>
      <c r="M1869" s="1" t="str">
        <f t="shared" si="29"/>
        <v>Consistent</v>
      </c>
      <c r="N1869" s="1" t="str">
        <f>_xlfn.XLOOKUP(H1869, risk_score!A:A, risk_score!B:B, 0)</f>
        <v>Low Risk</v>
      </c>
    </row>
    <row r="1870" spans="1:14">
      <c r="A1870" s="2">
        <v>0.4880902777777778</v>
      </c>
      <c r="B1870" s="3">
        <v>44841</v>
      </c>
      <c r="C1870" s="1">
        <v>3332341727</v>
      </c>
      <c r="D1870" s="1">
        <v>5332102873</v>
      </c>
      <c r="E1870" s="1">
        <v>1826.9</v>
      </c>
      <c r="F1870" s="1" t="s">
        <v>12</v>
      </c>
      <c r="G1870" s="1" t="s">
        <v>12</v>
      </c>
      <c r="H1870" s="1" t="s">
        <v>13</v>
      </c>
      <c r="I1870" s="1" t="s">
        <v>13</v>
      </c>
      <c r="J1870" s="1" t="s">
        <v>25</v>
      </c>
      <c r="K1870" s="1">
        <v>0</v>
      </c>
      <c r="L1870" s="1" t="s">
        <v>24</v>
      </c>
      <c r="M1870" s="1" t="str">
        <f t="shared" si="29"/>
        <v>Consistent</v>
      </c>
      <c r="N1870" s="1" t="str">
        <f>_xlfn.XLOOKUP(H1870, risk_score!A:A, risk_score!B:B, 0)</f>
        <v>Low Risk</v>
      </c>
    </row>
    <row r="1871" spans="1:14">
      <c r="A1871" s="2">
        <v>0.48812499999999998</v>
      </c>
      <c r="B1871" s="3">
        <v>44841</v>
      </c>
      <c r="C1871" s="1">
        <v>2797271466</v>
      </c>
      <c r="D1871" s="1">
        <v>1492744665</v>
      </c>
      <c r="E1871" s="1">
        <v>5915.07</v>
      </c>
      <c r="F1871" s="1" t="s">
        <v>12</v>
      </c>
      <c r="G1871" s="1" t="s">
        <v>12</v>
      </c>
      <c r="H1871" s="1" t="s">
        <v>13</v>
      </c>
      <c r="I1871" s="1" t="s">
        <v>13</v>
      </c>
      <c r="J1871" s="1" t="s">
        <v>22</v>
      </c>
      <c r="K1871" s="1">
        <v>0</v>
      </c>
      <c r="L1871" s="1" t="s">
        <v>19</v>
      </c>
      <c r="M1871" s="1" t="str">
        <f t="shared" si="29"/>
        <v>Consistent</v>
      </c>
      <c r="N1871" s="1" t="str">
        <f>_xlfn.XLOOKUP(H1871, risk_score!A:A, risk_score!B:B, 0)</f>
        <v>Low Risk</v>
      </c>
    </row>
    <row r="1872" spans="1:14">
      <c r="A1872" s="2">
        <v>0.48812499999999998</v>
      </c>
      <c r="B1872" s="3">
        <v>44841</v>
      </c>
      <c r="C1872" s="1">
        <v>4177861783</v>
      </c>
      <c r="D1872" s="1">
        <v>1316458123</v>
      </c>
      <c r="E1872" s="1">
        <v>11274.18</v>
      </c>
      <c r="F1872" s="1" t="s">
        <v>12</v>
      </c>
      <c r="G1872" s="1" t="s">
        <v>34</v>
      </c>
      <c r="H1872" s="1" t="s">
        <v>13</v>
      </c>
      <c r="I1872" s="1" t="s">
        <v>35</v>
      </c>
      <c r="J1872" s="1" t="s">
        <v>18</v>
      </c>
      <c r="K1872" s="1">
        <v>0</v>
      </c>
      <c r="L1872" s="1" t="s">
        <v>23</v>
      </c>
      <c r="M1872" s="1" t="str">
        <f t="shared" si="29"/>
        <v>Potential Layering</v>
      </c>
      <c r="N1872" s="1" t="str">
        <f>_xlfn.XLOOKUP(H1872, risk_score!A:A, risk_score!B:B, 0)</f>
        <v>Low Risk</v>
      </c>
    </row>
    <row r="1873" spans="1:14">
      <c r="A1873" s="2">
        <v>0.48818287037037039</v>
      </c>
      <c r="B1873" s="3">
        <v>44841</v>
      </c>
      <c r="C1873" s="1">
        <v>2477803987</v>
      </c>
      <c r="D1873" s="1">
        <v>2666796887</v>
      </c>
      <c r="E1873" s="1">
        <v>55652.05</v>
      </c>
      <c r="F1873" s="1" t="s">
        <v>12</v>
      </c>
      <c r="G1873" s="1" t="s">
        <v>39</v>
      </c>
      <c r="H1873" s="1" t="s">
        <v>13</v>
      </c>
      <c r="I1873" s="1" t="s">
        <v>40</v>
      </c>
      <c r="J1873" s="1" t="s">
        <v>18</v>
      </c>
      <c r="K1873" s="1">
        <v>0</v>
      </c>
      <c r="L1873" s="1" t="s">
        <v>49</v>
      </c>
      <c r="M1873" s="1" t="str">
        <f t="shared" si="29"/>
        <v>Potential Layering</v>
      </c>
      <c r="N1873" s="1" t="str">
        <f>_xlfn.XLOOKUP(H1873, risk_score!A:A, risk_score!B:B, 0)</f>
        <v>Low Risk</v>
      </c>
    </row>
    <row r="1874" spans="1:14">
      <c r="A1874" s="2">
        <v>0.48819444444444443</v>
      </c>
      <c r="B1874" s="3">
        <v>44841</v>
      </c>
      <c r="C1874" s="1">
        <v>6650635027</v>
      </c>
      <c r="D1874" s="1">
        <v>194370112</v>
      </c>
      <c r="E1874" s="1">
        <v>84.14</v>
      </c>
      <c r="F1874" s="1" t="s">
        <v>12</v>
      </c>
      <c r="G1874" s="1" t="s">
        <v>26</v>
      </c>
      <c r="H1874" s="1" t="s">
        <v>13</v>
      </c>
      <c r="I1874" s="1" t="s">
        <v>56</v>
      </c>
      <c r="J1874" s="1" t="s">
        <v>18</v>
      </c>
      <c r="K1874" s="1">
        <v>0</v>
      </c>
      <c r="L1874" s="1" t="s">
        <v>21</v>
      </c>
      <c r="M1874" s="1" t="str">
        <f t="shared" si="29"/>
        <v>Potential Layering</v>
      </c>
      <c r="N1874" s="1" t="str">
        <f>_xlfn.XLOOKUP(H1874, risk_score!A:A, risk_score!B:B, 0)</f>
        <v>Low Risk</v>
      </c>
    </row>
    <row r="1875" spans="1:14">
      <c r="A1875" s="2">
        <v>0.48824074074074075</v>
      </c>
      <c r="B1875" s="3">
        <v>44841</v>
      </c>
      <c r="C1875" s="1">
        <v>2576272240</v>
      </c>
      <c r="D1875" s="1">
        <v>3286201349</v>
      </c>
      <c r="E1875" s="1">
        <v>342.42</v>
      </c>
      <c r="F1875" s="1" t="s">
        <v>12</v>
      </c>
      <c r="G1875" s="1" t="s">
        <v>12</v>
      </c>
      <c r="H1875" s="1" t="s">
        <v>13</v>
      </c>
      <c r="I1875" s="1" t="s">
        <v>13</v>
      </c>
      <c r="J1875" s="1" t="s">
        <v>20</v>
      </c>
      <c r="K1875" s="1">
        <v>0</v>
      </c>
      <c r="L1875" s="1" t="s">
        <v>21</v>
      </c>
      <c r="M1875" s="1" t="str">
        <f t="shared" si="29"/>
        <v>Consistent</v>
      </c>
      <c r="N1875" s="1" t="str">
        <f>_xlfn.XLOOKUP(H1875, risk_score!A:A, risk_score!B:B, 0)</f>
        <v>Low Risk</v>
      </c>
    </row>
    <row r="1876" spans="1:14">
      <c r="A1876" s="2">
        <v>0.48825231481481479</v>
      </c>
      <c r="B1876" s="3">
        <v>44841</v>
      </c>
      <c r="C1876" s="1">
        <v>2815753333</v>
      </c>
      <c r="D1876" s="1">
        <v>1009483043</v>
      </c>
      <c r="E1876" s="1">
        <v>652.55999999999995</v>
      </c>
      <c r="F1876" s="1" t="s">
        <v>12</v>
      </c>
      <c r="G1876" s="1" t="s">
        <v>12</v>
      </c>
      <c r="H1876" s="1" t="s">
        <v>13</v>
      </c>
      <c r="I1876" s="1" t="s">
        <v>13</v>
      </c>
      <c r="J1876" s="1" t="s">
        <v>14</v>
      </c>
      <c r="K1876" s="1">
        <v>0</v>
      </c>
      <c r="L1876" s="1" t="s">
        <v>15</v>
      </c>
      <c r="M1876" s="1" t="str">
        <f t="shared" si="29"/>
        <v>Consistent</v>
      </c>
      <c r="N1876" s="1" t="str">
        <f>_xlfn.XLOOKUP(H1876, risk_score!A:A, risk_score!B:B, 0)</f>
        <v>Low Risk</v>
      </c>
    </row>
    <row r="1877" spans="1:14">
      <c r="A1877" s="2">
        <v>0.48827546296296298</v>
      </c>
      <c r="B1877" s="3">
        <v>44841</v>
      </c>
      <c r="C1877" s="1">
        <v>825443157</v>
      </c>
      <c r="D1877" s="1">
        <v>5182091418</v>
      </c>
      <c r="E1877" s="1">
        <v>585.82000000000005</v>
      </c>
      <c r="F1877" s="1" t="s">
        <v>12</v>
      </c>
      <c r="G1877" s="1" t="s">
        <v>12</v>
      </c>
      <c r="H1877" s="1" t="s">
        <v>13</v>
      </c>
      <c r="I1877" s="1" t="s">
        <v>13</v>
      </c>
      <c r="J1877" s="1" t="s">
        <v>27</v>
      </c>
      <c r="K1877" s="1">
        <v>0</v>
      </c>
      <c r="L1877" s="1" t="s">
        <v>21</v>
      </c>
      <c r="M1877" s="1" t="str">
        <f t="shared" si="29"/>
        <v>Consistent</v>
      </c>
      <c r="N1877" s="1" t="str">
        <f>_xlfn.XLOOKUP(H1877, risk_score!A:A, risk_score!B:B, 0)</f>
        <v>Low Risk</v>
      </c>
    </row>
    <row r="1878" spans="1:14">
      <c r="A1878" s="2">
        <v>0.48827546296296298</v>
      </c>
      <c r="B1878" s="3">
        <v>44841</v>
      </c>
      <c r="C1878" s="1">
        <v>4448768599</v>
      </c>
      <c r="D1878" s="1">
        <v>378823740</v>
      </c>
      <c r="E1878" s="1">
        <v>321.72000000000003</v>
      </c>
      <c r="F1878" s="1" t="s">
        <v>12</v>
      </c>
      <c r="G1878" s="1" t="s">
        <v>12</v>
      </c>
      <c r="H1878" s="1" t="s">
        <v>13</v>
      </c>
      <c r="I1878" s="1" t="s">
        <v>13</v>
      </c>
      <c r="J1878" s="1" t="s">
        <v>22</v>
      </c>
      <c r="K1878" s="1">
        <v>0</v>
      </c>
      <c r="L1878" s="1" t="s">
        <v>21</v>
      </c>
      <c r="M1878" s="1" t="str">
        <f t="shared" si="29"/>
        <v>Consistent</v>
      </c>
      <c r="N1878" s="1" t="str">
        <f>_xlfn.XLOOKUP(H1878, risk_score!A:A, risk_score!B:B, 0)</f>
        <v>Low Risk</v>
      </c>
    </row>
    <row r="1879" spans="1:14">
      <c r="A1879" s="2">
        <v>0.48827546296296298</v>
      </c>
      <c r="B1879" s="3">
        <v>44841</v>
      </c>
      <c r="C1879" s="1">
        <v>6601689732</v>
      </c>
      <c r="D1879" s="1">
        <v>5594636603</v>
      </c>
      <c r="E1879" s="1">
        <v>3573.42</v>
      </c>
      <c r="F1879" s="1" t="s">
        <v>12</v>
      </c>
      <c r="G1879" s="1" t="s">
        <v>12</v>
      </c>
      <c r="H1879" s="1" t="s">
        <v>13</v>
      </c>
      <c r="I1879" s="1" t="s">
        <v>13</v>
      </c>
      <c r="J1879" s="1" t="s">
        <v>27</v>
      </c>
      <c r="K1879" s="1">
        <v>0</v>
      </c>
      <c r="L1879" s="1" t="s">
        <v>24</v>
      </c>
      <c r="M1879" s="1" t="str">
        <f t="shared" si="29"/>
        <v>Consistent</v>
      </c>
      <c r="N1879" s="1" t="str">
        <f>_xlfn.XLOOKUP(H1879, risk_score!A:A, risk_score!B:B, 0)</f>
        <v>Low Risk</v>
      </c>
    </row>
    <row r="1880" spans="1:14">
      <c r="A1880" s="2">
        <v>0.48834490740740738</v>
      </c>
      <c r="B1880" s="3">
        <v>44841</v>
      </c>
      <c r="C1880" s="1">
        <v>1049218260</v>
      </c>
      <c r="D1880" s="1">
        <v>8678802420</v>
      </c>
      <c r="E1880" s="1">
        <v>11062.1</v>
      </c>
      <c r="F1880" s="1" t="s">
        <v>12</v>
      </c>
      <c r="G1880" s="1" t="s">
        <v>12</v>
      </c>
      <c r="H1880" s="1" t="s">
        <v>13</v>
      </c>
      <c r="I1880" s="1" t="s">
        <v>13</v>
      </c>
      <c r="J1880" s="1" t="s">
        <v>27</v>
      </c>
      <c r="K1880" s="1">
        <v>0</v>
      </c>
      <c r="L1880" s="1" t="s">
        <v>23</v>
      </c>
      <c r="M1880" s="1" t="str">
        <f t="shared" si="29"/>
        <v>Consistent</v>
      </c>
      <c r="N1880" s="1" t="str">
        <f>_xlfn.XLOOKUP(H1880, risk_score!A:A, risk_score!B:B, 0)</f>
        <v>Low Risk</v>
      </c>
    </row>
    <row r="1881" spans="1:14">
      <c r="A1881" s="2">
        <v>0.48837962962962961</v>
      </c>
      <c r="B1881" s="3">
        <v>44841</v>
      </c>
      <c r="C1881" s="1">
        <v>4084230362</v>
      </c>
      <c r="D1881" s="1">
        <v>7743695018</v>
      </c>
      <c r="E1881" s="1">
        <v>4095.94</v>
      </c>
      <c r="F1881" s="1" t="s">
        <v>12</v>
      </c>
      <c r="G1881" s="1" t="s">
        <v>12</v>
      </c>
      <c r="H1881" s="1" t="s">
        <v>13</v>
      </c>
      <c r="I1881" s="1" t="s">
        <v>13</v>
      </c>
      <c r="J1881" s="1" t="s">
        <v>14</v>
      </c>
      <c r="K1881" s="1">
        <v>0</v>
      </c>
      <c r="L1881" s="1" t="s">
        <v>15</v>
      </c>
      <c r="M1881" s="1" t="str">
        <f t="shared" si="29"/>
        <v>Consistent</v>
      </c>
      <c r="N1881" s="1" t="str">
        <f>_xlfn.XLOOKUP(H1881, risk_score!A:A, risk_score!B:B, 0)</f>
        <v>Low Risk</v>
      </c>
    </row>
    <row r="1882" spans="1:14">
      <c r="A1882" s="2">
        <v>0.4884027777777778</v>
      </c>
      <c r="B1882" s="3">
        <v>44841</v>
      </c>
      <c r="C1882" s="1">
        <v>2365007895</v>
      </c>
      <c r="D1882" s="1">
        <v>5042424090</v>
      </c>
      <c r="E1882" s="1">
        <v>10550.39</v>
      </c>
      <c r="F1882" s="1" t="s">
        <v>12</v>
      </c>
      <c r="G1882" s="1" t="s">
        <v>12</v>
      </c>
      <c r="H1882" s="1" t="s">
        <v>13</v>
      </c>
      <c r="I1882" s="1" t="s">
        <v>13</v>
      </c>
      <c r="J1882" s="1" t="s">
        <v>22</v>
      </c>
      <c r="K1882" s="1">
        <v>0</v>
      </c>
      <c r="L1882" s="1" t="s">
        <v>19</v>
      </c>
      <c r="M1882" s="1" t="str">
        <f t="shared" si="29"/>
        <v>Consistent</v>
      </c>
      <c r="N1882" s="1" t="str">
        <f>_xlfn.XLOOKUP(H1882, risk_score!A:A, risk_score!B:B, 0)</f>
        <v>Low Risk</v>
      </c>
    </row>
    <row r="1883" spans="1:14">
      <c r="A1883" s="2">
        <v>0.48850694444444442</v>
      </c>
      <c r="B1883" s="3">
        <v>44841</v>
      </c>
      <c r="C1883" s="1">
        <v>5510973979</v>
      </c>
      <c r="D1883" s="1">
        <v>3054099760</v>
      </c>
      <c r="E1883" s="1">
        <v>1205.1400000000001</v>
      </c>
      <c r="F1883" s="1" t="s">
        <v>12</v>
      </c>
      <c r="G1883" s="1" t="s">
        <v>12</v>
      </c>
      <c r="H1883" s="1" t="s">
        <v>13</v>
      </c>
      <c r="I1883" s="1" t="s">
        <v>13</v>
      </c>
      <c r="J1883" s="1" t="s">
        <v>20</v>
      </c>
      <c r="K1883" s="1">
        <v>0</v>
      </c>
      <c r="L1883" s="1" t="s">
        <v>21</v>
      </c>
      <c r="M1883" s="1" t="str">
        <f t="shared" si="29"/>
        <v>Consistent</v>
      </c>
      <c r="N1883" s="1" t="str">
        <f>_xlfn.XLOOKUP(H1883, risk_score!A:A, risk_score!B:B, 0)</f>
        <v>Low Risk</v>
      </c>
    </row>
    <row r="1884" spans="1:14">
      <c r="A1884" s="2">
        <v>0.48851851851851852</v>
      </c>
      <c r="B1884" s="3">
        <v>44841</v>
      </c>
      <c r="C1884" s="1">
        <v>5457154781</v>
      </c>
      <c r="D1884" s="1">
        <v>3787306730</v>
      </c>
      <c r="E1884" s="1">
        <v>9419.31</v>
      </c>
      <c r="F1884" s="1" t="s">
        <v>12</v>
      </c>
      <c r="G1884" s="1" t="s">
        <v>12</v>
      </c>
      <c r="H1884" s="1" t="s">
        <v>13</v>
      </c>
      <c r="I1884" s="1" t="s">
        <v>13</v>
      </c>
      <c r="J1884" s="1" t="s">
        <v>25</v>
      </c>
      <c r="K1884" s="1">
        <v>0</v>
      </c>
      <c r="L1884" s="1" t="s">
        <v>21</v>
      </c>
      <c r="M1884" s="1" t="str">
        <f t="shared" si="29"/>
        <v>Consistent</v>
      </c>
      <c r="N1884" s="1" t="str">
        <f>_xlfn.XLOOKUP(H1884, risk_score!A:A, risk_score!B:B, 0)</f>
        <v>Low Risk</v>
      </c>
    </row>
    <row r="1885" spans="1:14">
      <c r="A1885" s="2">
        <v>0.48853009259259261</v>
      </c>
      <c r="B1885" s="3">
        <v>44841</v>
      </c>
      <c r="C1885" s="1">
        <v>7965472676</v>
      </c>
      <c r="D1885" s="1">
        <v>6646502650</v>
      </c>
      <c r="E1885" s="1">
        <v>5429.86</v>
      </c>
      <c r="F1885" s="1" t="s">
        <v>12</v>
      </c>
      <c r="G1885" s="1" t="s">
        <v>29</v>
      </c>
      <c r="H1885" s="1" t="s">
        <v>13</v>
      </c>
      <c r="I1885" s="1" t="s">
        <v>31</v>
      </c>
      <c r="J1885" s="1" t="s">
        <v>18</v>
      </c>
      <c r="K1885" s="1">
        <v>0</v>
      </c>
      <c r="L1885" s="1" t="s">
        <v>23</v>
      </c>
      <c r="M1885" s="1" t="str">
        <f t="shared" si="29"/>
        <v>Potential Layering</v>
      </c>
      <c r="N1885" s="1" t="str">
        <f>_xlfn.XLOOKUP(H1885, risk_score!A:A, risk_score!B:B, 0)</f>
        <v>Low Risk</v>
      </c>
    </row>
    <row r="1886" spans="1:14">
      <c r="A1886" s="2">
        <v>0.48861111111111111</v>
      </c>
      <c r="B1886" s="3">
        <v>44841</v>
      </c>
      <c r="C1886" s="1">
        <v>224895015</v>
      </c>
      <c r="D1886" s="1">
        <v>8747712078</v>
      </c>
      <c r="E1886" s="1">
        <v>12919.42</v>
      </c>
      <c r="F1886" s="1" t="s">
        <v>12</v>
      </c>
      <c r="G1886" s="1" t="s">
        <v>12</v>
      </c>
      <c r="H1886" s="1" t="s">
        <v>13</v>
      </c>
      <c r="I1886" s="1" t="s">
        <v>13</v>
      </c>
      <c r="J1886" s="1" t="s">
        <v>25</v>
      </c>
      <c r="K1886" s="1">
        <v>0</v>
      </c>
      <c r="L1886" s="1" t="s">
        <v>21</v>
      </c>
      <c r="M1886" s="1" t="str">
        <f t="shared" si="29"/>
        <v>Consistent</v>
      </c>
      <c r="N1886" s="1" t="str">
        <f>_xlfn.XLOOKUP(H1886, risk_score!A:A, risk_score!B:B, 0)</f>
        <v>Low Risk</v>
      </c>
    </row>
    <row r="1887" spans="1:14">
      <c r="A1887" s="2">
        <v>0.48864583333333333</v>
      </c>
      <c r="B1887" s="3">
        <v>44841</v>
      </c>
      <c r="C1887" s="1">
        <v>675669049</v>
      </c>
      <c r="D1887" s="1">
        <v>1567400421</v>
      </c>
      <c r="E1887" s="1">
        <v>9006.02</v>
      </c>
      <c r="F1887" s="1" t="s">
        <v>12</v>
      </c>
      <c r="G1887" s="1" t="s">
        <v>12</v>
      </c>
      <c r="H1887" s="1" t="s">
        <v>13</v>
      </c>
      <c r="I1887" s="1" t="s">
        <v>13</v>
      </c>
      <c r="J1887" s="1" t="s">
        <v>27</v>
      </c>
      <c r="K1887" s="1">
        <v>0</v>
      </c>
      <c r="L1887" s="1" t="s">
        <v>19</v>
      </c>
      <c r="M1887" s="1" t="str">
        <f t="shared" si="29"/>
        <v>Consistent</v>
      </c>
      <c r="N1887" s="1" t="str">
        <f>_xlfn.XLOOKUP(H1887, risk_score!A:A, risk_score!B:B, 0)</f>
        <v>Low Risk</v>
      </c>
    </row>
    <row r="1888" spans="1:14">
      <c r="A1888" s="2">
        <v>0.48866898148148147</v>
      </c>
      <c r="B1888" s="3">
        <v>44841</v>
      </c>
      <c r="C1888" s="1">
        <v>7169908381</v>
      </c>
      <c r="D1888" s="1">
        <v>5667087556</v>
      </c>
      <c r="E1888" s="1">
        <v>1960.19</v>
      </c>
      <c r="F1888" s="1" t="s">
        <v>12</v>
      </c>
      <c r="G1888" s="1" t="s">
        <v>12</v>
      </c>
      <c r="H1888" s="1" t="s">
        <v>13</v>
      </c>
      <c r="I1888" s="1" t="s">
        <v>13</v>
      </c>
      <c r="J1888" s="1" t="s">
        <v>20</v>
      </c>
      <c r="K1888" s="1">
        <v>0</v>
      </c>
      <c r="L1888" s="1" t="s">
        <v>21</v>
      </c>
      <c r="M1888" s="1" t="str">
        <f t="shared" si="29"/>
        <v>Consistent</v>
      </c>
      <c r="N1888" s="1" t="str">
        <f>_xlfn.XLOOKUP(H1888, risk_score!A:A, risk_score!B:B, 0)</f>
        <v>Low Risk</v>
      </c>
    </row>
    <row r="1889" spans="1:14">
      <c r="A1889" s="2">
        <v>0.48866898148148147</v>
      </c>
      <c r="B1889" s="3">
        <v>44841</v>
      </c>
      <c r="C1889" s="1">
        <v>3358870725</v>
      </c>
      <c r="D1889" s="1">
        <v>7444330665</v>
      </c>
      <c r="E1889" s="1">
        <v>15544.17</v>
      </c>
      <c r="F1889" s="1" t="s">
        <v>12</v>
      </c>
      <c r="G1889" s="1" t="s">
        <v>12</v>
      </c>
      <c r="H1889" s="1" t="s">
        <v>13</v>
      </c>
      <c r="I1889" s="1" t="s">
        <v>13</v>
      </c>
      <c r="J1889" s="1" t="s">
        <v>20</v>
      </c>
      <c r="K1889" s="1">
        <v>0</v>
      </c>
      <c r="L1889" s="1" t="s">
        <v>24</v>
      </c>
      <c r="M1889" s="1" t="str">
        <f t="shared" si="29"/>
        <v>Consistent</v>
      </c>
      <c r="N1889" s="1" t="str">
        <f>_xlfn.XLOOKUP(H1889, risk_score!A:A, risk_score!B:B, 0)</f>
        <v>Low Risk</v>
      </c>
    </row>
    <row r="1890" spans="1:14">
      <c r="A1890" s="2">
        <v>0.48872685185185183</v>
      </c>
      <c r="B1890" s="3">
        <v>44841</v>
      </c>
      <c r="C1890" s="1">
        <v>6212392715</v>
      </c>
      <c r="D1890" s="1">
        <v>8619444777</v>
      </c>
      <c r="E1890" s="1">
        <v>16871.8</v>
      </c>
      <c r="F1890" s="1" t="s">
        <v>12</v>
      </c>
      <c r="G1890" s="1" t="s">
        <v>12</v>
      </c>
      <c r="H1890" s="1" t="s">
        <v>13</v>
      </c>
      <c r="I1890" s="1" t="s">
        <v>13</v>
      </c>
      <c r="J1890" s="1" t="s">
        <v>22</v>
      </c>
      <c r="K1890" s="1">
        <v>0</v>
      </c>
      <c r="L1890" s="1" t="s">
        <v>38</v>
      </c>
      <c r="M1890" s="1" t="str">
        <f t="shared" si="29"/>
        <v>Consistent</v>
      </c>
      <c r="N1890" s="1" t="str">
        <f>_xlfn.XLOOKUP(H1890, risk_score!A:A, risk_score!B:B, 0)</f>
        <v>Low Risk</v>
      </c>
    </row>
    <row r="1891" spans="1:14">
      <c r="A1891" s="2">
        <v>0.48873842592592592</v>
      </c>
      <c r="B1891" s="3">
        <v>44841</v>
      </c>
      <c r="C1891" s="1">
        <v>1382513766</v>
      </c>
      <c r="D1891" s="1">
        <v>6444220418</v>
      </c>
      <c r="E1891" s="1">
        <v>8719.76</v>
      </c>
      <c r="F1891" s="1" t="s">
        <v>12</v>
      </c>
      <c r="G1891" s="1" t="s">
        <v>12</v>
      </c>
      <c r="H1891" s="1" t="s">
        <v>13</v>
      </c>
      <c r="I1891" s="1" t="s">
        <v>13</v>
      </c>
      <c r="J1891" s="1" t="s">
        <v>20</v>
      </c>
      <c r="K1891" s="1">
        <v>0</v>
      </c>
      <c r="L1891" s="1" t="s">
        <v>23</v>
      </c>
      <c r="M1891" s="1" t="str">
        <f t="shared" si="29"/>
        <v>Consistent</v>
      </c>
      <c r="N1891" s="1" t="str">
        <f>_xlfn.XLOOKUP(H1891, risk_score!A:A, risk_score!B:B, 0)</f>
        <v>Low Risk</v>
      </c>
    </row>
    <row r="1892" spans="1:14">
      <c r="A1892" s="2">
        <v>0.48875000000000002</v>
      </c>
      <c r="B1892" s="3">
        <v>44841</v>
      </c>
      <c r="C1892" s="1">
        <v>6116657264</v>
      </c>
      <c r="D1892" s="1">
        <v>2283849585</v>
      </c>
      <c r="E1892" s="1">
        <v>4349.93</v>
      </c>
      <c r="F1892" s="1" t="s">
        <v>12</v>
      </c>
      <c r="G1892" s="1" t="s">
        <v>12</v>
      </c>
      <c r="H1892" s="1" t="s">
        <v>13</v>
      </c>
      <c r="I1892" s="1" t="s">
        <v>13</v>
      </c>
      <c r="J1892" s="1" t="s">
        <v>27</v>
      </c>
      <c r="K1892" s="1">
        <v>0</v>
      </c>
      <c r="L1892" s="1" t="s">
        <v>19</v>
      </c>
      <c r="M1892" s="1" t="str">
        <f t="shared" si="29"/>
        <v>Consistent</v>
      </c>
      <c r="N1892" s="1" t="str">
        <f>_xlfn.XLOOKUP(H1892, risk_score!A:A, risk_score!B:B, 0)</f>
        <v>Low Risk</v>
      </c>
    </row>
    <row r="1893" spans="1:14">
      <c r="A1893" s="2">
        <v>0.48875000000000002</v>
      </c>
      <c r="B1893" s="3">
        <v>44841</v>
      </c>
      <c r="C1893" s="1">
        <v>6904668523</v>
      </c>
      <c r="D1893" s="1">
        <v>3540529623</v>
      </c>
      <c r="E1893" s="1">
        <v>9297.3700000000008</v>
      </c>
      <c r="F1893" s="1" t="s">
        <v>12</v>
      </c>
      <c r="G1893" s="1" t="s">
        <v>12</v>
      </c>
      <c r="H1893" s="1" t="s">
        <v>13</v>
      </c>
      <c r="I1893" s="1" t="s">
        <v>13</v>
      </c>
      <c r="J1893" s="1" t="s">
        <v>25</v>
      </c>
      <c r="K1893" s="1">
        <v>0</v>
      </c>
      <c r="L1893" s="1" t="s">
        <v>19</v>
      </c>
      <c r="M1893" s="1" t="str">
        <f t="shared" si="29"/>
        <v>Consistent</v>
      </c>
      <c r="N1893" s="1" t="str">
        <f>_xlfn.XLOOKUP(H1893, risk_score!A:A, risk_score!B:B, 0)</f>
        <v>Low Risk</v>
      </c>
    </row>
    <row r="1894" spans="1:14">
      <c r="A1894" s="2">
        <v>0.48876157407407406</v>
      </c>
      <c r="B1894" s="3">
        <v>44841</v>
      </c>
      <c r="C1894" s="1">
        <v>4774715518</v>
      </c>
      <c r="D1894" s="1">
        <v>9041369525</v>
      </c>
      <c r="E1894" s="1">
        <v>266.83999999999997</v>
      </c>
      <c r="F1894" s="1" t="s">
        <v>12</v>
      </c>
      <c r="G1894" s="1" t="s">
        <v>12</v>
      </c>
      <c r="H1894" s="1" t="s">
        <v>13</v>
      </c>
      <c r="I1894" s="1" t="s">
        <v>13</v>
      </c>
      <c r="J1894" s="1" t="s">
        <v>36</v>
      </c>
      <c r="K1894" s="1">
        <v>0</v>
      </c>
      <c r="L1894" s="1" t="s">
        <v>37</v>
      </c>
      <c r="M1894" s="1" t="str">
        <f t="shared" si="29"/>
        <v>Consistent</v>
      </c>
      <c r="N1894" s="1" t="str">
        <f>_xlfn.XLOOKUP(H1894, risk_score!A:A, risk_score!B:B, 0)</f>
        <v>Low Risk</v>
      </c>
    </row>
    <row r="1895" spans="1:14">
      <c r="A1895" s="2">
        <v>0.48878472222222225</v>
      </c>
      <c r="B1895" s="3">
        <v>44841</v>
      </c>
      <c r="C1895" s="1">
        <v>6803873546</v>
      </c>
      <c r="D1895" s="1">
        <v>6967883252</v>
      </c>
      <c r="E1895" s="1">
        <v>886.09</v>
      </c>
      <c r="F1895" s="1" t="s">
        <v>12</v>
      </c>
      <c r="G1895" s="1" t="s">
        <v>12</v>
      </c>
      <c r="H1895" s="1" t="s">
        <v>13</v>
      </c>
      <c r="I1895" s="1" t="s">
        <v>13</v>
      </c>
      <c r="J1895" s="1" t="s">
        <v>27</v>
      </c>
      <c r="K1895" s="1">
        <v>0</v>
      </c>
      <c r="L1895" s="1" t="s">
        <v>21</v>
      </c>
      <c r="M1895" s="1" t="str">
        <f t="shared" si="29"/>
        <v>Consistent</v>
      </c>
      <c r="N1895" s="1" t="str">
        <f>_xlfn.XLOOKUP(H1895, risk_score!A:A, risk_score!B:B, 0)</f>
        <v>Low Risk</v>
      </c>
    </row>
    <row r="1896" spans="1:14">
      <c r="A1896" s="2">
        <v>0.48879629629629628</v>
      </c>
      <c r="B1896" s="3">
        <v>44841</v>
      </c>
      <c r="C1896" s="1">
        <v>9190069817</v>
      </c>
      <c r="D1896" s="1">
        <v>9909590242</v>
      </c>
      <c r="E1896" s="1">
        <v>2209.31</v>
      </c>
      <c r="F1896" s="1" t="s">
        <v>12</v>
      </c>
      <c r="G1896" s="1" t="s">
        <v>12</v>
      </c>
      <c r="H1896" s="1" t="s">
        <v>13</v>
      </c>
      <c r="I1896" s="1" t="s">
        <v>13</v>
      </c>
      <c r="J1896" s="1" t="s">
        <v>22</v>
      </c>
      <c r="K1896" s="1">
        <v>0</v>
      </c>
      <c r="L1896" s="1" t="s">
        <v>21</v>
      </c>
      <c r="M1896" s="1" t="str">
        <f t="shared" si="29"/>
        <v>Consistent</v>
      </c>
      <c r="N1896" s="1" t="str">
        <f>_xlfn.XLOOKUP(H1896, risk_score!A:A, risk_score!B:B, 0)</f>
        <v>Low Risk</v>
      </c>
    </row>
    <row r="1897" spans="1:14">
      <c r="A1897" s="2">
        <v>0.48880787037037038</v>
      </c>
      <c r="B1897" s="3">
        <v>44841</v>
      </c>
      <c r="C1897" s="1">
        <v>7669236826</v>
      </c>
      <c r="D1897" s="1">
        <v>9616268671</v>
      </c>
      <c r="E1897" s="1">
        <v>10928.56</v>
      </c>
      <c r="F1897" s="1" t="s">
        <v>12</v>
      </c>
      <c r="G1897" s="1" t="s">
        <v>12</v>
      </c>
      <c r="H1897" s="1" t="s">
        <v>13</v>
      </c>
      <c r="I1897" s="1" t="s">
        <v>13</v>
      </c>
      <c r="J1897" s="1" t="s">
        <v>27</v>
      </c>
      <c r="K1897" s="1">
        <v>0</v>
      </c>
      <c r="L1897" s="1" t="s">
        <v>19</v>
      </c>
      <c r="M1897" s="1" t="str">
        <f t="shared" si="29"/>
        <v>Consistent</v>
      </c>
      <c r="N1897" s="1" t="str">
        <f>_xlfn.XLOOKUP(H1897, risk_score!A:A, risk_score!B:B, 0)</f>
        <v>Low Risk</v>
      </c>
    </row>
    <row r="1898" spans="1:14">
      <c r="A1898" s="2">
        <v>0.48880787037037038</v>
      </c>
      <c r="B1898" s="3">
        <v>44841</v>
      </c>
      <c r="C1898" s="1">
        <v>267264610</v>
      </c>
      <c r="D1898" s="1">
        <v>3648984918</v>
      </c>
      <c r="E1898" s="1">
        <v>109.83</v>
      </c>
      <c r="F1898" s="1" t="s">
        <v>12</v>
      </c>
      <c r="G1898" s="1" t="s">
        <v>12</v>
      </c>
      <c r="H1898" s="1" t="s">
        <v>13</v>
      </c>
      <c r="I1898" s="1" t="s">
        <v>13</v>
      </c>
      <c r="J1898" s="1" t="s">
        <v>36</v>
      </c>
      <c r="K1898" s="1">
        <v>0</v>
      </c>
      <c r="L1898" s="1" t="s">
        <v>37</v>
      </c>
      <c r="M1898" s="1" t="str">
        <f t="shared" si="29"/>
        <v>Consistent</v>
      </c>
      <c r="N1898" s="1" t="str">
        <f>_xlfn.XLOOKUP(H1898, risk_score!A:A, risk_score!B:B, 0)</f>
        <v>Low Risk</v>
      </c>
    </row>
    <row r="1899" spans="1:14">
      <c r="A1899" s="2">
        <v>0.48885416666666665</v>
      </c>
      <c r="B1899" s="3">
        <v>44841</v>
      </c>
      <c r="C1899" s="1">
        <v>3697918511</v>
      </c>
      <c r="D1899" s="1">
        <v>7160736915</v>
      </c>
      <c r="E1899" s="1">
        <v>6613.01</v>
      </c>
      <c r="F1899" s="1" t="s">
        <v>12</v>
      </c>
      <c r="G1899" s="1" t="s">
        <v>12</v>
      </c>
      <c r="H1899" s="1" t="s">
        <v>13</v>
      </c>
      <c r="I1899" s="1" t="s">
        <v>13</v>
      </c>
      <c r="J1899" s="1" t="s">
        <v>20</v>
      </c>
      <c r="K1899" s="1">
        <v>0</v>
      </c>
      <c r="L1899" s="1" t="s">
        <v>23</v>
      </c>
      <c r="M1899" s="1" t="str">
        <f t="shared" si="29"/>
        <v>Consistent</v>
      </c>
      <c r="N1899" s="1" t="str">
        <f>_xlfn.XLOOKUP(H1899, risk_score!A:A, risk_score!B:B, 0)</f>
        <v>Low Risk</v>
      </c>
    </row>
    <row r="1900" spans="1:14">
      <c r="A1900" s="2">
        <v>0.48886574074074074</v>
      </c>
      <c r="B1900" s="3">
        <v>44841</v>
      </c>
      <c r="C1900" s="1">
        <v>2997580898</v>
      </c>
      <c r="D1900" s="1">
        <v>32473370</v>
      </c>
      <c r="E1900" s="1">
        <v>851.6</v>
      </c>
      <c r="F1900" s="1" t="s">
        <v>12</v>
      </c>
      <c r="G1900" s="1" t="s">
        <v>12</v>
      </c>
      <c r="H1900" s="1" t="s">
        <v>13</v>
      </c>
      <c r="I1900" s="1" t="s">
        <v>13</v>
      </c>
      <c r="J1900" s="1" t="s">
        <v>20</v>
      </c>
      <c r="K1900" s="1">
        <v>0</v>
      </c>
      <c r="L1900" s="1" t="s">
        <v>21</v>
      </c>
      <c r="M1900" s="1" t="str">
        <f t="shared" si="29"/>
        <v>Consistent</v>
      </c>
      <c r="N1900" s="1" t="str">
        <f>_xlfn.XLOOKUP(H1900, risk_score!A:A, risk_score!B:B, 0)</f>
        <v>Low Risk</v>
      </c>
    </row>
    <row r="1901" spans="1:14">
      <c r="A1901" s="2">
        <v>0.48886574074074074</v>
      </c>
      <c r="B1901" s="3">
        <v>44841</v>
      </c>
      <c r="C1901" s="1">
        <v>8173030967</v>
      </c>
      <c r="D1901" s="1">
        <v>9633221390</v>
      </c>
      <c r="E1901" s="1">
        <v>1336.76</v>
      </c>
      <c r="F1901" s="1" t="s">
        <v>12</v>
      </c>
      <c r="G1901" s="1" t="s">
        <v>12</v>
      </c>
      <c r="H1901" s="1" t="s">
        <v>13</v>
      </c>
      <c r="I1901" s="1" t="s">
        <v>13</v>
      </c>
      <c r="J1901" s="1" t="s">
        <v>20</v>
      </c>
      <c r="K1901" s="1">
        <v>0</v>
      </c>
      <c r="L1901" s="1" t="s">
        <v>24</v>
      </c>
      <c r="M1901" s="1" t="str">
        <f t="shared" si="29"/>
        <v>Consistent</v>
      </c>
      <c r="N1901" s="1" t="str">
        <f>_xlfn.XLOOKUP(H1901, risk_score!A:A, risk_score!B:B, 0)</f>
        <v>Low Risk</v>
      </c>
    </row>
    <row r="1902" spans="1:14">
      <c r="A1902" s="2">
        <v>0.48894675925925923</v>
      </c>
      <c r="B1902" s="3">
        <v>44841</v>
      </c>
      <c r="C1902" s="1">
        <v>3011203127</v>
      </c>
      <c r="D1902" s="1">
        <v>5858369125</v>
      </c>
      <c r="E1902" s="1">
        <v>6039.04</v>
      </c>
      <c r="F1902" s="1" t="s">
        <v>12</v>
      </c>
      <c r="G1902" s="1" t="s">
        <v>12</v>
      </c>
      <c r="H1902" s="1" t="s">
        <v>13</v>
      </c>
      <c r="I1902" s="1" t="s">
        <v>13</v>
      </c>
      <c r="J1902" s="1" t="s">
        <v>27</v>
      </c>
      <c r="K1902" s="1">
        <v>0</v>
      </c>
      <c r="L1902" s="1" t="s">
        <v>23</v>
      </c>
      <c r="M1902" s="1" t="str">
        <f t="shared" si="29"/>
        <v>Consistent</v>
      </c>
      <c r="N1902" s="1" t="str">
        <f>_xlfn.XLOOKUP(H1902, risk_score!A:A, risk_score!B:B, 0)</f>
        <v>Low Risk</v>
      </c>
    </row>
    <row r="1903" spans="1:14">
      <c r="A1903" s="2">
        <v>0.48896990740740742</v>
      </c>
      <c r="B1903" s="3">
        <v>44841</v>
      </c>
      <c r="C1903" s="1">
        <v>9287589980</v>
      </c>
      <c r="D1903" s="1">
        <v>5103043844</v>
      </c>
      <c r="E1903" s="1">
        <v>5974.06</v>
      </c>
      <c r="F1903" s="1" t="s">
        <v>12</v>
      </c>
      <c r="G1903" s="1" t="s">
        <v>44</v>
      </c>
      <c r="H1903" s="1" t="s">
        <v>13</v>
      </c>
      <c r="I1903" s="1" t="s">
        <v>45</v>
      </c>
      <c r="J1903" s="1" t="s">
        <v>18</v>
      </c>
      <c r="K1903" s="1">
        <v>0</v>
      </c>
      <c r="L1903" s="1" t="s">
        <v>23</v>
      </c>
      <c r="M1903" s="1" t="str">
        <f t="shared" si="29"/>
        <v>Potential Layering</v>
      </c>
      <c r="N1903" s="1" t="str">
        <f>_xlfn.XLOOKUP(H1903, risk_score!A:A, risk_score!B:B, 0)</f>
        <v>Low Risk</v>
      </c>
    </row>
    <row r="1904" spans="1:14">
      <c r="A1904" s="2">
        <v>0.48898148148148146</v>
      </c>
      <c r="B1904" s="3">
        <v>44841</v>
      </c>
      <c r="C1904" s="1">
        <v>8993724984</v>
      </c>
      <c r="D1904" s="1">
        <v>1493436023</v>
      </c>
      <c r="E1904" s="1">
        <v>10178.200000000001</v>
      </c>
      <c r="F1904" s="1" t="s">
        <v>12</v>
      </c>
      <c r="G1904" s="1" t="s">
        <v>12</v>
      </c>
      <c r="H1904" s="1" t="s">
        <v>13</v>
      </c>
      <c r="I1904" s="1" t="s">
        <v>13</v>
      </c>
      <c r="J1904" s="1" t="s">
        <v>27</v>
      </c>
      <c r="K1904" s="1">
        <v>0</v>
      </c>
      <c r="L1904" s="1" t="s">
        <v>23</v>
      </c>
      <c r="M1904" s="1" t="str">
        <f t="shared" si="29"/>
        <v>Consistent</v>
      </c>
      <c r="N1904" s="1" t="str">
        <f>_xlfn.XLOOKUP(H1904, risk_score!A:A, risk_score!B:B, 0)</f>
        <v>Low Risk</v>
      </c>
    </row>
    <row r="1905" spans="1:14">
      <c r="A1905" s="2">
        <v>0.48898148148148146</v>
      </c>
      <c r="B1905" s="3">
        <v>44841</v>
      </c>
      <c r="C1905" s="1">
        <v>3683639470</v>
      </c>
      <c r="D1905" s="1">
        <v>3066321263</v>
      </c>
      <c r="E1905" s="1">
        <v>13016.41</v>
      </c>
      <c r="F1905" s="1" t="s">
        <v>12</v>
      </c>
      <c r="G1905" s="1" t="s">
        <v>12</v>
      </c>
      <c r="H1905" s="1" t="s">
        <v>13</v>
      </c>
      <c r="I1905" s="1" t="s">
        <v>13</v>
      </c>
      <c r="J1905" s="1" t="s">
        <v>25</v>
      </c>
      <c r="K1905" s="1">
        <v>0</v>
      </c>
      <c r="L1905" s="1" t="s">
        <v>23</v>
      </c>
      <c r="M1905" s="1" t="str">
        <f t="shared" si="29"/>
        <v>Consistent</v>
      </c>
      <c r="N1905" s="1" t="str">
        <f>_xlfn.XLOOKUP(H1905, risk_score!A:A, risk_score!B:B, 0)</f>
        <v>Low Risk</v>
      </c>
    </row>
    <row r="1906" spans="1:14">
      <c r="A1906" s="2">
        <v>0.48901620370370369</v>
      </c>
      <c r="B1906" s="3">
        <v>44841</v>
      </c>
      <c r="C1906" s="1">
        <v>9746384104</v>
      </c>
      <c r="D1906" s="1">
        <v>8939055432</v>
      </c>
      <c r="E1906" s="1">
        <v>4994.55</v>
      </c>
      <c r="F1906" s="1" t="s">
        <v>12</v>
      </c>
      <c r="G1906" s="1" t="s">
        <v>12</v>
      </c>
      <c r="H1906" s="1" t="s">
        <v>13</v>
      </c>
      <c r="I1906" s="1" t="s">
        <v>13</v>
      </c>
      <c r="J1906" s="1" t="s">
        <v>25</v>
      </c>
      <c r="K1906" s="1">
        <v>0</v>
      </c>
      <c r="L1906" s="1" t="s">
        <v>19</v>
      </c>
      <c r="M1906" s="1" t="str">
        <f t="shared" si="29"/>
        <v>Consistent</v>
      </c>
      <c r="N1906" s="1" t="str">
        <f>_xlfn.XLOOKUP(H1906, risk_score!A:A, risk_score!B:B, 0)</f>
        <v>Low Risk</v>
      </c>
    </row>
    <row r="1907" spans="1:14">
      <c r="A1907" s="2">
        <v>0.48905092592592592</v>
      </c>
      <c r="B1907" s="3">
        <v>44841</v>
      </c>
      <c r="C1907" s="1">
        <v>8009250915</v>
      </c>
      <c r="D1907" s="1">
        <v>9432976841</v>
      </c>
      <c r="E1907" s="1">
        <v>2513.84</v>
      </c>
      <c r="F1907" s="1" t="s">
        <v>12</v>
      </c>
      <c r="G1907" s="1" t="s">
        <v>12</v>
      </c>
      <c r="H1907" s="1" t="s">
        <v>13</v>
      </c>
      <c r="I1907" s="1" t="s">
        <v>13</v>
      </c>
      <c r="J1907" s="1" t="s">
        <v>27</v>
      </c>
      <c r="K1907" s="1">
        <v>0</v>
      </c>
      <c r="L1907" s="1" t="s">
        <v>21</v>
      </c>
      <c r="M1907" s="1" t="str">
        <f t="shared" si="29"/>
        <v>Consistent</v>
      </c>
      <c r="N1907" s="1" t="str">
        <f>_xlfn.XLOOKUP(H1907, risk_score!A:A, risk_score!B:B, 0)</f>
        <v>Low Risk</v>
      </c>
    </row>
    <row r="1908" spans="1:14">
      <c r="A1908" s="2">
        <v>0.48908564814814814</v>
      </c>
      <c r="B1908" s="3">
        <v>44841</v>
      </c>
      <c r="C1908" s="1">
        <v>7504051506</v>
      </c>
      <c r="D1908" s="1">
        <v>5975662456</v>
      </c>
      <c r="E1908" s="1">
        <v>1495.32</v>
      </c>
      <c r="F1908" s="1" t="s">
        <v>12</v>
      </c>
      <c r="G1908" s="1" t="s">
        <v>12</v>
      </c>
      <c r="H1908" s="1" t="s">
        <v>13</v>
      </c>
      <c r="I1908" s="1" t="s">
        <v>13</v>
      </c>
      <c r="J1908" s="1" t="s">
        <v>25</v>
      </c>
      <c r="K1908" s="1">
        <v>0</v>
      </c>
      <c r="L1908" s="1" t="s">
        <v>21</v>
      </c>
      <c r="M1908" s="1" t="str">
        <f t="shared" si="29"/>
        <v>Consistent</v>
      </c>
      <c r="N1908" s="1" t="str">
        <f>_xlfn.XLOOKUP(H1908, risk_score!A:A, risk_score!B:B, 0)</f>
        <v>Low Risk</v>
      </c>
    </row>
    <row r="1909" spans="1:14">
      <c r="A1909" s="2">
        <v>0.48908564814814814</v>
      </c>
      <c r="B1909" s="3">
        <v>44841</v>
      </c>
      <c r="C1909" s="1">
        <v>3500660103</v>
      </c>
      <c r="D1909" s="1">
        <v>8129462878</v>
      </c>
      <c r="E1909" s="1">
        <v>1350.46</v>
      </c>
      <c r="F1909" s="1" t="s">
        <v>12</v>
      </c>
      <c r="G1909" s="1" t="s">
        <v>12</v>
      </c>
      <c r="H1909" s="1" t="s">
        <v>13</v>
      </c>
      <c r="I1909" s="1" t="s">
        <v>13</v>
      </c>
      <c r="J1909" s="1" t="s">
        <v>22</v>
      </c>
      <c r="K1909" s="1">
        <v>0</v>
      </c>
      <c r="L1909" s="1" t="s">
        <v>21</v>
      </c>
      <c r="M1909" s="1" t="str">
        <f t="shared" si="29"/>
        <v>Consistent</v>
      </c>
      <c r="N1909" s="1" t="str">
        <f>_xlfn.XLOOKUP(H1909, risk_score!A:A, risk_score!B:B, 0)</f>
        <v>Low Risk</v>
      </c>
    </row>
    <row r="1910" spans="1:14">
      <c r="A1910" s="2">
        <v>0.48916666666666669</v>
      </c>
      <c r="B1910" s="3">
        <v>44841</v>
      </c>
      <c r="C1910" s="1">
        <v>9069885740</v>
      </c>
      <c r="D1910" s="1">
        <v>8352571580</v>
      </c>
      <c r="E1910" s="1">
        <v>10872.76</v>
      </c>
      <c r="F1910" s="1" t="s">
        <v>12</v>
      </c>
      <c r="G1910" s="1" t="s">
        <v>12</v>
      </c>
      <c r="H1910" s="1" t="s">
        <v>13</v>
      </c>
      <c r="I1910" s="1" t="s">
        <v>13</v>
      </c>
      <c r="J1910" s="1" t="s">
        <v>20</v>
      </c>
      <c r="K1910" s="1">
        <v>0</v>
      </c>
      <c r="L1910" s="1" t="s">
        <v>23</v>
      </c>
      <c r="M1910" s="1" t="str">
        <f t="shared" si="29"/>
        <v>Consistent</v>
      </c>
      <c r="N1910" s="1" t="str">
        <f>_xlfn.XLOOKUP(H1910, risk_score!A:A, risk_score!B:B, 0)</f>
        <v>Low Risk</v>
      </c>
    </row>
    <row r="1911" spans="1:14">
      <c r="A1911" s="2">
        <v>0.48918981481481483</v>
      </c>
      <c r="B1911" s="3">
        <v>44841</v>
      </c>
      <c r="C1911" s="1">
        <v>5083667611</v>
      </c>
      <c r="D1911" s="1">
        <v>6646502650</v>
      </c>
      <c r="E1911" s="1">
        <v>20909.150000000001</v>
      </c>
      <c r="F1911" s="1" t="s">
        <v>12</v>
      </c>
      <c r="G1911" s="1" t="s">
        <v>29</v>
      </c>
      <c r="H1911" s="1" t="s">
        <v>13</v>
      </c>
      <c r="I1911" s="1" t="s">
        <v>31</v>
      </c>
      <c r="J1911" s="1" t="s">
        <v>18</v>
      </c>
      <c r="K1911" s="1">
        <v>0</v>
      </c>
      <c r="L1911" s="1" t="s">
        <v>23</v>
      </c>
      <c r="M1911" s="1" t="str">
        <f t="shared" si="29"/>
        <v>Potential Layering</v>
      </c>
      <c r="N1911" s="1" t="str">
        <f>_xlfn.XLOOKUP(H1911, risk_score!A:A, risk_score!B:B, 0)</f>
        <v>Low Risk</v>
      </c>
    </row>
    <row r="1912" spans="1:14">
      <c r="A1912" s="2">
        <v>0.48918981481481483</v>
      </c>
      <c r="B1912" s="3">
        <v>44841</v>
      </c>
      <c r="C1912" s="1">
        <v>2365007895</v>
      </c>
      <c r="D1912" s="1">
        <v>4301159904</v>
      </c>
      <c r="E1912" s="1">
        <v>5574.27</v>
      </c>
      <c r="F1912" s="1" t="s">
        <v>12</v>
      </c>
      <c r="G1912" s="1" t="s">
        <v>12</v>
      </c>
      <c r="H1912" s="1" t="s">
        <v>13</v>
      </c>
      <c r="I1912" s="1" t="s">
        <v>13</v>
      </c>
      <c r="J1912" s="1" t="s">
        <v>20</v>
      </c>
      <c r="K1912" s="1">
        <v>0</v>
      </c>
      <c r="L1912" s="1" t="s">
        <v>19</v>
      </c>
      <c r="M1912" s="1" t="str">
        <f t="shared" si="29"/>
        <v>Consistent</v>
      </c>
      <c r="N1912" s="1" t="str">
        <f>_xlfn.XLOOKUP(H1912, risk_score!A:A, risk_score!B:B, 0)</f>
        <v>Low Risk</v>
      </c>
    </row>
    <row r="1913" spans="1:14">
      <c r="A1913" s="2">
        <v>0.48920138888888887</v>
      </c>
      <c r="B1913" s="3">
        <v>44841</v>
      </c>
      <c r="C1913" s="1">
        <v>8569407750</v>
      </c>
      <c r="D1913" s="1">
        <v>4829884275</v>
      </c>
      <c r="E1913" s="1">
        <v>567.26</v>
      </c>
      <c r="F1913" s="1" t="s">
        <v>12</v>
      </c>
      <c r="G1913" s="1" t="s">
        <v>12</v>
      </c>
      <c r="H1913" s="1" t="s">
        <v>13</v>
      </c>
      <c r="I1913" s="1" t="s">
        <v>13</v>
      </c>
      <c r="J1913" s="1" t="s">
        <v>20</v>
      </c>
      <c r="K1913" s="1">
        <v>0</v>
      </c>
      <c r="L1913" s="1" t="s">
        <v>21</v>
      </c>
      <c r="M1913" s="1" t="str">
        <f t="shared" si="29"/>
        <v>Consistent</v>
      </c>
      <c r="N1913" s="1" t="str">
        <f>_xlfn.XLOOKUP(H1913, risk_score!A:A, risk_score!B:B, 0)</f>
        <v>Low Risk</v>
      </c>
    </row>
    <row r="1914" spans="1:14">
      <c r="A1914" s="2">
        <v>0.48921296296296296</v>
      </c>
      <c r="B1914" s="3">
        <v>44841</v>
      </c>
      <c r="C1914" s="1">
        <v>9375603507</v>
      </c>
      <c r="D1914" s="1">
        <v>5728911821</v>
      </c>
      <c r="E1914" s="1">
        <v>895.96</v>
      </c>
      <c r="F1914" s="1" t="s">
        <v>12</v>
      </c>
      <c r="G1914" s="1" t="s">
        <v>12</v>
      </c>
      <c r="H1914" s="1" t="s">
        <v>13</v>
      </c>
      <c r="I1914" s="1" t="s">
        <v>13</v>
      </c>
      <c r="J1914" s="1" t="s">
        <v>14</v>
      </c>
      <c r="K1914" s="1">
        <v>0</v>
      </c>
      <c r="L1914" s="1" t="s">
        <v>15</v>
      </c>
      <c r="M1914" s="1" t="str">
        <f t="shared" si="29"/>
        <v>Consistent</v>
      </c>
      <c r="N1914" s="1" t="str">
        <f>_xlfn.XLOOKUP(H1914, risk_score!A:A, risk_score!B:B, 0)</f>
        <v>Low Risk</v>
      </c>
    </row>
    <row r="1915" spans="1:14">
      <c r="A1915" s="2">
        <v>0.48921296296296296</v>
      </c>
      <c r="B1915" s="3">
        <v>44841</v>
      </c>
      <c r="C1915" s="1">
        <v>4416481804</v>
      </c>
      <c r="D1915" s="1">
        <v>8348237859</v>
      </c>
      <c r="E1915" s="1">
        <v>456.16</v>
      </c>
      <c r="F1915" s="1" t="s">
        <v>12</v>
      </c>
      <c r="G1915" s="1" t="s">
        <v>12</v>
      </c>
      <c r="H1915" s="1" t="s">
        <v>13</v>
      </c>
      <c r="I1915" s="1" t="s">
        <v>13</v>
      </c>
      <c r="J1915" s="1" t="s">
        <v>22</v>
      </c>
      <c r="K1915" s="1">
        <v>0</v>
      </c>
      <c r="L1915" s="1" t="s">
        <v>21</v>
      </c>
      <c r="M1915" s="1" t="str">
        <f t="shared" si="29"/>
        <v>Consistent</v>
      </c>
      <c r="N1915" s="1" t="str">
        <f>_xlfn.XLOOKUP(H1915, risk_score!A:A, risk_score!B:B, 0)</f>
        <v>Low Risk</v>
      </c>
    </row>
    <row r="1916" spans="1:14">
      <c r="A1916" s="2">
        <v>0.48924768518518519</v>
      </c>
      <c r="B1916" s="3">
        <v>44841</v>
      </c>
      <c r="C1916" s="1">
        <v>3709430533</v>
      </c>
      <c r="D1916" s="1">
        <v>5326123158</v>
      </c>
      <c r="E1916" s="1">
        <v>10047.709999999999</v>
      </c>
      <c r="F1916" s="1" t="s">
        <v>12</v>
      </c>
      <c r="G1916" s="1" t="s">
        <v>12</v>
      </c>
      <c r="H1916" s="1" t="s">
        <v>13</v>
      </c>
      <c r="I1916" s="1" t="s">
        <v>13</v>
      </c>
      <c r="J1916" s="1" t="s">
        <v>22</v>
      </c>
      <c r="K1916" s="1">
        <v>0</v>
      </c>
      <c r="L1916" s="1" t="s">
        <v>19</v>
      </c>
      <c r="M1916" s="1" t="str">
        <f t="shared" si="29"/>
        <v>Consistent</v>
      </c>
      <c r="N1916" s="1" t="str">
        <f>_xlfn.XLOOKUP(H1916, risk_score!A:A, risk_score!B:B, 0)</f>
        <v>Low Risk</v>
      </c>
    </row>
    <row r="1917" spans="1:14">
      <c r="A1917" s="2">
        <v>0.48927083333333332</v>
      </c>
      <c r="B1917" s="3">
        <v>44841</v>
      </c>
      <c r="C1917" s="1">
        <v>9851756482</v>
      </c>
      <c r="D1917" s="1">
        <v>1464776009</v>
      </c>
      <c r="E1917" s="1">
        <v>925.01</v>
      </c>
      <c r="F1917" s="1" t="s">
        <v>12</v>
      </c>
      <c r="G1917" s="1" t="s">
        <v>12</v>
      </c>
      <c r="H1917" s="1" t="s">
        <v>13</v>
      </c>
      <c r="I1917" s="1" t="s">
        <v>13</v>
      </c>
      <c r="J1917" s="1" t="s">
        <v>22</v>
      </c>
      <c r="K1917" s="1">
        <v>0</v>
      </c>
      <c r="L1917" s="1" t="s">
        <v>21</v>
      </c>
      <c r="M1917" s="1" t="str">
        <f t="shared" si="29"/>
        <v>Consistent</v>
      </c>
      <c r="N1917" s="1" t="str">
        <f>_xlfn.XLOOKUP(H1917, risk_score!A:A, risk_score!B:B, 0)</f>
        <v>Low Risk</v>
      </c>
    </row>
    <row r="1918" spans="1:14">
      <c r="A1918" s="2">
        <v>0.48931712962962964</v>
      </c>
      <c r="B1918" s="3">
        <v>44841</v>
      </c>
      <c r="C1918" s="1">
        <v>5099460974</v>
      </c>
      <c r="D1918" s="1">
        <v>3695545812</v>
      </c>
      <c r="E1918" s="1">
        <v>8786.93</v>
      </c>
      <c r="F1918" s="1" t="s">
        <v>12</v>
      </c>
      <c r="G1918" s="1" t="s">
        <v>12</v>
      </c>
      <c r="H1918" s="1" t="s">
        <v>13</v>
      </c>
      <c r="I1918" s="1" t="s">
        <v>13</v>
      </c>
      <c r="J1918" s="1" t="s">
        <v>22</v>
      </c>
      <c r="K1918" s="1">
        <v>0</v>
      </c>
      <c r="L1918" s="1" t="s">
        <v>23</v>
      </c>
      <c r="M1918" s="1" t="str">
        <f t="shared" si="29"/>
        <v>Consistent</v>
      </c>
      <c r="N1918" s="1" t="str">
        <f>_xlfn.XLOOKUP(H1918, risk_score!A:A, risk_score!B:B, 0)</f>
        <v>Low Risk</v>
      </c>
    </row>
    <row r="1919" spans="1:14">
      <c r="A1919" s="2">
        <v>0.48934027777777778</v>
      </c>
      <c r="B1919" s="3">
        <v>44841</v>
      </c>
      <c r="C1919" s="1">
        <v>2865033012</v>
      </c>
      <c r="D1919" s="1">
        <v>1320927231</v>
      </c>
      <c r="E1919" s="1">
        <v>5197.91</v>
      </c>
      <c r="F1919" s="1" t="s">
        <v>12</v>
      </c>
      <c r="G1919" s="1" t="s">
        <v>12</v>
      </c>
      <c r="H1919" s="1" t="s">
        <v>13</v>
      </c>
      <c r="I1919" s="1" t="s">
        <v>13</v>
      </c>
      <c r="J1919" s="1" t="s">
        <v>20</v>
      </c>
      <c r="K1919" s="1">
        <v>0</v>
      </c>
      <c r="L1919" s="1" t="s">
        <v>23</v>
      </c>
      <c r="M1919" s="1" t="str">
        <f t="shared" si="29"/>
        <v>Consistent</v>
      </c>
      <c r="N1919" s="1" t="str">
        <f>_xlfn.XLOOKUP(H1919, risk_score!A:A, risk_score!B:B, 0)</f>
        <v>Low Risk</v>
      </c>
    </row>
    <row r="1920" spans="1:14">
      <c r="A1920" s="2">
        <v>0.48935185185185187</v>
      </c>
      <c r="B1920" s="3">
        <v>44841</v>
      </c>
      <c r="C1920" s="1">
        <v>1567454737</v>
      </c>
      <c r="D1920" s="1">
        <v>7234544398</v>
      </c>
      <c r="E1920" s="1">
        <v>5916.68</v>
      </c>
      <c r="F1920" s="1" t="s">
        <v>12</v>
      </c>
      <c r="G1920" s="1" t="s">
        <v>12</v>
      </c>
      <c r="H1920" s="1" t="s">
        <v>13</v>
      </c>
      <c r="I1920" s="1" t="s">
        <v>13</v>
      </c>
      <c r="J1920" s="1" t="s">
        <v>14</v>
      </c>
      <c r="K1920" s="1">
        <v>0</v>
      </c>
      <c r="L1920" s="1" t="s">
        <v>15</v>
      </c>
      <c r="M1920" s="1" t="str">
        <f t="shared" si="29"/>
        <v>Consistent</v>
      </c>
      <c r="N1920" s="1" t="str">
        <f>_xlfn.XLOOKUP(H1920, risk_score!A:A, risk_score!B:B, 0)</f>
        <v>Low Risk</v>
      </c>
    </row>
    <row r="1921" spans="1:14">
      <c r="A1921" s="2">
        <v>0.48935185185185187</v>
      </c>
      <c r="B1921" s="3">
        <v>44841</v>
      </c>
      <c r="C1921" s="1">
        <v>5982914936</v>
      </c>
      <c r="D1921" s="1">
        <v>1509557999</v>
      </c>
      <c r="E1921" s="1">
        <v>15930.79</v>
      </c>
      <c r="F1921" s="1" t="s">
        <v>12</v>
      </c>
      <c r="G1921" s="1" t="s">
        <v>12</v>
      </c>
      <c r="H1921" s="1" t="s">
        <v>13</v>
      </c>
      <c r="I1921" s="1" t="s">
        <v>13</v>
      </c>
      <c r="J1921" s="1" t="s">
        <v>25</v>
      </c>
      <c r="K1921" s="1">
        <v>0</v>
      </c>
      <c r="L1921" s="1" t="s">
        <v>19</v>
      </c>
      <c r="M1921" s="1" t="str">
        <f t="shared" si="29"/>
        <v>Consistent</v>
      </c>
      <c r="N1921" s="1" t="str">
        <f>_xlfn.XLOOKUP(H1921, risk_score!A:A, risk_score!B:B, 0)</f>
        <v>Low Risk</v>
      </c>
    </row>
    <row r="1922" spans="1:14">
      <c r="A1922" s="2">
        <v>0.4893865740740741</v>
      </c>
      <c r="B1922" s="3">
        <v>44841</v>
      </c>
      <c r="C1922" s="1">
        <v>7669236826</v>
      </c>
      <c r="D1922" s="1">
        <v>1675218057</v>
      </c>
      <c r="E1922" s="1">
        <v>7643.05</v>
      </c>
      <c r="F1922" s="1" t="s">
        <v>12</v>
      </c>
      <c r="G1922" s="1" t="s">
        <v>12</v>
      </c>
      <c r="H1922" s="1" t="s">
        <v>13</v>
      </c>
      <c r="I1922" s="1" t="s">
        <v>13</v>
      </c>
      <c r="J1922" s="1" t="s">
        <v>27</v>
      </c>
      <c r="K1922" s="1">
        <v>0</v>
      </c>
      <c r="L1922" s="1" t="s">
        <v>19</v>
      </c>
      <c r="M1922" s="1" t="str">
        <f t="shared" si="29"/>
        <v>Consistent</v>
      </c>
      <c r="N1922" s="1" t="str">
        <f>_xlfn.XLOOKUP(H1922, risk_score!A:A, risk_score!B:B, 0)</f>
        <v>Low Risk</v>
      </c>
    </row>
    <row r="1923" spans="1:14">
      <c r="A1923" s="2">
        <v>0.48939814814814814</v>
      </c>
      <c r="B1923" s="3">
        <v>44841</v>
      </c>
      <c r="C1923" s="1">
        <v>1796432131</v>
      </c>
      <c r="D1923" s="1">
        <v>6056343035</v>
      </c>
      <c r="E1923" s="1">
        <v>94.78</v>
      </c>
      <c r="F1923" s="1" t="s">
        <v>12</v>
      </c>
      <c r="G1923" s="1" t="s">
        <v>12</v>
      </c>
      <c r="H1923" s="1" t="s">
        <v>13</v>
      </c>
      <c r="I1923" s="1" t="s">
        <v>13</v>
      </c>
      <c r="J1923" s="1" t="s">
        <v>22</v>
      </c>
      <c r="K1923" s="1">
        <v>0</v>
      </c>
      <c r="L1923" s="1" t="s">
        <v>21</v>
      </c>
      <c r="M1923" s="1" t="str">
        <f t="shared" ref="M1923:M1986" si="30">IF(F1923=G1923, "Consistent", "Potential Layering")</f>
        <v>Consistent</v>
      </c>
      <c r="N1923" s="1" t="str">
        <f>_xlfn.XLOOKUP(H1923, risk_score!A:A, risk_score!B:B, 0)</f>
        <v>Low Risk</v>
      </c>
    </row>
    <row r="1924" spans="1:14">
      <c r="A1924" s="2">
        <v>0.48940972222222223</v>
      </c>
      <c r="B1924" s="3">
        <v>44841</v>
      </c>
      <c r="C1924" s="1">
        <v>791113359</v>
      </c>
      <c r="D1924" s="1">
        <v>1639369244</v>
      </c>
      <c r="E1924" s="1">
        <v>150.57</v>
      </c>
      <c r="F1924" s="1" t="s">
        <v>12</v>
      </c>
      <c r="G1924" s="1" t="s">
        <v>12</v>
      </c>
      <c r="H1924" s="1" t="s">
        <v>13</v>
      </c>
      <c r="I1924" s="1" t="s">
        <v>13</v>
      </c>
      <c r="J1924" s="1" t="s">
        <v>27</v>
      </c>
      <c r="K1924" s="1">
        <v>0</v>
      </c>
      <c r="L1924" s="1" t="s">
        <v>21</v>
      </c>
      <c r="M1924" s="1" t="str">
        <f t="shared" si="30"/>
        <v>Consistent</v>
      </c>
      <c r="N1924" s="1" t="str">
        <f>_xlfn.XLOOKUP(H1924, risk_score!A:A, risk_score!B:B, 0)</f>
        <v>Low Risk</v>
      </c>
    </row>
    <row r="1925" spans="1:14">
      <c r="A1925" s="2">
        <v>0.48946759259259259</v>
      </c>
      <c r="B1925" s="3">
        <v>44841</v>
      </c>
      <c r="C1925" s="1">
        <v>1332443097</v>
      </c>
      <c r="D1925" s="1">
        <v>9657869589</v>
      </c>
      <c r="E1925" s="1">
        <v>241.64</v>
      </c>
      <c r="F1925" s="1" t="s">
        <v>12</v>
      </c>
      <c r="G1925" s="1" t="s">
        <v>12</v>
      </c>
      <c r="H1925" s="1" t="s">
        <v>13</v>
      </c>
      <c r="I1925" s="1" t="s">
        <v>13</v>
      </c>
      <c r="J1925" s="1" t="s">
        <v>36</v>
      </c>
      <c r="K1925" s="1">
        <v>0</v>
      </c>
      <c r="L1925" s="1" t="s">
        <v>37</v>
      </c>
      <c r="M1925" s="1" t="str">
        <f t="shared" si="30"/>
        <v>Consistent</v>
      </c>
      <c r="N1925" s="1" t="str">
        <f>_xlfn.XLOOKUP(H1925, risk_score!A:A, risk_score!B:B, 0)</f>
        <v>Low Risk</v>
      </c>
    </row>
    <row r="1926" spans="1:14">
      <c r="A1926" s="2">
        <v>0.48947916666666669</v>
      </c>
      <c r="B1926" s="3">
        <v>44841</v>
      </c>
      <c r="C1926" s="1">
        <v>3510078932</v>
      </c>
      <c r="D1926" s="1">
        <v>360722730</v>
      </c>
      <c r="E1926" s="1">
        <v>10213.01</v>
      </c>
      <c r="F1926" s="1" t="s">
        <v>12</v>
      </c>
      <c r="G1926" s="1" t="s">
        <v>12</v>
      </c>
      <c r="H1926" s="1" t="s">
        <v>13</v>
      </c>
      <c r="I1926" s="1" t="s">
        <v>13</v>
      </c>
      <c r="J1926" s="1" t="s">
        <v>27</v>
      </c>
      <c r="K1926" s="1">
        <v>0</v>
      </c>
      <c r="L1926" s="1" t="s">
        <v>19</v>
      </c>
      <c r="M1926" s="1" t="str">
        <f t="shared" si="30"/>
        <v>Consistent</v>
      </c>
      <c r="N1926" s="1" t="str">
        <f>_xlfn.XLOOKUP(H1926, risk_score!A:A, risk_score!B:B, 0)</f>
        <v>Low Risk</v>
      </c>
    </row>
    <row r="1927" spans="1:14">
      <c r="A1927" s="2">
        <v>0.48949074074074073</v>
      </c>
      <c r="B1927" s="3">
        <v>44841</v>
      </c>
      <c r="C1927" s="1">
        <v>5751714256</v>
      </c>
      <c r="D1927" s="1">
        <v>5613049519</v>
      </c>
      <c r="E1927" s="1">
        <v>183.68</v>
      </c>
      <c r="F1927" s="1" t="s">
        <v>12</v>
      </c>
      <c r="G1927" s="1" t="s">
        <v>12</v>
      </c>
      <c r="H1927" s="1" t="s">
        <v>13</v>
      </c>
      <c r="I1927" s="1" t="s">
        <v>13</v>
      </c>
      <c r="J1927" s="1" t="s">
        <v>36</v>
      </c>
      <c r="K1927" s="1">
        <v>0</v>
      </c>
      <c r="L1927" s="1" t="s">
        <v>37</v>
      </c>
      <c r="M1927" s="1" t="str">
        <f t="shared" si="30"/>
        <v>Consistent</v>
      </c>
      <c r="N1927" s="1" t="str">
        <f>_xlfn.XLOOKUP(H1927, risk_score!A:A, risk_score!B:B, 0)</f>
        <v>Low Risk</v>
      </c>
    </row>
    <row r="1928" spans="1:14">
      <c r="A1928" s="2">
        <v>0.48950231481481482</v>
      </c>
      <c r="B1928" s="3">
        <v>44841</v>
      </c>
      <c r="C1928" s="1">
        <v>1536940484</v>
      </c>
      <c r="D1928" s="1">
        <v>9349227107</v>
      </c>
      <c r="E1928" s="1">
        <v>4353.5600000000004</v>
      </c>
      <c r="F1928" s="1" t="s">
        <v>12</v>
      </c>
      <c r="G1928" s="1" t="s">
        <v>12</v>
      </c>
      <c r="H1928" s="1" t="s">
        <v>13</v>
      </c>
      <c r="I1928" s="1" t="s">
        <v>13</v>
      </c>
      <c r="J1928" s="1" t="s">
        <v>20</v>
      </c>
      <c r="K1928" s="1">
        <v>0</v>
      </c>
      <c r="L1928" s="1" t="s">
        <v>24</v>
      </c>
      <c r="M1928" s="1" t="str">
        <f t="shared" si="30"/>
        <v>Consistent</v>
      </c>
      <c r="N1928" s="1" t="str">
        <f>_xlfn.XLOOKUP(H1928, risk_score!A:A, risk_score!B:B, 0)</f>
        <v>Low Risk</v>
      </c>
    </row>
    <row r="1929" spans="1:14">
      <c r="A1929" s="2">
        <v>0.48951388888888892</v>
      </c>
      <c r="B1929" s="3">
        <v>44841</v>
      </c>
      <c r="C1929" s="1">
        <v>7475713706</v>
      </c>
      <c r="D1929" s="1">
        <v>5363117119</v>
      </c>
      <c r="E1929" s="1">
        <v>8029.7</v>
      </c>
      <c r="F1929" s="1" t="s">
        <v>12</v>
      </c>
      <c r="G1929" s="1" t="s">
        <v>12</v>
      </c>
      <c r="H1929" s="1" t="s">
        <v>13</v>
      </c>
      <c r="I1929" s="1" t="s">
        <v>13</v>
      </c>
      <c r="J1929" s="1" t="s">
        <v>25</v>
      </c>
      <c r="K1929" s="1">
        <v>0</v>
      </c>
      <c r="L1929" s="1" t="s">
        <v>23</v>
      </c>
      <c r="M1929" s="1" t="str">
        <f t="shared" si="30"/>
        <v>Consistent</v>
      </c>
      <c r="N1929" s="1" t="str">
        <f>_xlfn.XLOOKUP(H1929, risk_score!A:A, risk_score!B:B, 0)</f>
        <v>Low Risk</v>
      </c>
    </row>
    <row r="1930" spans="1:14">
      <c r="A1930" s="2">
        <v>0.48958333333333331</v>
      </c>
      <c r="B1930" s="3">
        <v>44841</v>
      </c>
      <c r="C1930" s="1">
        <v>330544858</v>
      </c>
      <c r="D1930" s="1">
        <v>9012547695</v>
      </c>
      <c r="E1930" s="1">
        <v>192.1</v>
      </c>
      <c r="F1930" s="1" t="s">
        <v>12</v>
      </c>
      <c r="G1930" s="1" t="s">
        <v>12</v>
      </c>
      <c r="H1930" s="1" t="s">
        <v>13</v>
      </c>
      <c r="I1930" s="1" t="s">
        <v>13</v>
      </c>
      <c r="J1930" s="1" t="s">
        <v>36</v>
      </c>
      <c r="K1930" s="1">
        <v>0</v>
      </c>
      <c r="L1930" s="1" t="s">
        <v>37</v>
      </c>
      <c r="M1930" s="1" t="str">
        <f t="shared" si="30"/>
        <v>Consistent</v>
      </c>
      <c r="N1930" s="1" t="str">
        <f>_xlfn.XLOOKUP(H1930, risk_score!A:A, risk_score!B:B, 0)</f>
        <v>Low Risk</v>
      </c>
    </row>
    <row r="1931" spans="1:14">
      <c r="A1931" s="2">
        <v>0.48964120370370373</v>
      </c>
      <c r="B1931" s="3">
        <v>44841</v>
      </c>
      <c r="C1931" s="1">
        <v>826653192</v>
      </c>
      <c r="D1931" s="1">
        <v>1431561040</v>
      </c>
      <c r="E1931" s="1">
        <v>11154.42</v>
      </c>
      <c r="F1931" s="1" t="s">
        <v>12</v>
      </c>
      <c r="G1931" s="1" t="s">
        <v>12</v>
      </c>
      <c r="H1931" s="1" t="s">
        <v>13</v>
      </c>
      <c r="I1931" s="1" t="s">
        <v>13</v>
      </c>
      <c r="J1931" s="1" t="s">
        <v>22</v>
      </c>
      <c r="K1931" s="1">
        <v>0</v>
      </c>
      <c r="L1931" s="1" t="s">
        <v>23</v>
      </c>
      <c r="M1931" s="1" t="str">
        <f t="shared" si="30"/>
        <v>Consistent</v>
      </c>
      <c r="N1931" s="1" t="str">
        <f>_xlfn.XLOOKUP(H1931, risk_score!A:A, risk_score!B:B, 0)</f>
        <v>Low Risk</v>
      </c>
    </row>
    <row r="1932" spans="1:14">
      <c r="A1932" s="2">
        <v>0.48965277777777777</v>
      </c>
      <c r="B1932" s="3">
        <v>44841</v>
      </c>
      <c r="C1932" s="1">
        <v>9599009457</v>
      </c>
      <c r="D1932" s="1">
        <v>2048840179</v>
      </c>
      <c r="E1932" s="1">
        <v>5189.4799999999996</v>
      </c>
      <c r="F1932" s="1" t="s">
        <v>12</v>
      </c>
      <c r="G1932" s="1" t="s">
        <v>12</v>
      </c>
      <c r="H1932" s="1" t="s">
        <v>13</v>
      </c>
      <c r="I1932" s="1" t="s">
        <v>13</v>
      </c>
      <c r="J1932" s="1" t="s">
        <v>20</v>
      </c>
      <c r="K1932" s="1">
        <v>0</v>
      </c>
      <c r="L1932" s="1" t="s">
        <v>19</v>
      </c>
      <c r="M1932" s="1" t="str">
        <f t="shared" si="30"/>
        <v>Consistent</v>
      </c>
      <c r="N1932" s="1" t="str">
        <f>_xlfn.XLOOKUP(H1932, risk_score!A:A, risk_score!B:B, 0)</f>
        <v>Low Risk</v>
      </c>
    </row>
    <row r="1933" spans="1:14">
      <c r="A1933" s="2">
        <v>0.48965277777777777</v>
      </c>
      <c r="B1933" s="3">
        <v>44841</v>
      </c>
      <c r="C1933" s="1">
        <v>5689021430</v>
      </c>
      <c r="D1933" s="1">
        <v>4983612907</v>
      </c>
      <c r="E1933" s="1">
        <v>1073.3800000000001</v>
      </c>
      <c r="F1933" s="1" t="s">
        <v>12</v>
      </c>
      <c r="G1933" s="1" t="s">
        <v>12</v>
      </c>
      <c r="H1933" s="1" t="s">
        <v>13</v>
      </c>
      <c r="I1933" s="1" t="s">
        <v>13</v>
      </c>
      <c r="J1933" s="1" t="s">
        <v>20</v>
      </c>
      <c r="K1933" s="1">
        <v>0</v>
      </c>
      <c r="L1933" s="1" t="s">
        <v>24</v>
      </c>
      <c r="M1933" s="1" t="str">
        <f t="shared" si="30"/>
        <v>Consistent</v>
      </c>
      <c r="N1933" s="1" t="str">
        <f>_xlfn.XLOOKUP(H1933, risk_score!A:A, risk_score!B:B, 0)</f>
        <v>Low Risk</v>
      </c>
    </row>
    <row r="1934" spans="1:14">
      <c r="A1934" s="2">
        <v>0.48969907407407409</v>
      </c>
      <c r="B1934" s="3">
        <v>44841</v>
      </c>
      <c r="C1934" s="1">
        <v>6278562848</v>
      </c>
      <c r="D1934" s="1">
        <v>1263779123</v>
      </c>
      <c r="E1934" s="1">
        <v>14790.96</v>
      </c>
      <c r="F1934" s="1" t="s">
        <v>12</v>
      </c>
      <c r="G1934" s="1" t="s">
        <v>12</v>
      </c>
      <c r="H1934" s="1" t="s">
        <v>13</v>
      </c>
      <c r="I1934" s="1" t="s">
        <v>13</v>
      </c>
      <c r="J1934" s="1" t="s">
        <v>27</v>
      </c>
      <c r="K1934" s="1">
        <v>0</v>
      </c>
      <c r="L1934" s="1" t="s">
        <v>21</v>
      </c>
      <c r="M1934" s="1" t="str">
        <f t="shared" si="30"/>
        <v>Consistent</v>
      </c>
      <c r="N1934" s="1" t="str">
        <f>_xlfn.XLOOKUP(H1934, risk_score!A:A, risk_score!B:B, 0)</f>
        <v>Low Risk</v>
      </c>
    </row>
    <row r="1935" spans="1:14">
      <c r="A1935" s="2">
        <v>0.48974537037037036</v>
      </c>
      <c r="B1935" s="3">
        <v>44841</v>
      </c>
      <c r="C1935" s="1">
        <v>5452849099</v>
      </c>
      <c r="D1935" s="1">
        <v>4336977506</v>
      </c>
      <c r="E1935" s="1">
        <v>8614.9599999999991</v>
      </c>
      <c r="F1935" s="1" t="s">
        <v>12</v>
      </c>
      <c r="G1935" s="1" t="s">
        <v>12</v>
      </c>
      <c r="H1935" s="1" t="s">
        <v>13</v>
      </c>
      <c r="I1935" s="1" t="s">
        <v>13</v>
      </c>
      <c r="J1935" s="1" t="s">
        <v>27</v>
      </c>
      <c r="K1935" s="1">
        <v>0</v>
      </c>
      <c r="L1935" s="1" t="s">
        <v>23</v>
      </c>
      <c r="M1935" s="1" t="str">
        <f t="shared" si="30"/>
        <v>Consistent</v>
      </c>
      <c r="N1935" s="1" t="str">
        <f>_xlfn.XLOOKUP(H1935, risk_score!A:A, risk_score!B:B, 0)</f>
        <v>Low Risk</v>
      </c>
    </row>
    <row r="1936" spans="1:14">
      <c r="A1936" s="2">
        <v>0.48974537037037036</v>
      </c>
      <c r="B1936" s="3">
        <v>44841</v>
      </c>
      <c r="C1936" s="1">
        <v>5979365359</v>
      </c>
      <c r="D1936" s="1">
        <v>409707192</v>
      </c>
      <c r="E1936" s="1">
        <v>9634.6</v>
      </c>
      <c r="F1936" s="1" t="s">
        <v>12</v>
      </c>
      <c r="G1936" s="1" t="s">
        <v>12</v>
      </c>
      <c r="H1936" s="1" t="s">
        <v>13</v>
      </c>
      <c r="I1936" s="1" t="s">
        <v>13</v>
      </c>
      <c r="J1936" s="1" t="s">
        <v>27</v>
      </c>
      <c r="K1936" s="1">
        <v>0</v>
      </c>
      <c r="L1936" s="1" t="s">
        <v>23</v>
      </c>
      <c r="M1936" s="1" t="str">
        <f t="shared" si="30"/>
        <v>Consistent</v>
      </c>
      <c r="N1936" s="1" t="str">
        <f>_xlfn.XLOOKUP(H1936, risk_score!A:A, risk_score!B:B, 0)</f>
        <v>Low Risk</v>
      </c>
    </row>
    <row r="1937" spans="1:14">
      <c r="A1937" s="2">
        <v>0.48981481481481481</v>
      </c>
      <c r="B1937" s="3">
        <v>44841</v>
      </c>
      <c r="C1937" s="1">
        <v>3452564030</v>
      </c>
      <c r="D1937" s="1">
        <v>7347079105</v>
      </c>
      <c r="E1937" s="1">
        <v>2126.67</v>
      </c>
      <c r="F1937" s="1" t="s">
        <v>12</v>
      </c>
      <c r="G1937" s="1" t="s">
        <v>12</v>
      </c>
      <c r="H1937" s="1" t="s">
        <v>13</v>
      </c>
      <c r="I1937" s="1" t="s">
        <v>13</v>
      </c>
      <c r="J1937" s="1" t="s">
        <v>20</v>
      </c>
      <c r="K1937" s="1">
        <v>0</v>
      </c>
      <c r="L1937" s="1" t="s">
        <v>21</v>
      </c>
      <c r="M1937" s="1" t="str">
        <f t="shared" si="30"/>
        <v>Consistent</v>
      </c>
      <c r="N1937" s="1" t="str">
        <f>_xlfn.XLOOKUP(H1937, risk_score!A:A, risk_score!B:B, 0)</f>
        <v>Low Risk</v>
      </c>
    </row>
    <row r="1938" spans="1:14">
      <c r="A1938" s="2">
        <v>0.48982638888888891</v>
      </c>
      <c r="B1938" s="3">
        <v>44841</v>
      </c>
      <c r="C1938" s="1">
        <v>6086421020</v>
      </c>
      <c r="D1938" s="1">
        <v>1695365423</v>
      </c>
      <c r="E1938" s="1">
        <v>6516.01</v>
      </c>
      <c r="F1938" s="1" t="s">
        <v>12</v>
      </c>
      <c r="G1938" s="1" t="s">
        <v>12</v>
      </c>
      <c r="H1938" s="1" t="s">
        <v>13</v>
      </c>
      <c r="I1938" s="1" t="s">
        <v>13</v>
      </c>
      <c r="J1938" s="1" t="s">
        <v>27</v>
      </c>
      <c r="K1938" s="1">
        <v>0</v>
      </c>
      <c r="L1938" s="1" t="s">
        <v>19</v>
      </c>
      <c r="M1938" s="1" t="str">
        <f t="shared" si="30"/>
        <v>Consistent</v>
      </c>
      <c r="N1938" s="1" t="str">
        <f>_xlfn.XLOOKUP(H1938, risk_score!A:A, risk_score!B:B, 0)</f>
        <v>Low Risk</v>
      </c>
    </row>
    <row r="1939" spans="1:14">
      <c r="A1939" s="2">
        <v>0.48983796296296295</v>
      </c>
      <c r="B1939" s="3">
        <v>44841</v>
      </c>
      <c r="C1939" s="1">
        <v>6904668523</v>
      </c>
      <c r="D1939" s="1">
        <v>1378700258</v>
      </c>
      <c r="E1939" s="1">
        <v>15282.83</v>
      </c>
      <c r="F1939" s="1" t="s">
        <v>12</v>
      </c>
      <c r="G1939" s="1" t="s">
        <v>12</v>
      </c>
      <c r="H1939" s="1" t="s">
        <v>13</v>
      </c>
      <c r="I1939" s="1" t="s">
        <v>13</v>
      </c>
      <c r="J1939" s="1" t="s">
        <v>20</v>
      </c>
      <c r="K1939" s="1">
        <v>0</v>
      </c>
      <c r="L1939" s="1" t="s">
        <v>19</v>
      </c>
      <c r="M1939" s="1" t="str">
        <f t="shared" si="30"/>
        <v>Consistent</v>
      </c>
      <c r="N1939" s="1" t="str">
        <f>_xlfn.XLOOKUP(H1939, risk_score!A:A, risk_score!B:B, 0)</f>
        <v>Low Risk</v>
      </c>
    </row>
    <row r="1940" spans="1:14">
      <c r="A1940" s="2">
        <v>0.48987268518518517</v>
      </c>
      <c r="B1940" s="3">
        <v>44841</v>
      </c>
      <c r="C1940" s="1">
        <v>5027539859</v>
      </c>
      <c r="D1940" s="1">
        <v>8678802420</v>
      </c>
      <c r="E1940" s="1">
        <v>4909.8100000000004</v>
      </c>
      <c r="F1940" s="1" t="s">
        <v>12</v>
      </c>
      <c r="G1940" s="1" t="s">
        <v>12</v>
      </c>
      <c r="H1940" s="1" t="s">
        <v>13</v>
      </c>
      <c r="I1940" s="1" t="s">
        <v>13</v>
      </c>
      <c r="J1940" s="1" t="s">
        <v>20</v>
      </c>
      <c r="K1940" s="1">
        <v>0</v>
      </c>
      <c r="L1940" s="1" t="s">
        <v>23</v>
      </c>
      <c r="M1940" s="1" t="str">
        <f t="shared" si="30"/>
        <v>Consistent</v>
      </c>
      <c r="N1940" s="1" t="str">
        <f>_xlfn.XLOOKUP(H1940, risk_score!A:A, risk_score!B:B, 0)</f>
        <v>Low Risk</v>
      </c>
    </row>
    <row r="1941" spans="1:14">
      <c r="A1941" s="2">
        <v>0.4899189814814815</v>
      </c>
      <c r="B1941" s="3">
        <v>44841</v>
      </c>
      <c r="C1941" s="1">
        <v>4164568754</v>
      </c>
      <c r="D1941" s="1">
        <v>6953672776</v>
      </c>
      <c r="E1941" s="1">
        <v>32122.28</v>
      </c>
      <c r="F1941" s="1" t="s">
        <v>12</v>
      </c>
      <c r="G1941" s="1" t="s">
        <v>34</v>
      </c>
      <c r="H1941" s="1" t="s">
        <v>13</v>
      </c>
      <c r="I1941" s="1" t="s">
        <v>35</v>
      </c>
      <c r="J1941" s="1" t="s">
        <v>18</v>
      </c>
      <c r="K1941" s="1">
        <v>0</v>
      </c>
      <c r="L1941" s="1" t="s">
        <v>23</v>
      </c>
      <c r="M1941" s="1" t="str">
        <f t="shared" si="30"/>
        <v>Potential Layering</v>
      </c>
      <c r="N1941" s="1" t="str">
        <f>_xlfn.XLOOKUP(H1941, risk_score!A:A, risk_score!B:B, 0)</f>
        <v>Low Risk</v>
      </c>
    </row>
    <row r="1942" spans="1:14">
      <c r="A1942" s="2">
        <v>0.48995370370370372</v>
      </c>
      <c r="B1942" s="3">
        <v>44841</v>
      </c>
      <c r="C1942" s="1">
        <v>942349529</v>
      </c>
      <c r="D1942" s="1">
        <v>8518184956</v>
      </c>
      <c r="E1942" s="1">
        <v>6868.84</v>
      </c>
      <c r="F1942" s="1" t="s">
        <v>12</v>
      </c>
      <c r="G1942" s="1" t="s">
        <v>12</v>
      </c>
      <c r="H1942" s="1" t="s">
        <v>13</v>
      </c>
      <c r="I1942" s="1" t="s">
        <v>13</v>
      </c>
      <c r="J1942" s="1" t="s">
        <v>27</v>
      </c>
      <c r="K1942" s="1">
        <v>0</v>
      </c>
      <c r="L1942" s="1" t="s">
        <v>23</v>
      </c>
      <c r="M1942" s="1" t="str">
        <f t="shared" si="30"/>
        <v>Consistent</v>
      </c>
      <c r="N1942" s="1" t="str">
        <f>_xlfn.XLOOKUP(H1942, risk_score!A:A, risk_score!B:B, 0)</f>
        <v>Low Risk</v>
      </c>
    </row>
    <row r="1943" spans="1:14">
      <c r="A1943" s="2">
        <v>0.48997685185185186</v>
      </c>
      <c r="B1943" s="3">
        <v>44841</v>
      </c>
      <c r="C1943" s="1">
        <v>3314596644</v>
      </c>
      <c r="D1943" s="1">
        <v>5024024159</v>
      </c>
      <c r="E1943" s="1">
        <v>2440.15</v>
      </c>
      <c r="F1943" s="1" t="s">
        <v>12</v>
      </c>
      <c r="G1943" s="1" t="s">
        <v>12</v>
      </c>
      <c r="H1943" s="1" t="s">
        <v>13</v>
      </c>
      <c r="I1943" s="1" t="s">
        <v>13</v>
      </c>
      <c r="J1943" s="1" t="s">
        <v>27</v>
      </c>
      <c r="K1943" s="1">
        <v>0</v>
      </c>
      <c r="L1943" s="1" t="s">
        <v>21</v>
      </c>
      <c r="M1943" s="1" t="str">
        <f t="shared" si="30"/>
        <v>Consistent</v>
      </c>
      <c r="N1943" s="1" t="str">
        <f>_xlfn.XLOOKUP(H1943, risk_score!A:A, risk_score!B:B, 0)</f>
        <v>Low Risk</v>
      </c>
    </row>
    <row r="1944" spans="1:14">
      <c r="A1944" s="2">
        <v>0.49001157407407409</v>
      </c>
      <c r="B1944" s="3">
        <v>44841</v>
      </c>
      <c r="C1944" s="1">
        <v>5869567125</v>
      </c>
      <c r="D1944" s="1">
        <v>8518184956</v>
      </c>
      <c r="E1944" s="1">
        <v>7068.46</v>
      </c>
      <c r="F1944" s="1" t="s">
        <v>12</v>
      </c>
      <c r="G1944" s="1" t="s">
        <v>12</v>
      </c>
      <c r="H1944" s="1" t="s">
        <v>13</v>
      </c>
      <c r="I1944" s="1" t="s">
        <v>13</v>
      </c>
      <c r="J1944" s="1" t="s">
        <v>22</v>
      </c>
      <c r="K1944" s="1">
        <v>0</v>
      </c>
      <c r="L1944" s="1" t="s">
        <v>23</v>
      </c>
      <c r="M1944" s="1" t="str">
        <f t="shared" si="30"/>
        <v>Consistent</v>
      </c>
      <c r="N1944" s="1" t="str">
        <f>_xlfn.XLOOKUP(H1944, risk_score!A:A, risk_score!B:B, 0)</f>
        <v>Low Risk</v>
      </c>
    </row>
    <row r="1945" spans="1:14">
      <c r="A1945" s="2">
        <v>0.49004629629629631</v>
      </c>
      <c r="B1945" s="3">
        <v>44841</v>
      </c>
      <c r="C1945" s="1">
        <v>2858247091</v>
      </c>
      <c r="D1945" s="1">
        <v>1930103034</v>
      </c>
      <c r="E1945" s="1">
        <v>571.89</v>
      </c>
      <c r="F1945" s="1" t="s">
        <v>12</v>
      </c>
      <c r="G1945" s="1" t="s">
        <v>12</v>
      </c>
      <c r="H1945" s="1" t="s">
        <v>13</v>
      </c>
      <c r="I1945" s="1" t="s">
        <v>13</v>
      </c>
      <c r="J1945" s="1" t="s">
        <v>25</v>
      </c>
      <c r="K1945" s="1">
        <v>0</v>
      </c>
      <c r="L1945" s="1" t="s">
        <v>21</v>
      </c>
      <c r="M1945" s="1" t="str">
        <f t="shared" si="30"/>
        <v>Consistent</v>
      </c>
      <c r="N1945" s="1" t="str">
        <f>_xlfn.XLOOKUP(H1945, risk_score!A:A, risk_score!B:B, 0)</f>
        <v>Low Risk</v>
      </c>
    </row>
    <row r="1946" spans="1:14">
      <c r="A1946" s="2">
        <v>0.49005787037037035</v>
      </c>
      <c r="B1946" s="3">
        <v>44841</v>
      </c>
      <c r="C1946" s="1">
        <v>637737742</v>
      </c>
      <c r="D1946" s="1">
        <v>6491249960</v>
      </c>
      <c r="E1946" s="1">
        <v>1341.21</v>
      </c>
      <c r="F1946" s="1" t="s">
        <v>12</v>
      </c>
      <c r="G1946" s="1" t="s">
        <v>46</v>
      </c>
      <c r="H1946" s="1" t="s">
        <v>13</v>
      </c>
      <c r="I1946" s="1" t="s">
        <v>47</v>
      </c>
      <c r="J1946" s="1" t="s">
        <v>18</v>
      </c>
      <c r="K1946" s="1">
        <v>0</v>
      </c>
      <c r="L1946" s="1" t="s">
        <v>21</v>
      </c>
      <c r="M1946" s="1" t="str">
        <f t="shared" si="30"/>
        <v>Potential Layering</v>
      </c>
      <c r="N1946" s="1" t="str">
        <f>_xlfn.XLOOKUP(H1946, risk_score!A:A, risk_score!B:B, 0)</f>
        <v>Low Risk</v>
      </c>
    </row>
    <row r="1947" spans="1:14">
      <c r="A1947" s="2">
        <v>0.49006944444444445</v>
      </c>
      <c r="B1947" s="3">
        <v>44841</v>
      </c>
      <c r="C1947" s="1">
        <v>8033812709</v>
      </c>
      <c r="D1947" s="1">
        <v>4468312416</v>
      </c>
      <c r="E1947" s="1">
        <v>2345.7399999999998</v>
      </c>
      <c r="F1947" s="1" t="s">
        <v>12</v>
      </c>
      <c r="G1947" s="1" t="s">
        <v>12</v>
      </c>
      <c r="H1947" s="1" t="s">
        <v>13</v>
      </c>
      <c r="I1947" s="1" t="s">
        <v>13</v>
      </c>
      <c r="J1947" s="1" t="s">
        <v>20</v>
      </c>
      <c r="K1947" s="1">
        <v>0</v>
      </c>
      <c r="L1947" s="1" t="s">
        <v>21</v>
      </c>
      <c r="M1947" s="1" t="str">
        <f t="shared" si="30"/>
        <v>Consistent</v>
      </c>
      <c r="N1947" s="1" t="str">
        <f>_xlfn.XLOOKUP(H1947, risk_score!A:A, risk_score!B:B, 0)</f>
        <v>Low Risk</v>
      </c>
    </row>
    <row r="1948" spans="1:14">
      <c r="A1948" s="2">
        <v>0.49006944444444445</v>
      </c>
      <c r="B1948" s="3">
        <v>44841</v>
      </c>
      <c r="C1948" s="1">
        <v>1093908497</v>
      </c>
      <c r="D1948" s="1">
        <v>5937390006</v>
      </c>
      <c r="E1948" s="1">
        <v>3466.26</v>
      </c>
      <c r="F1948" s="1" t="s">
        <v>12</v>
      </c>
      <c r="G1948" s="1" t="s">
        <v>12</v>
      </c>
      <c r="H1948" s="1" t="s">
        <v>13</v>
      </c>
      <c r="I1948" s="1" t="s">
        <v>13</v>
      </c>
      <c r="J1948" s="1" t="s">
        <v>27</v>
      </c>
      <c r="K1948" s="1">
        <v>0</v>
      </c>
      <c r="L1948" s="1" t="s">
        <v>21</v>
      </c>
      <c r="M1948" s="1" t="str">
        <f t="shared" si="30"/>
        <v>Consistent</v>
      </c>
      <c r="N1948" s="1" t="str">
        <f>_xlfn.XLOOKUP(H1948, risk_score!A:A, risk_score!B:B, 0)</f>
        <v>Low Risk</v>
      </c>
    </row>
    <row r="1949" spans="1:14">
      <c r="A1949" s="2">
        <v>0.49010416666666667</v>
      </c>
      <c r="B1949" s="3">
        <v>44841</v>
      </c>
      <c r="C1949" s="1">
        <v>9534729015</v>
      </c>
      <c r="D1949" s="1">
        <v>8091763232</v>
      </c>
      <c r="E1949" s="1">
        <v>5954.73</v>
      </c>
      <c r="F1949" s="1" t="s">
        <v>12</v>
      </c>
      <c r="G1949" s="1" t="s">
        <v>12</v>
      </c>
      <c r="H1949" s="1" t="s">
        <v>13</v>
      </c>
      <c r="I1949" s="1" t="s">
        <v>13</v>
      </c>
      <c r="J1949" s="1" t="s">
        <v>22</v>
      </c>
      <c r="K1949" s="1">
        <v>0</v>
      </c>
      <c r="L1949" s="1" t="s">
        <v>19</v>
      </c>
      <c r="M1949" s="1" t="str">
        <f t="shared" si="30"/>
        <v>Consistent</v>
      </c>
      <c r="N1949" s="1" t="str">
        <f>_xlfn.XLOOKUP(H1949, risk_score!A:A, risk_score!B:B, 0)</f>
        <v>Low Risk</v>
      </c>
    </row>
    <row r="1950" spans="1:14">
      <c r="A1950" s="2">
        <v>0.49010416666666667</v>
      </c>
      <c r="B1950" s="3">
        <v>44841</v>
      </c>
      <c r="C1950" s="1">
        <v>5702595560</v>
      </c>
      <c r="D1950" s="1">
        <v>2438069494</v>
      </c>
      <c r="E1950" s="1">
        <v>173.39</v>
      </c>
      <c r="F1950" s="1" t="s">
        <v>12</v>
      </c>
      <c r="G1950" s="1" t="s">
        <v>12</v>
      </c>
      <c r="H1950" s="1" t="s">
        <v>13</v>
      </c>
      <c r="I1950" s="1" t="s">
        <v>13</v>
      </c>
      <c r="J1950" s="1" t="s">
        <v>36</v>
      </c>
      <c r="K1950" s="1">
        <v>0</v>
      </c>
      <c r="L1950" s="1" t="s">
        <v>37</v>
      </c>
      <c r="M1950" s="1" t="str">
        <f t="shared" si="30"/>
        <v>Consistent</v>
      </c>
      <c r="N1950" s="1" t="str">
        <f>_xlfn.XLOOKUP(H1950, risk_score!A:A, risk_score!B:B, 0)</f>
        <v>Low Risk</v>
      </c>
    </row>
    <row r="1951" spans="1:14">
      <c r="A1951" s="2">
        <v>0.4901388888888889</v>
      </c>
      <c r="B1951" s="3">
        <v>44841</v>
      </c>
      <c r="C1951" s="1">
        <v>6086421020</v>
      </c>
      <c r="D1951" s="1">
        <v>3819548816</v>
      </c>
      <c r="E1951" s="1">
        <v>4745.29</v>
      </c>
      <c r="F1951" s="1" t="s">
        <v>12</v>
      </c>
      <c r="G1951" s="1" t="s">
        <v>12</v>
      </c>
      <c r="H1951" s="1" t="s">
        <v>13</v>
      </c>
      <c r="I1951" s="1" t="s">
        <v>13</v>
      </c>
      <c r="J1951" s="1" t="s">
        <v>25</v>
      </c>
      <c r="K1951" s="1">
        <v>0</v>
      </c>
      <c r="L1951" s="1" t="s">
        <v>19</v>
      </c>
      <c r="M1951" s="1" t="str">
        <f t="shared" si="30"/>
        <v>Consistent</v>
      </c>
      <c r="N1951" s="1" t="str">
        <f>_xlfn.XLOOKUP(H1951, risk_score!A:A, risk_score!B:B, 0)</f>
        <v>Low Risk</v>
      </c>
    </row>
    <row r="1952" spans="1:14">
      <c r="A1952" s="2">
        <v>0.4901388888888889</v>
      </c>
      <c r="B1952" s="3">
        <v>44841</v>
      </c>
      <c r="C1952" s="1">
        <v>3709430533</v>
      </c>
      <c r="D1952" s="1">
        <v>2300358725</v>
      </c>
      <c r="E1952" s="1">
        <v>12457.64</v>
      </c>
      <c r="F1952" s="1" t="s">
        <v>12</v>
      </c>
      <c r="G1952" s="1" t="s">
        <v>12</v>
      </c>
      <c r="H1952" s="1" t="s">
        <v>13</v>
      </c>
      <c r="I1952" s="1" t="s">
        <v>13</v>
      </c>
      <c r="J1952" s="1" t="s">
        <v>27</v>
      </c>
      <c r="K1952" s="1">
        <v>0</v>
      </c>
      <c r="L1952" s="1" t="s">
        <v>19</v>
      </c>
      <c r="M1952" s="1" t="str">
        <f t="shared" si="30"/>
        <v>Consistent</v>
      </c>
      <c r="N1952" s="1" t="str">
        <f>_xlfn.XLOOKUP(H1952, risk_score!A:A, risk_score!B:B, 0)</f>
        <v>Low Risk</v>
      </c>
    </row>
    <row r="1953" spans="1:14">
      <c r="A1953" s="2">
        <v>0.4901388888888889</v>
      </c>
      <c r="B1953" s="3">
        <v>44841</v>
      </c>
      <c r="C1953" s="1">
        <v>2365007895</v>
      </c>
      <c r="D1953" s="1">
        <v>5042424090</v>
      </c>
      <c r="E1953" s="1">
        <v>10685.97</v>
      </c>
      <c r="F1953" s="1" t="s">
        <v>12</v>
      </c>
      <c r="G1953" s="1" t="s">
        <v>12</v>
      </c>
      <c r="H1953" s="1" t="s">
        <v>13</v>
      </c>
      <c r="I1953" s="1" t="s">
        <v>13</v>
      </c>
      <c r="J1953" s="1" t="s">
        <v>27</v>
      </c>
      <c r="K1953" s="1">
        <v>0</v>
      </c>
      <c r="L1953" s="1" t="s">
        <v>19</v>
      </c>
      <c r="M1953" s="1" t="str">
        <f t="shared" si="30"/>
        <v>Consistent</v>
      </c>
      <c r="N1953" s="1" t="str">
        <f>_xlfn.XLOOKUP(H1953, risk_score!A:A, risk_score!B:B, 0)</f>
        <v>Low Risk</v>
      </c>
    </row>
    <row r="1954" spans="1:14">
      <c r="A1954" s="2">
        <v>0.49016203703703703</v>
      </c>
      <c r="B1954" s="3">
        <v>44841</v>
      </c>
      <c r="C1954" s="1">
        <v>6086421020</v>
      </c>
      <c r="D1954" s="1">
        <v>3504466346</v>
      </c>
      <c r="E1954" s="1">
        <v>19098.990000000002</v>
      </c>
      <c r="F1954" s="1" t="s">
        <v>12</v>
      </c>
      <c r="G1954" s="1" t="s">
        <v>12</v>
      </c>
      <c r="H1954" s="1" t="s">
        <v>13</v>
      </c>
      <c r="I1954" s="1" t="s">
        <v>13</v>
      </c>
      <c r="J1954" s="1" t="s">
        <v>25</v>
      </c>
      <c r="K1954" s="1">
        <v>0</v>
      </c>
      <c r="L1954" s="1" t="s">
        <v>19</v>
      </c>
      <c r="M1954" s="1" t="str">
        <f t="shared" si="30"/>
        <v>Consistent</v>
      </c>
      <c r="N1954" s="1" t="str">
        <f>_xlfn.XLOOKUP(H1954, risk_score!A:A, risk_score!B:B, 0)</f>
        <v>Low Risk</v>
      </c>
    </row>
    <row r="1955" spans="1:14">
      <c r="A1955" s="2">
        <v>0.49016203703703703</v>
      </c>
      <c r="B1955" s="3">
        <v>44841</v>
      </c>
      <c r="C1955" s="1">
        <v>8740508409</v>
      </c>
      <c r="D1955" s="1">
        <v>1320927231</v>
      </c>
      <c r="E1955" s="1">
        <v>9317.01</v>
      </c>
      <c r="F1955" s="1" t="s">
        <v>12</v>
      </c>
      <c r="G1955" s="1" t="s">
        <v>12</v>
      </c>
      <c r="H1955" s="1" t="s">
        <v>13</v>
      </c>
      <c r="I1955" s="1" t="s">
        <v>13</v>
      </c>
      <c r="J1955" s="1" t="s">
        <v>20</v>
      </c>
      <c r="K1955" s="1">
        <v>0</v>
      </c>
      <c r="L1955" s="1" t="s">
        <v>23</v>
      </c>
      <c r="M1955" s="1" t="str">
        <f t="shared" si="30"/>
        <v>Consistent</v>
      </c>
      <c r="N1955" s="1" t="str">
        <f>_xlfn.XLOOKUP(H1955, risk_score!A:A, risk_score!B:B, 0)</f>
        <v>Low Risk</v>
      </c>
    </row>
    <row r="1956" spans="1:14">
      <c r="A1956" s="2">
        <v>0.49019675925925926</v>
      </c>
      <c r="B1956" s="3">
        <v>44841</v>
      </c>
      <c r="C1956" s="1">
        <v>445154846</v>
      </c>
      <c r="D1956" s="1">
        <v>4497771501</v>
      </c>
      <c r="E1956" s="1">
        <v>3957.87</v>
      </c>
      <c r="F1956" s="1" t="s">
        <v>12</v>
      </c>
      <c r="G1956" s="1" t="s">
        <v>44</v>
      </c>
      <c r="H1956" s="1" t="s">
        <v>13</v>
      </c>
      <c r="I1956" s="1" t="s">
        <v>45</v>
      </c>
      <c r="J1956" s="1" t="s">
        <v>18</v>
      </c>
      <c r="K1956" s="4">
        <v>1</v>
      </c>
      <c r="L1956" s="1" t="s">
        <v>64</v>
      </c>
      <c r="M1956" s="1" t="str">
        <f t="shared" si="30"/>
        <v>Potential Layering</v>
      </c>
      <c r="N1956" s="1" t="str">
        <f>_xlfn.XLOOKUP(H1956, risk_score!A:A, risk_score!B:B, 0)</f>
        <v>Low Risk</v>
      </c>
    </row>
    <row r="1957" spans="1:14">
      <c r="A1957" s="2">
        <v>0.49020833333333336</v>
      </c>
      <c r="B1957" s="3">
        <v>44841</v>
      </c>
      <c r="C1957" s="1">
        <v>9020866719</v>
      </c>
      <c r="D1957" s="1">
        <v>45889773</v>
      </c>
      <c r="E1957" s="1">
        <v>1615.68</v>
      </c>
      <c r="F1957" s="1" t="s">
        <v>12</v>
      </c>
      <c r="G1957" s="1" t="s">
        <v>12</v>
      </c>
      <c r="H1957" s="1" t="s">
        <v>13</v>
      </c>
      <c r="I1957" s="1" t="s">
        <v>13</v>
      </c>
      <c r="J1957" s="1" t="s">
        <v>22</v>
      </c>
      <c r="K1957" s="1">
        <v>0</v>
      </c>
      <c r="L1957" s="1" t="s">
        <v>21</v>
      </c>
      <c r="M1957" s="1" t="str">
        <f t="shared" si="30"/>
        <v>Consistent</v>
      </c>
      <c r="N1957" s="1" t="str">
        <f>_xlfn.XLOOKUP(H1957, risk_score!A:A, risk_score!B:B, 0)</f>
        <v>Low Risk</v>
      </c>
    </row>
    <row r="1958" spans="1:14">
      <c r="A1958" s="2">
        <v>0.49024305555555553</v>
      </c>
      <c r="B1958" s="3">
        <v>44841</v>
      </c>
      <c r="C1958" s="1">
        <v>2365007895</v>
      </c>
      <c r="D1958" s="1">
        <v>5745861775</v>
      </c>
      <c r="E1958" s="1">
        <v>9121.3700000000008</v>
      </c>
      <c r="F1958" s="1" t="s">
        <v>12</v>
      </c>
      <c r="G1958" s="1" t="s">
        <v>12</v>
      </c>
      <c r="H1958" s="1" t="s">
        <v>13</v>
      </c>
      <c r="I1958" s="1" t="s">
        <v>13</v>
      </c>
      <c r="J1958" s="1" t="s">
        <v>27</v>
      </c>
      <c r="K1958" s="1">
        <v>0</v>
      </c>
      <c r="L1958" s="1" t="s">
        <v>19</v>
      </c>
      <c r="M1958" s="1" t="str">
        <f t="shared" si="30"/>
        <v>Consistent</v>
      </c>
      <c r="N1958" s="1" t="str">
        <f>_xlfn.XLOOKUP(H1958, risk_score!A:A, risk_score!B:B, 0)</f>
        <v>Low Risk</v>
      </c>
    </row>
    <row r="1959" spans="1:14">
      <c r="A1959" s="2">
        <v>0.49026620370370372</v>
      </c>
      <c r="B1959" s="3">
        <v>44841</v>
      </c>
      <c r="C1959" s="1">
        <v>6313053040</v>
      </c>
      <c r="D1959" s="1">
        <v>6629729612</v>
      </c>
      <c r="E1959" s="1">
        <v>487.78</v>
      </c>
      <c r="F1959" s="1" t="s">
        <v>39</v>
      </c>
      <c r="G1959" s="1" t="s">
        <v>12</v>
      </c>
      <c r="H1959" s="1" t="s">
        <v>40</v>
      </c>
      <c r="I1959" s="1" t="s">
        <v>13</v>
      </c>
      <c r="J1959" s="1" t="s">
        <v>18</v>
      </c>
      <c r="K1959" s="1">
        <v>0</v>
      </c>
      <c r="L1959" s="1" t="s">
        <v>21</v>
      </c>
      <c r="M1959" s="1" t="str">
        <f t="shared" si="30"/>
        <v>Potential Layering</v>
      </c>
      <c r="N1959" s="1" t="str">
        <f>_xlfn.XLOOKUP(H1959, risk_score!A:A, risk_score!B:B, 0)</f>
        <v>High Risk</v>
      </c>
    </row>
    <row r="1960" spans="1:14">
      <c r="A1960" s="2">
        <v>0.49037037037037035</v>
      </c>
      <c r="B1960" s="3">
        <v>44841</v>
      </c>
      <c r="C1960" s="1">
        <v>2773938334</v>
      </c>
      <c r="D1960" s="1">
        <v>5748156603</v>
      </c>
      <c r="E1960" s="1">
        <v>533.97</v>
      </c>
      <c r="F1960" s="1" t="s">
        <v>12</v>
      </c>
      <c r="G1960" s="1" t="s">
        <v>12</v>
      </c>
      <c r="H1960" s="1" t="s">
        <v>13</v>
      </c>
      <c r="I1960" s="1" t="s">
        <v>13</v>
      </c>
      <c r="J1960" s="1" t="s">
        <v>14</v>
      </c>
      <c r="K1960" s="1">
        <v>0</v>
      </c>
      <c r="L1960" s="1" t="s">
        <v>15</v>
      </c>
      <c r="M1960" s="1" t="str">
        <f t="shared" si="30"/>
        <v>Consistent</v>
      </c>
      <c r="N1960" s="1" t="str">
        <f>_xlfn.XLOOKUP(H1960, risk_score!A:A, risk_score!B:B, 0)</f>
        <v>Low Risk</v>
      </c>
    </row>
    <row r="1961" spans="1:14">
      <c r="A1961" s="2">
        <v>0.49037037037037035</v>
      </c>
      <c r="B1961" s="3">
        <v>44841</v>
      </c>
      <c r="C1961" s="1">
        <v>4758294964</v>
      </c>
      <c r="D1961" s="1">
        <v>8172080174</v>
      </c>
      <c r="E1961" s="1">
        <v>21267.64</v>
      </c>
      <c r="F1961" s="1" t="s">
        <v>12</v>
      </c>
      <c r="G1961" s="1" t="s">
        <v>12</v>
      </c>
      <c r="H1961" s="1" t="s">
        <v>13</v>
      </c>
      <c r="I1961" s="1" t="s">
        <v>13</v>
      </c>
      <c r="J1961" s="1" t="s">
        <v>22</v>
      </c>
      <c r="K1961" s="1">
        <v>0</v>
      </c>
      <c r="L1961" s="1" t="s">
        <v>23</v>
      </c>
      <c r="M1961" s="1" t="str">
        <f t="shared" si="30"/>
        <v>Consistent</v>
      </c>
      <c r="N1961" s="1" t="str">
        <f>_xlfn.XLOOKUP(H1961, risk_score!A:A, risk_score!B:B, 0)</f>
        <v>Low Risk</v>
      </c>
    </row>
    <row r="1962" spans="1:14">
      <c r="A1962" s="2">
        <v>0.49037037037037035</v>
      </c>
      <c r="B1962" s="3">
        <v>44841</v>
      </c>
      <c r="C1962" s="1">
        <v>578839168</v>
      </c>
      <c r="D1962" s="1">
        <v>1377603863</v>
      </c>
      <c r="E1962" s="1">
        <v>5468.3</v>
      </c>
      <c r="F1962" s="1" t="s">
        <v>12</v>
      </c>
      <c r="G1962" s="1" t="s">
        <v>12</v>
      </c>
      <c r="H1962" s="1" t="s">
        <v>13</v>
      </c>
      <c r="I1962" s="1" t="s">
        <v>13</v>
      </c>
      <c r="J1962" s="1" t="s">
        <v>20</v>
      </c>
      <c r="K1962" s="1">
        <v>0</v>
      </c>
      <c r="L1962" s="1" t="s">
        <v>23</v>
      </c>
      <c r="M1962" s="1" t="str">
        <f t="shared" si="30"/>
        <v>Consistent</v>
      </c>
      <c r="N1962" s="1" t="str">
        <f>_xlfn.XLOOKUP(H1962, risk_score!A:A, risk_score!B:B, 0)</f>
        <v>Low Risk</v>
      </c>
    </row>
    <row r="1963" spans="1:14">
      <c r="A1963" s="2">
        <v>0.49040509259259257</v>
      </c>
      <c r="B1963" s="3">
        <v>44841</v>
      </c>
      <c r="C1963" s="1">
        <v>5730375984</v>
      </c>
      <c r="D1963" s="1">
        <v>3995490280</v>
      </c>
      <c r="E1963" s="1">
        <v>5370.38</v>
      </c>
      <c r="F1963" s="1" t="s">
        <v>12</v>
      </c>
      <c r="G1963" s="1" t="s">
        <v>12</v>
      </c>
      <c r="H1963" s="1" t="s">
        <v>13</v>
      </c>
      <c r="I1963" s="1" t="s">
        <v>13</v>
      </c>
      <c r="J1963" s="1" t="s">
        <v>20</v>
      </c>
      <c r="K1963" s="1">
        <v>0</v>
      </c>
      <c r="L1963" s="1" t="s">
        <v>24</v>
      </c>
      <c r="M1963" s="1" t="str">
        <f t="shared" si="30"/>
        <v>Consistent</v>
      </c>
      <c r="N1963" s="1" t="str">
        <f>_xlfn.XLOOKUP(H1963, risk_score!A:A, risk_score!B:B, 0)</f>
        <v>Low Risk</v>
      </c>
    </row>
    <row r="1964" spans="1:14">
      <c r="A1964" s="2">
        <v>0.49050925925925926</v>
      </c>
      <c r="B1964" s="3">
        <v>44841</v>
      </c>
      <c r="C1964" s="1">
        <v>2576623544</v>
      </c>
      <c r="D1964" s="1">
        <v>621060264</v>
      </c>
      <c r="E1964" s="1">
        <v>10533.08</v>
      </c>
      <c r="F1964" s="1" t="s">
        <v>12</v>
      </c>
      <c r="G1964" s="1" t="s">
        <v>12</v>
      </c>
      <c r="H1964" s="1" t="s">
        <v>13</v>
      </c>
      <c r="I1964" s="1" t="s">
        <v>13</v>
      </c>
      <c r="J1964" s="1" t="s">
        <v>20</v>
      </c>
      <c r="K1964" s="1">
        <v>0</v>
      </c>
      <c r="L1964" s="1" t="s">
        <v>23</v>
      </c>
      <c r="M1964" s="1" t="str">
        <f t="shared" si="30"/>
        <v>Consistent</v>
      </c>
      <c r="N1964" s="1" t="str">
        <f>_xlfn.XLOOKUP(H1964, risk_score!A:A, risk_score!B:B, 0)</f>
        <v>Low Risk</v>
      </c>
    </row>
    <row r="1965" spans="1:14">
      <c r="A1965" s="2">
        <v>0.49059027777777775</v>
      </c>
      <c r="B1965" s="3">
        <v>44841</v>
      </c>
      <c r="C1965" s="1">
        <v>6799175447</v>
      </c>
      <c r="D1965" s="1">
        <v>7809070337</v>
      </c>
      <c r="E1965" s="1">
        <v>965.03</v>
      </c>
      <c r="F1965" s="1" t="s">
        <v>12</v>
      </c>
      <c r="G1965" s="1" t="s">
        <v>12</v>
      </c>
      <c r="H1965" s="1" t="s">
        <v>13</v>
      </c>
      <c r="I1965" s="1" t="s">
        <v>13</v>
      </c>
      <c r="J1965" s="1" t="s">
        <v>22</v>
      </c>
      <c r="K1965" s="1">
        <v>0</v>
      </c>
      <c r="L1965" s="1" t="s">
        <v>21</v>
      </c>
      <c r="M1965" s="1" t="str">
        <f t="shared" si="30"/>
        <v>Consistent</v>
      </c>
      <c r="N1965" s="1" t="str">
        <f>_xlfn.XLOOKUP(H1965, risk_score!A:A, risk_score!B:B, 0)</f>
        <v>Low Risk</v>
      </c>
    </row>
    <row r="1966" spans="1:14">
      <c r="A1966" s="2">
        <v>0.49061342592592594</v>
      </c>
      <c r="B1966" s="3">
        <v>44841</v>
      </c>
      <c r="C1966" s="1">
        <v>7905085108</v>
      </c>
      <c r="D1966" s="1">
        <v>8232618500</v>
      </c>
      <c r="E1966" s="1">
        <v>488.28</v>
      </c>
      <c r="F1966" s="1" t="s">
        <v>12</v>
      </c>
      <c r="G1966" s="1" t="s">
        <v>12</v>
      </c>
      <c r="H1966" s="1" t="s">
        <v>13</v>
      </c>
      <c r="I1966" s="1" t="s">
        <v>13</v>
      </c>
      <c r="J1966" s="1" t="s">
        <v>25</v>
      </c>
      <c r="K1966" s="1">
        <v>0</v>
      </c>
      <c r="L1966" s="1" t="s">
        <v>21</v>
      </c>
      <c r="M1966" s="1" t="str">
        <f t="shared" si="30"/>
        <v>Consistent</v>
      </c>
      <c r="N1966" s="1" t="str">
        <f>_xlfn.XLOOKUP(H1966, risk_score!A:A, risk_score!B:B, 0)</f>
        <v>Low Risk</v>
      </c>
    </row>
    <row r="1967" spans="1:14">
      <c r="A1967" s="2">
        <v>0.49061342592592594</v>
      </c>
      <c r="B1967" s="3">
        <v>44841</v>
      </c>
      <c r="C1967" s="1">
        <v>3168051873</v>
      </c>
      <c r="D1967" s="1">
        <v>2602962590</v>
      </c>
      <c r="E1967" s="1">
        <v>8417.34</v>
      </c>
      <c r="F1967" s="1" t="s">
        <v>12</v>
      </c>
      <c r="G1967" s="1" t="s">
        <v>12</v>
      </c>
      <c r="H1967" s="1" t="s">
        <v>13</v>
      </c>
      <c r="I1967" s="1" t="s">
        <v>13</v>
      </c>
      <c r="J1967" s="1" t="s">
        <v>22</v>
      </c>
      <c r="K1967" s="1">
        <v>0</v>
      </c>
      <c r="L1967" s="1" t="s">
        <v>19</v>
      </c>
      <c r="M1967" s="1" t="str">
        <f t="shared" si="30"/>
        <v>Consistent</v>
      </c>
      <c r="N1967" s="1" t="str">
        <f>_xlfn.XLOOKUP(H1967, risk_score!A:A, risk_score!B:B, 0)</f>
        <v>Low Risk</v>
      </c>
    </row>
    <row r="1968" spans="1:14">
      <c r="A1968" s="2">
        <v>0.49064814814814817</v>
      </c>
      <c r="B1968" s="3">
        <v>44841</v>
      </c>
      <c r="C1968" s="1">
        <v>4213422776</v>
      </c>
      <c r="D1968" s="1">
        <v>155209904</v>
      </c>
      <c r="E1968" s="1">
        <v>134.99</v>
      </c>
      <c r="F1968" s="1" t="s">
        <v>12</v>
      </c>
      <c r="G1968" s="1" t="s">
        <v>12</v>
      </c>
      <c r="H1968" s="1" t="s">
        <v>13</v>
      </c>
      <c r="I1968" s="1" t="s">
        <v>13</v>
      </c>
      <c r="J1968" s="1" t="s">
        <v>14</v>
      </c>
      <c r="K1968" s="1">
        <v>0</v>
      </c>
      <c r="L1968" s="1" t="s">
        <v>15</v>
      </c>
      <c r="M1968" s="1" t="str">
        <f t="shared" si="30"/>
        <v>Consistent</v>
      </c>
      <c r="N1968" s="1" t="str">
        <f>_xlfn.XLOOKUP(H1968, risk_score!A:A, risk_score!B:B, 0)</f>
        <v>Low Risk</v>
      </c>
    </row>
    <row r="1969" spans="1:14">
      <c r="A1969" s="2">
        <v>0.49065972222222221</v>
      </c>
      <c r="B1969" s="3">
        <v>44841</v>
      </c>
      <c r="C1969" s="1">
        <v>7832090993</v>
      </c>
      <c r="D1969" s="1">
        <v>9999812305</v>
      </c>
      <c r="E1969" s="1">
        <v>61.92</v>
      </c>
      <c r="F1969" s="1" t="s">
        <v>12</v>
      </c>
      <c r="G1969" s="1" t="s">
        <v>12</v>
      </c>
      <c r="H1969" s="1" t="s">
        <v>13</v>
      </c>
      <c r="I1969" s="1" t="s">
        <v>13</v>
      </c>
      <c r="J1969" s="1" t="s">
        <v>36</v>
      </c>
      <c r="K1969" s="1">
        <v>0</v>
      </c>
      <c r="L1969" s="1" t="s">
        <v>37</v>
      </c>
      <c r="M1969" s="1" t="str">
        <f t="shared" si="30"/>
        <v>Consistent</v>
      </c>
      <c r="N1969" s="1" t="str">
        <f>_xlfn.XLOOKUP(H1969, risk_score!A:A, risk_score!B:B, 0)</f>
        <v>Low Risk</v>
      </c>
    </row>
    <row r="1970" spans="1:14">
      <c r="A1970" s="2">
        <v>0.49065972222222221</v>
      </c>
      <c r="B1970" s="3">
        <v>44841</v>
      </c>
      <c r="C1970" s="1">
        <v>273040338</v>
      </c>
      <c r="D1970" s="1">
        <v>6572265545</v>
      </c>
      <c r="E1970" s="1">
        <v>2352.67</v>
      </c>
      <c r="F1970" s="1" t="s">
        <v>12</v>
      </c>
      <c r="G1970" s="1" t="s">
        <v>12</v>
      </c>
      <c r="H1970" s="1" t="s">
        <v>13</v>
      </c>
      <c r="I1970" s="1" t="s">
        <v>13</v>
      </c>
      <c r="J1970" s="1" t="s">
        <v>14</v>
      </c>
      <c r="K1970" s="1">
        <v>0</v>
      </c>
      <c r="L1970" s="1" t="s">
        <v>15</v>
      </c>
      <c r="M1970" s="1" t="str">
        <f t="shared" si="30"/>
        <v>Consistent</v>
      </c>
      <c r="N1970" s="1" t="str">
        <f>_xlfn.XLOOKUP(H1970, risk_score!A:A, risk_score!B:B, 0)</f>
        <v>Low Risk</v>
      </c>
    </row>
    <row r="1971" spans="1:14">
      <c r="A1971" s="2">
        <v>0.49068287037037039</v>
      </c>
      <c r="B1971" s="3">
        <v>44841</v>
      </c>
      <c r="C1971" s="1">
        <v>3236920559</v>
      </c>
      <c r="D1971" s="1">
        <v>9087408707</v>
      </c>
      <c r="E1971" s="1">
        <v>678.06</v>
      </c>
      <c r="F1971" s="1" t="s">
        <v>12</v>
      </c>
      <c r="G1971" s="1" t="s">
        <v>12</v>
      </c>
      <c r="H1971" s="1" t="s">
        <v>13</v>
      </c>
      <c r="I1971" s="1" t="s">
        <v>13</v>
      </c>
      <c r="J1971" s="1" t="s">
        <v>27</v>
      </c>
      <c r="K1971" s="1">
        <v>0</v>
      </c>
      <c r="L1971" s="1" t="s">
        <v>21</v>
      </c>
      <c r="M1971" s="1" t="str">
        <f t="shared" si="30"/>
        <v>Consistent</v>
      </c>
      <c r="N1971" s="1" t="str">
        <f>_xlfn.XLOOKUP(H1971, risk_score!A:A, risk_score!B:B, 0)</f>
        <v>Low Risk</v>
      </c>
    </row>
    <row r="1972" spans="1:14">
      <c r="A1972" s="2">
        <v>0.49068287037037039</v>
      </c>
      <c r="B1972" s="3">
        <v>44841</v>
      </c>
      <c r="C1972" s="1">
        <v>4464531844</v>
      </c>
      <c r="D1972" s="1">
        <v>5332102873</v>
      </c>
      <c r="E1972" s="1">
        <v>2329.89</v>
      </c>
      <c r="F1972" s="1" t="s">
        <v>12</v>
      </c>
      <c r="G1972" s="1" t="s">
        <v>12</v>
      </c>
      <c r="H1972" s="1" t="s">
        <v>13</v>
      </c>
      <c r="I1972" s="1" t="s">
        <v>13</v>
      </c>
      <c r="J1972" s="1" t="s">
        <v>25</v>
      </c>
      <c r="K1972" s="1">
        <v>0</v>
      </c>
      <c r="L1972" s="1" t="s">
        <v>24</v>
      </c>
      <c r="M1972" s="1" t="str">
        <f t="shared" si="30"/>
        <v>Consistent</v>
      </c>
      <c r="N1972" s="1" t="str">
        <f>_xlfn.XLOOKUP(H1972, risk_score!A:A, risk_score!B:B, 0)</f>
        <v>Low Risk</v>
      </c>
    </row>
    <row r="1973" spans="1:14">
      <c r="A1973" s="2">
        <v>0.49071759259259257</v>
      </c>
      <c r="B1973" s="3">
        <v>44841</v>
      </c>
      <c r="C1973" s="1">
        <v>7305338148</v>
      </c>
      <c r="D1973" s="1">
        <v>6987481995</v>
      </c>
      <c r="E1973" s="1">
        <v>785.17</v>
      </c>
      <c r="F1973" s="1" t="s">
        <v>12</v>
      </c>
      <c r="G1973" s="1" t="s">
        <v>12</v>
      </c>
      <c r="H1973" s="1" t="s">
        <v>13</v>
      </c>
      <c r="I1973" s="1" t="s">
        <v>13</v>
      </c>
      <c r="J1973" s="1" t="s">
        <v>22</v>
      </c>
      <c r="K1973" s="1">
        <v>0</v>
      </c>
      <c r="L1973" s="1" t="s">
        <v>21</v>
      </c>
      <c r="M1973" s="1" t="str">
        <f t="shared" si="30"/>
        <v>Consistent</v>
      </c>
      <c r="N1973" s="1" t="str">
        <f>_xlfn.XLOOKUP(H1973, risk_score!A:A, risk_score!B:B, 0)</f>
        <v>Low Risk</v>
      </c>
    </row>
    <row r="1974" spans="1:14">
      <c r="A1974" s="2">
        <v>0.49084490740740738</v>
      </c>
      <c r="B1974" s="3">
        <v>44841</v>
      </c>
      <c r="C1974" s="1">
        <v>6792430753</v>
      </c>
      <c r="D1974" s="1">
        <v>4967141186</v>
      </c>
      <c r="E1974" s="1">
        <v>6281.59</v>
      </c>
      <c r="F1974" s="1" t="s">
        <v>12</v>
      </c>
      <c r="G1974" s="1" t="s">
        <v>12</v>
      </c>
      <c r="H1974" s="1" t="s">
        <v>13</v>
      </c>
      <c r="I1974" s="1" t="s">
        <v>13</v>
      </c>
      <c r="J1974" s="1" t="s">
        <v>20</v>
      </c>
      <c r="K1974" s="1">
        <v>0</v>
      </c>
      <c r="L1974" s="1" t="s">
        <v>21</v>
      </c>
      <c r="M1974" s="1" t="str">
        <f t="shared" si="30"/>
        <v>Consistent</v>
      </c>
      <c r="N1974" s="1" t="str">
        <f>_xlfn.XLOOKUP(H1974, risk_score!A:A, risk_score!B:B, 0)</f>
        <v>Low Risk</v>
      </c>
    </row>
    <row r="1975" spans="1:14">
      <c r="A1975" s="2">
        <v>0.49084490740740738</v>
      </c>
      <c r="B1975" s="3">
        <v>44841</v>
      </c>
      <c r="C1975" s="1">
        <v>2797271466</v>
      </c>
      <c r="D1975" s="1">
        <v>5633100295</v>
      </c>
      <c r="E1975" s="1">
        <v>8689.25</v>
      </c>
      <c r="F1975" s="1" t="s">
        <v>12</v>
      </c>
      <c r="G1975" s="1" t="s">
        <v>12</v>
      </c>
      <c r="H1975" s="1" t="s">
        <v>13</v>
      </c>
      <c r="I1975" s="1" t="s">
        <v>13</v>
      </c>
      <c r="J1975" s="1" t="s">
        <v>20</v>
      </c>
      <c r="K1975" s="1">
        <v>0</v>
      </c>
      <c r="L1975" s="1" t="s">
        <v>19</v>
      </c>
      <c r="M1975" s="1" t="str">
        <f t="shared" si="30"/>
        <v>Consistent</v>
      </c>
      <c r="N1975" s="1" t="str">
        <f>_xlfn.XLOOKUP(H1975, risk_score!A:A, risk_score!B:B, 0)</f>
        <v>Low Risk</v>
      </c>
    </row>
    <row r="1976" spans="1:14">
      <c r="A1976" s="2">
        <v>0.49094907407407407</v>
      </c>
      <c r="B1976" s="3">
        <v>44841</v>
      </c>
      <c r="C1976" s="1">
        <v>4678874499</v>
      </c>
      <c r="D1976" s="1">
        <v>3220735304</v>
      </c>
      <c r="E1976" s="1">
        <v>9746.43</v>
      </c>
      <c r="F1976" s="1" t="s">
        <v>12</v>
      </c>
      <c r="G1976" s="1" t="s">
        <v>12</v>
      </c>
      <c r="H1976" s="1" t="s">
        <v>13</v>
      </c>
      <c r="I1976" s="1" t="s">
        <v>13</v>
      </c>
      <c r="J1976" s="1" t="s">
        <v>20</v>
      </c>
      <c r="K1976" s="1">
        <v>0</v>
      </c>
      <c r="L1976" s="1" t="s">
        <v>23</v>
      </c>
      <c r="M1976" s="1" t="str">
        <f t="shared" si="30"/>
        <v>Consistent</v>
      </c>
      <c r="N1976" s="1" t="str">
        <f>_xlfn.XLOOKUP(H1976, risk_score!A:A, risk_score!B:B, 0)</f>
        <v>Low Risk</v>
      </c>
    </row>
    <row r="1977" spans="1:14">
      <c r="A1977" s="2">
        <v>0.49094907407407407</v>
      </c>
      <c r="B1977" s="3">
        <v>44841</v>
      </c>
      <c r="C1977" s="1">
        <v>6057444675</v>
      </c>
      <c r="D1977" s="1">
        <v>8861171324</v>
      </c>
      <c r="E1977" s="1">
        <v>10760.93</v>
      </c>
      <c r="F1977" s="1" t="s">
        <v>12</v>
      </c>
      <c r="G1977" s="1" t="s">
        <v>12</v>
      </c>
      <c r="H1977" s="1" t="s">
        <v>13</v>
      </c>
      <c r="I1977" s="1" t="s">
        <v>13</v>
      </c>
      <c r="J1977" s="1" t="s">
        <v>27</v>
      </c>
      <c r="K1977" s="1">
        <v>0</v>
      </c>
      <c r="L1977" s="1" t="s">
        <v>19</v>
      </c>
      <c r="M1977" s="1" t="str">
        <f t="shared" si="30"/>
        <v>Consistent</v>
      </c>
      <c r="N1977" s="1" t="str">
        <f>_xlfn.XLOOKUP(H1977, risk_score!A:A, risk_score!B:B, 0)</f>
        <v>Low Risk</v>
      </c>
    </row>
    <row r="1978" spans="1:14">
      <c r="A1978" s="2">
        <v>0.49098379629629629</v>
      </c>
      <c r="B1978" s="3">
        <v>44841</v>
      </c>
      <c r="C1978" s="1">
        <v>9619084731</v>
      </c>
      <c r="D1978" s="1">
        <v>1586809640</v>
      </c>
      <c r="E1978" s="1">
        <v>14206.35</v>
      </c>
      <c r="F1978" s="1" t="s">
        <v>12</v>
      </c>
      <c r="G1978" s="1" t="s">
        <v>12</v>
      </c>
      <c r="H1978" s="1" t="s">
        <v>13</v>
      </c>
      <c r="I1978" s="1" t="s">
        <v>13</v>
      </c>
      <c r="J1978" s="1" t="s">
        <v>27</v>
      </c>
      <c r="K1978" s="1">
        <v>0</v>
      </c>
      <c r="L1978" s="1" t="s">
        <v>21</v>
      </c>
      <c r="M1978" s="1" t="str">
        <f t="shared" si="30"/>
        <v>Consistent</v>
      </c>
      <c r="N1978" s="1" t="str">
        <f>_xlfn.XLOOKUP(H1978, risk_score!A:A, risk_score!B:B, 0)</f>
        <v>Low Risk</v>
      </c>
    </row>
    <row r="1979" spans="1:14">
      <c r="A1979" s="2">
        <v>0.4911226851851852</v>
      </c>
      <c r="B1979" s="3">
        <v>44841</v>
      </c>
      <c r="C1979" s="1">
        <v>2350608357</v>
      </c>
      <c r="D1979" s="1">
        <v>2413797495</v>
      </c>
      <c r="E1979" s="1">
        <v>2126.02</v>
      </c>
      <c r="F1979" s="1" t="s">
        <v>12</v>
      </c>
      <c r="G1979" s="1" t="s">
        <v>12</v>
      </c>
      <c r="H1979" s="1" t="s">
        <v>13</v>
      </c>
      <c r="I1979" s="1" t="s">
        <v>13</v>
      </c>
      <c r="J1979" s="1" t="s">
        <v>20</v>
      </c>
      <c r="K1979" s="1">
        <v>0</v>
      </c>
      <c r="L1979" s="1" t="s">
        <v>21</v>
      </c>
      <c r="M1979" s="1" t="str">
        <f t="shared" si="30"/>
        <v>Consistent</v>
      </c>
      <c r="N1979" s="1" t="str">
        <f>_xlfn.XLOOKUP(H1979, risk_score!A:A, risk_score!B:B, 0)</f>
        <v>Low Risk</v>
      </c>
    </row>
    <row r="1980" spans="1:14">
      <c r="A1980" s="2">
        <v>0.4911226851851852</v>
      </c>
      <c r="B1980" s="3">
        <v>44841</v>
      </c>
      <c r="C1980" s="1">
        <v>5028744894</v>
      </c>
      <c r="D1980" s="1">
        <v>344014011</v>
      </c>
      <c r="E1980" s="1">
        <v>61023.46</v>
      </c>
      <c r="F1980" s="1" t="s">
        <v>12</v>
      </c>
      <c r="G1980" s="1" t="s">
        <v>29</v>
      </c>
      <c r="H1980" s="1" t="s">
        <v>13</v>
      </c>
      <c r="I1980" s="1" t="s">
        <v>55</v>
      </c>
      <c r="J1980" s="1" t="s">
        <v>18</v>
      </c>
      <c r="K1980" s="1">
        <v>0</v>
      </c>
      <c r="L1980" s="1" t="s">
        <v>58</v>
      </c>
      <c r="M1980" s="1" t="str">
        <f t="shared" si="30"/>
        <v>Potential Layering</v>
      </c>
      <c r="N1980" s="1" t="str">
        <f>_xlfn.XLOOKUP(H1980, risk_score!A:A, risk_score!B:B, 0)</f>
        <v>Low Risk</v>
      </c>
    </row>
    <row r="1981" spans="1:14">
      <c r="A1981" s="2">
        <v>0.49113425925925924</v>
      </c>
      <c r="B1981" s="3">
        <v>44841</v>
      </c>
      <c r="C1981" s="1">
        <v>6086421020</v>
      </c>
      <c r="D1981" s="1">
        <v>7909637145</v>
      </c>
      <c r="E1981" s="1">
        <v>5829.83</v>
      </c>
      <c r="F1981" s="1" t="s">
        <v>12</v>
      </c>
      <c r="G1981" s="1" t="s">
        <v>12</v>
      </c>
      <c r="H1981" s="1" t="s">
        <v>13</v>
      </c>
      <c r="I1981" s="1" t="s">
        <v>13</v>
      </c>
      <c r="J1981" s="1" t="s">
        <v>22</v>
      </c>
      <c r="K1981" s="1">
        <v>0</v>
      </c>
      <c r="L1981" s="1" t="s">
        <v>19</v>
      </c>
      <c r="M1981" s="1" t="str">
        <f t="shared" si="30"/>
        <v>Consistent</v>
      </c>
      <c r="N1981" s="1" t="str">
        <f>_xlfn.XLOOKUP(H1981, risk_score!A:A, risk_score!B:B, 0)</f>
        <v>Low Risk</v>
      </c>
    </row>
    <row r="1982" spans="1:14">
      <c r="A1982" s="2">
        <v>0.49113425925925924</v>
      </c>
      <c r="B1982" s="3">
        <v>44841</v>
      </c>
      <c r="C1982" s="1">
        <v>4049865431</v>
      </c>
      <c r="D1982" s="1">
        <v>7226751239</v>
      </c>
      <c r="E1982" s="1">
        <v>3337.44</v>
      </c>
      <c r="F1982" s="1" t="s">
        <v>12</v>
      </c>
      <c r="G1982" s="1" t="s">
        <v>12</v>
      </c>
      <c r="H1982" s="1" t="s">
        <v>13</v>
      </c>
      <c r="I1982" s="1" t="s">
        <v>13</v>
      </c>
      <c r="J1982" s="1" t="s">
        <v>27</v>
      </c>
      <c r="K1982" s="1">
        <v>0</v>
      </c>
      <c r="L1982" s="1" t="s">
        <v>21</v>
      </c>
      <c r="M1982" s="1" t="str">
        <f t="shared" si="30"/>
        <v>Consistent</v>
      </c>
      <c r="N1982" s="1" t="str">
        <f>_xlfn.XLOOKUP(H1982, risk_score!A:A, risk_score!B:B, 0)</f>
        <v>Low Risk</v>
      </c>
    </row>
    <row r="1983" spans="1:14">
      <c r="A1983" s="2">
        <v>0.49114583333333334</v>
      </c>
      <c r="B1983" s="3">
        <v>44841</v>
      </c>
      <c r="C1983" s="1">
        <v>9455422035</v>
      </c>
      <c r="D1983" s="1">
        <v>668478072</v>
      </c>
      <c r="E1983" s="1">
        <v>1446.94</v>
      </c>
      <c r="F1983" s="1" t="s">
        <v>12</v>
      </c>
      <c r="G1983" s="1" t="s">
        <v>12</v>
      </c>
      <c r="H1983" s="1" t="s">
        <v>13</v>
      </c>
      <c r="I1983" s="1" t="s">
        <v>13</v>
      </c>
      <c r="J1983" s="1" t="s">
        <v>14</v>
      </c>
      <c r="K1983" s="1">
        <v>0</v>
      </c>
      <c r="L1983" s="1" t="s">
        <v>15</v>
      </c>
      <c r="M1983" s="1" t="str">
        <f t="shared" si="30"/>
        <v>Consistent</v>
      </c>
      <c r="N1983" s="1" t="str">
        <f>_xlfn.XLOOKUP(H1983, risk_score!A:A, risk_score!B:B, 0)</f>
        <v>Low Risk</v>
      </c>
    </row>
    <row r="1984" spans="1:14">
      <c r="A1984" s="2">
        <v>0.49118055555555556</v>
      </c>
      <c r="B1984" s="3">
        <v>44841</v>
      </c>
      <c r="C1984" s="1">
        <v>4330439777</v>
      </c>
      <c r="D1984" s="1">
        <v>5552684595</v>
      </c>
      <c r="E1984" s="1">
        <v>4223.71</v>
      </c>
      <c r="F1984" s="1" t="s">
        <v>12</v>
      </c>
      <c r="G1984" s="1" t="s">
        <v>12</v>
      </c>
      <c r="H1984" s="1" t="s">
        <v>13</v>
      </c>
      <c r="I1984" s="1" t="s">
        <v>13</v>
      </c>
      <c r="J1984" s="1" t="s">
        <v>20</v>
      </c>
      <c r="K1984" s="1">
        <v>0</v>
      </c>
      <c r="L1984" s="1" t="s">
        <v>21</v>
      </c>
      <c r="M1984" s="1" t="str">
        <f t="shared" si="30"/>
        <v>Consistent</v>
      </c>
      <c r="N1984" s="1" t="str">
        <f>_xlfn.XLOOKUP(H1984, risk_score!A:A, risk_score!B:B, 0)</f>
        <v>Low Risk</v>
      </c>
    </row>
    <row r="1985" spans="1:14">
      <c r="A1985" s="2">
        <v>0.49118055555555556</v>
      </c>
      <c r="B1985" s="3">
        <v>44841</v>
      </c>
      <c r="C1985" s="1">
        <v>6500267083</v>
      </c>
      <c r="D1985" s="1">
        <v>5466123934</v>
      </c>
      <c r="E1985" s="1">
        <v>8146.38</v>
      </c>
      <c r="F1985" s="1" t="s">
        <v>12</v>
      </c>
      <c r="G1985" s="1" t="s">
        <v>12</v>
      </c>
      <c r="H1985" s="1" t="s">
        <v>13</v>
      </c>
      <c r="I1985" s="1" t="s">
        <v>13</v>
      </c>
      <c r="J1985" s="1" t="s">
        <v>22</v>
      </c>
      <c r="K1985" s="1">
        <v>0</v>
      </c>
      <c r="L1985" s="1" t="s">
        <v>23</v>
      </c>
      <c r="M1985" s="1" t="str">
        <f t="shared" si="30"/>
        <v>Consistent</v>
      </c>
      <c r="N1985" s="1" t="str">
        <f>_xlfn.XLOOKUP(H1985, risk_score!A:A, risk_score!B:B, 0)</f>
        <v>Low Risk</v>
      </c>
    </row>
    <row r="1986" spans="1:14">
      <c r="A1986" s="2">
        <v>0.49123842592592593</v>
      </c>
      <c r="B1986" s="3">
        <v>44841</v>
      </c>
      <c r="C1986" s="1">
        <v>7604402185</v>
      </c>
      <c r="D1986" s="1">
        <v>1146683640</v>
      </c>
      <c r="E1986" s="1">
        <v>4581.51</v>
      </c>
      <c r="F1986" s="1" t="s">
        <v>12</v>
      </c>
      <c r="G1986" s="1" t="s">
        <v>12</v>
      </c>
      <c r="H1986" s="1" t="s">
        <v>13</v>
      </c>
      <c r="I1986" s="1" t="s">
        <v>13</v>
      </c>
      <c r="J1986" s="1" t="s">
        <v>20</v>
      </c>
      <c r="K1986" s="1">
        <v>0</v>
      </c>
      <c r="L1986" s="1" t="s">
        <v>21</v>
      </c>
      <c r="M1986" s="1" t="str">
        <f t="shared" si="30"/>
        <v>Consistent</v>
      </c>
      <c r="N1986" s="1" t="str">
        <f>_xlfn.XLOOKUP(H1986, risk_score!A:A, risk_score!B:B, 0)</f>
        <v>Low Risk</v>
      </c>
    </row>
    <row r="1987" spans="1:14">
      <c r="A1987" s="2">
        <v>0.49126157407407406</v>
      </c>
      <c r="B1987" s="3">
        <v>44841</v>
      </c>
      <c r="C1987" s="1">
        <v>1921988708</v>
      </c>
      <c r="D1987" s="1">
        <v>674947283</v>
      </c>
      <c r="E1987" s="1">
        <v>211.95</v>
      </c>
      <c r="F1987" s="1" t="s">
        <v>12</v>
      </c>
      <c r="G1987" s="1" t="s">
        <v>12</v>
      </c>
      <c r="H1987" s="1" t="s">
        <v>13</v>
      </c>
      <c r="I1987" s="1" t="s">
        <v>13</v>
      </c>
      <c r="J1987" s="1" t="s">
        <v>27</v>
      </c>
      <c r="K1987" s="1">
        <v>0</v>
      </c>
      <c r="L1987" s="1" t="s">
        <v>21</v>
      </c>
      <c r="M1987" s="1" t="str">
        <f t="shared" ref="M1987:M2050" si="31">IF(F1987=G1987, "Consistent", "Potential Layering")</f>
        <v>Consistent</v>
      </c>
      <c r="N1987" s="1" t="str">
        <f>_xlfn.XLOOKUP(H1987, risk_score!A:A, risk_score!B:B, 0)</f>
        <v>Low Risk</v>
      </c>
    </row>
    <row r="1988" spans="1:14">
      <c r="A1988" s="2">
        <v>0.49127314814814815</v>
      </c>
      <c r="B1988" s="3">
        <v>44841</v>
      </c>
      <c r="C1988" s="1">
        <v>9334364016</v>
      </c>
      <c r="D1988" s="1">
        <v>7892884492</v>
      </c>
      <c r="E1988" s="1">
        <v>5255.05</v>
      </c>
      <c r="F1988" s="1" t="s">
        <v>12</v>
      </c>
      <c r="G1988" s="1" t="s">
        <v>32</v>
      </c>
      <c r="H1988" s="1" t="s">
        <v>13</v>
      </c>
      <c r="I1988" s="1" t="s">
        <v>33</v>
      </c>
      <c r="J1988" s="1" t="s">
        <v>18</v>
      </c>
      <c r="K1988" s="1">
        <v>0</v>
      </c>
      <c r="L1988" s="1" t="s">
        <v>23</v>
      </c>
      <c r="M1988" s="1" t="str">
        <f t="shared" si="31"/>
        <v>Potential Layering</v>
      </c>
      <c r="N1988" s="1" t="str">
        <f>_xlfn.XLOOKUP(H1988, risk_score!A:A, risk_score!B:B, 0)</f>
        <v>Low Risk</v>
      </c>
    </row>
    <row r="1989" spans="1:14">
      <c r="A1989" s="2">
        <v>0.49127314814814815</v>
      </c>
      <c r="B1989" s="3">
        <v>44841</v>
      </c>
      <c r="C1989" s="1">
        <v>5782689214</v>
      </c>
      <c r="D1989" s="1">
        <v>3920418641</v>
      </c>
      <c r="E1989" s="1">
        <v>7982.67</v>
      </c>
      <c r="F1989" s="1" t="s">
        <v>12</v>
      </c>
      <c r="G1989" s="1" t="s">
        <v>12</v>
      </c>
      <c r="H1989" s="1" t="s">
        <v>13</v>
      </c>
      <c r="I1989" s="1" t="s">
        <v>13</v>
      </c>
      <c r="J1989" s="1" t="s">
        <v>25</v>
      </c>
      <c r="K1989" s="1">
        <v>0</v>
      </c>
      <c r="L1989" s="1" t="s">
        <v>24</v>
      </c>
      <c r="M1989" s="1" t="str">
        <f t="shared" si="31"/>
        <v>Consistent</v>
      </c>
      <c r="N1989" s="1" t="str">
        <f>_xlfn.XLOOKUP(H1989, risk_score!A:A, risk_score!B:B, 0)</f>
        <v>Low Risk</v>
      </c>
    </row>
    <row r="1990" spans="1:14">
      <c r="A1990" s="2">
        <v>0.49135416666666665</v>
      </c>
      <c r="B1990" s="3">
        <v>44841</v>
      </c>
      <c r="C1990" s="1">
        <v>8024706554</v>
      </c>
      <c r="D1990" s="1">
        <v>4058692509</v>
      </c>
      <c r="E1990" s="1">
        <v>4181.09</v>
      </c>
      <c r="F1990" s="1" t="s">
        <v>12</v>
      </c>
      <c r="G1990" s="1" t="s">
        <v>12</v>
      </c>
      <c r="H1990" s="1" t="s">
        <v>13</v>
      </c>
      <c r="I1990" s="1" t="s">
        <v>13</v>
      </c>
      <c r="J1990" s="1" t="s">
        <v>14</v>
      </c>
      <c r="K1990" s="1">
        <v>0</v>
      </c>
      <c r="L1990" s="1" t="s">
        <v>15</v>
      </c>
      <c r="M1990" s="1" t="str">
        <f t="shared" si="31"/>
        <v>Consistent</v>
      </c>
      <c r="N1990" s="1" t="str">
        <f>_xlfn.XLOOKUP(H1990, risk_score!A:A, risk_score!B:B, 0)</f>
        <v>Low Risk</v>
      </c>
    </row>
    <row r="1991" spans="1:14">
      <c r="A1991" s="2">
        <v>0.49136574074074074</v>
      </c>
      <c r="B1991" s="3">
        <v>44841</v>
      </c>
      <c r="C1991" s="1">
        <v>6344889589</v>
      </c>
      <c r="D1991" s="1">
        <v>4534846021</v>
      </c>
      <c r="E1991" s="1">
        <v>961.37</v>
      </c>
      <c r="F1991" s="1" t="s">
        <v>12</v>
      </c>
      <c r="G1991" s="1" t="s">
        <v>12</v>
      </c>
      <c r="H1991" s="1" t="s">
        <v>13</v>
      </c>
      <c r="I1991" s="1" t="s">
        <v>13</v>
      </c>
      <c r="J1991" s="1" t="s">
        <v>22</v>
      </c>
      <c r="K1991" s="1">
        <v>0</v>
      </c>
      <c r="L1991" s="1" t="s">
        <v>21</v>
      </c>
      <c r="M1991" s="1" t="str">
        <f t="shared" si="31"/>
        <v>Consistent</v>
      </c>
      <c r="N1991" s="1" t="str">
        <f>_xlfn.XLOOKUP(H1991, risk_score!A:A, risk_score!B:B, 0)</f>
        <v>Low Risk</v>
      </c>
    </row>
    <row r="1992" spans="1:14">
      <c r="A1992" s="2">
        <v>0.49146990740740742</v>
      </c>
      <c r="B1992" s="3">
        <v>44841</v>
      </c>
      <c r="C1992" s="1">
        <v>3149859158</v>
      </c>
      <c r="D1992" s="1">
        <v>8197196579</v>
      </c>
      <c r="E1992" s="1">
        <v>4993.7</v>
      </c>
      <c r="F1992" s="1" t="s">
        <v>29</v>
      </c>
      <c r="G1992" s="1" t="s">
        <v>12</v>
      </c>
      <c r="H1992" s="1" t="s">
        <v>31</v>
      </c>
      <c r="I1992" s="1" t="s">
        <v>13</v>
      </c>
      <c r="J1992" s="1" t="s">
        <v>18</v>
      </c>
      <c r="K1992" s="1">
        <v>0</v>
      </c>
      <c r="L1992" s="1" t="s">
        <v>41</v>
      </c>
      <c r="M1992" s="1" t="str">
        <f t="shared" si="31"/>
        <v>Potential Layering</v>
      </c>
      <c r="N1992" s="1" t="str">
        <f>_xlfn.XLOOKUP(H1992, risk_score!A:A, risk_score!B:B, 0)</f>
        <v>Low Risk</v>
      </c>
    </row>
    <row r="1993" spans="1:14">
      <c r="A1993" s="2">
        <v>0.49148148148148146</v>
      </c>
      <c r="B1993" s="3">
        <v>44841</v>
      </c>
      <c r="C1993" s="1">
        <v>8445674500</v>
      </c>
      <c r="D1993" s="1">
        <v>5414847986</v>
      </c>
      <c r="E1993" s="1">
        <v>23567.06</v>
      </c>
      <c r="F1993" s="1" t="s">
        <v>12</v>
      </c>
      <c r="G1993" s="1" t="s">
        <v>12</v>
      </c>
      <c r="H1993" s="1" t="s">
        <v>13</v>
      </c>
      <c r="I1993" s="1" t="s">
        <v>13</v>
      </c>
      <c r="J1993" s="1" t="s">
        <v>20</v>
      </c>
      <c r="K1993" s="1">
        <v>0</v>
      </c>
      <c r="L1993" s="1" t="s">
        <v>21</v>
      </c>
      <c r="M1993" s="1" t="str">
        <f t="shared" si="31"/>
        <v>Consistent</v>
      </c>
      <c r="N1993" s="1" t="str">
        <f>_xlfn.XLOOKUP(H1993, risk_score!A:A, risk_score!B:B, 0)</f>
        <v>Low Risk</v>
      </c>
    </row>
    <row r="1994" spans="1:14">
      <c r="A1994" s="2">
        <v>0.49149305555555556</v>
      </c>
      <c r="B1994" s="3">
        <v>44841</v>
      </c>
      <c r="C1994" s="1">
        <v>7669236826</v>
      </c>
      <c r="D1994" s="1">
        <v>4294761058</v>
      </c>
      <c r="E1994" s="1">
        <v>7413.01</v>
      </c>
      <c r="F1994" s="1" t="s">
        <v>12</v>
      </c>
      <c r="G1994" s="1" t="s">
        <v>29</v>
      </c>
      <c r="H1994" s="1" t="s">
        <v>13</v>
      </c>
      <c r="I1994" s="1" t="s">
        <v>54</v>
      </c>
      <c r="J1994" s="1" t="s">
        <v>18</v>
      </c>
      <c r="K1994" s="1">
        <v>0</v>
      </c>
      <c r="L1994" s="1" t="s">
        <v>19</v>
      </c>
      <c r="M1994" s="1" t="str">
        <f t="shared" si="31"/>
        <v>Potential Layering</v>
      </c>
      <c r="N1994" s="1" t="str">
        <f>_xlfn.XLOOKUP(H1994, risk_score!A:A, risk_score!B:B, 0)</f>
        <v>Low Risk</v>
      </c>
    </row>
    <row r="1995" spans="1:14">
      <c r="A1995" s="2">
        <v>0.49149305555555556</v>
      </c>
      <c r="B1995" s="3">
        <v>44841</v>
      </c>
      <c r="C1995" s="1">
        <v>2797271466</v>
      </c>
      <c r="D1995" s="1">
        <v>9982628328</v>
      </c>
      <c r="E1995" s="1">
        <v>7244.33</v>
      </c>
      <c r="F1995" s="1" t="s">
        <v>12</v>
      </c>
      <c r="G1995" s="1" t="s">
        <v>12</v>
      </c>
      <c r="H1995" s="1" t="s">
        <v>13</v>
      </c>
      <c r="I1995" s="1" t="s">
        <v>13</v>
      </c>
      <c r="J1995" s="1" t="s">
        <v>20</v>
      </c>
      <c r="K1995" s="1">
        <v>0</v>
      </c>
      <c r="L1995" s="1" t="s">
        <v>19</v>
      </c>
      <c r="M1995" s="1" t="str">
        <f t="shared" si="31"/>
        <v>Consistent</v>
      </c>
      <c r="N1995" s="1" t="str">
        <f>_xlfn.XLOOKUP(H1995, risk_score!A:A, risk_score!B:B, 0)</f>
        <v>Low Risk</v>
      </c>
    </row>
    <row r="1996" spans="1:14">
      <c r="A1996" s="2">
        <v>0.49153935185185182</v>
      </c>
      <c r="B1996" s="3">
        <v>44841</v>
      </c>
      <c r="C1996" s="1">
        <v>9452975673</v>
      </c>
      <c r="D1996" s="1">
        <v>6784947771</v>
      </c>
      <c r="E1996" s="1">
        <v>1638.64</v>
      </c>
      <c r="F1996" s="1" t="s">
        <v>12</v>
      </c>
      <c r="G1996" s="1" t="s">
        <v>12</v>
      </c>
      <c r="H1996" s="1" t="s">
        <v>13</v>
      </c>
      <c r="I1996" s="1" t="s">
        <v>13</v>
      </c>
      <c r="J1996" s="1" t="s">
        <v>25</v>
      </c>
      <c r="K1996" s="1">
        <v>0</v>
      </c>
      <c r="L1996" s="1" t="s">
        <v>21</v>
      </c>
      <c r="M1996" s="1" t="str">
        <f t="shared" si="31"/>
        <v>Consistent</v>
      </c>
      <c r="N1996" s="1" t="str">
        <f>_xlfn.XLOOKUP(H1996, risk_score!A:A, risk_score!B:B, 0)</f>
        <v>Low Risk</v>
      </c>
    </row>
    <row r="1997" spans="1:14">
      <c r="A1997" s="2">
        <v>0.49158564814814815</v>
      </c>
      <c r="B1997" s="3">
        <v>44841</v>
      </c>
      <c r="C1997" s="1">
        <v>5046753153</v>
      </c>
      <c r="D1997" s="1">
        <v>7329051342</v>
      </c>
      <c r="E1997" s="1">
        <v>1142.33</v>
      </c>
      <c r="F1997" s="1" t="s">
        <v>12</v>
      </c>
      <c r="G1997" s="1" t="s">
        <v>12</v>
      </c>
      <c r="H1997" s="1" t="s">
        <v>13</v>
      </c>
      <c r="I1997" s="1" t="s">
        <v>13</v>
      </c>
      <c r="J1997" s="1" t="s">
        <v>25</v>
      </c>
      <c r="K1997" s="1">
        <v>0</v>
      </c>
      <c r="L1997" s="1" t="s">
        <v>21</v>
      </c>
      <c r="M1997" s="1" t="str">
        <f t="shared" si="31"/>
        <v>Consistent</v>
      </c>
      <c r="N1997" s="1" t="str">
        <f>_xlfn.XLOOKUP(H1997, risk_score!A:A, risk_score!B:B, 0)</f>
        <v>Low Risk</v>
      </c>
    </row>
    <row r="1998" spans="1:14">
      <c r="A1998" s="2">
        <v>0.49159722222222224</v>
      </c>
      <c r="B1998" s="3">
        <v>44841</v>
      </c>
      <c r="C1998" s="1">
        <v>4763305803</v>
      </c>
      <c r="D1998" s="1">
        <v>8172080174</v>
      </c>
      <c r="E1998" s="1">
        <v>7603.67</v>
      </c>
      <c r="F1998" s="1" t="s">
        <v>12</v>
      </c>
      <c r="G1998" s="1" t="s">
        <v>12</v>
      </c>
      <c r="H1998" s="1" t="s">
        <v>13</v>
      </c>
      <c r="I1998" s="1" t="s">
        <v>13</v>
      </c>
      <c r="J1998" s="1" t="s">
        <v>20</v>
      </c>
      <c r="K1998" s="1">
        <v>0</v>
      </c>
      <c r="L1998" s="1" t="s">
        <v>23</v>
      </c>
      <c r="M1998" s="1" t="str">
        <f t="shared" si="31"/>
        <v>Consistent</v>
      </c>
      <c r="N1998" s="1" t="str">
        <f>_xlfn.XLOOKUP(H1998, risk_score!A:A, risk_score!B:B, 0)</f>
        <v>Low Risk</v>
      </c>
    </row>
    <row r="1999" spans="1:14">
      <c r="A1999" s="2">
        <v>0.49162037037037037</v>
      </c>
      <c r="B1999" s="3">
        <v>44841</v>
      </c>
      <c r="C1999" s="1">
        <v>1915450576</v>
      </c>
      <c r="D1999" s="1">
        <v>7468510228</v>
      </c>
      <c r="E1999" s="1">
        <v>5249.68</v>
      </c>
      <c r="F1999" s="1" t="s">
        <v>12</v>
      </c>
      <c r="G1999" s="1" t="s">
        <v>12</v>
      </c>
      <c r="H1999" s="1" t="s">
        <v>13</v>
      </c>
      <c r="I1999" s="1" t="s">
        <v>13</v>
      </c>
      <c r="J1999" s="1" t="s">
        <v>25</v>
      </c>
      <c r="K1999" s="1">
        <v>0</v>
      </c>
      <c r="L1999" s="1" t="s">
        <v>19</v>
      </c>
      <c r="M1999" s="1" t="str">
        <f t="shared" si="31"/>
        <v>Consistent</v>
      </c>
      <c r="N1999" s="1" t="str">
        <f>_xlfn.XLOOKUP(H1999, risk_score!A:A, risk_score!B:B, 0)</f>
        <v>Low Risk</v>
      </c>
    </row>
    <row r="2000" spans="1:14">
      <c r="A2000" s="2">
        <v>0.49163194444444447</v>
      </c>
      <c r="B2000" s="3">
        <v>44841</v>
      </c>
      <c r="C2000" s="1">
        <v>3864603006</v>
      </c>
      <c r="D2000" s="1">
        <v>5858369125</v>
      </c>
      <c r="E2000" s="1">
        <v>20031.810000000001</v>
      </c>
      <c r="F2000" s="1" t="s">
        <v>12</v>
      </c>
      <c r="G2000" s="1" t="s">
        <v>12</v>
      </c>
      <c r="H2000" s="1" t="s">
        <v>13</v>
      </c>
      <c r="I2000" s="1" t="s">
        <v>13</v>
      </c>
      <c r="J2000" s="1" t="s">
        <v>20</v>
      </c>
      <c r="K2000" s="1">
        <v>0</v>
      </c>
      <c r="L2000" s="1" t="s">
        <v>23</v>
      </c>
      <c r="M2000" s="1" t="str">
        <f t="shared" si="31"/>
        <v>Consistent</v>
      </c>
      <c r="N2000" s="1" t="str">
        <f>_xlfn.XLOOKUP(H2000, risk_score!A:A, risk_score!B:B, 0)</f>
        <v>Low Risk</v>
      </c>
    </row>
    <row r="2001" spans="1:14">
      <c r="A2001" s="2">
        <v>0.49163194444444447</v>
      </c>
      <c r="B2001" s="3">
        <v>44841</v>
      </c>
      <c r="C2001" s="1">
        <v>2797271466</v>
      </c>
      <c r="D2001" s="1">
        <v>8149040968</v>
      </c>
      <c r="E2001" s="1">
        <v>13047.52</v>
      </c>
      <c r="F2001" s="1" t="s">
        <v>12</v>
      </c>
      <c r="G2001" s="1" t="s">
        <v>12</v>
      </c>
      <c r="H2001" s="1" t="s">
        <v>13</v>
      </c>
      <c r="I2001" s="1" t="s">
        <v>13</v>
      </c>
      <c r="J2001" s="1" t="s">
        <v>27</v>
      </c>
      <c r="K2001" s="1">
        <v>0</v>
      </c>
      <c r="L2001" s="1" t="s">
        <v>19</v>
      </c>
      <c r="M2001" s="1" t="str">
        <f t="shared" si="31"/>
        <v>Consistent</v>
      </c>
      <c r="N2001" s="1" t="str">
        <f>_xlfn.XLOOKUP(H2001, risk_score!A:A, risk_score!B:B, 0)</f>
        <v>Low Risk</v>
      </c>
    </row>
    <row r="2002" spans="1:14">
      <c r="A2002" s="2">
        <v>0.4916550925925926</v>
      </c>
      <c r="B2002" s="3">
        <v>44841</v>
      </c>
      <c r="C2002" s="1">
        <v>2005193114</v>
      </c>
      <c r="D2002" s="1">
        <v>6380248033</v>
      </c>
      <c r="E2002" s="1">
        <v>5721.98</v>
      </c>
      <c r="F2002" s="1" t="s">
        <v>12</v>
      </c>
      <c r="G2002" s="1" t="s">
        <v>12</v>
      </c>
      <c r="H2002" s="1" t="s">
        <v>13</v>
      </c>
      <c r="I2002" s="1" t="s">
        <v>13</v>
      </c>
      <c r="J2002" s="1" t="s">
        <v>14</v>
      </c>
      <c r="K2002" s="1">
        <v>0</v>
      </c>
      <c r="L2002" s="1" t="s">
        <v>15</v>
      </c>
      <c r="M2002" s="1" t="str">
        <f t="shared" si="31"/>
        <v>Consistent</v>
      </c>
      <c r="N2002" s="1" t="str">
        <f>_xlfn.XLOOKUP(H2002, risk_score!A:A, risk_score!B:B, 0)</f>
        <v>Low Risk</v>
      </c>
    </row>
    <row r="2003" spans="1:14">
      <c r="A2003" s="2">
        <v>0.49168981481481483</v>
      </c>
      <c r="B2003" s="3">
        <v>44841</v>
      </c>
      <c r="C2003" s="1">
        <v>7501327339</v>
      </c>
      <c r="D2003" s="1">
        <v>2477870427</v>
      </c>
      <c r="E2003" s="1">
        <v>5351.27</v>
      </c>
      <c r="F2003" s="1" t="s">
        <v>12</v>
      </c>
      <c r="G2003" s="1" t="s">
        <v>12</v>
      </c>
      <c r="H2003" s="1" t="s">
        <v>13</v>
      </c>
      <c r="I2003" s="1" t="s">
        <v>13</v>
      </c>
      <c r="J2003" s="1" t="s">
        <v>27</v>
      </c>
      <c r="K2003" s="1">
        <v>0</v>
      </c>
      <c r="L2003" s="1" t="s">
        <v>19</v>
      </c>
      <c r="M2003" s="1" t="str">
        <f t="shared" si="31"/>
        <v>Consistent</v>
      </c>
      <c r="N2003" s="1" t="str">
        <f>_xlfn.XLOOKUP(H2003, risk_score!A:A, risk_score!B:B, 0)</f>
        <v>Low Risk</v>
      </c>
    </row>
    <row r="2004" spans="1:14">
      <c r="A2004" s="2">
        <v>0.4917361111111111</v>
      </c>
      <c r="B2004" s="3">
        <v>44841</v>
      </c>
      <c r="C2004" s="1">
        <v>5620553631</v>
      </c>
      <c r="D2004" s="1">
        <v>6206008488</v>
      </c>
      <c r="E2004" s="1">
        <v>981.46</v>
      </c>
      <c r="F2004" s="1" t="s">
        <v>12</v>
      </c>
      <c r="G2004" s="1" t="s">
        <v>12</v>
      </c>
      <c r="H2004" s="1" t="s">
        <v>13</v>
      </c>
      <c r="I2004" s="1" t="s">
        <v>13</v>
      </c>
      <c r="J2004" s="1" t="s">
        <v>27</v>
      </c>
      <c r="K2004" s="1">
        <v>0</v>
      </c>
      <c r="L2004" s="1" t="s">
        <v>21</v>
      </c>
      <c r="M2004" s="1" t="str">
        <f t="shared" si="31"/>
        <v>Consistent</v>
      </c>
      <c r="N2004" s="1" t="str">
        <f>_xlfn.XLOOKUP(H2004, risk_score!A:A, risk_score!B:B, 0)</f>
        <v>Low Risk</v>
      </c>
    </row>
    <row r="2005" spans="1:14">
      <c r="A2005" s="2">
        <v>0.49175925925925928</v>
      </c>
      <c r="B2005" s="3">
        <v>44841</v>
      </c>
      <c r="C2005" s="1">
        <v>2164762018</v>
      </c>
      <c r="D2005" s="1">
        <v>929155364</v>
      </c>
      <c r="E2005" s="1">
        <v>11238.31</v>
      </c>
      <c r="F2005" s="1" t="s">
        <v>12</v>
      </c>
      <c r="G2005" s="1" t="s">
        <v>12</v>
      </c>
      <c r="H2005" s="1" t="s">
        <v>13</v>
      </c>
      <c r="I2005" s="1" t="s">
        <v>13</v>
      </c>
      <c r="J2005" s="1" t="s">
        <v>20</v>
      </c>
      <c r="K2005" s="1">
        <v>0</v>
      </c>
      <c r="L2005" s="1" t="s">
        <v>49</v>
      </c>
      <c r="M2005" s="1" t="str">
        <f t="shared" si="31"/>
        <v>Consistent</v>
      </c>
      <c r="N2005" s="1" t="str">
        <f>_xlfn.XLOOKUP(H2005, risk_score!A:A, risk_score!B:B, 0)</f>
        <v>Low Risk</v>
      </c>
    </row>
    <row r="2006" spans="1:14">
      <c r="A2006" s="2">
        <v>0.49179398148148146</v>
      </c>
      <c r="B2006" s="3">
        <v>44841</v>
      </c>
      <c r="C2006" s="1">
        <v>9378497536</v>
      </c>
      <c r="D2006" s="1">
        <v>3672968281</v>
      </c>
      <c r="E2006" s="1">
        <v>468.3</v>
      </c>
      <c r="F2006" s="1" t="s">
        <v>12</v>
      </c>
      <c r="G2006" s="1" t="s">
        <v>12</v>
      </c>
      <c r="H2006" s="1" t="s">
        <v>13</v>
      </c>
      <c r="I2006" s="1" t="s">
        <v>13</v>
      </c>
      <c r="J2006" s="1" t="s">
        <v>27</v>
      </c>
      <c r="K2006" s="1">
        <v>0</v>
      </c>
      <c r="L2006" s="1" t="s">
        <v>21</v>
      </c>
      <c r="M2006" s="1" t="str">
        <f t="shared" si="31"/>
        <v>Consistent</v>
      </c>
      <c r="N2006" s="1" t="str">
        <f>_xlfn.XLOOKUP(H2006, risk_score!A:A, risk_score!B:B, 0)</f>
        <v>Low Risk</v>
      </c>
    </row>
    <row r="2007" spans="1:14">
      <c r="A2007" s="2">
        <v>0.49180555555555555</v>
      </c>
      <c r="B2007" s="3">
        <v>44841</v>
      </c>
      <c r="C2007" s="1">
        <v>4636697243</v>
      </c>
      <c r="D2007" s="1">
        <v>6169582894</v>
      </c>
      <c r="E2007" s="1">
        <v>713.23</v>
      </c>
      <c r="F2007" s="1" t="s">
        <v>12</v>
      </c>
      <c r="G2007" s="1" t="s">
        <v>12</v>
      </c>
      <c r="H2007" s="1" t="s">
        <v>13</v>
      </c>
      <c r="I2007" s="1" t="s">
        <v>13</v>
      </c>
      <c r="J2007" s="1" t="s">
        <v>27</v>
      </c>
      <c r="K2007" s="1">
        <v>0</v>
      </c>
      <c r="L2007" s="1" t="s">
        <v>21</v>
      </c>
      <c r="M2007" s="1" t="str">
        <f t="shared" si="31"/>
        <v>Consistent</v>
      </c>
      <c r="N2007" s="1" t="str">
        <f>_xlfn.XLOOKUP(H2007, risk_score!A:A, risk_score!B:B, 0)</f>
        <v>Low Risk</v>
      </c>
    </row>
    <row r="2008" spans="1:14">
      <c r="A2008" s="2">
        <v>0.49181712962962965</v>
      </c>
      <c r="B2008" s="3">
        <v>44841</v>
      </c>
      <c r="C2008" s="1">
        <v>8944803275</v>
      </c>
      <c r="D2008" s="1">
        <v>3109531441</v>
      </c>
      <c r="E2008" s="1">
        <v>1529.25</v>
      </c>
      <c r="F2008" s="1" t="s">
        <v>12</v>
      </c>
      <c r="G2008" s="1" t="s">
        <v>12</v>
      </c>
      <c r="H2008" s="1" t="s">
        <v>13</v>
      </c>
      <c r="I2008" s="1" t="s">
        <v>13</v>
      </c>
      <c r="J2008" s="1" t="s">
        <v>25</v>
      </c>
      <c r="K2008" s="1">
        <v>0</v>
      </c>
      <c r="L2008" s="1" t="s">
        <v>24</v>
      </c>
      <c r="M2008" s="1" t="str">
        <f t="shared" si="31"/>
        <v>Consistent</v>
      </c>
      <c r="N2008" s="1" t="str">
        <f>_xlfn.XLOOKUP(H2008, risk_score!A:A, risk_score!B:B, 0)</f>
        <v>Low Risk</v>
      </c>
    </row>
    <row r="2009" spans="1:14">
      <c r="A2009" s="2">
        <v>0.49184027777777778</v>
      </c>
      <c r="B2009" s="3">
        <v>44841</v>
      </c>
      <c r="C2009" s="1">
        <v>1528959749</v>
      </c>
      <c r="D2009" s="1">
        <v>5647129035</v>
      </c>
      <c r="E2009" s="1">
        <v>5520.63</v>
      </c>
      <c r="F2009" s="1" t="s">
        <v>12</v>
      </c>
      <c r="G2009" s="1" t="s">
        <v>12</v>
      </c>
      <c r="H2009" s="1" t="s">
        <v>13</v>
      </c>
      <c r="I2009" s="1" t="s">
        <v>13</v>
      </c>
      <c r="J2009" s="1" t="s">
        <v>22</v>
      </c>
      <c r="K2009" s="1">
        <v>0</v>
      </c>
      <c r="L2009" s="1" t="s">
        <v>21</v>
      </c>
      <c r="M2009" s="1" t="str">
        <f t="shared" si="31"/>
        <v>Consistent</v>
      </c>
      <c r="N2009" s="1" t="str">
        <f>_xlfn.XLOOKUP(H2009, risk_score!A:A, risk_score!B:B, 0)</f>
        <v>Low Risk</v>
      </c>
    </row>
    <row r="2010" spans="1:14">
      <c r="A2010" s="2">
        <v>0.49186342592592591</v>
      </c>
      <c r="B2010" s="3">
        <v>44841</v>
      </c>
      <c r="C2010" s="1">
        <v>430404376</v>
      </c>
      <c r="D2010" s="1">
        <v>1431561040</v>
      </c>
      <c r="E2010" s="1">
        <v>5180.18</v>
      </c>
      <c r="F2010" s="1" t="s">
        <v>12</v>
      </c>
      <c r="G2010" s="1" t="s">
        <v>12</v>
      </c>
      <c r="H2010" s="1" t="s">
        <v>13</v>
      </c>
      <c r="I2010" s="1" t="s">
        <v>13</v>
      </c>
      <c r="J2010" s="1" t="s">
        <v>27</v>
      </c>
      <c r="K2010" s="1">
        <v>0</v>
      </c>
      <c r="L2010" s="1" t="s">
        <v>23</v>
      </c>
      <c r="M2010" s="1" t="str">
        <f t="shared" si="31"/>
        <v>Consistent</v>
      </c>
      <c r="N2010" s="1" t="str">
        <f>_xlfn.XLOOKUP(H2010, risk_score!A:A, risk_score!B:B, 0)</f>
        <v>Low Risk</v>
      </c>
    </row>
    <row r="2011" spans="1:14">
      <c r="A2011" s="2">
        <v>0.49186342592592591</v>
      </c>
      <c r="B2011" s="3">
        <v>44841</v>
      </c>
      <c r="C2011" s="1">
        <v>6156834944</v>
      </c>
      <c r="D2011" s="1">
        <v>8678802420</v>
      </c>
      <c r="E2011" s="1">
        <v>21471.52</v>
      </c>
      <c r="F2011" s="1" t="s">
        <v>12</v>
      </c>
      <c r="G2011" s="1" t="s">
        <v>12</v>
      </c>
      <c r="H2011" s="1" t="s">
        <v>13</v>
      </c>
      <c r="I2011" s="1" t="s">
        <v>13</v>
      </c>
      <c r="J2011" s="1" t="s">
        <v>25</v>
      </c>
      <c r="K2011" s="1">
        <v>0</v>
      </c>
      <c r="L2011" s="1" t="s">
        <v>23</v>
      </c>
      <c r="M2011" s="1" t="str">
        <f t="shared" si="31"/>
        <v>Consistent</v>
      </c>
      <c r="N2011" s="1" t="str">
        <f>_xlfn.XLOOKUP(H2011, risk_score!A:A, risk_score!B:B, 0)</f>
        <v>Low Risk</v>
      </c>
    </row>
    <row r="2012" spans="1:14">
      <c r="A2012" s="2">
        <v>0.49187500000000001</v>
      </c>
      <c r="B2012" s="3">
        <v>44841</v>
      </c>
      <c r="C2012" s="1">
        <v>1304411851</v>
      </c>
      <c r="D2012" s="1">
        <v>5708936901</v>
      </c>
      <c r="E2012" s="1">
        <v>10589.87</v>
      </c>
      <c r="F2012" s="1" t="s">
        <v>12</v>
      </c>
      <c r="G2012" s="1" t="s">
        <v>12</v>
      </c>
      <c r="H2012" s="1" t="s">
        <v>13</v>
      </c>
      <c r="I2012" s="1" t="s">
        <v>13</v>
      </c>
      <c r="J2012" s="1" t="s">
        <v>25</v>
      </c>
      <c r="K2012" s="1">
        <v>0</v>
      </c>
      <c r="L2012" s="1" t="s">
        <v>23</v>
      </c>
      <c r="M2012" s="1" t="str">
        <f t="shared" si="31"/>
        <v>Consistent</v>
      </c>
      <c r="N2012" s="1" t="str">
        <f>_xlfn.XLOOKUP(H2012, risk_score!A:A, risk_score!B:B, 0)</f>
        <v>Low Risk</v>
      </c>
    </row>
    <row r="2013" spans="1:14">
      <c r="A2013" s="2">
        <v>0.49193287037037037</v>
      </c>
      <c r="B2013" s="3">
        <v>44841</v>
      </c>
      <c r="C2013" s="1">
        <v>2797271466</v>
      </c>
      <c r="D2013" s="1">
        <v>1492744665</v>
      </c>
      <c r="E2013" s="1">
        <v>5865.05</v>
      </c>
      <c r="F2013" s="1" t="s">
        <v>12</v>
      </c>
      <c r="G2013" s="1" t="s">
        <v>12</v>
      </c>
      <c r="H2013" s="1" t="s">
        <v>13</v>
      </c>
      <c r="I2013" s="1" t="s">
        <v>13</v>
      </c>
      <c r="J2013" s="1" t="s">
        <v>20</v>
      </c>
      <c r="K2013" s="1">
        <v>0</v>
      </c>
      <c r="L2013" s="1" t="s">
        <v>19</v>
      </c>
      <c r="M2013" s="1" t="str">
        <f t="shared" si="31"/>
        <v>Consistent</v>
      </c>
      <c r="N2013" s="1" t="str">
        <f>_xlfn.XLOOKUP(H2013, risk_score!A:A, risk_score!B:B, 0)</f>
        <v>Low Risk</v>
      </c>
    </row>
    <row r="2014" spans="1:14">
      <c r="A2014" s="2">
        <v>0.49193287037037037</v>
      </c>
      <c r="B2014" s="3">
        <v>44841</v>
      </c>
      <c r="C2014" s="1">
        <v>850156764</v>
      </c>
      <c r="D2014" s="1">
        <v>7698046407</v>
      </c>
      <c r="E2014" s="1">
        <v>9477.67</v>
      </c>
      <c r="F2014" s="1" t="s">
        <v>12</v>
      </c>
      <c r="G2014" s="1" t="s">
        <v>12</v>
      </c>
      <c r="H2014" s="1" t="s">
        <v>13</v>
      </c>
      <c r="I2014" s="1" t="s">
        <v>13</v>
      </c>
      <c r="J2014" s="1" t="s">
        <v>20</v>
      </c>
      <c r="K2014" s="1">
        <v>0</v>
      </c>
      <c r="L2014" s="1" t="s">
        <v>24</v>
      </c>
      <c r="M2014" s="1" t="str">
        <f t="shared" si="31"/>
        <v>Consistent</v>
      </c>
      <c r="N2014" s="1" t="str">
        <f>_xlfn.XLOOKUP(H2014, risk_score!A:A, risk_score!B:B, 0)</f>
        <v>Low Risk</v>
      </c>
    </row>
    <row r="2015" spans="1:14">
      <c r="A2015" s="2">
        <v>0.49197916666666669</v>
      </c>
      <c r="B2015" s="3">
        <v>44841</v>
      </c>
      <c r="C2015" s="1">
        <v>4721051060</v>
      </c>
      <c r="D2015" s="1">
        <v>21609978</v>
      </c>
      <c r="E2015" s="1">
        <v>3179.44</v>
      </c>
      <c r="F2015" s="1" t="s">
        <v>34</v>
      </c>
      <c r="G2015" s="1" t="s">
        <v>12</v>
      </c>
      <c r="H2015" s="1" t="s">
        <v>35</v>
      </c>
      <c r="I2015" s="1" t="s">
        <v>13</v>
      </c>
      <c r="J2015" s="1" t="s">
        <v>18</v>
      </c>
      <c r="K2015" s="1">
        <v>0</v>
      </c>
      <c r="L2015" s="1" t="s">
        <v>58</v>
      </c>
      <c r="M2015" s="1" t="str">
        <f t="shared" si="31"/>
        <v>Potential Layering</v>
      </c>
      <c r="N2015" s="1" t="str">
        <f>_xlfn.XLOOKUP(H2015, risk_score!A:A, risk_score!B:B, 0)</f>
        <v>High Risk</v>
      </c>
    </row>
    <row r="2016" spans="1:14">
      <c r="A2016" s="2">
        <v>0.49199074074074073</v>
      </c>
      <c r="B2016" s="3">
        <v>44841</v>
      </c>
      <c r="C2016" s="1">
        <v>16683594</v>
      </c>
      <c r="D2016" s="1">
        <v>2335890577</v>
      </c>
      <c r="E2016" s="1">
        <v>380.29</v>
      </c>
      <c r="F2016" s="1" t="s">
        <v>12</v>
      </c>
      <c r="G2016" s="1" t="s">
        <v>12</v>
      </c>
      <c r="H2016" s="1" t="s">
        <v>13</v>
      </c>
      <c r="I2016" s="1" t="s">
        <v>13</v>
      </c>
      <c r="J2016" s="1" t="s">
        <v>25</v>
      </c>
      <c r="K2016" s="1">
        <v>0</v>
      </c>
      <c r="L2016" s="1" t="s">
        <v>21</v>
      </c>
      <c r="M2016" s="1" t="str">
        <f t="shared" si="31"/>
        <v>Consistent</v>
      </c>
      <c r="N2016" s="1" t="str">
        <f>_xlfn.XLOOKUP(H2016, risk_score!A:A, risk_score!B:B, 0)</f>
        <v>Low Risk</v>
      </c>
    </row>
    <row r="2017" spans="1:14">
      <c r="A2017" s="2">
        <v>0.49199074074074073</v>
      </c>
      <c r="B2017" s="3">
        <v>44841</v>
      </c>
      <c r="C2017" s="1">
        <v>8952177221</v>
      </c>
      <c r="D2017" s="1">
        <v>5585080337</v>
      </c>
      <c r="E2017" s="1">
        <v>10525.06</v>
      </c>
      <c r="F2017" s="1" t="s">
        <v>12</v>
      </c>
      <c r="G2017" s="1" t="s">
        <v>12</v>
      </c>
      <c r="H2017" s="1" t="s">
        <v>13</v>
      </c>
      <c r="I2017" s="1" t="s">
        <v>13</v>
      </c>
      <c r="J2017" s="1" t="s">
        <v>25</v>
      </c>
      <c r="K2017" s="1">
        <v>0</v>
      </c>
      <c r="L2017" s="1" t="s">
        <v>19</v>
      </c>
      <c r="M2017" s="1" t="str">
        <f t="shared" si="31"/>
        <v>Consistent</v>
      </c>
      <c r="N2017" s="1" t="str">
        <f>_xlfn.XLOOKUP(H2017, risk_score!A:A, risk_score!B:B, 0)</f>
        <v>Low Risk</v>
      </c>
    </row>
    <row r="2018" spans="1:14">
      <c r="A2018" s="2">
        <v>0.49200231481481482</v>
      </c>
      <c r="B2018" s="3">
        <v>44841</v>
      </c>
      <c r="C2018" s="1">
        <v>5689107026</v>
      </c>
      <c r="D2018" s="1">
        <v>2982728741</v>
      </c>
      <c r="E2018" s="1">
        <v>990.51</v>
      </c>
      <c r="F2018" s="1" t="s">
        <v>12</v>
      </c>
      <c r="G2018" s="1" t="s">
        <v>12</v>
      </c>
      <c r="H2018" s="1" t="s">
        <v>13</v>
      </c>
      <c r="I2018" s="1" t="s">
        <v>13</v>
      </c>
      <c r="J2018" s="1" t="s">
        <v>20</v>
      </c>
      <c r="K2018" s="1">
        <v>0</v>
      </c>
      <c r="L2018" s="1" t="s">
        <v>21</v>
      </c>
      <c r="M2018" s="1" t="str">
        <f t="shared" si="31"/>
        <v>Consistent</v>
      </c>
      <c r="N2018" s="1" t="str">
        <f>_xlfn.XLOOKUP(H2018, risk_score!A:A, risk_score!B:B, 0)</f>
        <v>Low Risk</v>
      </c>
    </row>
    <row r="2019" spans="1:14">
      <c r="A2019" s="2">
        <v>0.49201388888888886</v>
      </c>
      <c r="B2019" s="3">
        <v>44841</v>
      </c>
      <c r="C2019" s="1">
        <v>9130788762</v>
      </c>
      <c r="D2019" s="1">
        <v>6877462260</v>
      </c>
      <c r="E2019" s="1">
        <v>9965.7099999999991</v>
      </c>
      <c r="F2019" s="1" t="s">
        <v>12</v>
      </c>
      <c r="G2019" s="1" t="s">
        <v>12</v>
      </c>
      <c r="H2019" s="1" t="s">
        <v>13</v>
      </c>
      <c r="I2019" s="1" t="s">
        <v>13</v>
      </c>
      <c r="J2019" s="1" t="s">
        <v>27</v>
      </c>
      <c r="K2019" s="1">
        <v>0</v>
      </c>
      <c r="L2019" s="1" t="s">
        <v>21</v>
      </c>
      <c r="M2019" s="1" t="str">
        <f t="shared" si="31"/>
        <v>Consistent</v>
      </c>
      <c r="N2019" s="1" t="str">
        <f>_xlfn.XLOOKUP(H2019, risk_score!A:A, risk_score!B:B, 0)</f>
        <v>Low Risk</v>
      </c>
    </row>
    <row r="2020" spans="1:14">
      <c r="A2020" s="2">
        <v>0.49206018518518518</v>
      </c>
      <c r="B2020" s="3">
        <v>44841</v>
      </c>
      <c r="C2020" s="1">
        <v>4121839534</v>
      </c>
      <c r="D2020" s="1">
        <v>7136353359</v>
      </c>
      <c r="E2020" s="1">
        <v>322.52</v>
      </c>
      <c r="F2020" s="1" t="s">
        <v>12</v>
      </c>
      <c r="G2020" s="1" t="s">
        <v>12</v>
      </c>
      <c r="H2020" s="1" t="s">
        <v>13</v>
      </c>
      <c r="I2020" s="1" t="s">
        <v>13</v>
      </c>
      <c r="J2020" s="1" t="s">
        <v>27</v>
      </c>
      <c r="K2020" s="1">
        <v>0</v>
      </c>
      <c r="L2020" s="1" t="s">
        <v>21</v>
      </c>
      <c r="M2020" s="1" t="str">
        <f t="shared" si="31"/>
        <v>Consistent</v>
      </c>
      <c r="N2020" s="1" t="str">
        <f>_xlfn.XLOOKUP(H2020, risk_score!A:A, risk_score!B:B, 0)</f>
        <v>Low Risk</v>
      </c>
    </row>
    <row r="2021" spans="1:14">
      <c r="A2021" s="2">
        <v>0.49207175925925928</v>
      </c>
      <c r="B2021" s="3">
        <v>44841</v>
      </c>
      <c r="C2021" s="1">
        <v>1363208571</v>
      </c>
      <c r="D2021" s="1">
        <v>3501389272</v>
      </c>
      <c r="E2021" s="1">
        <v>12328.22</v>
      </c>
      <c r="F2021" s="1" t="s">
        <v>12</v>
      </c>
      <c r="G2021" s="1" t="s">
        <v>12</v>
      </c>
      <c r="H2021" s="1" t="s">
        <v>13</v>
      </c>
      <c r="I2021" s="1" t="s">
        <v>13</v>
      </c>
      <c r="J2021" s="1" t="s">
        <v>25</v>
      </c>
      <c r="K2021" s="1">
        <v>0</v>
      </c>
      <c r="L2021" s="1" t="s">
        <v>49</v>
      </c>
      <c r="M2021" s="1" t="str">
        <f t="shared" si="31"/>
        <v>Consistent</v>
      </c>
      <c r="N2021" s="1" t="str">
        <f>_xlfn.XLOOKUP(H2021, risk_score!A:A, risk_score!B:B, 0)</f>
        <v>Low Risk</v>
      </c>
    </row>
    <row r="2022" spans="1:14">
      <c r="A2022" s="2">
        <v>0.49214120370370368</v>
      </c>
      <c r="B2022" s="3">
        <v>44841</v>
      </c>
      <c r="C2022" s="1">
        <v>7739209803</v>
      </c>
      <c r="D2022" s="1">
        <v>9855851897</v>
      </c>
      <c r="E2022" s="1">
        <v>1019.79</v>
      </c>
      <c r="F2022" s="1" t="s">
        <v>12</v>
      </c>
      <c r="G2022" s="1" t="s">
        <v>12</v>
      </c>
      <c r="H2022" s="1" t="s">
        <v>13</v>
      </c>
      <c r="I2022" s="1" t="s">
        <v>13</v>
      </c>
      <c r="J2022" s="1" t="s">
        <v>20</v>
      </c>
      <c r="K2022" s="1">
        <v>0</v>
      </c>
      <c r="L2022" s="1" t="s">
        <v>21</v>
      </c>
      <c r="M2022" s="1" t="str">
        <f t="shared" si="31"/>
        <v>Consistent</v>
      </c>
      <c r="N2022" s="1" t="str">
        <f>_xlfn.XLOOKUP(H2022, risk_score!A:A, risk_score!B:B, 0)</f>
        <v>Low Risk</v>
      </c>
    </row>
    <row r="2023" spans="1:14">
      <c r="A2023" s="2">
        <v>0.49214120370370368</v>
      </c>
      <c r="B2023" s="3">
        <v>44841</v>
      </c>
      <c r="C2023" s="1">
        <v>486741379</v>
      </c>
      <c r="D2023" s="1">
        <v>5408804160</v>
      </c>
      <c r="E2023" s="1">
        <v>343.57</v>
      </c>
      <c r="F2023" s="1" t="s">
        <v>12</v>
      </c>
      <c r="G2023" s="1" t="s">
        <v>12</v>
      </c>
      <c r="H2023" s="1" t="s">
        <v>13</v>
      </c>
      <c r="I2023" s="1" t="s">
        <v>13</v>
      </c>
      <c r="J2023" s="1" t="s">
        <v>14</v>
      </c>
      <c r="K2023" s="1">
        <v>0</v>
      </c>
      <c r="L2023" s="1" t="s">
        <v>15</v>
      </c>
      <c r="M2023" s="1" t="str">
        <f t="shared" si="31"/>
        <v>Consistent</v>
      </c>
      <c r="N2023" s="1" t="str">
        <f>_xlfn.XLOOKUP(H2023, risk_score!A:A, risk_score!B:B, 0)</f>
        <v>Low Risk</v>
      </c>
    </row>
    <row r="2024" spans="1:14">
      <c r="A2024" s="2">
        <v>0.49214120370370368</v>
      </c>
      <c r="B2024" s="3">
        <v>44841</v>
      </c>
      <c r="C2024" s="1">
        <v>5875691050</v>
      </c>
      <c r="D2024" s="1">
        <v>3993745089</v>
      </c>
      <c r="E2024" s="1">
        <v>2317.9</v>
      </c>
      <c r="F2024" s="1" t="s">
        <v>12</v>
      </c>
      <c r="G2024" s="1" t="s">
        <v>12</v>
      </c>
      <c r="H2024" s="1" t="s">
        <v>13</v>
      </c>
      <c r="I2024" s="1" t="s">
        <v>13</v>
      </c>
      <c r="J2024" s="1" t="s">
        <v>22</v>
      </c>
      <c r="K2024" s="1">
        <v>0</v>
      </c>
      <c r="L2024" s="1" t="s">
        <v>21</v>
      </c>
      <c r="M2024" s="1" t="str">
        <f t="shared" si="31"/>
        <v>Consistent</v>
      </c>
      <c r="N2024" s="1" t="str">
        <f>_xlfn.XLOOKUP(H2024, risk_score!A:A, risk_score!B:B, 0)</f>
        <v>Low Risk</v>
      </c>
    </row>
    <row r="2025" spans="1:14">
      <c r="A2025" s="2">
        <v>0.49221064814814813</v>
      </c>
      <c r="B2025" s="3">
        <v>44841</v>
      </c>
      <c r="C2025" s="1">
        <v>3262760251</v>
      </c>
      <c r="D2025" s="1">
        <v>3695545812</v>
      </c>
      <c r="E2025" s="1">
        <v>20871.66</v>
      </c>
      <c r="F2025" s="1" t="s">
        <v>12</v>
      </c>
      <c r="G2025" s="1" t="s">
        <v>12</v>
      </c>
      <c r="H2025" s="1" t="s">
        <v>13</v>
      </c>
      <c r="I2025" s="1" t="s">
        <v>13</v>
      </c>
      <c r="J2025" s="1" t="s">
        <v>25</v>
      </c>
      <c r="K2025" s="1">
        <v>0</v>
      </c>
      <c r="L2025" s="1" t="s">
        <v>23</v>
      </c>
      <c r="M2025" s="1" t="str">
        <f t="shared" si="31"/>
        <v>Consistent</v>
      </c>
      <c r="N2025" s="1" t="str">
        <f>_xlfn.XLOOKUP(H2025, risk_score!A:A, risk_score!B:B, 0)</f>
        <v>Low Risk</v>
      </c>
    </row>
    <row r="2026" spans="1:14">
      <c r="A2026" s="2">
        <v>0.49225694444444446</v>
      </c>
      <c r="B2026" s="3">
        <v>44841</v>
      </c>
      <c r="C2026" s="1">
        <v>1613060776</v>
      </c>
      <c r="D2026" s="1">
        <v>7080357663</v>
      </c>
      <c r="E2026" s="1">
        <v>7525.98</v>
      </c>
      <c r="F2026" s="1" t="s">
        <v>12</v>
      </c>
      <c r="G2026" s="1" t="s">
        <v>12</v>
      </c>
      <c r="H2026" s="1" t="s">
        <v>13</v>
      </c>
      <c r="I2026" s="1" t="s">
        <v>13</v>
      </c>
      <c r="J2026" s="1" t="s">
        <v>25</v>
      </c>
      <c r="K2026" s="1">
        <v>0</v>
      </c>
      <c r="L2026" s="1" t="s">
        <v>23</v>
      </c>
      <c r="M2026" s="1" t="str">
        <f t="shared" si="31"/>
        <v>Consistent</v>
      </c>
      <c r="N2026" s="1" t="str">
        <f>_xlfn.XLOOKUP(H2026, risk_score!A:A, risk_score!B:B, 0)</f>
        <v>Low Risk</v>
      </c>
    </row>
    <row r="2027" spans="1:14">
      <c r="A2027" s="2">
        <v>0.49226851851851849</v>
      </c>
      <c r="B2027" s="3">
        <v>44841</v>
      </c>
      <c r="C2027" s="1">
        <v>8944096499</v>
      </c>
      <c r="D2027" s="1">
        <v>8406802105</v>
      </c>
      <c r="E2027" s="1">
        <v>153.72999999999999</v>
      </c>
      <c r="F2027" s="1" t="s">
        <v>12</v>
      </c>
      <c r="G2027" s="1" t="s">
        <v>12</v>
      </c>
      <c r="H2027" s="1" t="s">
        <v>13</v>
      </c>
      <c r="I2027" s="1" t="s">
        <v>13</v>
      </c>
      <c r="J2027" s="1" t="s">
        <v>25</v>
      </c>
      <c r="K2027" s="1">
        <v>0</v>
      </c>
      <c r="L2027" s="1" t="s">
        <v>21</v>
      </c>
      <c r="M2027" s="1" t="str">
        <f t="shared" si="31"/>
        <v>Consistent</v>
      </c>
      <c r="N2027" s="1" t="str">
        <f>_xlfn.XLOOKUP(H2027, risk_score!A:A, risk_score!B:B, 0)</f>
        <v>Low Risk</v>
      </c>
    </row>
    <row r="2028" spans="1:14">
      <c r="A2028" s="2">
        <v>0.49230324074074072</v>
      </c>
      <c r="B2028" s="3">
        <v>44841</v>
      </c>
      <c r="C2028" s="1">
        <v>8744994327</v>
      </c>
      <c r="D2028" s="1">
        <v>9083467473</v>
      </c>
      <c r="E2028" s="1">
        <v>3953.82</v>
      </c>
      <c r="F2028" s="1" t="s">
        <v>12</v>
      </c>
      <c r="G2028" s="1" t="s">
        <v>12</v>
      </c>
      <c r="H2028" s="1" t="s">
        <v>13</v>
      </c>
      <c r="I2028" s="1" t="s">
        <v>13</v>
      </c>
      <c r="J2028" s="1" t="s">
        <v>20</v>
      </c>
      <c r="K2028" s="1">
        <v>0</v>
      </c>
      <c r="L2028" s="1" t="s">
        <v>24</v>
      </c>
      <c r="M2028" s="1" t="str">
        <f t="shared" si="31"/>
        <v>Consistent</v>
      </c>
      <c r="N2028" s="1" t="str">
        <f>_xlfn.XLOOKUP(H2028, risk_score!A:A, risk_score!B:B, 0)</f>
        <v>Low Risk</v>
      </c>
    </row>
    <row r="2029" spans="1:14">
      <c r="A2029" s="2">
        <v>0.49231481481481482</v>
      </c>
      <c r="B2029" s="3">
        <v>44841</v>
      </c>
      <c r="C2029" s="1">
        <v>7758268667</v>
      </c>
      <c r="D2029" s="1">
        <v>1709703404</v>
      </c>
      <c r="E2029" s="1">
        <v>5558.93</v>
      </c>
      <c r="F2029" s="1" t="s">
        <v>12</v>
      </c>
      <c r="G2029" s="1" t="s">
        <v>12</v>
      </c>
      <c r="H2029" s="1" t="s">
        <v>13</v>
      </c>
      <c r="I2029" s="1" t="s">
        <v>13</v>
      </c>
      <c r="J2029" s="1" t="s">
        <v>27</v>
      </c>
      <c r="K2029" s="1">
        <v>0</v>
      </c>
      <c r="L2029" s="1" t="s">
        <v>19</v>
      </c>
      <c r="M2029" s="1" t="str">
        <f t="shared" si="31"/>
        <v>Consistent</v>
      </c>
      <c r="N2029" s="1" t="str">
        <f>_xlfn.XLOOKUP(H2029, risk_score!A:A, risk_score!B:B, 0)</f>
        <v>Low Risk</v>
      </c>
    </row>
    <row r="2030" spans="1:14">
      <c r="A2030" s="2">
        <v>0.49233796296296295</v>
      </c>
      <c r="B2030" s="3">
        <v>44841</v>
      </c>
      <c r="C2030" s="1">
        <v>432088669</v>
      </c>
      <c r="D2030" s="1">
        <v>8726142351</v>
      </c>
      <c r="E2030" s="1">
        <v>1442.97</v>
      </c>
      <c r="F2030" s="1" t="s">
        <v>12</v>
      </c>
      <c r="G2030" s="1" t="s">
        <v>12</v>
      </c>
      <c r="H2030" s="1" t="s">
        <v>13</v>
      </c>
      <c r="I2030" s="1" t="s">
        <v>13</v>
      </c>
      <c r="J2030" s="1" t="s">
        <v>27</v>
      </c>
      <c r="K2030" s="1">
        <v>0</v>
      </c>
      <c r="L2030" s="1" t="s">
        <v>21</v>
      </c>
      <c r="M2030" s="1" t="str">
        <f t="shared" si="31"/>
        <v>Consistent</v>
      </c>
      <c r="N2030" s="1" t="str">
        <f>_xlfn.XLOOKUP(H2030, risk_score!A:A, risk_score!B:B, 0)</f>
        <v>Low Risk</v>
      </c>
    </row>
    <row r="2031" spans="1:14">
      <c r="A2031" s="2">
        <v>0.49236111111111114</v>
      </c>
      <c r="B2031" s="3">
        <v>44841</v>
      </c>
      <c r="C2031" s="1">
        <v>8678080711</v>
      </c>
      <c r="D2031" s="1">
        <v>3695545812</v>
      </c>
      <c r="E2031" s="1">
        <v>8678.2999999999993</v>
      </c>
      <c r="F2031" s="1" t="s">
        <v>12</v>
      </c>
      <c r="G2031" s="1" t="s">
        <v>12</v>
      </c>
      <c r="H2031" s="1" t="s">
        <v>13</v>
      </c>
      <c r="I2031" s="1" t="s">
        <v>13</v>
      </c>
      <c r="J2031" s="1" t="s">
        <v>25</v>
      </c>
      <c r="K2031" s="1">
        <v>0</v>
      </c>
      <c r="L2031" s="1" t="s">
        <v>23</v>
      </c>
      <c r="M2031" s="1" t="str">
        <f t="shared" si="31"/>
        <v>Consistent</v>
      </c>
      <c r="N2031" s="1" t="str">
        <f>_xlfn.XLOOKUP(H2031, risk_score!A:A, risk_score!B:B, 0)</f>
        <v>Low Risk</v>
      </c>
    </row>
    <row r="2032" spans="1:14">
      <c r="A2032" s="2">
        <v>0.49237268518518518</v>
      </c>
      <c r="B2032" s="3">
        <v>44841</v>
      </c>
      <c r="C2032" s="1">
        <v>190346689</v>
      </c>
      <c r="D2032" s="1">
        <v>5103043844</v>
      </c>
      <c r="E2032" s="1">
        <v>6457.15</v>
      </c>
      <c r="F2032" s="1" t="s">
        <v>12</v>
      </c>
      <c r="G2032" s="1" t="s">
        <v>44</v>
      </c>
      <c r="H2032" s="1" t="s">
        <v>13</v>
      </c>
      <c r="I2032" s="1" t="s">
        <v>45</v>
      </c>
      <c r="J2032" s="1" t="s">
        <v>18</v>
      </c>
      <c r="K2032" s="1">
        <v>0</v>
      </c>
      <c r="L2032" s="1" t="s">
        <v>23</v>
      </c>
      <c r="M2032" s="1" t="str">
        <f t="shared" si="31"/>
        <v>Potential Layering</v>
      </c>
      <c r="N2032" s="1" t="str">
        <f>_xlfn.XLOOKUP(H2032, risk_score!A:A, risk_score!B:B, 0)</f>
        <v>Low Risk</v>
      </c>
    </row>
    <row r="2033" spans="1:14">
      <c r="A2033" s="2">
        <v>0.49237268518518518</v>
      </c>
      <c r="B2033" s="3">
        <v>44841</v>
      </c>
      <c r="C2033" s="1">
        <v>9879209114</v>
      </c>
      <c r="D2033" s="1">
        <v>4803642115</v>
      </c>
      <c r="E2033" s="1">
        <v>2351.85</v>
      </c>
      <c r="F2033" s="1" t="s">
        <v>12</v>
      </c>
      <c r="G2033" s="1" t="s">
        <v>12</v>
      </c>
      <c r="H2033" s="1" t="s">
        <v>13</v>
      </c>
      <c r="I2033" s="1" t="s">
        <v>13</v>
      </c>
      <c r="J2033" s="1" t="s">
        <v>22</v>
      </c>
      <c r="K2033" s="1">
        <v>0</v>
      </c>
      <c r="L2033" s="1" t="s">
        <v>24</v>
      </c>
      <c r="M2033" s="1" t="str">
        <f t="shared" si="31"/>
        <v>Consistent</v>
      </c>
      <c r="N2033" s="1" t="str">
        <f>_xlfn.XLOOKUP(H2033, risk_score!A:A, risk_score!B:B, 0)</f>
        <v>Low Risk</v>
      </c>
    </row>
    <row r="2034" spans="1:14">
      <c r="A2034" s="2">
        <v>0.49239583333333331</v>
      </c>
      <c r="B2034" s="3">
        <v>44841</v>
      </c>
      <c r="C2034" s="1">
        <v>3614082527</v>
      </c>
      <c r="D2034" s="1">
        <v>219930770</v>
      </c>
      <c r="E2034" s="1">
        <v>13191.09</v>
      </c>
      <c r="F2034" s="1" t="s">
        <v>12</v>
      </c>
      <c r="G2034" s="1" t="s">
        <v>12</v>
      </c>
      <c r="H2034" s="1" t="s">
        <v>13</v>
      </c>
      <c r="I2034" s="1" t="s">
        <v>13</v>
      </c>
      <c r="J2034" s="1" t="s">
        <v>27</v>
      </c>
      <c r="K2034" s="1">
        <v>0</v>
      </c>
      <c r="L2034" s="1" t="s">
        <v>19</v>
      </c>
      <c r="M2034" s="1" t="str">
        <f t="shared" si="31"/>
        <v>Consistent</v>
      </c>
      <c r="N2034" s="1" t="str">
        <f>_xlfn.XLOOKUP(H2034, risk_score!A:A, risk_score!B:B, 0)</f>
        <v>Low Risk</v>
      </c>
    </row>
    <row r="2035" spans="1:14">
      <c r="A2035" s="2">
        <v>0.49244212962962963</v>
      </c>
      <c r="B2035" s="3">
        <v>44841</v>
      </c>
      <c r="C2035" s="1">
        <v>5982914936</v>
      </c>
      <c r="D2035" s="1">
        <v>7629589738</v>
      </c>
      <c r="E2035" s="1">
        <v>5669.79</v>
      </c>
      <c r="F2035" s="1" t="s">
        <v>12</v>
      </c>
      <c r="G2035" s="1" t="s">
        <v>12</v>
      </c>
      <c r="H2035" s="1" t="s">
        <v>13</v>
      </c>
      <c r="I2035" s="1" t="s">
        <v>13</v>
      </c>
      <c r="J2035" s="1" t="s">
        <v>20</v>
      </c>
      <c r="K2035" s="1">
        <v>0</v>
      </c>
      <c r="L2035" s="1" t="s">
        <v>19</v>
      </c>
      <c r="M2035" s="1" t="str">
        <f t="shared" si="31"/>
        <v>Consistent</v>
      </c>
      <c r="N2035" s="1" t="str">
        <f>_xlfn.XLOOKUP(H2035, risk_score!A:A, risk_score!B:B, 0)</f>
        <v>Low Risk</v>
      </c>
    </row>
    <row r="2036" spans="1:14">
      <c r="A2036" s="2">
        <v>0.49247685185185186</v>
      </c>
      <c r="B2036" s="3">
        <v>44841</v>
      </c>
      <c r="C2036" s="1">
        <v>5686413449</v>
      </c>
      <c r="D2036" s="1">
        <v>2146272152</v>
      </c>
      <c r="E2036" s="1">
        <v>1016.77</v>
      </c>
      <c r="F2036" s="1" t="s">
        <v>12</v>
      </c>
      <c r="G2036" s="1" t="s">
        <v>12</v>
      </c>
      <c r="H2036" s="1" t="s">
        <v>13</v>
      </c>
      <c r="I2036" s="1" t="s">
        <v>13</v>
      </c>
      <c r="J2036" s="1" t="s">
        <v>14</v>
      </c>
      <c r="K2036" s="1">
        <v>0</v>
      </c>
      <c r="L2036" s="1" t="s">
        <v>15</v>
      </c>
      <c r="M2036" s="1" t="str">
        <f t="shared" si="31"/>
        <v>Consistent</v>
      </c>
      <c r="N2036" s="1" t="str">
        <f>_xlfn.XLOOKUP(H2036, risk_score!A:A, risk_score!B:B, 0)</f>
        <v>Low Risk</v>
      </c>
    </row>
    <row r="2037" spans="1:14">
      <c r="A2037" s="2">
        <v>0.49247685185185186</v>
      </c>
      <c r="B2037" s="3">
        <v>44841</v>
      </c>
      <c r="C2037" s="1">
        <v>1311086092</v>
      </c>
      <c r="D2037" s="1">
        <v>8130251611</v>
      </c>
      <c r="E2037" s="1">
        <v>2905.21</v>
      </c>
      <c r="F2037" s="1" t="s">
        <v>12</v>
      </c>
      <c r="G2037" s="1" t="s">
        <v>12</v>
      </c>
      <c r="H2037" s="1" t="s">
        <v>13</v>
      </c>
      <c r="I2037" s="1" t="s">
        <v>13</v>
      </c>
      <c r="J2037" s="1" t="s">
        <v>27</v>
      </c>
      <c r="K2037" s="1">
        <v>0</v>
      </c>
      <c r="L2037" s="1" t="s">
        <v>21</v>
      </c>
      <c r="M2037" s="1" t="str">
        <f t="shared" si="31"/>
        <v>Consistent</v>
      </c>
      <c r="N2037" s="1" t="str">
        <f>_xlfn.XLOOKUP(H2037, risk_score!A:A, risk_score!B:B, 0)</f>
        <v>Low Risk</v>
      </c>
    </row>
    <row r="2038" spans="1:14">
      <c r="A2038" s="2">
        <v>0.49249999999999999</v>
      </c>
      <c r="B2038" s="3">
        <v>44841</v>
      </c>
      <c r="C2038" s="1">
        <v>5805289983</v>
      </c>
      <c r="D2038" s="1">
        <v>4270865741</v>
      </c>
      <c r="E2038" s="1">
        <v>5815.28</v>
      </c>
      <c r="F2038" s="1" t="s">
        <v>12</v>
      </c>
      <c r="G2038" s="1" t="s">
        <v>12</v>
      </c>
      <c r="H2038" s="1" t="s">
        <v>13</v>
      </c>
      <c r="I2038" s="1" t="s">
        <v>13</v>
      </c>
      <c r="J2038" s="1" t="s">
        <v>20</v>
      </c>
      <c r="K2038" s="1">
        <v>0</v>
      </c>
      <c r="L2038" s="1" t="s">
        <v>23</v>
      </c>
      <c r="M2038" s="1" t="str">
        <f t="shared" si="31"/>
        <v>Consistent</v>
      </c>
      <c r="N2038" s="1" t="str">
        <f>_xlfn.XLOOKUP(H2038, risk_score!A:A, risk_score!B:B, 0)</f>
        <v>Low Risk</v>
      </c>
    </row>
    <row r="2039" spans="1:14">
      <c r="A2039" s="2">
        <v>0.49252314814814813</v>
      </c>
      <c r="B2039" s="3">
        <v>44841</v>
      </c>
      <c r="C2039" s="1">
        <v>5706877708</v>
      </c>
      <c r="D2039" s="1">
        <v>7892884492</v>
      </c>
      <c r="E2039" s="1">
        <v>9277.6200000000008</v>
      </c>
      <c r="F2039" s="1" t="s">
        <v>12</v>
      </c>
      <c r="G2039" s="1" t="s">
        <v>32</v>
      </c>
      <c r="H2039" s="1" t="s">
        <v>13</v>
      </c>
      <c r="I2039" s="1" t="s">
        <v>33</v>
      </c>
      <c r="J2039" s="1" t="s">
        <v>18</v>
      </c>
      <c r="K2039" s="1">
        <v>0</v>
      </c>
      <c r="L2039" s="1" t="s">
        <v>23</v>
      </c>
      <c r="M2039" s="1" t="str">
        <f t="shared" si="31"/>
        <v>Potential Layering</v>
      </c>
      <c r="N2039" s="1" t="str">
        <f>_xlfn.XLOOKUP(H2039, risk_score!A:A, risk_score!B:B, 0)</f>
        <v>Low Risk</v>
      </c>
    </row>
    <row r="2040" spans="1:14">
      <c r="A2040" s="2">
        <v>0.49253472222222222</v>
      </c>
      <c r="B2040" s="3">
        <v>44841</v>
      </c>
      <c r="C2040" s="1">
        <v>4448037135</v>
      </c>
      <c r="D2040" s="1">
        <v>1284572401</v>
      </c>
      <c r="E2040" s="1">
        <v>4181.4799999999996</v>
      </c>
      <c r="F2040" s="1" t="s">
        <v>12</v>
      </c>
      <c r="G2040" s="1" t="s">
        <v>12</v>
      </c>
      <c r="H2040" s="1" t="s">
        <v>13</v>
      </c>
      <c r="I2040" s="1" t="s">
        <v>13</v>
      </c>
      <c r="J2040" s="1" t="s">
        <v>27</v>
      </c>
      <c r="K2040" s="1">
        <v>0</v>
      </c>
      <c r="L2040" s="1" t="s">
        <v>21</v>
      </c>
      <c r="M2040" s="1" t="str">
        <f t="shared" si="31"/>
        <v>Consistent</v>
      </c>
      <c r="N2040" s="1" t="str">
        <f>_xlfn.XLOOKUP(H2040, risk_score!A:A, risk_score!B:B, 0)</f>
        <v>Low Risk</v>
      </c>
    </row>
    <row r="2041" spans="1:14">
      <c r="A2041" s="2">
        <v>0.49260416666666668</v>
      </c>
      <c r="B2041" s="3">
        <v>44841</v>
      </c>
      <c r="C2041" s="1">
        <v>1915450576</v>
      </c>
      <c r="D2041" s="1">
        <v>4701651456</v>
      </c>
      <c r="E2041" s="1">
        <v>9219.27</v>
      </c>
      <c r="F2041" s="1" t="s">
        <v>12</v>
      </c>
      <c r="G2041" s="1" t="s">
        <v>12</v>
      </c>
      <c r="H2041" s="1" t="s">
        <v>13</v>
      </c>
      <c r="I2041" s="1" t="s">
        <v>13</v>
      </c>
      <c r="J2041" s="1" t="s">
        <v>27</v>
      </c>
      <c r="K2041" s="1">
        <v>0</v>
      </c>
      <c r="L2041" s="1" t="s">
        <v>19</v>
      </c>
      <c r="M2041" s="1" t="str">
        <f t="shared" si="31"/>
        <v>Consistent</v>
      </c>
      <c r="N2041" s="1" t="str">
        <f>_xlfn.XLOOKUP(H2041, risk_score!A:A, risk_score!B:B, 0)</f>
        <v>Low Risk</v>
      </c>
    </row>
    <row r="2042" spans="1:14">
      <c r="A2042" s="2">
        <v>0.49278935185185185</v>
      </c>
      <c r="B2042" s="3">
        <v>44841</v>
      </c>
      <c r="C2042" s="1">
        <v>4024921053</v>
      </c>
      <c r="D2042" s="1">
        <v>1431561040</v>
      </c>
      <c r="E2042" s="1">
        <v>7017.37</v>
      </c>
      <c r="F2042" s="1" t="s">
        <v>12</v>
      </c>
      <c r="G2042" s="1" t="s">
        <v>12</v>
      </c>
      <c r="H2042" s="1" t="s">
        <v>13</v>
      </c>
      <c r="I2042" s="1" t="s">
        <v>13</v>
      </c>
      <c r="J2042" s="1" t="s">
        <v>22</v>
      </c>
      <c r="K2042" s="1">
        <v>0</v>
      </c>
      <c r="L2042" s="1" t="s">
        <v>23</v>
      </c>
      <c r="M2042" s="1" t="str">
        <f t="shared" si="31"/>
        <v>Consistent</v>
      </c>
      <c r="N2042" s="1" t="str">
        <f>_xlfn.XLOOKUP(H2042, risk_score!A:A, risk_score!B:B, 0)</f>
        <v>Low Risk</v>
      </c>
    </row>
    <row r="2043" spans="1:14">
      <c r="A2043" s="2">
        <v>0.49278935185185185</v>
      </c>
      <c r="B2043" s="3">
        <v>44841</v>
      </c>
      <c r="C2043" s="1">
        <v>2041519241</v>
      </c>
      <c r="D2043" s="1">
        <v>6883168044</v>
      </c>
      <c r="E2043" s="1">
        <v>14972.63</v>
      </c>
      <c r="F2043" s="1" t="s">
        <v>12</v>
      </c>
      <c r="G2043" s="1" t="s">
        <v>12</v>
      </c>
      <c r="H2043" s="1" t="s">
        <v>13</v>
      </c>
      <c r="I2043" s="1" t="s">
        <v>13</v>
      </c>
      <c r="J2043" s="1" t="s">
        <v>22</v>
      </c>
      <c r="K2043" s="1">
        <v>0</v>
      </c>
      <c r="L2043" s="1" t="s">
        <v>21</v>
      </c>
      <c r="M2043" s="1" t="str">
        <f t="shared" si="31"/>
        <v>Consistent</v>
      </c>
      <c r="N2043" s="1" t="str">
        <f>_xlfn.XLOOKUP(H2043, risk_score!A:A, risk_score!B:B, 0)</f>
        <v>Low Risk</v>
      </c>
    </row>
    <row r="2044" spans="1:14">
      <c r="A2044" s="2">
        <v>0.49280092592592595</v>
      </c>
      <c r="B2044" s="3">
        <v>44841</v>
      </c>
      <c r="C2044" s="1">
        <v>5408914736</v>
      </c>
      <c r="D2044" s="1">
        <v>6124803711</v>
      </c>
      <c r="E2044" s="1">
        <v>25.07</v>
      </c>
      <c r="F2044" s="1" t="s">
        <v>12</v>
      </c>
      <c r="G2044" s="1" t="s">
        <v>12</v>
      </c>
      <c r="H2044" s="1" t="s">
        <v>13</v>
      </c>
      <c r="I2044" s="1" t="s">
        <v>13</v>
      </c>
      <c r="J2044" s="1" t="s">
        <v>36</v>
      </c>
      <c r="K2044" s="1">
        <v>0</v>
      </c>
      <c r="L2044" s="1" t="s">
        <v>37</v>
      </c>
      <c r="M2044" s="1" t="str">
        <f t="shared" si="31"/>
        <v>Consistent</v>
      </c>
      <c r="N2044" s="1" t="str">
        <f>_xlfn.XLOOKUP(H2044, risk_score!A:A, risk_score!B:B, 0)</f>
        <v>Low Risk</v>
      </c>
    </row>
    <row r="2045" spans="1:14">
      <c r="A2045" s="2">
        <v>0.49287037037037035</v>
      </c>
      <c r="B2045" s="3">
        <v>44841</v>
      </c>
      <c r="C2045" s="1">
        <v>8887031669</v>
      </c>
      <c r="D2045" s="1">
        <v>1355240562</v>
      </c>
      <c r="E2045" s="1">
        <v>5699.81</v>
      </c>
      <c r="F2045" s="1" t="s">
        <v>12</v>
      </c>
      <c r="G2045" s="1" t="s">
        <v>12</v>
      </c>
      <c r="H2045" s="1" t="s">
        <v>13</v>
      </c>
      <c r="I2045" s="1" t="s">
        <v>13</v>
      </c>
      <c r="J2045" s="1" t="s">
        <v>25</v>
      </c>
      <c r="K2045" s="1">
        <v>0</v>
      </c>
      <c r="L2045" s="1" t="s">
        <v>24</v>
      </c>
      <c r="M2045" s="1" t="str">
        <f t="shared" si="31"/>
        <v>Consistent</v>
      </c>
      <c r="N2045" s="1" t="str">
        <f>_xlfn.XLOOKUP(H2045, risk_score!A:A, risk_score!B:B, 0)</f>
        <v>Low Risk</v>
      </c>
    </row>
    <row r="2046" spans="1:14">
      <c r="A2046" s="2">
        <v>0.49288194444444444</v>
      </c>
      <c r="B2046" s="3">
        <v>44841</v>
      </c>
      <c r="C2046" s="1">
        <v>5345734817</v>
      </c>
      <c r="D2046" s="1">
        <v>4270865741</v>
      </c>
      <c r="E2046" s="1">
        <v>7036.23</v>
      </c>
      <c r="F2046" s="1" t="s">
        <v>12</v>
      </c>
      <c r="G2046" s="1" t="s">
        <v>12</v>
      </c>
      <c r="H2046" s="1" t="s">
        <v>13</v>
      </c>
      <c r="I2046" s="1" t="s">
        <v>13</v>
      </c>
      <c r="J2046" s="1" t="s">
        <v>22</v>
      </c>
      <c r="K2046" s="1">
        <v>0</v>
      </c>
      <c r="L2046" s="1" t="s">
        <v>23</v>
      </c>
      <c r="M2046" s="1" t="str">
        <f t="shared" si="31"/>
        <v>Consistent</v>
      </c>
      <c r="N2046" s="1" t="str">
        <f>_xlfn.XLOOKUP(H2046, risk_score!A:A, risk_score!B:B, 0)</f>
        <v>Low Risk</v>
      </c>
    </row>
    <row r="2047" spans="1:14">
      <c r="A2047" s="2">
        <v>0.49291666666666667</v>
      </c>
      <c r="B2047" s="3">
        <v>44841</v>
      </c>
      <c r="C2047" s="1">
        <v>4307480727</v>
      </c>
      <c r="D2047" s="1">
        <v>8484256404</v>
      </c>
      <c r="E2047" s="1">
        <v>765.96</v>
      </c>
      <c r="F2047" s="1" t="s">
        <v>12</v>
      </c>
      <c r="G2047" s="1" t="s">
        <v>29</v>
      </c>
      <c r="H2047" s="1" t="s">
        <v>13</v>
      </c>
      <c r="I2047" s="1" t="s">
        <v>30</v>
      </c>
      <c r="J2047" s="1" t="s">
        <v>18</v>
      </c>
      <c r="K2047" s="1">
        <v>0</v>
      </c>
      <c r="L2047" s="1" t="s">
        <v>21</v>
      </c>
      <c r="M2047" s="1" t="str">
        <f t="shared" si="31"/>
        <v>Potential Layering</v>
      </c>
      <c r="N2047" s="1" t="str">
        <f>_xlfn.XLOOKUP(H2047, risk_score!A:A, risk_score!B:B, 0)</f>
        <v>Low Risk</v>
      </c>
    </row>
    <row r="2048" spans="1:14">
      <c r="A2048" s="2">
        <v>0.4929398148148148</v>
      </c>
      <c r="B2048" s="3">
        <v>44841</v>
      </c>
      <c r="C2048" s="1">
        <v>9533240429</v>
      </c>
      <c r="D2048" s="1">
        <v>9167626261</v>
      </c>
      <c r="E2048" s="1">
        <v>549.77</v>
      </c>
      <c r="F2048" s="1" t="s">
        <v>12</v>
      </c>
      <c r="G2048" s="1" t="s">
        <v>42</v>
      </c>
      <c r="H2048" s="1" t="s">
        <v>13</v>
      </c>
      <c r="I2048" s="1" t="s">
        <v>43</v>
      </c>
      <c r="J2048" s="1" t="s">
        <v>18</v>
      </c>
      <c r="K2048" s="1">
        <v>0</v>
      </c>
      <c r="L2048" s="1" t="s">
        <v>21</v>
      </c>
      <c r="M2048" s="1" t="str">
        <f t="shared" si="31"/>
        <v>Potential Layering</v>
      </c>
      <c r="N2048" s="1" t="str">
        <f>_xlfn.XLOOKUP(H2048, risk_score!A:A, risk_score!B:B, 0)</f>
        <v>Low Risk</v>
      </c>
    </row>
    <row r="2049" spans="1:14">
      <c r="A2049" s="2">
        <v>0.4929513888888889</v>
      </c>
      <c r="B2049" s="3">
        <v>44841</v>
      </c>
      <c r="C2049" s="1">
        <v>3336234389</v>
      </c>
      <c r="D2049" s="1">
        <v>6953672776</v>
      </c>
      <c r="E2049" s="1">
        <v>7777.73</v>
      </c>
      <c r="F2049" s="1" t="s">
        <v>12</v>
      </c>
      <c r="G2049" s="1" t="s">
        <v>34</v>
      </c>
      <c r="H2049" s="1" t="s">
        <v>13</v>
      </c>
      <c r="I2049" s="1" t="s">
        <v>35</v>
      </c>
      <c r="J2049" s="1" t="s">
        <v>18</v>
      </c>
      <c r="K2049" s="1">
        <v>0</v>
      </c>
      <c r="L2049" s="1" t="s">
        <v>23</v>
      </c>
      <c r="M2049" s="1" t="str">
        <f t="shared" si="31"/>
        <v>Potential Layering</v>
      </c>
      <c r="N2049" s="1" t="str">
        <f>_xlfn.XLOOKUP(H2049, risk_score!A:A, risk_score!B:B, 0)</f>
        <v>Low Risk</v>
      </c>
    </row>
    <row r="2050" spans="1:14">
      <c r="A2050" s="2">
        <v>0.49304398148148149</v>
      </c>
      <c r="B2050" s="3">
        <v>44841</v>
      </c>
      <c r="C2050" s="1">
        <v>1915450576</v>
      </c>
      <c r="D2050" s="1">
        <v>1020934931</v>
      </c>
      <c r="E2050" s="1">
        <v>5215.1499999999996</v>
      </c>
      <c r="F2050" s="1" t="s">
        <v>12</v>
      </c>
      <c r="G2050" s="1" t="s">
        <v>12</v>
      </c>
      <c r="H2050" s="1" t="s">
        <v>13</v>
      </c>
      <c r="I2050" s="1" t="s">
        <v>13</v>
      </c>
      <c r="J2050" s="1" t="s">
        <v>22</v>
      </c>
      <c r="K2050" s="1">
        <v>0</v>
      </c>
      <c r="L2050" s="1" t="s">
        <v>19</v>
      </c>
      <c r="M2050" s="1" t="str">
        <f t="shared" si="31"/>
        <v>Consistent</v>
      </c>
      <c r="N2050" s="1" t="str">
        <f>_xlfn.XLOOKUP(H2050, risk_score!A:A, risk_score!B:B, 0)</f>
        <v>Low Risk</v>
      </c>
    </row>
    <row r="2051" spans="1:14">
      <c r="A2051" s="2">
        <v>0.49309027777777775</v>
      </c>
      <c r="B2051" s="3">
        <v>44841</v>
      </c>
      <c r="C2051" s="1">
        <v>698195245</v>
      </c>
      <c r="D2051" s="1">
        <v>9095581928</v>
      </c>
      <c r="E2051" s="1">
        <v>2863.06</v>
      </c>
      <c r="F2051" s="1" t="s">
        <v>12</v>
      </c>
      <c r="G2051" s="1" t="s">
        <v>12</v>
      </c>
      <c r="H2051" s="1" t="s">
        <v>13</v>
      </c>
      <c r="I2051" s="1" t="s">
        <v>13</v>
      </c>
      <c r="J2051" s="1" t="s">
        <v>14</v>
      </c>
      <c r="K2051" s="1">
        <v>0</v>
      </c>
      <c r="L2051" s="1" t="s">
        <v>15</v>
      </c>
      <c r="M2051" s="1" t="str">
        <f t="shared" ref="M2051:M2114" si="32">IF(F2051=G2051, "Consistent", "Potential Layering")</f>
        <v>Consistent</v>
      </c>
      <c r="N2051" s="1" t="str">
        <f>_xlfn.XLOOKUP(H2051, risk_score!A:A, risk_score!B:B, 0)</f>
        <v>Low Risk</v>
      </c>
    </row>
    <row r="2052" spans="1:14">
      <c r="A2052" s="2">
        <v>0.49314814814814817</v>
      </c>
      <c r="B2052" s="3">
        <v>44841</v>
      </c>
      <c r="C2052" s="1">
        <v>5903327536</v>
      </c>
      <c r="D2052" s="1">
        <v>5049616160</v>
      </c>
      <c r="E2052" s="1">
        <v>3604.33</v>
      </c>
      <c r="F2052" s="1" t="s">
        <v>12</v>
      </c>
      <c r="G2052" s="1" t="s">
        <v>12</v>
      </c>
      <c r="H2052" s="1" t="s">
        <v>13</v>
      </c>
      <c r="I2052" s="1" t="s">
        <v>13</v>
      </c>
      <c r="J2052" s="1" t="s">
        <v>22</v>
      </c>
      <c r="K2052" s="1">
        <v>0</v>
      </c>
      <c r="L2052" s="1" t="s">
        <v>21</v>
      </c>
      <c r="M2052" s="1" t="str">
        <f t="shared" si="32"/>
        <v>Consistent</v>
      </c>
      <c r="N2052" s="1" t="str">
        <f>_xlfn.XLOOKUP(H2052, risk_score!A:A, risk_score!B:B, 0)</f>
        <v>Low Risk</v>
      </c>
    </row>
    <row r="2053" spans="1:14">
      <c r="A2053" s="2">
        <v>0.49314814814814817</v>
      </c>
      <c r="B2053" s="3">
        <v>44841</v>
      </c>
      <c r="C2053" s="1">
        <v>1052526649</v>
      </c>
      <c r="D2053" s="1">
        <v>8139378637</v>
      </c>
      <c r="E2053" s="1">
        <v>2261.42</v>
      </c>
      <c r="F2053" s="1" t="s">
        <v>12</v>
      </c>
      <c r="G2053" s="1" t="s">
        <v>12</v>
      </c>
      <c r="H2053" s="1" t="s">
        <v>13</v>
      </c>
      <c r="I2053" s="1" t="s">
        <v>13</v>
      </c>
      <c r="J2053" s="1" t="s">
        <v>25</v>
      </c>
      <c r="K2053" s="1">
        <v>0</v>
      </c>
      <c r="L2053" s="1" t="s">
        <v>24</v>
      </c>
      <c r="M2053" s="1" t="str">
        <f t="shared" si="32"/>
        <v>Consistent</v>
      </c>
      <c r="N2053" s="1" t="str">
        <f>_xlfn.XLOOKUP(H2053, risk_score!A:A, risk_score!B:B, 0)</f>
        <v>Low Risk</v>
      </c>
    </row>
    <row r="2054" spans="1:14">
      <c r="A2054" s="2">
        <v>0.4931712962962963</v>
      </c>
      <c r="B2054" s="3">
        <v>44841</v>
      </c>
      <c r="C2054" s="1">
        <v>8067385284</v>
      </c>
      <c r="D2054" s="1">
        <v>9504879666</v>
      </c>
      <c r="E2054" s="1">
        <v>200.05</v>
      </c>
      <c r="F2054" s="1" t="s">
        <v>12</v>
      </c>
      <c r="G2054" s="1" t="s">
        <v>12</v>
      </c>
      <c r="H2054" s="1" t="s">
        <v>13</v>
      </c>
      <c r="I2054" s="1" t="s">
        <v>13</v>
      </c>
      <c r="J2054" s="1" t="s">
        <v>36</v>
      </c>
      <c r="K2054" s="1">
        <v>0</v>
      </c>
      <c r="L2054" s="1" t="s">
        <v>37</v>
      </c>
      <c r="M2054" s="1" t="str">
        <f t="shared" si="32"/>
        <v>Consistent</v>
      </c>
      <c r="N2054" s="1" t="str">
        <f>_xlfn.XLOOKUP(H2054, risk_score!A:A, risk_score!B:B, 0)</f>
        <v>Low Risk</v>
      </c>
    </row>
    <row r="2055" spans="1:14">
      <c r="A2055" s="2">
        <v>0.49320601851851853</v>
      </c>
      <c r="B2055" s="3">
        <v>44841</v>
      </c>
      <c r="C2055" s="1">
        <v>5769453146</v>
      </c>
      <c r="D2055" s="1">
        <v>5103379001</v>
      </c>
      <c r="E2055" s="1">
        <v>142.88</v>
      </c>
      <c r="F2055" s="1" t="s">
        <v>12</v>
      </c>
      <c r="G2055" s="1" t="s">
        <v>12</v>
      </c>
      <c r="H2055" s="1" t="s">
        <v>13</v>
      </c>
      <c r="I2055" s="1" t="s">
        <v>13</v>
      </c>
      <c r="J2055" s="1" t="s">
        <v>36</v>
      </c>
      <c r="K2055" s="1">
        <v>0</v>
      </c>
      <c r="L2055" s="1" t="s">
        <v>37</v>
      </c>
      <c r="M2055" s="1" t="str">
        <f t="shared" si="32"/>
        <v>Consistent</v>
      </c>
      <c r="N2055" s="1" t="str">
        <f>_xlfn.XLOOKUP(H2055, risk_score!A:A, risk_score!B:B, 0)</f>
        <v>Low Risk</v>
      </c>
    </row>
    <row r="2056" spans="1:14">
      <c r="A2056" s="2">
        <v>0.49332175925925925</v>
      </c>
      <c r="B2056" s="3">
        <v>44841</v>
      </c>
      <c r="C2056" s="1">
        <v>8365714262</v>
      </c>
      <c r="D2056" s="1">
        <v>5112501104</v>
      </c>
      <c r="E2056" s="1">
        <v>6017.8</v>
      </c>
      <c r="F2056" s="1" t="s">
        <v>12</v>
      </c>
      <c r="G2056" s="1" t="s">
        <v>12</v>
      </c>
      <c r="H2056" s="1" t="s">
        <v>13</v>
      </c>
      <c r="I2056" s="1" t="s">
        <v>13</v>
      </c>
      <c r="J2056" s="1" t="s">
        <v>27</v>
      </c>
      <c r="K2056" s="1">
        <v>0</v>
      </c>
      <c r="L2056" s="1" t="s">
        <v>38</v>
      </c>
      <c r="M2056" s="1" t="str">
        <f t="shared" si="32"/>
        <v>Consistent</v>
      </c>
      <c r="N2056" s="1" t="str">
        <f>_xlfn.XLOOKUP(H2056, risk_score!A:A, risk_score!B:B, 0)</f>
        <v>Low Risk</v>
      </c>
    </row>
    <row r="2057" spans="1:14">
      <c r="A2057" s="2">
        <v>0.49336805555555557</v>
      </c>
      <c r="B2057" s="3">
        <v>44841</v>
      </c>
      <c r="C2057" s="1">
        <v>1446197879</v>
      </c>
      <c r="D2057" s="1">
        <v>6572291504</v>
      </c>
      <c r="E2057" s="1">
        <v>2980.75</v>
      </c>
      <c r="F2057" s="1" t="s">
        <v>12</v>
      </c>
      <c r="G2057" s="1" t="s">
        <v>12</v>
      </c>
      <c r="H2057" s="1" t="s">
        <v>13</v>
      </c>
      <c r="I2057" s="1" t="s">
        <v>13</v>
      </c>
      <c r="J2057" s="1" t="s">
        <v>25</v>
      </c>
      <c r="K2057" s="1">
        <v>0</v>
      </c>
      <c r="L2057" s="1" t="s">
        <v>21</v>
      </c>
      <c r="M2057" s="1" t="str">
        <f t="shared" si="32"/>
        <v>Consistent</v>
      </c>
      <c r="N2057" s="1" t="str">
        <f>_xlfn.XLOOKUP(H2057, risk_score!A:A, risk_score!B:B, 0)</f>
        <v>Low Risk</v>
      </c>
    </row>
    <row r="2058" spans="1:14">
      <c r="A2058" s="2">
        <v>0.49343749999999997</v>
      </c>
      <c r="B2058" s="3">
        <v>44841</v>
      </c>
      <c r="C2058" s="1">
        <v>1378784400</v>
      </c>
      <c r="D2058" s="1">
        <v>8436759372</v>
      </c>
      <c r="E2058" s="1">
        <v>6156.57</v>
      </c>
      <c r="F2058" s="1" t="s">
        <v>12</v>
      </c>
      <c r="G2058" s="1" t="s">
        <v>12</v>
      </c>
      <c r="H2058" s="1" t="s">
        <v>13</v>
      </c>
      <c r="I2058" s="1" t="s">
        <v>13</v>
      </c>
      <c r="J2058" s="1" t="s">
        <v>20</v>
      </c>
      <c r="K2058" s="1">
        <v>0</v>
      </c>
      <c r="L2058" s="1" t="s">
        <v>19</v>
      </c>
      <c r="M2058" s="1" t="str">
        <f t="shared" si="32"/>
        <v>Consistent</v>
      </c>
      <c r="N2058" s="1" t="str">
        <f>_xlfn.XLOOKUP(H2058, risk_score!A:A, risk_score!B:B, 0)</f>
        <v>Low Risk</v>
      </c>
    </row>
    <row r="2059" spans="1:14">
      <c r="A2059" s="2">
        <v>0.49344907407407407</v>
      </c>
      <c r="B2059" s="3">
        <v>44841</v>
      </c>
      <c r="C2059" s="1">
        <v>2576623544</v>
      </c>
      <c r="D2059" s="1">
        <v>621060264</v>
      </c>
      <c r="E2059" s="1">
        <v>10529.36</v>
      </c>
      <c r="F2059" s="1" t="s">
        <v>12</v>
      </c>
      <c r="G2059" s="1" t="s">
        <v>12</v>
      </c>
      <c r="H2059" s="1" t="s">
        <v>13</v>
      </c>
      <c r="I2059" s="1" t="s">
        <v>13</v>
      </c>
      <c r="J2059" s="1" t="s">
        <v>25</v>
      </c>
      <c r="K2059" s="1">
        <v>0</v>
      </c>
      <c r="L2059" s="1" t="s">
        <v>23</v>
      </c>
      <c r="M2059" s="1" t="str">
        <f t="shared" si="32"/>
        <v>Consistent</v>
      </c>
      <c r="N2059" s="1" t="str">
        <f>_xlfn.XLOOKUP(H2059, risk_score!A:A, risk_score!B:B, 0)</f>
        <v>Low Risk</v>
      </c>
    </row>
    <row r="2060" spans="1:14">
      <c r="A2060" s="2">
        <v>0.4934722222222222</v>
      </c>
      <c r="B2060" s="3">
        <v>44841</v>
      </c>
      <c r="C2060" s="1">
        <v>8410434333</v>
      </c>
      <c r="D2060" s="1">
        <v>8518184956</v>
      </c>
      <c r="E2060" s="1">
        <v>10699.76</v>
      </c>
      <c r="F2060" s="1" t="s">
        <v>12</v>
      </c>
      <c r="G2060" s="1" t="s">
        <v>12</v>
      </c>
      <c r="H2060" s="1" t="s">
        <v>13</v>
      </c>
      <c r="I2060" s="1" t="s">
        <v>13</v>
      </c>
      <c r="J2060" s="1" t="s">
        <v>20</v>
      </c>
      <c r="K2060" s="1">
        <v>0</v>
      </c>
      <c r="L2060" s="1" t="s">
        <v>23</v>
      </c>
      <c r="M2060" s="1" t="str">
        <f t="shared" si="32"/>
        <v>Consistent</v>
      </c>
      <c r="N2060" s="1" t="str">
        <f>_xlfn.XLOOKUP(H2060, risk_score!A:A, risk_score!B:B, 0)</f>
        <v>Low Risk</v>
      </c>
    </row>
    <row r="2061" spans="1:14">
      <c r="A2061" s="2">
        <v>0.49349537037037039</v>
      </c>
      <c r="B2061" s="3">
        <v>44841</v>
      </c>
      <c r="C2061" s="1">
        <v>7619988114</v>
      </c>
      <c r="D2061" s="1">
        <v>5982616154</v>
      </c>
      <c r="E2061" s="1">
        <v>1651.44</v>
      </c>
      <c r="F2061" s="1" t="s">
        <v>12</v>
      </c>
      <c r="G2061" s="1" t="s">
        <v>12</v>
      </c>
      <c r="H2061" s="1" t="s">
        <v>13</v>
      </c>
      <c r="I2061" s="1" t="s">
        <v>13</v>
      </c>
      <c r="J2061" s="1" t="s">
        <v>27</v>
      </c>
      <c r="K2061" s="1">
        <v>0</v>
      </c>
      <c r="L2061" s="1" t="s">
        <v>21</v>
      </c>
      <c r="M2061" s="1" t="str">
        <f t="shared" si="32"/>
        <v>Consistent</v>
      </c>
      <c r="N2061" s="1" t="str">
        <f>_xlfn.XLOOKUP(H2061, risk_score!A:A, risk_score!B:B, 0)</f>
        <v>Low Risk</v>
      </c>
    </row>
    <row r="2062" spans="1:14">
      <c r="A2062" s="2">
        <v>0.49350694444444443</v>
      </c>
      <c r="B2062" s="3">
        <v>44841</v>
      </c>
      <c r="C2062" s="1">
        <v>5794331781</v>
      </c>
      <c r="D2062" s="1">
        <v>1356043185</v>
      </c>
      <c r="E2062" s="1">
        <v>1559.18</v>
      </c>
      <c r="F2062" s="1" t="s">
        <v>12</v>
      </c>
      <c r="G2062" s="1" t="s">
        <v>12</v>
      </c>
      <c r="H2062" s="1" t="s">
        <v>13</v>
      </c>
      <c r="I2062" s="1" t="s">
        <v>13</v>
      </c>
      <c r="J2062" s="1" t="s">
        <v>22</v>
      </c>
      <c r="K2062" s="1">
        <v>0</v>
      </c>
      <c r="L2062" s="1" t="s">
        <v>21</v>
      </c>
      <c r="M2062" s="1" t="str">
        <f t="shared" si="32"/>
        <v>Consistent</v>
      </c>
      <c r="N2062" s="1" t="str">
        <f>_xlfn.XLOOKUP(H2062, risk_score!A:A, risk_score!B:B, 0)</f>
        <v>Low Risk</v>
      </c>
    </row>
    <row r="2063" spans="1:14">
      <c r="A2063" s="2">
        <v>0.49350694444444443</v>
      </c>
      <c r="B2063" s="3">
        <v>44841</v>
      </c>
      <c r="C2063" s="1">
        <v>9261836642</v>
      </c>
      <c r="D2063" s="1">
        <v>7080357663</v>
      </c>
      <c r="E2063" s="1">
        <v>13477.71</v>
      </c>
      <c r="F2063" s="1" t="s">
        <v>12</v>
      </c>
      <c r="G2063" s="1" t="s">
        <v>12</v>
      </c>
      <c r="H2063" s="1" t="s">
        <v>13</v>
      </c>
      <c r="I2063" s="1" t="s">
        <v>13</v>
      </c>
      <c r="J2063" s="1" t="s">
        <v>22</v>
      </c>
      <c r="K2063" s="1">
        <v>0</v>
      </c>
      <c r="L2063" s="1" t="s">
        <v>23</v>
      </c>
      <c r="M2063" s="1" t="str">
        <f t="shared" si="32"/>
        <v>Consistent</v>
      </c>
      <c r="N2063" s="1" t="str">
        <f>_xlfn.XLOOKUP(H2063, risk_score!A:A, risk_score!B:B, 0)</f>
        <v>Low Risk</v>
      </c>
    </row>
    <row r="2064" spans="1:14">
      <c r="A2064" s="2">
        <v>0.49351851851851852</v>
      </c>
      <c r="B2064" s="3">
        <v>44841</v>
      </c>
      <c r="C2064" s="1">
        <v>1207494413</v>
      </c>
      <c r="D2064" s="1">
        <v>2151922703</v>
      </c>
      <c r="E2064" s="1">
        <v>4800.53</v>
      </c>
      <c r="F2064" s="1" t="s">
        <v>12</v>
      </c>
      <c r="G2064" s="1" t="s">
        <v>12</v>
      </c>
      <c r="H2064" s="1" t="s">
        <v>13</v>
      </c>
      <c r="I2064" s="1" t="s">
        <v>13</v>
      </c>
      <c r="J2064" s="1" t="s">
        <v>20</v>
      </c>
      <c r="K2064" s="1">
        <v>0</v>
      </c>
      <c r="L2064" s="1" t="s">
        <v>21</v>
      </c>
      <c r="M2064" s="1" t="str">
        <f t="shared" si="32"/>
        <v>Consistent</v>
      </c>
      <c r="N2064" s="1" t="str">
        <f>_xlfn.XLOOKUP(H2064, risk_score!A:A, risk_score!B:B, 0)</f>
        <v>Low Risk</v>
      </c>
    </row>
    <row r="2065" spans="1:14">
      <c r="A2065" s="2">
        <v>0.49354166666666666</v>
      </c>
      <c r="B2065" s="3">
        <v>44841</v>
      </c>
      <c r="C2065" s="1">
        <v>5659307753</v>
      </c>
      <c r="D2065" s="1">
        <v>6337587907</v>
      </c>
      <c r="E2065" s="1">
        <v>3368.3</v>
      </c>
      <c r="F2065" s="1" t="s">
        <v>12</v>
      </c>
      <c r="G2065" s="1" t="s">
        <v>12</v>
      </c>
      <c r="H2065" s="1" t="s">
        <v>13</v>
      </c>
      <c r="I2065" s="1" t="s">
        <v>13</v>
      </c>
      <c r="J2065" s="1" t="s">
        <v>27</v>
      </c>
      <c r="K2065" s="1">
        <v>0</v>
      </c>
      <c r="L2065" s="1" t="s">
        <v>21</v>
      </c>
      <c r="M2065" s="1" t="str">
        <f t="shared" si="32"/>
        <v>Consistent</v>
      </c>
      <c r="N2065" s="1" t="str">
        <f>_xlfn.XLOOKUP(H2065, risk_score!A:A, risk_score!B:B, 0)</f>
        <v>Low Risk</v>
      </c>
    </row>
    <row r="2066" spans="1:14">
      <c r="A2066" s="2">
        <v>0.49355324074074075</v>
      </c>
      <c r="B2066" s="3">
        <v>44841</v>
      </c>
      <c r="C2066" s="1">
        <v>3440654296</v>
      </c>
      <c r="D2066" s="1">
        <v>8172080174</v>
      </c>
      <c r="E2066" s="1">
        <v>5601.58</v>
      </c>
      <c r="F2066" s="1" t="s">
        <v>12</v>
      </c>
      <c r="G2066" s="1" t="s">
        <v>12</v>
      </c>
      <c r="H2066" s="1" t="s">
        <v>13</v>
      </c>
      <c r="I2066" s="1" t="s">
        <v>13</v>
      </c>
      <c r="J2066" s="1" t="s">
        <v>20</v>
      </c>
      <c r="K2066" s="1">
        <v>0</v>
      </c>
      <c r="L2066" s="1" t="s">
        <v>23</v>
      </c>
      <c r="M2066" s="1" t="str">
        <f t="shared" si="32"/>
        <v>Consistent</v>
      </c>
      <c r="N2066" s="1" t="str">
        <f>_xlfn.XLOOKUP(H2066, risk_score!A:A, risk_score!B:B, 0)</f>
        <v>Low Risk</v>
      </c>
    </row>
    <row r="2067" spans="1:14">
      <c r="A2067" s="2">
        <v>0.49357638888888888</v>
      </c>
      <c r="B2067" s="3">
        <v>44841</v>
      </c>
      <c r="C2067" s="1">
        <v>9216644156</v>
      </c>
      <c r="D2067" s="1">
        <v>7288720479</v>
      </c>
      <c r="E2067" s="1">
        <v>664.72</v>
      </c>
      <c r="F2067" s="1" t="s">
        <v>12</v>
      </c>
      <c r="G2067" s="1" t="s">
        <v>12</v>
      </c>
      <c r="H2067" s="1" t="s">
        <v>13</v>
      </c>
      <c r="I2067" s="1" t="s">
        <v>13</v>
      </c>
      <c r="J2067" s="1" t="s">
        <v>27</v>
      </c>
      <c r="K2067" s="1">
        <v>0</v>
      </c>
      <c r="L2067" s="1" t="s">
        <v>21</v>
      </c>
      <c r="M2067" s="1" t="str">
        <f t="shared" si="32"/>
        <v>Consistent</v>
      </c>
      <c r="N2067" s="1" t="str">
        <f>_xlfn.XLOOKUP(H2067, risk_score!A:A, risk_score!B:B, 0)</f>
        <v>Low Risk</v>
      </c>
    </row>
    <row r="2068" spans="1:14">
      <c r="A2068" s="2">
        <v>0.49361111111111111</v>
      </c>
      <c r="B2068" s="3">
        <v>44841</v>
      </c>
      <c r="C2068" s="1">
        <v>1203252958</v>
      </c>
      <c r="D2068" s="1">
        <v>6601036649</v>
      </c>
      <c r="E2068" s="1">
        <v>2860.29</v>
      </c>
      <c r="F2068" s="1" t="s">
        <v>12</v>
      </c>
      <c r="G2068" s="1" t="s">
        <v>12</v>
      </c>
      <c r="H2068" s="1" t="s">
        <v>13</v>
      </c>
      <c r="I2068" s="1" t="s">
        <v>13</v>
      </c>
      <c r="J2068" s="1" t="s">
        <v>27</v>
      </c>
      <c r="K2068" s="1">
        <v>0</v>
      </c>
      <c r="L2068" s="1" t="s">
        <v>24</v>
      </c>
      <c r="M2068" s="1" t="str">
        <f t="shared" si="32"/>
        <v>Consistent</v>
      </c>
      <c r="N2068" s="1" t="str">
        <f>_xlfn.XLOOKUP(H2068, risk_score!A:A, risk_score!B:B, 0)</f>
        <v>Low Risk</v>
      </c>
    </row>
    <row r="2069" spans="1:14">
      <c r="A2069" s="2">
        <v>0.49363425925925924</v>
      </c>
      <c r="B2069" s="3">
        <v>44841</v>
      </c>
      <c r="C2069" s="1">
        <v>7501327339</v>
      </c>
      <c r="D2069" s="1">
        <v>4961006135</v>
      </c>
      <c r="E2069" s="1">
        <v>6445.84</v>
      </c>
      <c r="F2069" s="1" t="s">
        <v>12</v>
      </c>
      <c r="G2069" s="1" t="s">
        <v>12</v>
      </c>
      <c r="H2069" s="1" t="s">
        <v>13</v>
      </c>
      <c r="I2069" s="1" t="s">
        <v>13</v>
      </c>
      <c r="J2069" s="1" t="s">
        <v>27</v>
      </c>
      <c r="K2069" s="1">
        <v>0</v>
      </c>
      <c r="L2069" s="1" t="s">
        <v>19</v>
      </c>
      <c r="M2069" s="1" t="str">
        <f t="shared" si="32"/>
        <v>Consistent</v>
      </c>
      <c r="N2069" s="1" t="str">
        <f>_xlfn.XLOOKUP(H2069, risk_score!A:A, risk_score!B:B, 0)</f>
        <v>Low Risk</v>
      </c>
    </row>
    <row r="2070" spans="1:14">
      <c r="A2070" s="2">
        <v>0.49364583333333334</v>
      </c>
      <c r="B2070" s="3">
        <v>44841</v>
      </c>
      <c r="C2070" s="1">
        <v>1104637724</v>
      </c>
      <c r="D2070" s="1">
        <v>1218918925</v>
      </c>
      <c r="E2070" s="1">
        <v>1490.1</v>
      </c>
      <c r="F2070" s="1" t="s">
        <v>12</v>
      </c>
      <c r="G2070" s="1" t="s">
        <v>12</v>
      </c>
      <c r="H2070" s="1" t="s">
        <v>13</v>
      </c>
      <c r="I2070" s="1" t="s">
        <v>13</v>
      </c>
      <c r="J2070" s="1" t="s">
        <v>20</v>
      </c>
      <c r="K2070" s="1">
        <v>0</v>
      </c>
      <c r="L2070" s="1" t="s">
        <v>21</v>
      </c>
      <c r="M2070" s="1" t="str">
        <f t="shared" si="32"/>
        <v>Consistent</v>
      </c>
      <c r="N2070" s="1" t="str">
        <f>_xlfn.XLOOKUP(H2070, risk_score!A:A, risk_score!B:B, 0)</f>
        <v>Low Risk</v>
      </c>
    </row>
    <row r="2071" spans="1:14">
      <c r="A2071" s="2">
        <v>0.4937037037037037</v>
      </c>
      <c r="B2071" s="3">
        <v>44841</v>
      </c>
      <c r="C2071" s="1">
        <v>1976727841</v>
      </c>
      <c r="D2071" s="1">
        <v>8307428288</v>
      </c>
      <c r="E2071" s="1">
        <v>11266.24</v>
      </c>
      <c r="F2071" s="1" t="s">
        <v>34</v>
      </c>
      <c r="G2071" s="1" t="s">
        <v>12</v>
      </c>
      <c r="H2071" s="1" t="s">
        <v>35</v>
      </c>
      <c r="I2071" s="1" t="s">
        <v>13</v>
      </c>
      <c r="J2071" s="1" t="s">
        <v>18</v>
      </c>
      <c r="K2071" s="1">
        <v>0</v>
      </c>
      <c r="L2071" s="1" t="s">
        <v>49</v>
      </c>
      <c r="M2071" s="1" t="str">
        <f t="shared" si="32"/>
        <v>Potential Layering</v>
      </c>
      <c r="N2071" s="1" t="str">
        <f>_xlfn.XLOOKUP(H2071, risk_score!A:A, risk_score!B:B, 0)</f>
        <v>High Risk</v>
      </c>
    </row>
    <row r="2072" spans="1:14">
      <c r="A2072" s="2">
        <v>0.49373842592592593</v>
      </c>
      <c r="B2072" s="3">
        <v>44841</v>
      </c>
      <c r="C2072" s="1">
        <v>6447730296</v>
      </c>
      <c r="D2072" s="1">
        <v>2843358233</v>
      </c>
      <c r="E2072" s="1">
        <v>20019.53</v>
      </c>
      <c r="F2072" s="1" t="s">
        <v>12</v>
      </c>
      <c r="G2072" s="1" t="s">
        <v>12</v>
      </c>
      <c r="H2072" s="1" t="s">
        <v>13</v>
      </c>
      <c r="I2072" s="1" t="s">
        <v>13</v>
      </c>
      <c r="J2072" s="1" t="s">
        <v>22</v>
      </c>
      <c r="K2072" s="1">
        <v>0</v>
      </c>
      <c r="L2072" s="1" t="s">
        <v>24</v>
      </c>
      <c r="M2072" s="1" t="str">
        <f t="shared" si="32"/>
        <v>Consistent</v>
      </c>
      <c r="N2072" s="1" t="str">
        <f>_xlfn.XLOOKUP(H2072, risk_score!A:A, risk_score!B:B, 0)</f>
        <v>Low Risk</v>
      </c>
    </row>
    <row r="2073" spans="1:14">
      <c r="A2073" s="2">
        <v>0.49378472222222225</v>
      </c>
      <c r="B2073" s="3">
        <v>44841</v>
      </c>
      <c r="C2073" s="1">
        <v>778474018</v>
      </c>
      <c r="D2073" s="1">
        <v>6034997194</v>
      </c>
      <c r="E2073" s="1">
        <v>15746.38</v>
      </c>
      <c r="F2073" s="1" t="s">
        <v>12</v>
      </c>
      <c r="G2073" s="1" t="s">
        <v>12</v>
      </c>
      <c r="H2073" s="1" t="s">
        <v>13</v>
      </c>
      <c r="I2073" s="1" t="s">
        <v>13</v>
      </c>
      <c r="J2073" s="1" t="s">
        <v>22</v>
      </c>
      <c r="K2073" s="1">
        <v>0</v>
      </c>
      <c r="L2073" s="1" t="s">
        <v>23</v>
      </c>
      <c r="M2073" s="1" t="str">
        <f t="shared" si="32"/>
        <v>Consistent</v>
      </c>
      <c r="N2073" s="1" t="str">
        <f>_xlfn.XLOOKUP(H2073, risk_score!A:A, risk_score!B:B, 0)</f>
        <v>Low Risk</v>
      </c>
    </row>
    <row r="2074" spans="1:14">
      <c r="A2074" s="2">
        <v>0.49380787037037038</v>
      </c>
      <c r="B2074" s="3">
        <v>44841</v>
      </c>
      <c r="C2074" s="1">
        <v>8389148416</v>
      </c>
      <c r="D2074" s="1">
        <v>3487686607</v>
      </c>
      <c r="E2074" s="1">
        <v>8456.4500000000007</v>
      </c>
      <c r="F2074" s="1" t="s">
        <v>12</v>
      </c>
      <c r="G2074" s="1" t="s">
        <v>12</v>
      </c>
      <c r="H2074" s="1" t="s">
        <v>13</v>
      </c>
      <c r="I2074" s="1" t="s">
        <v>13</v>
      </c>
      <c r="J2074" s="1" t="s">
        <v>27</v>
      </c>
      <c r="K2074" s="1">
        <v>0</v>
      </c>
      <c r="L2074" s="1" t="s">
        <v>19</v>
      </c>
      <c r="M2074" s="1" t="str">
        <f t="shared" si="32"/>
        <v>Consistent</v>
      </c>
      <c r="N2074" s="1" t="str">
        <f>_xlfn.XLOOKUP(H2074, risk_score!A:A, risk_score!B:B, 0)</f>
        <v>Low Risk</v>
      </c>
    </row>
    <row r="2075" spans="1:14">
      <c r="A2075" s="2">
        <v>0.49381944444444442</v>
      </c>
      <c r="B2075" s="3">
        <v>44841</v>
      </c>
      <c r="C2075" s="1">
        <v>9222757302</v>
      </c>
      <c r="D2075" s="1">
        <v>5109623450</v>
      </c>
      <c r="E2075" s="1">
        <v>9321.7199999999993</v>
      </c>
      <c r="F2075" s="1" t="s">
        <v>12</v>
      </c>
      <c r="G2075" s="1" t="s">
        <v>12</v>
      </c>
      <c r="H2075" s="1" t="s">
        <v>13</v>
      </c>
      <c r="I2075" s="1" t="s">
        <v>13</v>
      </c>
      <c r="J2075" s="1" t="s">
        <v>27</v>
      </c>
      <c r="K2075" s="1">
        <v>0</v>
      </c>
      <c r="L2075" s="1" t="s">
        <v>23</v>
      </c>
      <c r="M2075" s="1" t="str">
        <f t="shared" si="32"/>
        <v>Consistent</v>
      </c>
      <c r="N2075" s="1" t="str">
        <f>_xlfn.XLOOKUP(H2075, risk_score!A:A, risk_score!B:B, 0)</f>
        <v>Low Risk</v>
      </c>
    </row>
    <row r="2076" spans="1:14">
      <c r="A2076" s="2">
        <v>0.49386574074074074</v>
      </c>
      <c r="B2076" s="3">
        <v>44841</v>
      </c>
      <c r="C2076" s="1">
        <v>86251380</v>
      </c>
      <c r="D2076" s="1">
        <v>708992479</v>
      </c>
      <c r="E2076" s="1">
        <v>1371.91</v>
      </c>
      <c r="F2076" s="1" t="s">
        <v>12</v>
      </c>
      <c r="G2076" s="1" t="s">
        <v>12</v>
      </c>
      <c r="H2076" s="1" t="s">
        <v>13</v>
      </c>
      <c r="I2076" s="1" t="s">
        <v>13</v>
      </c>
      <c r="J2076" s="1" t="s">
        <v>27</v>
      </c>
      <c r="K2076" s="1">
        <v>0</v>
      </c>
      <c r="L2076" s="1" t="s">
        <v>21</v>
      </c>
      <c r="M2076" s="1" t="str">
        <f t="shared" si="32"/>
        <v>Consistent</v>
      </c>
      <c r="N2076" s="1" t="str">
        <f>_xlfn.XLOOKUP(H2076, risk_score!A:A, risk_score!B:B, 0)</f>
        <v>Low Risk</v>
      </c>
    </row>
    <row r="2077" spans="1:14">
      <c r="A2077" s="2">
        <v>0.49387731481481484</v>
      </c>
      <c r="B2077" s="3">
        <v>44841</v>
      </c>
      <c r="C2077" s="1">
        <v>4571263594</v>
      </c>
      <c r="D2077" s="1">
        <v>4942884507</v>
      </c>
      <c r="E2077" s="1">
        <v>307.02999999999997</v>
      </c>
      <c r="F2077" s="1" t="s">
        <v>12</v>
      </c>
      <c r="G2077" s="1" t="s">
        <v>12</v>
      </c>
      <c r="H2077" s="1" t="s">
        <v>13</v>
      </c>
      <c r="I2077" s="1" t="s">
        <v>13</v>
      </c>
      <c r="J2077" s="1" t="s">
        <v>22</v>
      </c>
      <c r="K2077" s="1">
        <v>0</v>
      </c>
      <c r="L2077" s="1" t="s">
        <v>21</v>
      </c>
      <c r="M2077" s="1" t="str">
        <f t="shared" si="32"/>
        <v>Consistent</v>
      </c>
      <c r="N2077" s="1" t="str">
        <f>_xlfn.XLOOKUP(H2077, risk_score!A:A, risk_score!B:B, 0)</f>
        <v>Low Risk</v>
      </c>
    </row>
    <row r="2078" spans="1:14">
      <c r="A2078" s="2">
        <v>0.49387731481481484</v>
      </c>
      <c r="B2078" s="3">
        <v>44841</v>
      </c>
      <c r="C2078" s="1">
        <v>4564422499</v>
      </c>
      <c r="D2078" s="1">
        <v>4347998322</v>
      </c>
      <c r="E2078" s="1">
        <v>1225.51</v>
      </c>
      <c r="F2078" s="1" t="s">
        <v>12</v>
      </c>
      <c r="G2078" s="1" t="s">
        <v>12</v>
      </c>
      <c r="H2078" s="1" t="s">
        <v>13</v>
      </c>
      <c r="I2078" s="1" t="s">
        <v>13</v>
      </c>
      <c r="J2078" s="1" t="s">
        <v>22</v>
      </c>
      <c r="K2078" s="1">
        <v>0</v>
      </c>
      <c r="L2078" s="1" t="s">
        <v>21</v>
      </c>
      <c r="M2078" s="1" t="str">
        <f t="shared" si="32"/>
        <v>Consistent</v>
      </c>
      <c r="N2078" s="1" t="str">
        <f>_xlfn.XLOOKUP(H2078, risk_score!A:A, risk_score!B:B, 0)</f>
        <v>Low Risk</v>
      </c>
    </row>
    <row r="2079" spans="1:14">
      <c r="A2079" s="2">
        <v>0.49388888888888888</v>
      </c>
      <c r="B2079" s="3">
        <v>44841</v>
      </c>
      <c r="C2079" s="1">
        <v>1558124827</v>
      </c>
      <c r="D2079" s="1">
        <v>91954487</v>
      </c>
      <c r="E2079" s="1">
        <v>1124.21</v>
      </c>
      <c r="F2079" s="1" t="s">
        <v>12</v>
      </c>
      <c r="G2079" s="1" t="s">
        <v>12</v>
      </c>
      <c r="H2079" s="1" t="s">
        <v>13</v>
      </c>
      <c r="I2079" s="1" t="s">
        <v>13</v>
      </c>
      <c r="J2079" s="1" t="s">
        <v>20</v>
      </c>
      <c r="K2079" s="1">
        <v>0</v>
      </c>
      <c r="L2079" s="1" t="s">
        <v>21</v>
      </c>
      <c r="M2079" s="1" t="str">
        <f t="shared" si="32"/>
        <v>Consistent</v>
      </c>
      <c r="N2079" s="1" t="str">
        <f>_xlfn.XLOOKUP(H2079, risk_score!A:A, risk_score!B:B, 0)</f>
        <v>Low Risk</v>
      </c>
    </row>
    <row r="2080" spans="1:14">
      <c r="A2080" s="2">
        <v>0.49388888888888888</v>
      </c>
      <c r="B2080" s="3">
        <v>44841</v>
      </c>
      <c r="C2080" s="1">
        <v>7085083620</v>
      </c>
      <c r="D2080" s="1">
        <v>8554425367</v>
      </c>
      <c r="E2080" s="1">
        <v>949.18</v>
      </c>
      <c r="F2080" s="1" t="s">
        <v>12</v>
      </c>
      <c r="G2080" s="1" t="s">
        <v>12</v>
      </c>
      <c r="H2080" s="1" t="s">
        <v>13</v>
      </c>
      <c r="I2080" s="1" t="s">
        <v>13</v>
      </c>
      <c r="J2080" s="1" t="s">
        <v>25</v>
      </c>
      <c r="K2080" s="1">
        <v>0</v>
      </c>
      <c r="L2080" s="1" t="s">
        <v>21</v>
      </c>
      <c r="M2080" s="1" t="str">
        <f t="shared" si="32"/>
        <v>Consistent</v>
      </c>
      <c r="N2080" s="1" t="str">
        <f>_xlfn.XLOOKUP(H2080, risk_score!A:A, risk_score!B:B, 0)</f>
        <v>Low Risk</v>
      </c>
    </row>
    <row r="2081" spans="1:14">
      <c r="A2081" s="2">
        <v>0.49388888888888888</v>
      </c>
      <c r="B2081" s="3">
        <v>44841</v>
      </c>
      <c r="C2081" s="1">
        <v>7395104596</v>
      </c>
      <c r="D2081" s="1">
        <v>9354385844</v>
      </c>
      <c r="E2081" s="1">
        <v>6606.36</v>
      </c>
      <c r="F2081" s="1" t="s">
        <v>12</v>
      </c>
      <c r="G2081" s="1" t="s">
        <v>12</v>
      </c>
      <c r="H2081" s="1" t="s">
        <v>13</v>
      </c>
      <c r="I2081" s="1" t="s">
        <v>13</v>
      </c>
      <c r="J2081" s="1" t="s">
        <v>22</v>
      </c>
      <c r="K2081" s="1">
        <v>0</v>
      </c>
      <c r="L2081" s="1" t="s">
        <v>21</v>
      </c>
      <c r="M2081" s="1" t="str">
        <f t="shared" si="32"/>
        <v>Consistent</v>
      </c>
      <c r="N2081" s="1" t="str">
        <f>_xlfn.XLOOKUP(H2081, risk_score!A:A, risk_score!B:B, 0)</f>
        <v>Low Risk</v>
      </c>
    </row>
    <row r="2082" spans="1:14">
      <c r="A2082" s="2">
        <v>0.49390046296296297</v>
      </c>
      <c r="B2082" s="3">
        <v>44841</v>
      </c>
      <c r="C2082" s="1">
        <v>3299961738</v>
      </c>
      <c r="D2082" s="1">
        <v>8352571580</v>
      </c>
      <c r="E2082" s="1">
        <v>10926.36</v>
      </c>
      <c r="F2082" s="1" t="s">
        <v>12</v>
      </c>
      <c r="G2082" s="1" t="s">
        <v>59</v>
      </c>
      <c r="H2082" s="1" t="s">
        <v>13</v>
      </c>
      <c r="I2082" s="1" t="s">
        <v>13</v>
      </c>
      <c r="J2082" s="1" t="s">
        <v>22</v>
      </c>
      <c r="K2082" s="1">
        <v>0</v>
      </c>
      <c r="L2082" s="1" t="s">
        <v>23</v>
      </c>
      <c r="M2082" s="1" t="str">
        <f t="shared" si="32"/>
        <v>Potential Layering</v>
      </c>
      <c r="N2082" s="1" t="str">
        <f>_xlfn.XLOOKUP(H2082, risk_score!A:A, risk_score!B:B, 0)</f>
        <v>Low Risk</v>
      </c>
    </row>
    <row r="2083" spans="1:14">
      <c r="A2083" s="2">
        <v>0.49395833333333333</v>
      </c>
      <c r="B2083" s="3">
        <v>44841</v>
      </c>
      <c r="C2083" s="1">
        <v>5313485292</v>
      </c>
      <c r="D2083" s="1">
        <v>9105769228</v>
      </c>
      <c r="E2083" s="1">
        <v>19778.37</v>
      </c>
      <c r="F2083" s="1" t="s">
        <v>12</v>
      </c>
      <c r="G2083" s="1" t="s">
        <v>12</v>
      </c>
      <c r="H2083" s="1" t="s">
        <v>13</v>
      </c>
      <c r="I2083" s="1" t="s">
        <v>13</v>
      </c>
      <c r="J2083" s="1" t="s">
        <v>20</v>
      </c>
      <c r="K2083" s="1">
        <v>0</v>
      </c>
      <c r="L2083" s="1" t="s">
        <v>23</v>
      </c>
      <c r="M2083" s="1" t="str">
        <f t="shared" si="32"/>
        <v>Consistent</v>
      </c>
      <c r="N2083" s="1" t="str">
        <f>_xlfn.XLOOKUP(H2083, risk_score!A:A, risk_score!B:B, 0)</f>
        <v>Low Risk</v>
      </c>
    </row>
    <row r="2084" spans="1:14">
      <c r="A2084" s="2">
        <v>0.49395833333333333</v>
      </c>
      <c r="B2084" s="3">
        <v>44841</v>
      </c>
      <c r="C2084" s="1">
        <v>6150012318</v>
      </c>
      <c r="D2084" s="1">
        <v>5109623450</v>
      </c>
      <c r="E2084" s="1">
        <v>4733.62</v>
      </c>
      <c r="F2084" s="1" t="s">
        <v>12</v>
      </c>
      <c r="G2084" s="1" t="s">
        <v>12</v>
      </c>
      <c r="H2084" s="1" t="s">
        <v>13</v>
      </c>
      <c r="I2084" s="1" t="s">
        <v>13</v>
      </c>
      <c r="J2084" s="1" t="s">
        <v>22</v>
      </c>
      <c r="K2084" s="1">
        <v>0</v>
      </c>
      <c r="L2084" s="1" t="s">
        <v>23</v>
      </c>
      <c r="M2084" s="1" t="str">
        <f t="shared" si="32"/>
        <v>Consistent</v>
      </c>
      <c r="N2084" s="1" t="str">
        <f>_xlfn.XLOOKUP(H2084, risk_score!A:A, risk_score!B:B, 0)</f>
        <v>Low Risk</v>
      </c>
    </row>
    <row r="2085" spans="1:14">
      <c r="A2085" s="2">
        <v>0.49400462962962965</v>
      </c>
      <c r="B2085" s="3">
        <v>44841</v>
      </c>
      <c r="C2085" s="1">
        <v>6411476316</v>
      </c>
      <c r="D2085" s="1">
        <v>8352571580</v>
      </c>
      <c r="E2085" s="1">
        <v>9767.24</v>
      </c>
      <c r="F2085" s="1" t="s">
        <v>12</v>
      </c>
      <c r="G2085" s="1" t="s">
        <v>12</v>
      </c>
      <c r="H2085" s="1" t="s">
        <v>13</v>
      </c>
      <c r="I2085" s="1" t="s">
        <v>13</v>
      </c>
      <c r="J2085" s="1" t="s">
        <v>27</v>
      </c>
      <c r="K2085" s="1">
        <v>0</v>
      </c>
      <c r="L2085" s="1" t="s">
        <v>23</v>
      </c>
      <c r="M2085" s="1" t="str">
        <f t="shared" si="32"/>
        <v>Consistent</v>
      </c>
      <c r="N2085" s="1" t="str">
        <f>_xlfn.XLOOKUP(H2085, risk_score!A:A, risk_score!B:B, 0)</f>
        <v>Low Risk</v>
      </c>
    </row>
    <row r="2086" spans="1:14">
      <c r="A2086" s="2">
        <v>0.49401620370370369</v>
      </c>
      <c r="B2086" s="3">
        <v>44841</v>
      </c>
      <c r="C2086" s="1">
        <v>3260014584</v>
      </c>
      <c r="D2086" s="1">
        <v>2965802210</v>
      </c>
      <c r="E2086" s="1">
        <v>398.77</v>
      </c>
      <c r="F2086" s="1" t="s">
        <v>12</v>
      </c>
      <c r="G2086" s="1" t="s">
        <v>12</v>
      </c>
      <c r="H2086" s="1" t="s">
        <v>13</v>
      </c>
      <c r="I2086" s="1" t="s">
        <v>13</v>
      </c>
      <c r="J2086" s="1" t="s">
        <v>25</v>
      </c>
      <c r="K2086" s="1">
        <v>0</v>
      </c>
      <c r="L2086" s="1" t="s">
        <v>21</v>
      </c>
      <c r="M2086" s="1" t="str">
        <f t="shared" si="32"/>
        <v>Consistent</v>
      </c>
      <c r="N2086" s="1" t="str">
        <f>_xlfn.XLOOKUP(H2086, risk_score!A:A, risk_score!B:B, 0)</f>
        <v>Low Risk</v>
      </c>
    </row>
    <row r="2087" spans="1:14">
      <c r="A2087" s="2">
        <v>0.49401620370370369</v>
      </c>
      <c r="B2087" s="3">
        <v>44841</v>
      </c>
      <c r="C2087" s="1">
        <v>872715582</v>
      </c>
      <c r="D2087" s="1">
        <v>6310722388</v>
      </c>
      <c r="E2087" s="1">
        <v>6579.87</v>
      </c>
      <c r="F2087" s="1" t="s">
        <v>12</v>
      </c>
      <c r="G2087" s="1" t="s">
        <v>12</v>
      </c>
      <c r="H2087" s="1" t="s">
        <v>13</v>
      </c>
      <c r="I2087" s="1" t="s">
        <v>13</v>
      </c>
      <c r="J2087" s="1" t="s">
        <v>20</v>
      </c>
      <c r="K2087" s="1">
        <v>0</v>
      </c>
      <c r="L2087" s="1" t="s">
        <v>21</v>
      </c>
      <c r="M2087" s="1" t="str">
        <f t="shared" si="32"/>
        <v>Consistent</v>
      </c>
      <c r="N2087" s="1" t="str">
        <f>_xlfn.XLOOKUP(H2087, risk_score!A:A, risk_score!B:B, 0)</f>
        <v>Low Risk</v>
      </c>
    </row>
    <row r="2088" spans="1:14">
      <c r="A2088" s="2">
        <v>0.49405092592592592</v>
      </c>
      <c r="B2088" s="3">
        <v>44841</v>
      </c>
      <c r="C2088" s="1">
        <v>2299676190</v>
      </c>
      <c r="D2088" s="1">
        <v>2534644942</v>
      </c>
      <c r="E2088" s="1">
        <v>5881.57</v>
      </c>
      <c r="F2088" s="1" t="s">
        <v>12</v>
      </c>
      <c r="G2088" s="1" t="s">
        <v>29</v>
      </c>
      <c r="H2088" s="1" t="s">
        <v>13</v>
      </c>
      <c r="I2088" s="1" t="s">
        <v>31</v>
      </c>
      <c r="J2088" s="1" t="s">
        <v>18</v>
      </c>
      <c r="K2088" s="1">
        <v>0</v>
      </c>
      <c r="L2088" s="1" t="s">
        <v>23</v>
      </c>
      <c r="M2088" s="1" t="str">
        <f t="shared" si="32"/>
        <v>Potential Layering</v>
      </c>
      <c r="N2088" s="1" t="str">
        <f>_xlfn.XLOOKUP(H2088, risk_score!A:A, risk_score!B:B, 0)</f>
        <v>Low Risk</v>
      </c>
    </row>
    <row r="2089" spans="1:14">
      <c r="A2089" s="2">
        <v>0.49406250000000002</v>
      </c>
      <c r="B2089" s="3">
        <v>44841</v>
      </c>
      <c r="C2089" s="1">
        <v>5743301270</v>
      </c>
      <c r="D2089" s="1">
        <v>5590629844</v>
      </c>
      <c r="E2089" s="1">
        <v>437.66</v>
      </c>
      <c r="F2089" s="1" t="s">
        <v>12</v>
      </c>
      <c r="G2089" s="1" t="s">
        <v>12</v>
      </c>
      <c r="H2089" s="1" t="s">
        <v>13</v>
      </c>
      <c r="I2089" s="1" t="s">
        <v>13</v>
      </c>
      <c r="J2089" s="1" t="s">
        <v>27</v>
      </c>
      <c r="K2089" s="1">
        <v>0</v>
      </c>
      <c r="L2089" s="1" t="s">
        <v>21</v>
      </c>
      <c r="M2089" s="1" t="str">
        <f t="shared" si="32"/>
        <v>Consistent</v>
      </c>
      <c r="N2089" s="1" t="str">
        <f>_xlfn.XLOOKUP(H2089, risk_score!A:A, risk_score!B:B, 0)</f>
        <v>Low Risk</v>
      </c>
    </row>
    <row r="2090" spans="1:14">
      <c r="A2090" s="2">
        <v>0.49408564814814815</v>
      </c>
      <c r="B2090" s="3">
        <v>44841</v>
      </c>
      <c r="C2090" s="1">
        <v>8988792911</v>
      </c>
      <c r="D2090" s="1">
        <v>6410662683</v>
      </c>
      <c r="E2090" s="1">
        <v>860.77</v>
      </c>
      <c r="F2090" s="1" t="s">
        <v>12</v>
      </c>
      <c r="G2090" s="1" t="s">
        <v>12</v>
      </c>
      <c r="H2090" s="1" t="s">
        <v>13</v>
      </c>
      <c r="I2090" s="1" t="s">
        <v>13</v>
      </c>
      <c r="J2090" s="1" t="s">
        <v>22</v>
      </c>
      <c r="K2090" s="1">
        <v>0</v>
      </c>
      <c r="L2090" s="1" t="s">
        <v>21</v>
      </c>
      <c r="M2090" s="1" t="str">
        <f t="shared" si="32"/>
        <v>Consistent</v>
      </c>
      <c r="N2090" s="1" t="str">
        <f>_xlfn.XLOOKUP(H2090, risk_score!A:A, risk_score!B:B, 0)</f>
        <v>Low Risk</v>
      </c>
    </row>
    <row r="2091" spans="1:14">
      <c r="A2091" s="2">
        <v>0.49412037037037038</v>
      </c>
      <c r="B2091" s="3">
        <v>44841</v>
      </c>
      <c r="C2091" s="1">
        <v>2937810139</v>
      </c>
      <c r="D2091" s="1">
        <v>9947701368</v>
      </c>
      <c r="E2091" s="1">
        <v>28894.02</v>
      </c>
      <c r="F2091" s="1" t="s">
        <v>12</v>
      </c>
      <c r="G2091" s="1" t="s">
        <v>12</v>
      </c>
      <c r="H2091" s="1" t="s">
        <v>13</v>
      </c>
      <c r="I2091" s="1" t="s">
        <v>13</v>
      </c>
      <c r="J2091" s="1" t="s">
        <v>27</v>
      </c>
      <c r="K2091" s="1">
        <v>0</v>
      </c>
      <c r="L2091" s="1" t="s">
        <v>21</v>
      </c>
      <c r="M2091" s="1" t="str">
        <f t="shared" si="32"/>
        <v>Consistent</v>
      </c>
      <c r="N2091" s="1" t="str">
        <f>_xlfn.XLOOKUP(H2091, risk_score!A:A, risk_score!B:B, 0)</f>
        <v>Low Risk</v>
      </c>
    </row>
    <row r="2092" spans="1:14">
      <c r="A2092" s="2">
        <v>0.4941550925925926</v>
      </c>
      <c r="B2092" s="3">
        <v>44841</v>
      </c>
      <c r="C2092" s="1">
        <v>9452975673</v>
      </c>
      <c r="D2092" s="1">
        <v>4690632983</v>
      </c>
      <c r="E2092" s="1">
        <v>3340.75</v>
      </c>
      <c r="F2092" s="1" t="s">
        <v>12</v>
      </c>
      <c r="G2092" s="1" t="s">
        <v>12</v>
      </c>
      <c r="H2092" s="1" t="s">
        <v>13</v>
      </c>
      <c r="I2092" s="1" t="s">
        <v>13</v>
      </c>
      <c r="J2092" s="1" t="s">
        <v>25</v>
      </c>
      <c r="K2092" s="1">
        <v>0</v>
      </c>
      <c r="L2092" s="1" t="s">
        <v>21</v>
      </c>
      <c r="M2092" s="1" t="str">
        <f t="shared" si="32"/>
        <v>Consistent</v>
      </c>
      <c r="N2092" s="1" t="str">
        <f>_xlfn.XLOOKUP(H2092, risk_score!A:A, risk_score!B:B, 0)</f>
        <v>Low Risk</v>
      </c>
    </row>
    <row r="2093" spans="1:14">
      <c r="A2093" s="2">
        <v>0.49420138888888887</v>
      </c>
      <c r="B2093" s="3">
        <v>44841</v>
      </c>
      <c r="C2093" s="1">
        <v>1749781869</v>
      </c>
      <c r="D2093" s="1">
        <v>9444527519</v>
      </c>
      <c r="E2093" s="1">
        <v>19358.849999999999</v>
      </c>
      <c r="F2093" s="1" t="s">
        <v>29</v>
      </c>
      <c r="G2093" s="1" t="s">
        <v>12</v>
      </c>
      <c r="H2093" s="1" t="s">
        <v>31</v>
      </c>
      <c r="I2093" s="1" t="s">
        <v>13</v>
      </c>
      <c r="J2093" s="1" t="s">
        <v>18</v>
      </c>
      <c r="K2093" s="1">
        <v>0</v>
      </c>
      <c r="L2093" s="1" t="s">
        <v>21</v>
      </c>
      <c r="M2093" s="1" t="str">
        <f t="shared" si="32"/>
        <v>Potential Layering</v>
      </c>
      <c r="N2093" s="1" t="str">
        <f>_xlfn.XLOOKUP(H2093, risk_score!A:A, risk_score!B:B, 0)</f>
        <v>Low Risk</v>
      </c>
    </row>
    <row r="2094" spans="1:14">
      <c r="A2094" s="2">
        <v>0.49422453703703706</v>
      </c>
      <c r="B2094" s="3">
        <v>44841</v>
      </c>
      <c r="C2094" s="1">
        <v>2147527699</v>
      </c>
      <c r="D2094" s="1">
        <v>409707192</v>
      </c>
      <c r="E2094" s="1">
        <v>10584.76</v>
      </c>
      <c r="F2094" s="1" t="s">
        <v>12</v>
      </c>
      <c r="G2094" s="1" t="s">
        <v>12</v>
      </c>
      <c r="H2094" s="1" t="s">
        <v>13</v>
      </c>
      <c r="I2094" s="1" t="s">
        <v>13</v>
      </c>
      <c r="J2094" s="1" t="s">
        <v>20</v>
      </c>
      <c r="K2094" s="1">
        <v>0</v>
      </c>
      <c r="L2094" s="1" t="s">
        <v>23</v>
      </c>
      <c r="M2094" s="1" t="str">
        <f t="shared" si="32"/>
        <v>Consistent</v>
      </c>
      <c r="N2094" s="1" t="str">
        <f>_xlfn.XLOOKUP(H2094, risk_score!A:A, risk_score!B:B, 0)</f>
        <v>Low Risk</v>
      </c>
    </row>
    <row r="2095" spans="1:14">
      <c r="A2095" s="2">
        <v>0.49425925925925923</v>
      </c>
      <c r="B2095" s="3">
        <v>44841</v>
      </c>
      <c r="C2095" s="1">
        <v>8987848252</v>
      </c>
      <c r="D2095" s="1">
        <v>1566990579</v>
      </c>
      <c r="E2095" s="1">
        <v>5991.75</v>
      </c>
      <c r="F2095" s="1" t="s">
        <v>12</v>
      </c>
      <c r="G2095" s="1" t="s">
        <v>12</v>
      </c>
      <c r="H2095" s="1" t="s">
        <v>13</v>
      </c>
      <c r="I2095" s="1" t="s">
        <v>13</v>
      </c>
      <c r="J2095" s="1" t="s">
        <v>27</v>
      </c>
      <c r="K2095" s="1">
        <v>0</v>
      </c>
      <c r="L2095" s="1" t="s">
        <v>19</v>
      </c>
      <c r="M2095" s="1" t="str">
        <f t="shared" si="32"/>
        <v>Consistent</v>
      </c>
      <c r="N2095" s="1" t="str">
        <f>_xlfn.XLOOKUP(H2095, risk_score!A:A, risk_score!B:B, 0)</f>
        <v>Low Risk</v>
      </c>
    </row>
    <row r="2096" spans="1:14">
      <c r="A2096" s="2">
        <v>0.49425925925925923</v>
      </c>
      <c r="B2096" s="3">
        <v>44841</v>
      </c>
      <c r="C2096" s="1">
        <v>7254501473</v>
      </c>
      <c r="D2096" s="1">
        <v>9374252610</v>
      </c>
      <c r="E2096" s="1">
        <v>165.45</v>
      </c>
      <c r="F2096" s="1" t="s">
        <v>12</v>
      </c>
      <c r="G2096" s="1" t="s">
        <v>12</v>
      </c>
      <c r="H2096" s="1" t="s">
        <v>13</v>
      </c>
      <c r="I2096" s="1" t="s">
        <v>13</v>
      </c>
      <c r="J2096" s="1" t="s">
        <v>25</v>
      </c>
      <c r="K2096" s="1">
        <v>0</v>
      </c>
      <c r="L2096" s="1" t="s">
        <v>21</v>
      </c>
      <c r="M2096" s="1" t="str">
        <f t="shared" si="32"/>
        <v>Consistent</v>
      </c>
      <c r="N2096" s="1" t="str">
        <f>_xlfn.XLOOKUP(H2096, risk_score!A:A, risk_score!B:B, 0)</f>
        <v>Low Risk</v>
      </c>
    </row>
    <row r="2097" spans="1:14">
      <c r="A2097" s="2">
        <v>0.49425925925925923</v>
      </c>
      <c r="B2097" s="3">
        <v>44841</v>
      </c>
      <c r="C2097" s="1">
        <v>2417474563</v>
      </c>
      <c r="D2097" s="1">
        <v>5871061754</v>
      </c>
      <c r="E2097" s="1">
        <v>1702.65</v>
      </c>
      <c r="F2097" s="1" t="s">
        <v>12</v>
      </c>
      <c r="G2097" s="1" t="s">
        <v>12</v>
      </c>
      <c r="H2097" s="1" t="s">
        <v>13</v>
      </c>
      <c r="I2097" s="1" t="s">
        <v>13</v>
      </c>
      <c r="J2097" s="1" t="s">
        <v>20</v>
      </c>
      <c r="K2097" s="1">
        <v>0</v>
      </c>
      <c r="L2097" s="1" t="s">
        <v>21</v>
      </c>
      <c r="M2097" s="1" t="str">
        <f t="shared" si="32"/>
        <v>Consistent</v>
      </c>
      <c r="N2097" s="1" t="str">
        <f>_xlfn.XLOOKUP(H2097, risk_score!A:A, risk_score!B:B, 0)</f>
        <v>Low Risk</v>
      </c>
    </row>
    <row r="2098" spans="1:14">
      <c r="A2098" s="2">
        <v>0.49425925925925923</v>
      </c>
      <c r="B2098" s="3">
        <v>44841</v>
      </c>
      <c r="C2098" s="1">
        <v>1343121729</v>
      </c>
      <c r="D2098" s="1">
        <v>7080357663</v>
      </c>
      <c r="E2098" s="1">
        <v>8570.27</v>
      </c>
      <c r="F2098" s="1" t="s">
        <v>12</v>
      </c>
      <c r="G2098" s="1" t="s">
        <v>12</v>
      </c>
      <c r="H2098" s="1" t="s">
        <v>13</v>
      </c>
      <c r="I2098" s="1" t="s">
        <v>13</v>
      </c>
      <c r="J2098" s="1" t="s">
        <v>27</v>
      </c>
      <c r="K2098" s="1">
        <v>0</v>
      </c>
      <c r="L2098" s="1" t="s">
        <v>23</v>
      </c>
      <c r="M2098" s="1" t="str">
        <f t="shared" si="32"/>
        <v>Consistent</v>
      </c>
      <c r="N2098" s="1" t="str">
        <f>_xlfn.XLOOKUP(H2098, risk_score!A:A, risk_score!B:B, 0)</f>
        <v>Low Risk</v>
      </c>
    </row>
    <row r="2099" spans="1:14">
      <c r="A2099" s="2">
        <v>0.49427083333333333</v>
      </c>
      <c r="B2099" s="3">
        <v>44841</v>
      </c>
      <c r="C2099" s="1">
        <v>2562020395</v>
      </c>
      <c r="D2099" s="1">
        <v>1431561040</v>
      </c>
      <c r="E2099" s="1">
        <v>10041.549999999999</v>
      </c>
      <c r="F2099" s="1" t="s">
        <v>12</v>
      </c>
      <c r="G2099" s="1" t="s">
        <v>12</v>
      </c>
      <c r="H2099" s="1" t="s">
        <v>13</v>
      </c>
      <c r="I2099" s="1" t="s">
        <v>13</v>
      </c>
      <c r="J2099" s="1" t="s">
        <v>20</v>
      </c>
      <c r="K2099" s="1">
        <v>0</v>
      </c>
      <c r="L2099" s="1" t="s">
        <v>23</v>
      </c>
      <c r="M2099" s="1" t="str">
        <f t="shared" si="32"/>
        <v>Consistent</v>
      </c>
      <c r="N2099" s="1" t="str">
        <f>_xlfn.XLOOKUP(H2099, risk_score!A:A, risk_score!B:B, 0)</f>
        <v>Low Risk</v>
      </c>
    </row>
    <row r="2100" spans="1:14">
      <c r="A2100" s="2">
        <v>0.49427083333333333</v>
      </c>
      <c r="B2100" s="3">
        <v>44841</v>
      </c>
      <c r="C2100" s="1">
        <v>3911960239</v>
      </c>
      <c r="D2100" s="1">
        <v>3412110302</v>
      </c>
      <c r="E2100" s="1">
        <v>770.08</v>
      </c>
      <c r="F2100" s="1" t="s">
        <v>12</v>
      </c>
      <c r="G2100" s="1" t="s">
        <v>12</v>
      </c>
      <c r="H2100" s="1" t="s">
        <v>13</v>
      </c>
      <c r="I2100" s="1" t="s">
        <v>13</v>
      </c>
      <c r="J2100" s="1" t="s">
        <v>22</v>
      </c>
      <c r="K2100" s="1">
        <v>0</v>
      </c>
      <c r="L2100" s="1" t="s">
        <v>21</v>
      </c>
      <c r="M2100" s="1" t="str">
        <f t="shared" si="32"/>
        <v>Consistent</v>
      </c>
      <c r="N2100" s="1" t="str">
        <f>_xlfn.XLOOKUP(H2100, risk_score!A:A, risk_score!B:B, 0)</f>
        <v>Low Risk</v>
      </c>
    </row>
    <row r="2101" spans="1:14">
      <c r="A2101" s="2">
        <v>0.49427083333333333</v>
      </c>
      <c r="B2101" s="3">
        <v>44841</v>
      </c>
      <c r="C2101" s="1">
        <v>2826317502</v>
      </c>
      <c r="D2101" s="1">
        <v>4270865741</v>
      </c>
      <c r="E2101" s="1">
        <v>4898.8500000000004</v>
      </c>
      <c r="F2101" s="1" t="s">
        <v>12</v>
      </c>
      <c r="G2101" s="1" t="s">
        <v>59</v>
      </c>
      <c r="H2101" s="1" t="s">
        <v>13</v>
      </c>
      <c r="I2101" s="1" t="s">
        <v>13</v>
      </c>
      <c r="J2101" s="1" t="s">
        <v>27</v>
      </c>
      <c r="K2101" s="1">
        <v>0</v>
      </c>
      <c r="L2101" s="1" t="s">
        <v>23</v>
      </c>
      <c r="M2101" s="1" t="str">
        <f t="shared" si="32"/>
        <v>Potential Layering</v>
      </c>
      <c r="N2101" s="1" t="str">
        <f>_xlfn.XLOOKUP(H2101, risk_score!A:A, risk_score!B:B, 0)</f>
        <v>Low Risk</v>
      </c>
    </row>
    <row r="2102" spans="1:14">
      <c r="A2102" s="2">
        <v>0.49431712962962965</v>
      </c>
      <c r="B2102" s="3">
        <v>44841</v>
      </c>
      <c r="C2102" s="1">
        <v>2635590075</v>
      </c>
      <c r="D2102" s="1">
        <v>409707192</v>
      </c>
      <c r="E2102" s="1">
        <v>12073.38</v>
      </c>
      <c r="F2102" s="1" t="s">
        <v>12</v>
      </c>
      <c r="G2102" s="1" t="s">
        <v>12</v>
      </c>
      <c r="H2102" s="1" t="s">
        <v>13</v>
      </c>
      <c r="I2102" s="1" t="s">
        <v>13</v>
      </c>
      <c r="J2102" s="1" t="s">
        <v>22</v>
      </c>
      <c r="K2102" s="1">
        <v>0</v>
      </c>
      <c r="L2102" s="1" t="s">
        <v>23</v>
      </c>
      <c r="M2102" s="1" t="str">
        <f t="shared" si="32"/>
        <v>Consistent</v>
      </c>
      <c r="N2102" s="1" t="str">
        <f>_xlfn.XLOOKUP(H2102, risk_score!A:A, risk_score!B:B, 0)</f>
        <v>Low Risk</v>
      </c>
    </row>
    <row r="2103" spans="1:14">
      <c r="A2103" s="2">
        <v>0.49431712962962965</v>
      </c>
      <c r="B2103" s="3">
        <v>44841</v>
      </c>
      <c r="C2103" s="1">
        <v>5172996402</v>
      </c>
      <c r="D2103" s="1">
        <v>4733358932</v>
      </c>
      <c r="E2103" s="1">
        <v>4775.7700000000004</v>
      </c>
      <c r="F2103" s="1" t="s">
        <v>12</v>
      </c>
      <c r="G2103" s="1" t="s">
        <v>12</v>
      </c>
      <c r="H2103" s="1" t="s">
        <v>13</v>
      </c>
      <c r="I2103" s="1" t="s">
        <v>13</v>
      </c>
      <c r="J2103" s="1" t="s">
        <v>25</v>
      </c>
      <c r="K2103" s="1">
        <v>0</v>
      </c>
      <c r="L2103" s="1" t="s">
        <v>24</v>
      </c>
      <c r="M2103" s="1" t="str">
        <f t="shared" si="32"/>
        <v>Consistent</v>
      </c>
      <c r="N2103" s="1" t="str">
        <f>_xlfn.XLOOKUP(H2103, risk_score!A:A, risk_score!B:B, 0)</f>
        <v>Low Risk</v>
      </c>
    </row>
    <row r="2104" spans="1:14">
      <c r="A2104" s="2">
        <v>0.49432870370370369</v>
      </c>
      <c r="B2104" s="3">
        <v>44841</v>
      </c>
      <c r="C2104" s="1">
        <v>1906870112</v>
      </c>
      <c r="D2104" s="1">
        <v>3454351670</v>
      </c>
      <c r="E2104" s="1">
        <v>22192.639999999999</v>
      </c>
      <c r="F2104" s="1" t="s">
        <v>12</v>
      </c>
      <c r="G2104" s="1" t="s">
        <v>12</v>
      </c>
      <c r="H2104" s="1" t="s">
        <v>13</v>
      </c>
      <c r="I2104" s="1" t="s">
        <v>13</v>
      </c>
      <c r="J2104" s="1" t="s">
        <v>25</v>
      </c>
      <c r="K2104" s="1">
        <v>0</v>
      </c>
      <c r="L2104" s="1" t="s">
        <v>21</v>
      </c>
      <c r="M2104" s="1" t="str">
        <f t="shared" si="32"/>
        <v>Consistent</v>
      </c>
      <c r="N2104" s="1" t="str">
        <f>_xlfn.XLOOKUP(H2104, risk_score!A:A, risk_score!B:B, 0)</f>
        <v>Low Risk</v>
      </c>
    </row>
    <row r="2105" spans="1:14">
      <c r="A2105" s="2">
        <v>0.49432870370370369</v>
      </c>
      <c r="B2105" s="3">
        <v>44841</v>
      </c>
      <c r="C2105" s="1">
        <v>2365007895</v>
      </c>
      <c r="D2105" s="1">
        <v>6618026760</v>
      </c>
      <c r="E2105" s="1">
        <v>12108.77</v>
      </c>
      <c r="F2105" s="1" t="s">
        <v>12</v>
      </c>
      <c r="G2105" s="1" t="s">
        <v>12</v>
      </c>
      <c r="H2105" s="1" t="s">
        <v>13</v>
      </c>
      <c r="I2105" s="1" t="s">
        <v>13</v>
      </c>
      <c r="J2105" s="1" t="s">
        <v>22</v>
      </c>
      <c r="K2105" s="1">
        <v>0</v>
      </c>
      <c r="L2105" s="1" t="s">
        <v>19</v>
      </c>
      <c r="M2105" s="1" t="str">
        <f t="shared" si="32"/>
        <v>Consistent</v>
      </c>
      <c r="N2105" s="1" t="str">
        <f>_xlfn.XLOOKUP(H2105, risk_score!A:A, risk_score!B:B, 0)</f>
        <v>Low Risk</v>
      </c>
    </row>
    <row r="2106" spans="1:14">
      <c r="A2106" s="2">
        <v>0.49436342592592591</v>
      </c>
      <c r="B2106" s="3">
        <v>44841</v>
      </c>
      <c r="C2106" s="1">
        <v>4872382092</v>
      </c>
      <c r="D2106" s="1">
        <v>8194014332</v>
      </c>
      <c r="E2106" s="1">
        <v>704.14</v>
      </c>
      <c r="F2106" s="1" t="s">
        <v>12</v>
      </c>
      <c r="G2106" s="1" t="s">
        <v>12</v>
      </c>
      <c r="H2106" s="1" t="s">
        <v>13</v>
      </c>
      <c r="I2106" s="1" t="s">
        <v>13</v>
      </c>
      <c r="J2106" s="1" t="s">
        <v>20</v>
      </c>
      <c r="K2106" s="1">
        <v>0</v>
      </c>
      <c r="L2106" s="1" t="s">
        <v>21</v>
      </c>
      <c r="M2106" s="1" t="str">
        <f t="shared" si="32"/>
        <v>Consistent</v>
      </c>
      <c r="N2106" s="1" t="str">
        <f>_xlfn.XLOOKUP(H2106, risk_score!A:A, risk_score!B:B, 0)</f>
        <v>Low Risk</v>
      </c>
    </row>
    <row r="2107" spans="1:14">
      <c r="A2107" s="2">
        <v>0.49439814814814814</v>
      </c>
      <c r="B2107" s="3">
        <v>44841</v>
      </c>
      <c r="C2107" s="1">
        <v>1408017543</v>
      </c>
      <c r="D2107" s="1">
        <v>7721439181</v>
      </c>
      <c r="E2107" s="1">
        <v>455.08</v>
      </c>
      <c r="F2107" s="1" t="s">
        <v>12</v>
      </c>
      <c r="G2107" s="1" t="s">
        <v>12</v>
      </c>
      <c r="H2107" s="1" t="s">
        <v>13</v>
      </c>
      <c r="I2107" s="1" t="s">
        <v>13</v>
      </c>
      <c r="J2107" s="1" t="s">
        <v>27</v>
      </c>
      <c r="K2107" s="1">
        <v>0</v>
      </c>
      <c r="L2107" s="1" t="s">
        <v>21</v>
      </c>
      <c r="M2107" s="1" t="str">
        <f t="shared" si="32"/>
        <v>Consistent</v>
      </c>
      <c r="N2107" s="1" t="str">
        <f>_xlfn.XLOOKUP(H2107, risk_score!A:A, risk_score!B:B, 0)</f>
        <v>Low Risk</v>
      </c>
    </row>
    <row r="2108" spans="1:14">
      <c r="A2108" s="2">
        <v>0.49443287037037037</v>
      </c>
      <c r="B2108" s="3">
        <v>44841</v>
      </c>
      <c r="C2108" s="1">
        <v>7669236826</v>
      </c>
      <c r="D2108" s="1">
        <v>9616268671</v>
      </c>
      <c r="E2108" s="1">
        <v>10912.59</v>
      </c>
      <c r="F2108" s="1" t="s">
        <v>12</v>
      </c>
      <c r="G2108" s="1" t="s">
        <v>12</v>
      </c>
      <c r="H2108" s="1" t="s">
        <v>13</v>
      </c>
      <c r="I2108" s="1" t="s">
        <v>13</v>
      </c>
      <c r="J2108" s="1" t="s">
        <v>27</v>
      </c>
      <c r="K2108" s="1">
        <v>0</v>
      </c>
      <c r="L2108" s="1" t="s">
        <v>19</v>
      </c>
      <c r="M2108" s="1" t="str">
        <f t="shared" si="32"/>
        <v>Consistent</v>
      </c>
      <c r="N2108" s="1" t="str">
        <f>_xlfn.XLOOKUP(H2108, risk_score!A:A, risk_score!B:B, 0)</f>
        <v>Low Risk</v>
      </c>
    </row>
    <row r="2109" spans="1:14">
      <c r="A2109" s="2">
        <v>0.49449074074074073</v>
      </c>
      <c r="B2109" s="3">
        <v>44841</v>
      </c>
      <c r="C2109" s="1">
        <v>6086421020</v>
      </c>
      <c r="D2109" s="1">
        <v>2415686992</v>
      </c>
      <c r="E2109" s="1">
        <v>4608.12</v>
      </c>
      <c r="F2109" s="1" t="s">
        <v>12</v>
      </c>
      <c r="G2109" s="1" t="s">
        <v>12</v>
      </c>
      <c r="H2109" s="1" t="s">
        <v>13</v>
      </c>
      <c r="I2109" s="1" t="s">
        <v>13</v>
      </c>
      <c r="J2109" s="1" t="s">
        <v>27</v>
      </c>
      <c r="K2109" s="1">
        <v>0</v>
      </c>
      <c r="L2109" s="1" t="s">
        <v>19</v>
      </c>
      <c r="M2109" s="1" t="str">
        <f t="shared" si="32"/>
        <v>Consistent</v>
      </c>
      <c r="N2109" s="1" t="str">
        <f>_xlfn.XLOOKUP(H2109, risk_score!A:A, risk_score!B:B, 0)</f>
        <v>Low Risk</v>
      </c>
    </row>
    <row r="2110" spans="1:14">
      <c r="A2110" s="2">
        <v>0.49450231481481483</v>
      </c>
      <c r="B2110" s="3">
        <v>44841</v>
      </c>
      <c r="C2110" s="1">
        <v>2446473392</v>
      </c>
      <c r="D2110" s="1">
        <v>9746717132</v>
      </c>
      <c r="E2110" s="1">
        <v>500.46</v>
      </c>
      <c r="F2110" s="1" t="s">
        <v>12</v>
      </c>
      <c r="G2110" s="1" t="s">
        <v>12</v>
      </c>
      <c r="H2110" s="1" t="s">
        <v>13</v>
      </c>
      <c r="I2110" s="1" t="s">
        <v>13</v>
      </c>
      <c r="J2110" s="1" t="s">
        <v>27</v>
      </c>
      <c r="K2110" s="1">
        <v>0</v>
      </c>
      <c r="L2110" s="1" t="s">
        <v>21</v>
      </c>
      <c r="M2110" s="1" t="str">
        <f t="shared" si="32"/>
        <v>Consistent</v>
      </c>
      <c r="N2110" s="1" t="str">
        <f>_xlfn.XLOOKUP(H2110, risk_score!A:A, risk_score!B:B, 0)</f>
        <v>Low Risk</v>
      </c>
    </row>
    <row r="2111" spans="1:14">
      <c r="A2111" s="2">
        <v>0.49451388888888886</v>
      </c>
      <c r="B2111" s="3">
        <v>44841</v>
      </c>
      <c r="C2111" s="1">
        <v>7669236826</v>
      </c>
      <c r="D2111" s="1">
        <v>2685958910</v>
      </c>
      <c r="E2111" s="1">
        <v>4623.26</v>
      </c>
      <c r="F2111" s="1" t="s">
        <v>12</v>
      </c>
      <c r="G2111" s="1" t="s">
        <v>12</v>
      </c>
      <c r="H2111" s="1" t="s">
        <v>13</v>
      </c>
      <c r="I2111" s="1" t="s">
        <v>13</v>
      </c>
      <c r="J2111" s="1" t="s">
        <v>25</v>
      </c>
      <c r="K2111" s="1">
        <v>0</v>
      </c>
      <c r="L2111" s="1" t="s">
        <v>19</v>
      </c>
      <c r="M2111" s="1" t="str">
        <f t="shared" si="32"/>
        <v>Consistent</v>
      </c>
      <c r="N2111" s="1" t="str">
        <f>_xlfn.XLOOKUP(H2111, risk_score!A:A, risk_score!B:B, 0)</f>
        <v>Low Risk</v>
      </c>
    </row>
    <row r="2112" spans="1:14">
      <c r="A2112" s="2">
        <v>0.49454861111111109</v>
      </c>
      <c r="B2112" s="3">
        <v>44841</v>
      </c>
      <c r="C2112" s="1">
        <v>9564509128</v>
      </c>
      <c r="D2112" s="1">
        <v>1331695059</v>
      </c>
      <c r="E2112" s="1">
        <v>7656.13</v>
      </c>
      <c r="F2112" s="1" t="s">
        <v>12</v>
      </c>
      <c r="G2112" s="1" t="s">
        <v>12</v>
      </c>
      <c r="H2112" s="1" t="s">
        <v>13</v>
      </c>
      <c r="I2112" s="1" t="s">
        <v>13</v>
      </c>
      <c r="J2112" s="1" t="s">
        <v>25</v>
      </c>
      <c r="K2112" s="1">
        <v>0</v>
      </c>
      <c r="L2112" s="1" t="s">
        <v>24</v>
      </c>
      <c r="M2112" s="1" t="str">
        <f t="shared" si="32"/>
        <v>Consistent</v>
      </c>
      <c r="N2112" s="1" t="str">
        <f>_xlfn.XLOOKUP(H2112, risk_score!A:A, risk_score!B:B, 0)</f>
        <v>Low Risk</v>
      </c>
    </row>
    <row r="2113" spans="1:14">
      <c r="A2113" s="2">
        <v>0.49456018518518519</v>
      </c>
      <c r="B2113" s="3">
        <v>44841</v>
      </c>
      <c r="C2113" s="1">
        <v>3863159903</v>
      </c>
      <c r="D2113" s="1">
        <v>2177044140</v>
      </c>
      <c r="E2113" s="1">
        <v>260.93</v>
      </c>
      <c r="F2113" s="1" t="s">
        <v>12</v>
      </c>
      <c r="G2113" s="1" t="s">
        <v>12</v>
      </c>
      <c r="H2113" s="1" t="s">
        <v>13</v>
      </c>
      <c r="I2113" s="1" t="s">
        <v>13</v>
      </c>
      <c r="J2113" s="1" t="s">
        <v>27</v>
      </c>
      <c r="K2113" s="1">
        <v>0</v>
      </c>
      <c r="L2113" s="1" t="s">
        <v>24</v>
      </c>
      <c r="M2113" s="1" t="str">
        <f t="shared" si="32"/>
        <v>Consistent</v>
      </c>
      <c r="N2113" s="1" t="str">
        <f>_xlfn.XLOOKUP(H2113, risk_score!A:A, risk_score!B:B, 0)</f>
        <v>Low Risk</v>
      </c>
    </row>
    <row r="2114" spans="1:14">
      <c r="A2114" s="2">
        <v>0.49457175925925928</v>
      </c>
      <c r="B2114" s="3">
        <v>44841</v>
      </c>
      <c r="C2114" s="1">
        <v>2994919804</v>
      </c>
      <c r="D2114" s="1">
        <v>4190110489</v>
      </c>
      <c r="E2114" s="1">
        <v>3222.98</v>
      </c>
      <c r="F2114" s="1" t="s">
        <v>12</v>
      </c>
      <c r="G2114" s="1" t="s">
        <v>12</v>
      </c>
      <c r="H2114" s="1" t="s">
        <v>13</v>
      </c>
      <c r="I2114" s="1" t="s">
        <v>13</v>
      </c>
      <c r="J2114" s="1" t="s">
        <v>25</v>
      </c>
      <c r="K2114" s="1">
        <v>0</v>
      </c>
      <c r="L2114" s="1" t="s">
        <v>21</v>
      </c>
      <c r="M2114" s="1" t="str">
        <f t="shared" si="32"/>
        <v>Consistent</v>
      </c>
      <c r="N2114" s="1" t="str">
        <f>_xlfn.XLOOKUP(H2114, risk_score!A:A, risk_score!B:B, 0)</f>
        <v>Low Risk</v>
      </c>
    </row>
    <row r="2115" spans="1:14">
      <c r="A2115" s="2">
        <v>0.49459490740740741</v>
      </c>
      <c r="B2115" s="3">
        <v>44841</v>
      </c>
      <c r="C2115" s="1">
        <v>9961199226</v>
      </c>
      <c r="D2115" s="1">
        <v>447333678</v>
      </c>
      <c r="E2115" s="1">
        <v>281.66000000000003</v>
      </c>
      <c r="F2115" s="1" t="s">
        <v>12</v>
      </c>
      <c r="G2115" s="1" t="s">
        <v>12</v>
      </c>
      <c r="H2115" s="1" t="s">
        <v>13</v>
      </c>
      <c r="I2115" s="1" t="s">
        <v>13</v>
      </c>
      <c r="J2115" s="1" t="s">
        <v>14</v>
      </c>
      <c r="K2115" s="1">
        <v>0</v>
      </c>
      <c r="L2115" s="1" t="s">
        <v>15</v>
      </c>
      <c r="M2115" s="1" t="str">
        <f t="shared" ref="M2115:M2178" si="33">IF(F2115=G2115, "Consistent", "Potential Layering")</f>
        <v>Consistent</v>
      </c>
      <c r="N2115" s="1" t="str">
        <f>_xlfn.XLOOKUP(H2115, risk_score!A:A, risk_score!B:B, 0)</f>
        <v>Low Risk</v>
      </c>
    </row>
    <row r="2116" spans="1:14">
      <c r="A2116" s="2">
        <v>0.49461805555555555</v>
      </c>
      <c r="B2116" s="3">
        <v>44841</v>
      </c>
      <c r="C2116" s="1">
        <v>8456279067</v>
      </c>
      <c r="D2116" s="1">
        <v>8073790137</v>
      </c>
      <c r="E2116" s="1">
        <v>9794</v>
      </c>
      <c r="F2116" s="1" t="s">
        <v>12</v>
      </c>
      <c r="G2116" s="1" t="s">
        <v>29</v>
      </c>
      <c r="H2116" s="1" t="s">
        <v>13</v>
      </c>
      <c r="I2116" s="1" t="s">
        <v>50</v>
      </c>
      <c r="J2116" s="1" t="s">
        <v>18</v>
      </c>
      <c r="K2116" s="1">
        <v>0</v>
      </c>
      <c r="L2116" s="1" t="s">
        <v>19</v>
      </c>
      <c r="M2116" s="1" t="str">
        <f t="shared" si="33"/>
        <v>Potential Layering</v>
      </c>
      <c r="N2116" s="1" t="str">
        <f>_xlfn.XLOOKUP(H2116, risk_score!A:A, risk_score!B:B, 0)</f>
        <v>Low Risk</v>
      </c>
    </row>
    <row r="2117" spans="1:14">
      <c r="A2117" s="2">
        <v>0.49462962962962964</v>
      </c>
      <c r="B2117" s="3">
        <v>44841</v>
      </c>
      <c r="C2117" s="1">
        <v>5325117002</v>
      </c>
      <c r="D2117" s="1">
        <v>4173195094</v>
      </c>
      <c r="E2117" s="1">
        <v>16896.75</v>
      </c>
      <c r="F2117" s="1" t="s">
        <v>12</v>
      </c>
      <c r="G2117" s="1" t="s">
        <v>12</v>
      </c>
      <c r="H2117" s="1" t="s">
        <v>13</v>
      </c>
      <c r="I2117" s="1" t="s">
        <v>13</v>
      </c>
      <c r="J2117" s="1" t="s">
        <v>22</v>
      </c>
      <c r="K2117" s="1">
        <v>0</v>
      </c>
      <c r="L2117" s="1" t="s">
        <v>23</v>
      </c>
      <c r="M2117" s="1" t="str">
        <f t="shared" si="33"/>
        <v>Consistent</v>
      </c>
      <c r="N2117" s="1" t="str">
        <f>_xlfn.XLOOKUP(H2117, risk_score!A:A, risk_score!B:B, 0)</f>
        <v>Low Risk</v>
      </c>
    </row>
    <row r="2118" spans="1:14">
      <c r="A2118" s="2">
        <v>0.49466435185185187</v>
      </c>
      <c r="B2118" s="3">
        <v>44841</v>
      </c>
      <c r="C2118" s="1">
        <v>9195060952</v>
      </c>
      <c r="D2118" s="1">
        <v>4270865741</v>
      </c>
      <c r="E2118" s="1">
        <v>12660.06</v>
      </c>
      <c r="F2118" s="1" t="s">
        <v>12</v>
      </c>
      <c r="G2118" s="1" t="s">
        <v>12</v>
      </c>
      <c r="H2118" s="1" t="s">
        <v>13</v>
      </c>
      <c r="I2118" s="1" t="s">
        <v>13</v>
      </c>
      <c r="J2118" s="1" t="s">
        <v>25</v>
      </c>
      <c r="K2118" s="1">
        <v>0</v>
      </c>
      <c r="L2118" s="1" t="s">
        <v>23</v>
      </c>
      <c r="M2118" s="1" t="str">
        <f t="shared" si="33"/>
        <v>Consistent</v>
      </c>
      <c r="N2118" s="1" t="str">
        <f>_xlfn.XLOOKUP(H2118, risk_score!A:A, risk_score!B:B, 0)</f>
        <v>Low Risk</v>
      </c>
    </row>
    <row r="2119" spans="1:14">
      <c r="A2119" s="2">
        <v>0.49466435185185187</v>
      </c>
      <c r="B2119" s="3">
        <v>44841</v>
      </c>
      <c r="C2119" s="1">
        <v>9432765156</v>
      </c>
      <c r="D2119" s="1">
        <v>5038793092</v>
      </c>
      <c r="E2119" s="1">
        <v>2187.1</v>
      </c>
      <c r="F2119" s="1" t="s">
        <v>12</v>
      </c>
      <c r="G2119" s="1" t="s">
        <v>12</v>
      </c>
      <c r="H2119" s="1" t="s">
        <v>13</v>
      </c>
      <c r="I2119" s="1" t="s">
        <v>13</v>
      </c>
      <c r="J2119" s="1" t="s">
        <v>14</v>
      </c>
      <c r="K2119" s="1">
        <v>0</v>
      </c>
      <c r="L2119" s="1" t="s">
        <v>15</v>
      </c>
      <c r="M2119" s="1" t="str">
        <f t="shared" si="33"/>
        <v>Consistent</v>
      </c>
      <c r="N2119" s="1" t="str">
        <f>_xlfn.XLOOKUP(H2119, risk_score!A:A, risk_score!B:B, 0)</f>
        <v>Low Risk</v>
      </c>
    </row>
    <row r="2120" spans="1:14">
      <c r="A2120" s="2">
        <v>0.4946990740740741</v>
      </c>
      <c r="B2120" s="3">
        <v>44841</v>
      </c>
      <c r="C2120" s="1">
        <v>3026980368</v>
      </c>
      <c r="D2120" s="1">
        <v>1831167428</v>
      </c>
      <c r="E2120" s="1">
        <v>396.33</v>
      </c>
      <c r="F2120" s="1" t="s">
        <v>12</v>
      </c>
      <c r="G2120" s="1" t="s">
        <v>12</v>
      </c>
      <c r="H2120" s="1" t="s">
        <v>13</v>
      </c>
      <c r="I2120" s="1" t="s">
        <v>13</v>
      </c>
      <c r="J2120" s="1" t="s">
        <v>22</v>
      </c>
      <c r="K2120" s="1">
        <v>0</v>
      </c>
      <c r="L2120" s="1" t="s">
        <v>21</v>
      </c>
      <c r="M2120" s="1" t="str">
        <f t="shared" si="33"/>
        <v>Consistent</v>
      </c>
      <c r="N2120" s="1" t="str">
        <f>_xlfn.XLOOKUP(H2120, risk_score!A:A, risk_score!B:B, 0)</f>
        <v>Low Risk</v>
      </c>
    </row>
    <row r="2121" spans="1:14">
      <c r="A2121" s="2">
        <v>0.49471064814814814</v>
      </c>
      <c r="B2121" s="3">
        <v>44841</v>
      </c>
      <c r="C2121" s="1">
        <v>744181055</v>
      </c>
      <c r="D2121" s="1">
        <v>6514567123</v>
      </c>
      <c r="E2121" s="1">
        <v>1966.06</v>
      </c>
      <c r="F2121" s="1" t="s">
        <v>12</v>
      </c>
      <c r="G2121" s="1" t="s">
        <v>12</v>
      </c>
      <c r="H2121" s="1" t="s">
        <v>13</v>
      </c>
      <c r="I2121" s="1" t="s">
        <v>13</v>
      </c>
      <c r="J2121" s="1" t="s">
        <v>20</v>
      </c>
      <c r="K2121" s="1">
        <v>0</v>
      </c>
      <c r="L2121" s="1" t="s">
        <v>21</v>
      </c>
      <c r="M2121" s="1" t="str">
        <f t="shared" si="33"/>
        <v>Consistent</v>
      </c>
      <c r="N2121" s="1" t="str">
        <f>_xlfn.XLOOKUP(H2121, risk_score!A:A, risk_score!B:B, 0)</f>
        <v>Low Risk</v>
      </c>
    </row>
    <row r="2122" spans="1:14">
      <c r="A2122" s="2">
        <v>0.49473379629629627</v>
      </c>
      <c r="B2122" s="3">
        <v>44841</v>
      </c>
      <c r="C2122" s="1">
        <v>1988222610</v>
      </c>
      <c r="D2122" s="1">
        <v>7065240535</v>
      </c>
      <c r="E2122" s="1">
        <v>3655.4</v>
      </c>
      <c r="F2122" s="1" t="s">
        <v>12</v>
      </c>
      <c r="G2122" s="1" t="s">
        <v>12</v>
      </c>
      <c r="H2122" s="1" t="s">
        <v>13</v>
      </c>
      <c r="I2122" s="1" t="s">
        <v>13</v>
      </c>
      <c r="J2122" s="1" t="s">
        <v>25</v>
      </c>
      <c r="K2122" s="1">
        <v>0</v>
      </c>
      <c r="L2122" s="1" t="s">
        <v>21</v>
      </c>
      <c r="M2122" s="1" t="str">
        <f t="shared" si="33"/>
        <v>Consistent</v>
      </c>
      <c r="N2122" s="1" t="str">
        <f>_xlfn.XLOOKUP(H2122, risk_score!A:A, risk_score!B:B, 0)</f>
        <v>Low Risk</v>
      </c>
    </row>
    <row r="2123" spans="1:14">
      <c r="A2123" s="2">
        <v>0.49474537037037036</v>
      </c>
      <c r="B2123" s="3">
        <v>44841</v>
      </c>
      <c r="C2123" s="1">
        <v>4473603019</v>
      </c>
      <c r="D2123" s="1">
        <v>4290665757</v>
      </c>
      <c r="E2123" s="1">
        <v>702.83</v>
      </c>
      <c r="F2123" s="1" t="s">
        <v>12</v>
      </c>
      <c r="G2123" s="1" t="s">
        <v>12</v>
      </c>
      <c r="H2123" s="1" t="s">
        <v>13</v>
      </c>
      <c r="I2123" s="1" t="s">
        <v>13</v>
      </c>
      <c r="J2123" s="1" t="s">
        <v>27</v>
      </c>
      <c r="K2123" s="1">
        <v>0</v>
      </c>
      <c r="L2123" s="1" t="s">
        <v>21</v>
      </c>
      <c r="M2123" s="1" t="str">
        <f t="shared" si="33"/>
        <v>Consistent</v>
      </c>
      <c r="N2123" s="1" t="str">
        <f>_xlfn.XLOOKUP(H2123, risk_score!A:A, risk_score!B:B, 0)</f>
        <v>Low Risk</v>
      </c>
    </row>
    <row r="2124" spans="1:14">
      <c r="A2124" s="2">
        <v>0.49481481481481482</v>
      </c>
      <c r="B2124" s="3">
        <v>44841</v>
      </c>
      <c r="C2124" s="1">
        <v>4004929488</v>
      </c>
      <c r="D2124" s="1">
        <v>7248277483</v>
      </c>
      <c r="E2124" s="1">
        <v>355.69</v>
      </c>
      <c r="F2124" s="1" t="s">
        <v>12</v>
      </c>
      <c r="G2124" s="1" t="s">
        <v>12</v>
      </c>
      <c r="H2124" s="1" t="s">
        <v>13</v>
      </c>
      <c r="I2124" s="1" t="s">
        <v>13</v>
      </c>
      <c r="J2124" s="1" t="s">
        <v>14</v>
      </c>
      <c r="K2124" s="1">
        <v>0</v>
      </c>
      <c r="L2124" s="1" t="s">
        <v>15</v>
      </c>
      <c r="M2124" s="1" t="str">
        <f t="shared" si="33"/>
        <v>Consistent</v>
      </c>
      <c r="N2124" s="1" t="str">
        <f>_xlfn.XLOOKUP(H2124, risk_score!A:A, risk_score!B:B, 0)</f>
        <v>Low Risk</v>
      </c>
    </row>
    <row r="2125" spans="1:14">
      <c r="A2125" s="2">
        <v>0.49484953703703705</v>
      </c>
      <c r="B2125" s="3">
        <v>44841</v>
      </c>
      <c r="C2125" s="1">
        <v>2783631302</v>
      </c>
      <c r="D2125" s="1">
        <v>6429347750</v>
      </c>
      <c r="E2125" s="1">
        <v>1789.73</v>
      </c>
      <c r="F2125" s="1" t="s">
        <v>12</v>
      </c>
      <c r="G2125" s="1" t="s">
        <v>12</v>
      </c>
      <c r="H2125" s="1" t="s">
        <v>13</v>
      </c>
      <c r="I2125" s="1" t="s">
        <v>13</v>
      </c>
      <c r="J2125" s="1" t="s">
        <v>20</v>
      </c>
      <c r="K2125" s="1">
        <v>0</v>
      </c>
      <c r="L2125" s="1" t="s">
        <v>21</v>
      </c>
      <c r="M2125" s="1" t="str">
        <f t="shared" si="33"/>
        <v>Consistent</v>
      </c>
      <c r="N2125" s="1" t="str">
        <f>_xlfn.XLOOKUP(H2125, risk_score!A:A, risk_score!B:B, 0)</f>
        <v>Low Risk</v>
      </c>
    </row>
    <row r="2126" spans="1:14">
      <c r="A2126" s="2">
        <v>0.49486111111111108</v>
      </c>
      <c r="B2126" s="3">
        <v>44841</v>
      </c>
      <c r="C2126" s="1">
        <v>7758268667</v>
      </c>
      <c r="D2126" s="1">
        <v>5402206630</v>
      </c>
      <c r="E2126" s="1">
        <v>6187.22</v>
      </c>
      <c r="F2126" s="1" t="s">
        <v>12</v>
      </c>
      <c r="G2126" s="1" t="s">
        <v>12</v>
      </c>
      <c r="H2126" s="1" t="s">
        <v>13</v>
      </c>
      <c r="I2126" s="1" t="s">
        <v>13</v>
      </c>
      <c r="J2126" s="1" t="s">
        <v>20</v>
      </c>
      <c r="K2126" s="1">
        <v>0</v>
      </c>
      <c r="L2126" s="1" t="s">
        <v>19</v>
      </c>
      <c r="M2126" s="1" t="str">
        <f t="shared" si="33"/>
        <v>Consistent</v>
      </c>
      <c r="N2126" s="1" t="str">
        <f>_xlfn.XLOOKUP(H2126, risk_score!A:A, risk_score!B:B, 0)</f>
        <v>Low Risk</v>
      </c>
    </row>
    <row r="2127" spans="1:14">
      <c r="A2127" s="2">
        <v>0.49488425925925927</v>
      </c>
      <c r="B2127" s="3">
        <v>44841</v>
      </c>
      <c r="C2127" s="1">
        <v>8456279067</v>
      </c>
      <c r="D2127" s="1">
        <v>3681770380</v>
      </c>
      <c r="E2127" s="1">
        <v>22203.74</v>
      </c>
      <c r="F2127" s="1" t="s">
        <v>12</v>
      </c>
      <c r="G2127" s="1" t="s">
        <v>12</v>
      </c>
      <c r="H2127" s="1" t="s">
        <v>13</v>
      </c>
      <c r="I2127" s="1" t="s">
        <v>13</v>
      </c>
      <c r="J2127" s="1" t="s">
        <v>25</v>
      </c>
      <c r="K2127" s="1">
        <v>0</v>
      </c>
      <c r="L2127" s="1" t="s">
        <v>19</v>
      </c>
      <c r="M2127" s="1" t="str">
        <f t="shared" si="33"/>
        <v>Consistent</v>
      </c>
      <c r="N2127" s="1" t="str">
        <f>_xlfn.XLOOKUP(H2127, risk_score!A:A, risk_score!B:B, 0)</f>
        <v>Low Risk</v>
      </c>
    </row>
    <row r="2128" spans="1:14">
      <c r="A2128" s="2">
        <v>0.49490740740740741</v>
      </c>
      <c r="B2128" s="3">
        <v>44841</v>
      </c>
      <c r="C2128" s="1">
        <v>5102332193</v>
      </c>
      <c r="D2128" s="1">
        <v>1888355050</v>
      </c>
      <c r="E2128" s="1">
        <v>7805.98</v>
      </c>
      <c r="F2128" s="1" t="s">
        <v>12</v>
      </c>
      <c r="G2128" s="1" t="s">
        <v>12</v>
      </c>
      <c r="H2128" s="1" t="s">
        <v>13</v>
      </c>
      <c r="I2128" s="1" t="s">
        <v>13</v>
      </c>
      <c r="J2128" s="1" t="s">
        <v>25</v>
      </c>
      <c r="K2128" s="1">
        <v>0</v>
      </c>
      <c r="L2128" s="1" t="s">
        <v>21</v>
      </c>
      <c r="M2128" s="1" t="str">
        <f t="shared" si="33"/>
        <v>Consistent</v>
      </c>
      <c r="N2128" s="1" t="str">
        <f>_xlfn.XLOOKUP(H2128, risk_score!A:A, risk_score!B:B, 0)</f>
        <v>Low Risk</v>
      </c>
    </row>
    <row r="2129" spans="1:14">
      <c r="A2129" s="2">
        <v>0.49493055555555554</v>
      </c>
      <c r="B2129" s="3">
        <v>44841</v>
      </c>
      <c r="C2129" s="1">
        <v>8389148416</v>
      </c>
      <c r="D2129" s="1">
        <v>721717864</v>
      </c>
      <c r="E2129" s="1">
        <v>17081.759999999998</v>
      </c>
      <c r="F2129" s="1" t="s">
        <v>12</v>
      </c>
      <c r="G2129" s="1" t="s">
        <v>12</v>
      </c>
      <c r="H2129" s="1" t="s">
        <v>13</v>
      </c>
      <c r="I2129" s="1" t="s">
        <v>13</v>
      </c>
      <c r="J2129" s="1" t="s">
        <v>27</v>
      </c>
      <c r="K2129" s="1">
        <v>0</v>
      </c>
      <c r="L2129" s="1" t="s">
        <v>19</v>
      </c>
      <c r="M2129" s="1" t="str">
        <f t="shared" si="33"/>
        <v>Consistent</v>
      </c>
      <c r="N2129" s="1" t="str">
        <f>_xlfn.XLOOKUP(H2129, risk_score!A:A, risk_score!B:B, 0)</f>
        <v>Low Risk</v>
      </c>
    </row>
    <row r="2130" spans="1:14">
      <c r="A2130" s="2">
        <v>0.49493055555555554</v>
      </c>
      <c r="B2130" s="3">
        <v>44841</v>
      </c>
      <c r="C2130" s="1">
        <v>1830078831</v>
      </c>
      <c r="D2130" s="1">
        <v>7160736915</v>
      </c>
      <c r="E2130" s="1">
        <v>10314.99</v>
      </c>
      <c r="F2130" s="1" t="s">
        <v>12</v>
      </c>
      <c r="G2130" s="1" t="s">
        <v>12</v>
      </c>
      <c r="H2130" s="1" t="s">
        <v>13</v>
      </c>
      <c r="I2130" s="1" t="s">
        <v>13</v>
      </c>
      <c r="J2130" s="1" t="s">
        <v>25</v>
      </c>
      <c r="K2130" s="1">
        <v>0</v>
      </c>
      <c r="L2130" s="1" t="s">
        <v>23</v>
      </c>
      <c r="M2130" s="1" t="str">
        <f t="shared" si="33"/>
        <v>Consistent</v>
      </c>
      <c r="N2130" s="1" t="str">
        <f>_xlfn.XLOOKUP(H2130, risk_score!A:A, risk_score!B:B, 0)</f>
        <v>Low Risk</v>
      </c>
    </row>
    <row r="2131" spans="1:14">
      <c r="A2131" s="2">
        <v>0.49497685185185186</v>
      </c>
      <c r="B2131" s="3">
        <v>44841</v>
      </c>
      <c r="C2131" s="1">
        <v>461573471</v>
      </c>
      <c r="D2131" s="1">
        <v>9054988654</v>
      </c>
      <c r="E2131" s="1">
        <v>1961.38</v>
      </c>
      <c r="F2131" s="1" t="s">
        <v>12</v>
      </c>
      <c r="G2131" s="1" t="s">
        <v>59</v>
      </c>
      <c r="H2131" s="1" t="s">
        <v>13</v>
      </c>
      <c r="I2131" s="1" t="s">
        <v>60</v>
      </c>
      <c r="J2131" s="1" t="s">
        <v>18</v>
      </c>
      <c r="K2131" s="1">
        <v>0</v>
      </c>
      <c r="L2131" s="1" t="s">
        <v>21</v>
      </c>
      <c r="M2131" s="1" t="str">
        <f t="shared" si="33"/>
        <v>Potential Layering</v>
      </c>
      <c r="N2131" s="1" t="str">
        <f>_xlfn.XLOOKUP(H2131, risk_score!A:A, risk_score!B:B, 0)</f>
        <v>Low Risk</v>
      </c>
    </row>
    <row r="2132" spans="1:14">
      <c r="A2132" s="2">
        <v>0.4949884259259259</v>
      </c>
      <c r="B2132" s="3">
        <v>44841</v>
      </c>
      <c r="C2132" s="1">
        <v>7148994883</v>
      </c>
      <c r="D2132" s="1">
        <v>8167867204</v>
      </c>
      <c r="E2132" s="1">
        <v>15.74</v>
      </c>
      <c r="F2132" s="1" t="s">
        <v>12</v>
      </c>
      <c r="G2132" s="1" t="s">
        <v>12</v>
      </c>
      <c r="H2132" s="1" t="s">
        <v>13</v>
      </c>
      <c r="I2132" s="1" t="s">
        <v>13</v>
      </c>
      <c r="J2132" s="1" t="s">
        <v>36</v>
      </c>
      <c r="K2132" s="1">
        <v>0</v>
      </c>
      <c r="L2132" s="1" t="s">
        <v>37</v>
      </c>
      <c r="M2132" s="1" t="str">
        <f t="shared" si="33"/>
        <v>Consistent</v>
      </c>
      <c r="N2132" s="1" t="str">
        <f>_xlfn.XLOOKUP(H2132, risk_score!A:A, risk_score!B:B, 0)</f>
        <v>Low Risk</v>
      </c>
    </row>
    <row r="2133" spans="1:14">
      <c r="A2133" s="2">
        <v>0.49504629629629632</v>
      </c>
      <c r="B2133" s="3">
        <v>44841</v>
      </c>
      <c r="C2133" s="1">
        <v>8947109197</v>
      </c>
      <c r="D2133" s="1">
        <v>470662585</v>
      </c>
      <c r="E2133" s="1">
        <v>6756.93</v>
      </c>
      <c r="F2133" s="1" t="s">
        <v>12</v>
      </c>
      <c r="G2133" s="1" t="s">
        <v>12</v>
      </c>
      <c r="H2133" s="1" t="s">
        <v>13</v>
      </c>
      <c r="I2133" s="1" t="s">
        <v>13</v>
      </c>
      <c r="J2133" s="1" t="s">
        <v>27</v>
      </c>
      <c r="K2133" s="1">
        <v>0</v>
      </c>
      <c r="L2133" s="1" t="s">
        <v>21</v>
      </c>
      <c r="M2133" s="1" t="str">
        <f t="shared" si="33"/>
        <v>Consistent</v>
      </c>
      <c r="N2133" s="1" t="str">
        <f>_xlfn.XLOOKUP(H2133, risk_score!A:A, risk_score!B:B, 0)</f>
        <v>Low Risk</v>
      </c>
    </row>
    <row r="2134" spans="1:14">
      <c r="A2134" s="2">
        <v>0.49509259259259258</v>
      </c>
      <c r="B2134" s="3">
        <v>44841</v>
      </c>
      <c r="C2134" s="1">
        <v>5410669372</v>
      </c>
      <c r="D2134" s="1">
        <v>9190187702</v>
      </c>
      <c r="E2134" s="1">
        <v>13029.89</v>
      </c>
      <c r="F2134" s="1" t="s">
        <v>12</v>
      </c>
      <c r="G2134" s="1" t="s">
        <v>12</v>
      </c>
      <c r="H2134" s="1" t="s">
        <v>13</v>
      </c>
      <c r="I2134" s="1" t="s">
        <v>13</v>
      </c>
      <c r="J2134" s="1" t="s">
        <v>25</v>
      </c>
      <c r="K2134" s="1">
        <v>0</v>
      </c>
      <c r="L2134" s="1" t="s">
        <v>21</v>
      </c>
      <c r="M2134" s="1" t="str">
        <f t="shared" si="33"/>
        <v>Consistent</v>
      </c>
      <c r="N2134" s="1" t="str">
        <f>_xlfn.XLOOKUP(H2134, risk_score!A:A, risk_score!B:B, 0)</f>
        <v>Low Risk</v>
      </c>
    </row>
    <row r="2135" spans="1:14">
      <c r="A2135" s="2">
        <v>0.49509259259259258</v>
      </c>
      <c r="B2135" s="3">
        <v>44841</v>
      </c>
      <c r="C2135" s="1">
        <v>5804227223</v>
      </c>
      <c r="D2135" s="1">
        <v>1799256695</v>
      </c>
      <c r="E2135" s="1">
        <v>1058.77</v>
      </c>
      <c r="F2135" s="1" t="s">
        <v>12</v>
      </c>
      <c r="G2135" s="1" t="s">
        <v>12</v>
      </c>
      <c r="H2135" s="1" t="s">
        <v>13</v>
      </c>
      <c r="I2135" s="1" t="s">
        <v>13</v>
      </c>
      <c r="J2135" s="1" t="s">
        <v>22</v>
      </c>
      <c r="K2135" s="1">
        <v>0</v>
      </c>
      <c r="L2135" s="1" t="s">
        <v>21</v>
      </c>
      <c r="M2135" s="1" t="str">
        <f t="shared" si="33"/>
        <v>Consistent</v>
      </c>
      <c r="N2135" s="1" t="str">
        <f>_xlfn.XLOOKUP(H2135, risk_score!A:A, risk_score!B:B, 0)</f>
        <v>Low Risk</v>
      </c>
    </row>
    <row r="2136" spans="1:14">
      <c r="A2136" s="2">
        <v>0.49509259259259258</v>
      </c>
      <c r="B2136" s="3">
        <v>44841</v>
      </c>
      <c r="C2136" s="1">
        <v>3585007059</v>
      </c>
      <c r="D2136" s="1">
        <v>1154185656</v>
      </c>
      <c r="E2136" s="1">
        <v>762.96</v>
      </c>
      <c r="F2136" s="1" t="s">
        <v>12</v>
      </c>
      <c r="G2136" s="1" t="s">
        <v>12</v>
      </c>
      <c r="H2136" s="1" t="s">
        <v>13</v>
      </c>
      <c r="I2136" s="1" t="s">
        <v>13</v>
      </c>
      <c r="J2136" s="1" t="s">
        <v>27</v>
      </c>
      <c r="K2136" s="1">
        <v>0</v>
      </c>
      <c r="L2136" s="1" t="s">
        <v>21</v>
      </c>
      <c r="M2136" s="1" t="str">
        <f t="shared" si="33"/>
        <v>Consistent</v>
      </c>
      <c r="N2136" s="1" t="str">
        <f>_xlfn.XLOOKUP(H2136, risk_score!A:A, risk_score!B:B, 0)</f>
        <v>Low Risk</v>
      </c>
    </row>
    <row r="2137" spans="1:14">
      <c r="A2137" s="2">
        <v>0.49513888888888891</v>
      </c>
      <c r="B2137" s="3">
        <v>44841</v>
      </c>
      <c r="C2137" s="1">
        <v>2012985537</v>
      </c>
      <c r="D2137" s="1">
        <v>572388193</v>
      </c>
      <c r="E2137" s="1">
        <v>417.08</v>
      </c>
      <c r="F2137" s="1" t="s">
        <v>12</v>
      </c>
      <c r="G2137" s="1" t="s">
        <v>12</v>
      </c>
      <c r="H2137" s="1" t="s">
        <v>13</v>
      </c>
      <c r="I2137" s="1" t="s">
        <v>13</v>
      </c>
      <c r="J2137" s="1" t="s">
        <v>25</v>
      </c>
      <c r="K2137" s="1">
        <v>0</v>
      </c>
      <c r="L2137" s="1" t="s">
        <v>21</v>
      </c>
      <c r="M2137" s="1" t="str">
        <f t="shared" si="33"/>
        <v>Consistent</v>
      </c>
      <c r="N2137" s="1" t="str">
        <f>_xlfn.XLOOKUP(H2137, risk_score!A:A, risk_score!B:B, 0)</f>
        <v>Low Risk</v>
      </c>
    </row>
    <row r="2138" spans="1:14">
      <c r="A2138" s="2">
        <v>0.49515046296296295</v>
      </c>
      <c r="B2138" s="3">
        <v>44841</v>
      </c>
      <c r="C2138" s="1">
        <v>6155967127</v>
      </c>
      <c r="D2138" s="1">
        <v>6034997194</v>
      </c>
      <c r="E2138" s="1">
        <v>12875.96</v>
      </c>
      <c r="F2138" s="1" t="s">
        <v>12</v>
      </c>
      <c r="G2138" s="1" t="s">
        <v>12</v>
      </c>
      <c r="H2138" s="1" t="s">
        <v>13</v>
      </c>
      <c r="I2138" s="1" t="s">
        <v>13</v>
      </c>
      <c r="J2138" s="1" t="s">
        <v>27</v>
      </c>
      <c r="K2138" s="1">
        <v>0</v>
      </c>
      <c r="L2138" s="1" t="s">
        <v>23</v>
      </c>
      <c r="M2138" s="1" t="str">
        <f t="shared" si="33"/>
        <v>Consistent</v>
      </c>
      <c r="N2138" s="1" t="str">
        <f>_xlfn.XLOOKUP(H2138, risk_score!A:A, risk_score!B:B, 0)</f>
        <v>Low Risk</v>
      </c>
    </row>
    <row r="2139" spans="1:14">
      <c r="A2139" s="2">
        <v>0.49516203703703704</v>
      </c>
      <c r="B2139" s="3">
        <v>44841</v>
      </c>
      <c r="C2139" s="1">
        <v>1491989064</v>
      </c>
      <c r="D2139" s="1">
        <v>4658438113</v>
      </c>
      <c r="E2139" s="1">
        <v>8472.01</v>
      </c>
      <c r="F2139" s="1" t="s">
        <v>12</v>
      </c>
      <c r="G2139" s="1" t="s">
        <v>12</v>
      </c>
      <c r="H2139" s="1" t="s">
        <v>13</v>
      </c>
      <c r="I2139" s="1" t="s">
        <v>13</v>
      </c>
      <c r="J2139" s="1" t="s">
        <v>25</v>
      </c>
      <c r="K2139" s="1">
        <v>0</v>
      </c>
      <c r="L2139" s="1" t="s">
        <v>19</v>
      </c>
      <c r="M2139" s="1" t="str">
        <f t="shared" si="33"/>
        <v>Consistent</v>
      </c>
      <c r="N2139" s="1" t="str">
        <f>_xlfn.XLOOKUP(H2139, risk_score!A:A, risk_score!B:B, 0)</f>
        <v>Low Risk</v>
      </c>
    </row>
    <row r="2140" spans="1:14">
      <c r="A2140" s="2">
        <v>0.49516203703703704</v>
      </c>
      <c r="B2140" s="3">
        <v>44841</v>
      </c>
      <c r="C2140" s="1">
        <v>8952177221</v>
      </c>
      <c r="D2140" s="1">
        <v>6424463145</v>
      </c>
      <c r="E2140" s="1">
        <v>12481.84</v>
      </c>
      <c r="F2140" s="1" t="s">
        <v>12</v>
      </c>
      <c r="G2140" s="1" t="s">
        <v>12</v>
      </c>
      <c r="H2140" s="1" t="s">
        <v>13</v>
      </c>
      <c r="I2140" s="1" t="s">
        <v>13</v>
      </c>
      <c r="J2140" s="1" t="s">
        <v>25</v>
      </c>
      <c r="K2140" s="1">
        <v>0</v>
      </c>
      <c r="L2140" s="1" t="s">
        <v>19</v>
      </c>
      <c r="M2140" s="1" t="str">
        <f t="shared" si="33"/>
        <v>Consistent</v>
      </c>
      <c r="N2140" s="1" t="str">
        <f>_xlfn.XLOOKUP(H2140, risk_score!A:A, risk_score!B:B, 0)</f>
        <v>Low Risk</v>
      </c>
    </row>
    <row r="2141" spans="1:14">
      <c r="A2141" s="2">
        <v>0.49517361111111113</v>
      </c>
      <c r="B2141" s="3">
        <v>44841</v>
      </c>
      <c r="C2141" s="1">
        <v>8422735905</v>
      </c>
      <c r="D2141" s="1">
        <v>6414394642</v>
      </c>
      <c r="E2141" s="1">
        <v>778.87</v>
      </c>
      <c r="F2141" s="1" t="s">
        <v>12</v>
      </c>
      <c r="G2141" s="1" t="s">
        <v>12</v>
      </c>
      <c r="H2141" s="1" t="s">
        <v>13</v>
      </c>
      <c r="I2141" s="1" t="s">
        <v>13</v>
      </c>
      <c r="J2141" s="1" t="s">
        <v>20</v>
      </c>
      <c r="K2141" s="1">
        <v>0</v>
      </c>
      <c r="L2141" s="1" t="s">
        <v>21</v>
      </c>
      <c r="M2141" s="1" t="str">
        <f t="shared" si="33"/>
        <v>Consistent</v>
      </c>
      <c r="N2141" s="1" t="str">
        <f>_xlfn.XLOOKUP(H2141, risk_score!A:A, risk_score!B:B, 0)</f>
        <v>Low Risk</v>
      </c>
    </row>
    <row r="2142" spans="1:14">
      <c r="A2142" s="2">
        <v>0.4952199074074074</v>
      </c>
      <c r="B2142" s="3">
        <v>44841</v>
      </c>
      <c r="C2142" s="1">
        <v>9541087936</v>
      </c>
      <c r="D2142" s="1">
        <v>4432690383</v>
      </c>
      <c r="E2142" s="1">
        <v>7805.36</v>
      </c>
      <c r="F2142" s="1" t="s">
        <v>12</v>
      </c>
      <c r="G2142" s="1" t="s">
        <v>12</v>
      </c>
      <c r="H2142" s="1" t="s">
        <v>13</v>
      </c>
      <c r="I2142" s="1" t="s">
        <v>13</v>
      </c>
      <c r="J2142" s="1" t="s">
        <v>22</v>
      </c>
      <c r="K2142" s="1">
        <v>0</v>
      </c>
      <c r="L2142" s="1" t="s">
        <v>38</v>
      </c>
      <c r="M2142" s="1" t="str">
        <f t="shared" si="33"/>
        <v>Consistent</v>
      </c>
      <c r="N2142" s="1" t="str">
        <f>_xlfn.XLOOKUP(H2142, risk_score!A:A, risk_score!B:B, 0)</f>
        <v>Low Risk</v>
      </c>
    </row>
    <row r="2143" spans="1:14">
      <c r="A2143" s="2">
        <v>0.49523148148148149</v>
      </c>
      <c r="B2143" s="3">
        <v>44841</v>
      </c>
      <c r="C2143" s="1">
        <v>6489927075</v>
      </c>
      <c r="D2143" s="1">
        <v>5024306035</v>
      </c>
      <c r="E2143" s="1">
        <v>4358.6499999999996</v>
      </c>
      <c r="F2143" s="1" t="s">
        <v>12</v>
      </c>
      <c r="G2143" s="1" t="s">
        <v>12</v>
      </c>
      <c r="H2143" s="1" t="s">
        <v>13</v>
      </c>
      <c r="I2143" s="1" t="s">
        <v>13</v>
      </c>
      <c r="J2143" s="1" t="s">
        <v>14</v>
      </c>
      <c r="K2143" s="1">
        <v>0</v>
      </c>
      <c r="L2143" s="1" t="s">
        <v>15</v>
      </c>
      <c r="M2143" s="1" t="str">
        <f t="shared" si="33"/>
        <v>Consistent</v>
      </c>
      <c r="N2143" s="1" t="str">
        <f>_xlfn.XLOOKUP(H2143, risk_score!A:A, risk_score!B:B, 0)</f>
        <v>Low Risk</v>
      </c>
    </row>
    <row r="2144" spans="1:14">
      <c r="A2144" s="2">
        <v>0.49525462962962963</v>
      </c>
      <c r="B2144" s="3">
        <v>44841</v>
      </c>
      <c r="C2144" s="1">
        <v>6500267083</v>
      </c>
      <c r="D2144" s="1">
        <v>5466123934</v>
      </c>
      <c r="E2144" s="1">
        <v>8194.42</v>
      </c>
      <c r="F2144" s="1" t="s">
        <v>12</v>
      </c>
      <c r="G2144" s="1" t="s">
        <v>12</v>
      </c>
      <c r="H2144" s="1" t="s">
        <v>13</v>
      </c>
      <c r="I2144" s="1" t="s">
        <v>13</v>
      </c>
      <c r="J2144" s="1" t="s">
        <v>25</v>
      </c>
      <c r="K2144" s="1">
        <v>0</v>
      </c>
      <c r="L2144" s="1" t="s">
        <v>23</v>
      </c>
      <c r="M2144" s="1" t="str">
        <f t="shared" si="33"/>
        <v>Consistent</v>
      </c>
      <c r="N2144" s="1" t="str">
        <f>_xlfn.XLOOKUP(H2144, risk_score!A:A, risk_score!B:B, 0)</f>
        <v>Low Risk</v>
      </c>
    </row>
    <row r="2145" spans="1:14">
      <c r="A2145" s="2">
        <v>0.49526620370370372</v>
      </c>
      <c r="B2145" s="3">
        <v>44841</v>
      </c>
      <c r="C2145" s="1">
        <v>9151817334</v>
      </c>
      <c r="D2145" s="1">
        <v>2345549804</v>
      </c>
      <c r="E2145" s="1">
        <v>1326.14</v>
      </c>
      <c r="F2145" s="1" t="s">
        <v>12</v>
      </c>
      <c r="G2145" s="1" t="s">
        <v>12</v>
      </c>
      <c r="H2145" s="1" t="s">
        <v>13</v>
      </c>
      <c r="I2145" s="1" t="s">
        <v>13</v>
      </c>
      <c r="J2145" s="1" t="s">
        <v>20</v>
      </c>
      <c r="K2145" s="1">
        <v>0</v>
      </c>
      <c r="L2145" s="1" t="s">
        <v>21</v>
      </c>
      <c r="M2145" s="1" t="str">
        <f t="shared" si="33"/>
        <v>Consistent</v>
      </c>
      <c r="N2145" s="1" t="str">
        <f>_xlfn.XLOOKUP(H2145, risk_score!A:A, risk_score!B:B, 0)</f>
        <v>Low Risk</v>
      </c>
    </row>
    <row r="2146" spans="1:14">
      <c r="A2146" s="2">
        <v>0.49526620370370372</v>
      </c>
      <c r="B2146" s="3">
        <v>44841</v>
      </c>
      <c r="C2146" s="1">
        <v>6116657264</v>
      </c>
      <c r="D2146" s="1">
        <v>578267324</v>
      </c>
      <c r="E2146" s="1">
        <v>11436.58</v>
      </c>
      <c r="F2146" s="1" t="s">
        <v>12</v>
      </c>
      <c r="G2146" s="1" t="s">
        <v>12</v>
      </c>
      <c r="H2146" s="1" t="s">
        <v>13</v>
      </c>
      <c r="I2146" s="1" t="s">
        <v>13</v>
      </c>
      <c r="J2146" s="1" t="s">
        <v>22</v>
      </c>
      <c r="K2146" s="1">
        <v>0</v>
      </c>
      <c r="L2146" s="1" t="s">
        <v>19</v>
      </c>
      <c r="M2146" s="1" t="str">
        <f t="shared" si="33"/>
        <v>Consistent</v>
      </c>
      <c r="N2146" s="1" t="str">
        <f>_xlfn.XLOOKUP(H2146, risk_score!A:A, risk_score!B:B, 0)</f>
        <v>Low Risk</v>
      </c>
    </row>
    <row r="2147" spans="1:14">
      <c r="A2147" s="2">
        <v>0.49528935185185186</v>
      </c>
      <c r="B2147" s="3">
        <v>44841</v>
      </c>
      <c r="C2147" s="1">
        <v>1009483043</v>
      </c>
      <c r="D2147" s="1">
        <v>4223008197</v>
      </c>
      <c r="E2147" s="1">
        <v>3720.32</v>
      </c>
      <c r="F2147" s="1" t="s">
        <v>28</v>
      </c>
      <c r="G2147" s="1" t="s">
        <v>12</v>
      </c>
      <c r="H2147" s="1" t="s">
        <v>50</v>
      </c>
      <c r="I2147" s="1" t="s">
        <v>13</v>
      </c>
      <c r="J2147" s="1" t="s">
        <v>18</v>
      </c>
      <c r="K2147" s="1">
        <v>0</v>
      </c>
      <c r="L2147" s="1" t="s">
        <v>21</v>
      </c>
      <c r="M2147" s="1" t="str">
        <f t="shared" si="33"/>
        <v>Potential Layering</v>
      </c>
      <c r="N2147" s="1" t="str">
        <f>_xlfn.XLOOKUP(H2147, risk_score!A:A, risk_score!B:B, 0)</f>
        <v>Low Risk</v>
      </c>
    </row>
    <row r="2148" spans="1:14">
      <c r="A2148" s="2">
        <v>0.49535879629629631</v>
      </c>
      <c r="B2148" s="3">
        <v>44841</v>
      </c>
      <c r="C2148" s="1">
        <v>7227951716</v>
      </c>
      <c r="D2148" s="1">
        <v>3427964756</v>
      </c>
      <c r="E2148" s="1">
        <v>1863.64</v>
      </c>
      <c r="F2148" s="1" t="s">
        <v>12</v>
      </c>
      <c r="G2148" s="1" t="s">
        <v>32</v>
      </c>
      <c r="H2148" s="1" t="s">
        <v>13</v>
      </c>
      <c r="I2148" s="1" t="s">
        <v>33</v>
      </c>
      <c r="J2148" s="1" t="s">
        <v>18</v>
      </c>
      <c r="K2148" s="1">
        <v>0</v>
      </c>
      <c r="L2148" s="1" t="s">
        <v>21</v>
      </c>
      <c r="M2148" s="1" t="str">
        <f t="shared" si="33"/>
        <v>Potential Layering</v>
      </c>
      <c r="N2148" s="1" t="str">
        <f>_xlfn.XLOOKUP(H2148, risk_score!A:A, risk_score!B:B, 0)</f>
        <v>Low Risk</v>
      </c>
    </row>
    <row r="2149" spans="1:14">
      <c r="A2149" s="2">
        <v>0.49537037037037035</v>
      </c>
      <c r="B2149" s="3">
        <v>44841</v>
      </c>
      <c r="C2149" s="1">
        <v>7758268667</v>
      </c>
      <c r="D2149" s="1">
        <v>7505089539</v>
      </c>
      <c r="E2149" s="1">
        <v>8453.64</v>
      </c>
      <c r="F2149" s="1" t="s">
        <v>12</v>
      </c>
      <c r="G2149" s="1" t="s">
        <v>12</v>
      </c>
      <c r="H2149" s="1" t="s">
        <v>13</v>
      </c>
      <c r="I2149" s="1" t="s">
        <v>13</v>
      </c>
      <c r="J2149" s="1" t="s">
        <v>22</v>
      </c>
      <c r="K2149" s="1">
        <v>0</v>
      </c>
      <c r="L2149" s="1" t="s">
        <v>19</v>
      </c>
      <c r="M2149" s="1" t="str">
        <f t="shared" si="33"/>
        <v>Consistent</v>
      </c>
      <c r="N2149" s="1" t="str">
        <f>_xlfn.XLOOKUP(H2149, risk_score!A:A, risk_score!B:B, 0)</f>
        <v>Low Risk</v>
      </c>
    </row>
    <row r="2150" spans="1:14">
      <c r="A2150" s="2">
        <v>0.49538194444444444</v>
      </c>
      <c r="B2150" s="3">
        <v>44841</v>
      </c>
      <c r="C2150" s="1">
        <v>6116657264</v>
      </c>
      <c r="D2150" s="1">
        <v>2883324502</v>
      </c>
      <c r="E2150" s="1">
        <v>9555.07</v>
      </c>
      <c r="F2150" s="1" t="s">
        <v>12</v>
      </c>
      <c r="G2150" s="1" t="s">
        <v>29</v>
      </c>
      <c r="H2150" s="1" t="s">
        <v>13</v>
      </c>
      <c r="I2150" s="1" t="s">
        <v>13</v>
      </c>
      <c r="J2150" s="1" t="s">
        <v>25</v>
      </c>
      <c r="K2150" s="1">
        <v>0</v>
      </c>
      <c r="L2150" s="1" t="s">
        <v>19</v>
      </c>
      <c r="M2150" s="1" t="str">
        <f t="shared" si="33"/>
        <v>Potential Layering</v>
      </c>
      <c r="N2150" s="1" t="str">
        <f>_xlfn.XLOOKUP(H2150, risk_score!A:A, risk_score!B:B, 0)</f>
        <v>Low Risk</v>
      </c>
    </row>
    <row r="2151" spans="1:14">
      <c r="A2151" s="2">
        <v>0.49540509259259258</v>
      </c>
      <c r="B2151" s="3">
        <v>44841</v>
      </c>
      <c r="C2151" s="1">
        <v>6116657264</v>
      </c>
      <c r="D2151" s="1">
        <v>7749320382</v>
      </c>
      <c r="E2151" s="1">
        <v>10852.77</v>
      </c>
      <c r="F2151" s="1" t="s">
        <v>12</v>
      </c>
      <c r="G2151" s="1" t="s">
        <v>12</v>
      </c>
      <c r="H2151" s="1" t="s">
        <v>13</v>
      </c>
      <c r="I2151" s="1" t="s">
        <v>13</v>
      </c>
      <c r="J2151" s="1" t="s">
        <v>22</v>
      </c>
      <c r="K2151" s="1">
        <v>0</v>
      </c>
      <c r="L2151" s="1" t="s">
        <v>19</v>
      </c>
      <c r="M2151" s="1" t="str">
        <f t="shared" si="33"/>
        <v>Consistent</v>
      </c>
      <c r="N2151" s="1" t="str">
        <f>_xlfn.XLOOKUP(H2151, risk_score!A:A, risk_score!B:B, 0)</f>
        <v>Low Risk</v>
      </c>
    </row>
    <row r="2152" spans="1:14">
      <c r="A2152" s="2">
        <v>0.4954513888888889</v>
      </c>
      <c r="B2152" s="3">
        <v>44841</v>
      </c>
      <c r="C2152" s="1">
        <v>1538302188</v>
      </c>
      <c r="D2152" s="1">
        <v>7681334287</v>
      </c>
      <c r="E2152" s="1">
        <v>3504.13</v>
      </c>
      <c r="F2152" s="1" t="s">
        <v>12</v>
      </c>
      <c r="G2152" s="1" t="s">
        <v>12</v>
      </c>
      <c r="H2152" s="1" t="s">
        <v>13</v>
      </c>
      <c r="I2152" s="1" t="s">
        <v>13</v>
      </c>
      <c r="J2152" s="1" t="s">
        <v>27</v>
      </c>
      <c r="K2152" s="1">
        <v>0</v>
      </c>
      <c r="L2152" s="1" t="s">
        <v>21</v>
      </c>
      <c r="M2152" s="1" t="str">
        <f t="shared" si="33"/>
        <v>Consistent</v>
      </c>
      <c r="N2152" s="1" t="str">
        <f>_xlfn.XLOOKUP(H2152, risk_score!A:A, risk_score!B:B, 0)</f>
        <v>Low Risk</v>
      </c>
    </row>
    <row r="2153" spans="1:14">
      <c r="A2153" s="2">
        <v>0.49548611111111113</v>
      </c>
      <c r="B2153" s="3">
        <v>44841</v>
      </c>
      <c r="C2153" s="1">
        <v>8356833499</v>
      </c>
      <c r="D2153" s="1">
        <v>7023323263</v>
      </c>
      <c r="E2153" s="1">
        <v>1582.64</v>
      </c>
      <c r="F2153" s="1" t="s">
        <v>12</v>
      </c>
      <c r="G2153" s="1" t="s">
        <v>12</v>
      </c>
      <c r="H2153" s="1" t="s">
        <v>13</v>
      </c>
      <c r="I2153" s="1" t="s">
        <v>13</v>
      </c>
      <c r="J2153" s="1" t="s">
        <v>14</v>
      </c>
      <c r="K2153" s="1">
        <v>0</v>
      </c>
      <c r="L2153" s="1" t="s">
        <v>15</v>
      </c>
      <c r="M2153" s="1" t="str">
        <f t="shared" si="33"/>
        <v>Consistent</v>
      </c>
      <c r="N2153" s="1" t="str">
        <f>_xlfn.XLOOKUP(H2153, risk_score!A:A, risk_score!B:B, 0)</f>
        <v>Low Risk</v>
      </c>
    </row>
    <row r="2154" spans="1:14">
      <c r="A2154" s="2">
        <v>0.49553240740740739</v>
      </c>
      <c r="B2154" s="3">
        <v>44841</v>
      </c>
      <c r="C2154" s="1">
        <v>2064169340</v>
      </c>
      <c r="D2154" s="1">
        <v>9822692950</v>
      </c>
      <c r="E2154" s="1">
        <v>261.01</v>
      </c>
      <c r="F2154" s="1" t="s">
        <v>12</v>
      </c>
      <c r="G2154" s="1" t="s">
        <v>12</v>
      </c>
      <c r="H2154" s="1" t="s">
        <v>13</v>
      </c>
      <c r="I2154" s="1" t="s">
        <v>13</v>
      </c>
      <c r="J2154" s="1" t="s">
        <v>27</v>
      </c>
      <c r="K2154" s="1">
        <v>0</v>
      </c>
      <c r="L2154" s="1" t="s">
        <v>21</v>
      </c>
      <c r="M2154" s="1" t="str">
        <f t="shared" si="33"/>
        <v>Consistent</v>
      </c>
      <c r="N2154" s="1" t="str">
        <f>_xlfn.XLOOKUP(H2154, risk_score!A:A, risk_score!B:B, 0)</f>
        <v>Low Risk</v>
      </c>
    </row>
    <row r="2155" spans="1:14">
      <c r="A2155" s="2">
        <v>0.49560185185185185</v>
      </c>
      <c r="B2155" s="3">
        <v>44841</v>
      </c>
      <c r="C2155" s="1">
        <v>486934210</v>
      </c>
      <c r="D2155" s="1">
        <v>3927919354</v>
      </c>
      <c r="E2155" s="1">
        <v>514.32000000000005</v>
      </c>
      <c r="F2155" s="1" t="s">
        <v>12</v>
      </c>
      <c r="G2155" s="1" t="s">
        <v>12</v>
      </c>
      <c r="H2155" s="1" t="s">
        <v>13</v>
      </c>
      <c r="I2155" s="1" t="s">
        <v>13</v>
      </c>
      <c r="J2155" s="1" t="s">
        <v>20</v>
      </c>
      <c r="K2155" s="1">
        <v>0</v>
      </c>
      <c r="L2155" s="1" t="s">
        <v>21</v>
      </c>
      <c r="M2155" s="1" t="str">
        <f t="shared" si="33"/>
        <v>Consistent</v>
      </c>
      <c r="N2155" s="1" t="str">
        <f>_xlfn.XLOOKUP(H2155, risk_score!A:A, risk_score!B:B, 0)</f>
        <v>Low Risk</v>
      </c>
    </row>
    <row r="2156" spans="1:14">
      <c r="A2156" s="2">
        <v>0.49563657407407408</v>
      </c>
      <c r="B2156" s="3">
        <v>44841</v>
      </c>
      <c r="C2156" s="1">
        <v>9168588789</v>
      </c>
      <c r="D2156" s="1">
        <v>4889197724</v>
      </c>
      <c r="E2156" s="1">
        <v>8449.75</v>
      </c>
      <c r="F2156" s="1" t="s">
        <v>12</v>
      </c>
      <c r="G2156" s="1" t="s">
        <v>12</v>
      </c>
      <c r="H2156" s="1" t="s">
        <v>13</v>
      </c>
      <c r="I2156" s="1" t="s">
        <v>13</v>
      </c>
      <c r="J2156" s="1" t="s">
        <v>20</v>
      </c>
      <c r="K2156" s="1">
        <v>0</v>
      </c>
      <c r="L2156" s="1" t="s">
        <v>38</v>
      </c>
      <c r="M2156" s="1" t="str">
        <f t="shared" si="33"/>
        <v>Consistent</v>
      </c>
      <c r="N2156" s="1" t="str">
        <f>_xlfn.XLOOKUP(H2156, risk_score!A:A, risk_score!B:B, 0)</f>
        <v>Low Risk</v>
      </c>
    </row>
    <row r="2157" spans="1:14">
      <c r="A2157" s="2">
        <v>0.49564814814814817</v>
      </c>
      <c r="B2157" s="3">
        <v>44841</v>
      </c>
      <c r="C2157" s="1">
        <v>5172850121</v>
      </c>
      <c r="D2157" s="1">
        <v>3695545812</v>
      </c>
      <c r="E2157" s="1">
        <v>24361.84</v>
      </c>
      <c r="F2157" s="1" t="s">
        <v>12</v>
      </c>
      <c r="G2157" s="1" t="s">
        <v>12</v>
      </c>
      <c r="H2157" s="1" t="s">
        <v>13</v>
      </c>
      <c r="I2157" s="1" t="s">
        <v>13</v>
      </c>
      <c r="J2157" s="1" t="s">
        <v>22</v>
      </c>
      <c r="K2157" s="1">
        <v>0</v>
      </c>
      <c r="L2157" s="1" t="s">
        <v>23</v>
      </c>
      <c r="M2157" s="1" t="str">
        <f t="shared" si="33"/>
        <v>Consistent</v>
      </c>
      <c r="N2157" s="1" t="str">
        <f>_xlfn.XLOOKUP(H2157, risk_score!A:A, risk_score!B:B, 0)</f>
        <v>Low Risk</v>
      </c>
    </row>
    <row r="2158" spans="1:14">
      <c r="A2158" s="2">
        <v>0.49565972222222221</v>
      </c>
      <c r="B2158" s="3">
        <v>44841</v>
      </c>
      <c r="C2158" s="1">
        <v>4293460221</v>
      </c>
      <c r="D2158" s="1">
        <v>3290314006</v>
      </c>
      <c r="E2158" s="1">
        <v>1777.89</v>
      </c>
      <c r="F2158" s="1" t="s">
        <v>12</v>
      </c>
      <c r="G2158" s="1" t="s">
        <v>12</v>
      </c>
      <c r="H2158" s="1" t="s">
        <v>13</v>
      </c>
      <c r="I2158" s="1" t="s">
        <v>13</v>
      </c>
      <c r="J2158" s="1" t="s">
        <v>14</v>
      </c>
      <c r="K2158" s="1">
        <v>0</v>
      </c>
      <c r="L2158" s="1" t="s">
        <v>15</v>
      </c>
      <c r="M2158" s="1" t="str">
        <f t="shared" si="33"/>
        <v>Consistent</v>
      </c>
      <c r="N2158" s="1" t="str">
        <f>_xlfn.XLOOKUP(H2158, risk_score!A:A, risk_score!B:B, 0)</f>
        <v>Low Risk</v>
      </c>
    </row>
    <row r="2159" spans="1:14">
      <c r="A2159" s="2">
        <v>0.4956712962962963</v>
      </c>
      <c r="B2159" s="3">
        <v>44841</v>
      </c>
      <c r="C2159" s="1">
        <v>445337741</v>
      </c>
      <c r="D2159" s="1">
        <v>9651904023</v>
      </c>
      <c r="E2159" s="1">
        <v>5739.17</v>
      </c>
      <c r="F2159" s="1" t="s">
        <v>12</v>
      </c>
      <c r="G2159" s="1" t="s">
        <v>51</v>
      </c>
      <c r="H2159" s="1" t="s">
        <v>13</v>
      </c>
      <c r="I2159" s="1" t="s">
        <v>52</v>
      </c>
      <c r="J2159" s="1" t="s">
        <v>18</v>
      </c>
      <c r="K2159" s="1">
        <v>0</v>
      </c>
      <c r="L2159" s="1" t="s">
        <v>21</v>
      </c>
      <c r="M2159" s="1" t="str">
        <f t="shared" si="33"/>
        <v>Potential Layering</v>
      </c>
      <c r="N2159" s="1" t="str">
        <f>_xlfn.XLOOKUP(H2159, risk_score!A:A, risk_score!B:B, 0)</f>
        <v>Low Risk</v>
      </c>
    </row>
    <row r="2160" spans="1:14">
      <c r="A2160" s="2">
        <v>0.49568287037037034</v>
      </c>
      <c r="B2160" s="3">
        <v>44841</v>
      </c>
      <c r="C2160" s="1">
        <v>1343121729</v>
      </c>
      <c r="D2160" s="1">
        <v>7080357663</v>
      </c>
      <c r="E2160" s="1">
        <v>8536.7900000000009</v>
      </c>
      <c r="F2160" s="1" t="s">
        <v>12</v>
      </c>
      <c r="G2160" s="1" t="s">
        <v>12</v>
      </c>
      <c r="H2160" s="1" t="s">
        <v>13</v>
      </c>
      <c r="I2160" s="1" t="s">
        <v>13</v>
      </c>
      <c r="J2160" s="1" t="s">
        <v>20</v>
      </c>
      <c r="K2160" s="1">
        <v>0</v>
      </c>
      <c r="L2160" s="1" t="s">
        <v>23</v>
      </c>
      <c r="M2160" s="1" t="str">
        <f t="shared" si="33"/>
        <v>Consistent</v>
      </c>
      <c r="N2160" s="1" t="str">
        <f>_xlfn.XLOOKUP(H2160, risk_score!A:A, risk_score!B:B, 0)</f>
        <v>Low Risk</v>
      </c>
    </row>
    <row r="2161" spans="1:14">
      <c r="A2161" s="2">
        <v>0.49574074074074076</v>
      </c>
      <c r="B2161" s="3">
        <v>44841</v>
      </c>
      <c r="C2161" s="1">
        <v>3336234389</v>
      </c>
      <c r="D2161" s="1">
        <v>6953672776</v>
      </c>
      <c r="E2161" s="1">
        <v>7748.22</v>
      </c>
      <c r="F2161" s="1" t="s">
        <v>12</v>
      </c>
      <c r="G2161" s="1" t="s">
        <v>34</v>
      </c>
      <c r="H2161" s="1" t="s">
        <v>13</v>
      </c>
      <c r="I2161" s="1" t="s">
        <v>35</v>
      </c>
      <c r="J2161" s="1" t="s">
        <v>18</v>
      </c>
      <c r="K2161" s="1">
        <v>0</v>
      </c>
      <c r="L2161" s="1" t="s">
        <v>23</v>
      </c>
      <c r="M2161" s="1" t="str">
        <f t="shared" si="33"/>
        <v>Potential Layering</v>
      </c>
      <c r="N2161" s="1" t="str">
        <f>_xlfn.XLOOKUP(H2161, risk_score!A:A, risk_score!B:B, 0)</f>
        <v>Low Risk</v>
      </c>
    </row>
    <row r="2162" spans="1:14">
      <c r="A2162" s="2">
        <v>0.49577546296296299</v>
      </c>
      <c r="B2162" s="3">
        <v>44841</v>
      </c>
      <c r="C2162" s="1">
        <v>838027768</v>
      </c>
      <c r="D2162" s="1">
        <v>8403501745</v>
      </c>
      <c r="E2162" s="1">
        <v>15271.72</v>
      </c>
      <c r="F2162" s="1" t="s">
        <v>12</v>
      </c>
      <c r="G2162" s="1" t="s">
        <v>12</v>
      </c>
      <c r="H2162" s="1" t="s">
        <v>13</v>
      </c>
      <c r="I2162" s="1" t="s">
        <v>13</v>
      </c>
      <c r="J2162" s="1" t="s">
        <v>20</v>
      </c>
      <c r="K2162" s="1">
        <v>0</v>
      </c>
      <c r="L2162" s="1" t="s">
        <v>24</v>
      </c>
      <c r="M2162" s="1" t="str">
        <f t="shared" si="33"/>
        <v>Consistent</v>
      </c>
      <c r="N2162" s="1" t="str">
        <f>_xlfn.XLOOKUP(H2162, risk_score!A:A, risk_score!B:B, 0)</f>
        <v>Low Risk</v>
      </c>
    </row>
    <row r="2163" spans="1:14">
      <c r="A2163" s="2">
        <v>0.49582175925925925</v>
      </c>
      <c r="B2163" s="3">
        <v>44841</v>
      </c>
      <c r="C2163" s="1">
        <v>2248717437</v>
      </c>
      <c r="D2163" s="1">
        <v>5622155156</v>
      </c>
      <c r="E2163" s="1">
        <v>7059.83</v>
      </c>
      <c r="F2163" s="1" t="s">
        <v>12</v>
      </c>
      <c r="G2163" s="1" t="s">
        <v>12</v>
      </c>
      <c r="H2163" s="1" t="s">
        <v>13</v>
      </c>
      <c r="I2163" s="1" t="s">
        <v>13</v>
      </c>
      <c r="J2163" s="1" t="s">
        <v>20</v>
      </c>
      <c r="K2163" s="1">
        <v>0</v>
      </c>
      <c r="L2163" s="1" t="s">
        <v>21</v>
      </c>
      <c r="M2163" s="1" t="str">
        <f t="shared" si="33"/>
        <v>Consistent</v>
      </c>
      <c r="N2163" s="1" t="str">
        <f>_xlfn.XLOOKUP(H2163, risk_score!A:A, risk_score!B:B, 0)</f>
        <v>Low Risk</v>
      </c>
    </row>
    <row r="2164" spans="1:14">
      <c r="A2164" s="2">
        <v>0.49583333333333335</v>
      </c>
      <c r="B2164" s="3">
        <v>44841</v>
      </c>
      <c r="C2164" s="1">
        <v>376724495</v>
      </c>
      <c r="D2164" s="1">
        <v>7829451091</v>
      </c>
      <c r="E2164" s="1">
        <v>421.25</v>
      </c>
      <c r="F2164" s="1" t="s">
        <v>12</v>
      </c>
      <c r="G2164" s="1" t="s">
        <v>12</v>
      </c>
      <c r="H2164" s="1" t="s">
        <v>13</v>
      </c>
      <c r="I2164" s="1" t="s">
        <v>13</v>
      </c>
      <c r="J2164" s="1" t="s">
        <v>22</v>
      </c>
      <c r="K2164" s="1">
        <v>0</v>
      </c>
      <c r="L2164" s="1" t="s">
        <v>21</v>
      </c>
      <c r="M2164" s="1" t="str">
        <f t="shared" si="33"/>
        <v>Consistent</v>
      </c>
      <c r="N2164" s="1" t="str">
        <f>_xlfn.XLOOKUP(H2164, risk_score!A:A, risk_score!B:B, 0)</f>
        <v>Low Risk</v>
      </c>
    </row>
    <row r="2165" spans="1:14">
      <c r="A2165" s="2">
        <v>0.49583333333333335</v>
      </c>
      <c r="B2165" s="3">
        <v>44841</v>
      </c>
      <c r="C2165" s="1">
        <v>8480050564</v>
      </c>
      <c r="D2165" s="1">
        <v>8931466111</v>
      </c>
      <c r="E2165" s="1">
        <v>4632.75</v>
      </c>
      <c r="F2165" s="1" t="s">
        <v>12</v>
      </c>
      <c r="G2165" s="1" t="s">
        <v>12</v>
      </c>
      <c r="H2165" s="1" t="s">
        <v>13</v>
      </c>
      <c r="I2165" s="1" t="s">
        <v>13</v>
      </c>
      <c r="J2165" s="1" t="s">
        <v>22</v>
      </c>
      <c r="K2165" s="1">
        <v>0</v>
      </c>
      <c r="L2165" s="1" t="s">
        <v>24</v>
      </c>
      <c r="M2165" s="1" t="str">
        <f t="shared" si="33"/>
        <v>Consistent</v>
      </c>
      <c r="N2165" s="1" t="str">
        <f>_xlfn.XLOOKUP(H2165, risk_score!A:A, risk_score!B:B, 0)</f>
        <v>Low Risk</v>
      </c>
    </row>
    <row r="2166" spans="1:14">
      <c r="A2166" s="2">
        <v>0.49584490740740739</v>
      </c>
      <c r="B2166" s="3">
        <v>44841</v>
      </c>
      <c r="C2166" s="1">
        <v>4204185167</v>
      </c>
      <c r="D2166" s="1">
        <v>3810698895</v>
      </c>
      <c r="E2166" s="1">
        <v>2233.31</v>
      </c>
      <c r="F2166" s="1" t="s">
        <v>12</v>
      </c>
      <c r="G2166" s="1" t="s">
        <v>12</v>
      </c>
      <c r="H2166" s="1" t="s">
        <v>13</v>
      </c>
      <c r="I2166" s="1" t="s">
        <v>13</v>
      </c>
      <c r="J2166" s="1" t="s">
        <v>27</v>
      </c>
      <c r="K2166" s="1">
        <v>0</v>
      </c>
      <c r="L2166" s="1" t="s">
        <v>21</v>
      </c>
      <c r="M2166" s="1" t="str">
        <f t="shared" si="33"/>
        <v>Consistent</v>
      </c>
      <c r="N2166" s="1" t="str">
        <f>_xlfn.XLOOKUP(H2166, risk_score!A:A, risk_score!B:B, 0)</f>
        <v>Low Risk</v>
      </c>
    </row>
    <row r="2167" spans="1:14">
      <c r="A2167" s="2">
        <v>0.49586805555555558</v>
      </c>
      <c r="B2167" s="3">
        <v>44841</v>
      </c>
      <c r="C2167" s="1">
        <v>300815762</v>
      </c>
      <c r="D2167" s="1">
        <v>1431561040</v>
      </c>
      <c r="E2167" s="1">
        <v>5723.09</v>
      </c>
      <c r="F2167" s="1" t="s">
        <v>12</v>
      </c>
      <c r="G2167" s="1" t="s">
        <v>12</v>
      </c>
      <c r="H2167" s="1" t="s">
        <v>13</v>
      </c>
      <c r="I2167" s="1" t="s">
        <v>13</v>
      </c>
      <c r="J2167" s="1" t="s">
        <v>27</v>
      </c>
      <c r="K2167" s="1">
        <v>0</v>
      </c>
      <c r="L2167" s="1" t="s">
        <v>23</v>
      </c>
      <c r="M2167" s="1" t="str">
        <f t="shared" si="33"/>
        <v>Consistent</v>
      </c>
      <c r="N2167" s="1" t="str">
        <f>_xlfn.XLOOKUP(H2167, risk_score!A:A, risk_score!B:B, 0)</f>
        <v>Low Risk</v>
      </c>
    </row>
    <row r="2168" spans="1:14">
      <c r="A2168" s="2">
        <v>0.49587962962962961</v>
      </c>
      <c r="B2168" s="3">
        <v>44841</v>
      </c>
      <c r="C2168" s="1">
        <v>8718515990</v>
      </c>
      <c r="D2168" s="1">
        <v>399704647</v>
      </c>
      <c r="E2168" s="1">
        <v>10887.8</v>
      </c>
      <c r="F2168" s="1" t="s">
        <v>12</v>
      </c>
      <c r="G2168" s="1" t="s">
        <v>12</v>
      </c>
      <c r="H2168" s="1" t="s">
        <v>13</v>
      </c>
      <c r="I2168" s="1" t="s">
        <v>13</v>
      </c>
      <c r="J2168" s="1" t="s">
        <v>25</v>
      </c>
      <c r="K2168" s="1">
        <v>0</v>
      </c>
      <c r="L2168" s="1" t="s">
        <v>21</v>
      </c>
      <c r="M2168" s="1" t="str">
        <f t="shared" si="33"/>
        <v>Consistent</v>
      </c>
      <c r="N2168" s="1" t="str">
        <f>_xlfn.XLOOKUP(H2168, risk_score!A:A, risk_score!B:B, 0)</f>
        <v>Low Risk</v>
      </c>
    </row>
    <row r="2169" spans="1:14">
      <c r="A2169" s="2">
        <v>0.49592592592592594</v>
      </c>
      <c r="B2169" s="3">
        <v>44841</v>
      </c>
      <c r="C2169" s="1">
        <v>7573268480</v>
      </c>
      <c r="D2169" s="1">
        <v>8891438012</v>
      </c>
      <c r="E2169" s="1">
        <v>1475.6</v>
      </c>
      <c r="F2169" s="1" t="s">
        <v>12</v>
      </c>
      <c r="G2169" s="1" t="s">
        <v>12</v>
      </c>
      <c r="H2169" s="1" t="s">
        <v>13</v>
      </c>
      <c r="I2169" s="1" t="s">
        <v>13</v>
      </c>
      <c r="J2169" s="1" t="s">
        <v>27</v>
      </c>
      <c r="K2169" s="1">
        <v>0</v>
      </c>
      <c r="L2169" s="1" t="s">
        <v>21</v>
      </c>
      <c r="M2169" s="1" t="str">
        <f t="shared" si="33"/>
        <v>Consistent</v>
      </c>
      <c r="N2169" s="1" t="str">
        <f>_xlfn.XLOOKUP(H2169, risk_score!A:A, risk_score!B:B, 0)</f>
        <v>Low Risk</v>
      </c>
    </row>
    <row r="2170" spans="1:14">
      <c r="A2170" s="2">
        <v>0.49592592592592594</v>
      </c>
      <c r="B2170" s="3">
        <v>44841</v>
      </c>
      <c r="C2170" s="1">
        <v>6904668523</v>
      </c>
      <c r="D2170" s="1">
        <v>1378700258</v>
      </c>
      <c r="E2170" s="1">
        <v>15165.82</v>
      </c>
      <c r="F2170" s="1" t="s">
        <v>12</v>
      </c>
      <c r="G2170" s="1" t="s">
        <v>12</v>
      </c>
      <c r="H2170" s="1" t="s">
        <v>13</v>
      </c>
      <c r="I2170" s="1" t="s">
        <v>13</v>
      </c>
      <c r="J2170" s="1" t="s">
        <v>22</v>
      </c>
      <c r="K2170" s="1">
        <v>0</v>
      </c>
      <c r="L2170" s="1" t="s">
        <v>19</v>
      </c>
      <c r="M2170" s="1" t="str">
        <f t="shared" si="33"/>
        <v>Consistent</v>
      </c>
      <c r="N2170" s="1" t="str">
        <f>_xlfn.XLOOKUP(H2170, risk_score!A:A, risk_score!B:B, 0)</f>
        <v>Low Risk</v>
      </c>
    </row>
    <row r="2171" spans="1:14">
      <c r="A2171" s="2">
        <v>0.49594907407407407</v>
      </c>
      <c r="B2171" s="3">
        <v>44841</v>
      </c>
      <c r="C2171" s="1">
        <v>3567089560</v>
      </c>
      <c r="D2171" s="1">
        <v>8358955990</v>
      </c>
      <c r="E2171" s="1">
        <v>5635.37</v>
      </c>
      <c r="F2171" s="1" t="s">
        <v>12</v>
      </c>
      <c r="G2171" s="1" t="s">
        <v>12</v>
      </c>
      <c r="H2171" s="1" t="s">
        <v>13</v>
      </c>
      <c r="I2171" s="1" t="s">
        <v>13</v>
      </c>
      <c r="J2171" s="1" t="s">
        <v>25</v>
      </c>
      <c r="K2171" s="1">
        <v>0</v>
      </c>
      <c r="L2171" s="1" t="s">
        <v>21</v>
      </c>
      <c r="M2171" s="1" t="str">
        <f t="shared" si="33"/>
        <v>Consistent</v>
      </c>
      <c r="N2171" s="1" t="str">
        <f>_xlfn.XLOOKUP(H2171, risk_score!A:A, risk_score!B:B, 0)</f>
        <v>Low Risk</v>
      </c>
    </row>
    <row r="2172" spans="1:14">
      <c r="A2172" s="2">
        <v>0.4959722222222222</v>
      </c>
      <c r="B2172" s="3">
        <v>44841</v>
      </c>
      <c r="C2172" s="1">
        <v>6086421020</v>
      </c>
      <c r="D2172" s="1">
        <v>5888689265</v>
      </c>
      <c r="E2172" s="1">
        <v>8947.67</v>
      </c>
      <c r="F2172" s="1" t="s">
        <v>12</v>
      </c>
      <c r="G2172" s="1" t="s">
        <v>12</v>
      </c>
      <c r="H2172" s="1" t="s">
        <v>13</v>
      </c>
      <c r="I2172" s="1" t="s">
        <v>13</v>
      </c>
      <c r="J2172" s="1" t="s">
        <v>25</v>
      </c>
      <c r="K2172" s="1">
        <v>0</v>
      </c>
      <c r="L2172" s="1" t="s">
        <v>19</v>
      </c>
      <c r="M2172" s="1" t="str">
        <f t="shared" si="33"/>
        <v>Consistent</v>
      </c>
      <c r="N2172" s="1" t="str">
        <f>_xlfn.XLOOKUP(H2172, risk_score!A:A, risk_score!B:B, 0)</f>
        <v>Low Risk</v>
      </c>
    </row>
    <row r="2173" spans="1:14">
      <c r="A2173" s="2">
        <v>0.49601851851851853</v>
      </c>
      <c r="B2173" s="3">
        <v>44841</v>
      </c>
      <c r="C2173" s="1">
        <v>4082552798</v>
      </c>
      <c r="D2173" s="1">
        <v>4173195094</v>
      </c>
      <c r="E2173" s="1">
        <v>11785.07</v>
      </c>
      <c r="F2173" s="1" t="s">
        <v>12</v>
      </c>
      <c r="G2173" s="1" t="s">
        <v>12</v>
      </c>
      <c r="H2173" s="1" t="s">
        <v>13</v>
      </c>
      <c r="I2173" s="1" t="s">
        <v>13</v>
      </c>
      <c r="J2173" s="1" t="s">
        <v>25</v>
      </c>
      <c r="K2173" s="1">
        <v>0</v>
      </c>
      <c r="L2173" s="1" t="s">
        <v>23</v>
      </c>
      <c r="M2173" s="1" t="str">
        <f t="shared" si="33"/>
        <v>Consistent</v>
      </c>
      <c r="N2173" s="1" t="str">
        <f>_xlfn.XLOOKUP(H2173, risk_score!A:A, risk_score!B:B, 0)</f>
        <v>Low Risk</v>
      </c>
    </row>
    <row r="2174" spans="1:14">
      <c r="A2174" s="2">
        <v>0.49603009259259262</v>
      </c>
      <c r="B2174" s="3">
        <v>44841</v>
      </c>
      <c r="C2174" s="1">
        <v>9958050575</v>
      </c>
      <c r="D2174" s="1">
        <v>5556040562</v>
      </c>
      <c r="E2174" s="1">
        <v>14500.88</v>
      </c>
      <c r="F2174" s="1" t="s">
        <v>12</v>
      </c>
      <c r="G2174" s="1" t="s">
        <v>12</v>
      </c>
      <c r="H2174" s="1" t="s">
        <v>13</v>
      </c>
      <c r="I2174" s="1" t="s">
        <v>13</v>
      </c>
      <c r="J2174" s="1" t="s">
        <v>20</v>
      </c>
      <c r="K2174" s="1">
        <v>0</v>
      </c>
      <c r="L2174" s="1" t="s">
        <v>49</v>
      </c>
      <c r="M2174" s="1" t="str">
        <f t="shared" si="33"/>
        <v>Consistent</v>
      </c>
      <c r="N2174" s="1" t="str">
        <f>_xlfn.XLOOKUP(H2174, risk_score!A:A, risk_score!B:B, 0)</f>
        <v>Low Risk</v>
      </c>
    </row>
    <row r="2175" spans="1:14">
      <c r="A2175" s="2">
        <v>0.49603009259259262</v>
      </c>
      <c r="B2175" s="3">
        <v>44841</v>
      </c>
      <c r="C2175" s="1">
        <v>8389148416</v>
      </c>
      <c r="D2175" s="1">
        <v>3487686607</v>
      </c>
      <c r="E2175" s="1">
        <v>8347.51</v>
      </c>
      <c r="F2175" s="1" t="s">
        <v>12</v>
      </c>
      <c r="G2175" s="1" t="s">
        <v>12</v>
      </c>
      <c r="H2175" s="1" t="s">
        <v>13</v>
      </c>
      <c r="I2175" s="1" t="s">
        <v>13</v>
      </c>
      <c r="J2175" s="1" t="s">
        <v>22</v>
      </c>
      <c r="K2175" s="1">
        <v>0</v>
      </c>
      <c r="L2175" s="1" t="s">
        <v>19</v>
      </c>
      <c r="M2175" s="1" t="str">
        <f t="shared" si="33"/>
        <v>Consistent</v>
      </c>
      <c r="N2175" s="1" t="str">
        <f>_xlfn.XLOOKUP(H2175, risk_score!A:A, risk_score!B:B, 0)</f>
        <v>Low Risk</v>
      </c>
    </row>
    <row r="2176" spans="1:14">
      <c r="A2176" s="2">
        <v>0.49604166666666666</v>
      </c>
      <c r="B2176" s="3">
        <v>44841</v>
      </c>
      <c r="C2176" s="1">
        <v>8311840357</v>
      </c>
      <c r="D2176" s="1">
        <v>8287938337</v>
      </c>
      <c r="E2176" s="1">
        <v>3402.04</v>
      </c>
      <c r="F2176" s="1" t="s">
        <v>12</v>
      </c>
      <c r="G2176" s="1" t="s">
        <v>12</v>
      </c>
      <c r="H2176" s="1" t="s">
        <v>13</v>
      </c>
      <c r="I2176" s="1" t="s">
        <v>13</v>
      </c>
      <c r="J2176" s="1" t="s">
        <v>25</v>
      </c>
      <c r="K2176" s="1">
        <v>0</v>
      </c>
      <c r="L2176" s="1" t="s">
        <v>21</v>
      </c>
      <c r="M2176" s="1" t="str">
        <f t="shared" si="33"/>
        <v>Consistent</v>
      </c>
      <c r="N2176" s="1" t="str">
        <f>_xlfn.XLOOKUP(H2176, risk_score!A:A, risk_score!B:B, 0)</f>
        <v>Low Risk</v>
      </c>
    </row>
    <row r="2177" spans="1:14">
      <c r="A2177" s="2">
        <v>0.49604166666666666</v>
      </c>
      <c r="B2177" s="3">
        <v>44841</v>
      </c>
      <c r="C2177" s="1">
        <v>7797425766</v>
      </c>
      <c r="D2177" s="1">
        <v>2968552604</v>
      </c>
      <c r="E2177" s="1">
        <v>1935.77</v>
      </c>
      <c r="F2177" s="1" t="s">
        <v>12</v>
      </c>
      <c r="G2177" s="1" t="s">
        <v>12</v>
      </c>
      <c r="H2177" s="1" t="s">
        <v>13</v>
      </c>
      <c r="I2177" s="1" t="s">
        <v>13</v>
      </c>
      <c r="J2177" s="1" t="s">
        <v>27</v>
      </c>
      <c r="K2177" s="1">
        <v>0</v>
      </c>
      <c r="L2177" s="1" t="s">
        <v>21</v>
      </c>
      <c r="M2177" s="1" t="str">
        <f t="shared" si="33"/>
        <v>Consistent</v>
      </c>
      <c r="N2177" s="1" t="str">
        <f>_xlfn.XLOOKUP(H2177, risk_score!A:A, risk_score!B:B, 0)</f>
        <v>Low Risk</v>
      </c>
    </row>
    <row r="2178" spans="1:14">
      <c r="A2178" s="2">
        <v>0.49606481481481479</v>
      </c>
      <c r="B2178" s="3">
        <v>44841</v>
      </c>
      <c r="C2178" s="1">
        <v>7501327339</v>
      </c>
      <c r="D2178" s="1">
        <v>7122039154</v>
      </c>
      <c r="E2178" s="1">
        <v>5223.1899999999996</v>
      </c>
      <c r="F2178" s="1" t="s">
        <v>12</v>
      </c>
      <c r="G2178" s="1" t="s">
        <v>12</v>
      </c>
      <c r="H2178" s="1" t="s">
        <v>13</v>
      </c>
      <c r="I2178" s="1" t="s">
        <v>13</v>
      </c>
      <c r="J2178" s="1" t="s">
        <v>25</v>
      </c>
      <c r="K2178" s="1">
        <v>0</v>
      </c>
      <c r="L2178" s="1" t="s">
        <v>19</v>
      </c>
      <c r="M2178" s="1" t="str">
        <f t="shared" si="33"/>
        <v>Consistent</v>
      </c>
      <c r="N2178" s="1" t="str">
        <f>_xlfn.XLOOKUP(H2178, risk_score!A:A, risk_score!B:B, 0)</f>
        <v>Low Risk</v>
      </c>
    </row>
    <row r="2179" spans="1:14">
      <c r="A2179" s="2">
        <v>0.49607638888888889</v>
      </c>
      <c r="B2179" s="3">
        <v>44841</v>
      </c>
      <c r="C2179" s="1">
        <v>7145262834</v>
      </c>
      <c r="D2179" s="1">
        <v>7811658898</v>
      </c>
      <c r="E2179" s="1">
        <v>2530.61</v>
      </c>
      <c r="F2179" s="1" t="s">
        <v>12</v>
      </c>
      <c r="G2179" s="1" t="s">
        <v>12</v>
      </c>
      <c r="H2179" s="1" t="s">
        <v>13</v>
      </c>
      <c r="I2179" s="1" t="s">
        <v>13</v>
      </c>
      <c r="J2179" s="1" t="s">
        <v>14</v>
      </c>
      <c r="K2179" s="1">
        <v>0</v>
      </c>
      <c r="L2179" s="1" t="s">
        <v>15</v>
      </c>
      <c r="M2179" s="1" t="str">
        <f t="shared" ref="M2179:M2242" si="34">IF(F2179=G2179, "Consistent", "Potential Layering")</f>
        <v>Consistent</v>
      </c>
      <c r="N2179" s="1" t="str">
        <f>_xlfn.XLOOKUP(H2179, risk_score!A:A, risk_score!B:B, 0)</f>
        <v>Low Risk</v>
      </c>
    </row>
    <row r="2180" spans="1:14">
      <c r="A2180" s="2">
        <v>0.49607638888888889</v>
      </c>
      <c r="B2180" s="3">
        <v>44841</v>
      </c>
      <c r="C2180" s="1">
        <v>6321560452</v>
      </c>
      <c r="D2180" s="1">
        <v>2679071245</v>
      </c>
      <c r="E2180" s="1">
        <v>801.52</v>
      </c>
      <c r="F2180" s="1" t="s">
        <v>12</v>
      </c>
      <c r="G2180" s="1" t="s">
        <v>12</v>
      </c>
      <c r="H2180" s="1" t="s">
        <v>13</v>
      </c>
      <c r="I2180" s="1" t="s">
        <v>13</v>
      </c>
      <c r="J2180" s="1" t="s">
        <v>20</v>
      </c>
      <c r="K2180" s="1">
        <v>0</v>
      </c>
      <c r="L2180" s="1" t="s">
        <v>24</v>
      </c>
      <c r="M2180" s="1" t="str">
        <f t="shared" si="34"/>
        <v>Consistent</v>
      </c>
      <c r="N2180" s="1" t="str">
        <f>_xlfn.XLOOKUP(H2180, risk_score!A:A, risk_score!B:B, 0)</f>
        <v>Low Risk</v>
      </c>
    </row>
    <row r="2181" spans="1:14">
      <c r="A2181" s="2">
        <v>0.49608796296296298</v>
      </c>
      <c r="B2181" s="3">
        <v>44841</v>
      </c>
      <c r="C2181" s="1">
        <v>964226904</v>
      </c>
      <c r="D2181" s="1">
        <v>1320927231</v>
      </c>
      <c r="E2181" s="1">
        <v>7188.55</v>
      </c>
      <c r="F2181" s="1" t="s">
        <v>12</v>
      </c>
      <c r="G2181" s="1" t="s">
        <v>12</v>
      </c>
      <c r="H2181" s="1" t="s">
        <v>13</v>
      </c>
      <c r="I2181" s="1" t="s">
        <v>13</v>
      </c>
      <c r="J2181" s="1" t="s">
        <v>22</v>
      </c>
      <c r="K2181" s="1">
        <v>0</v>
      </c>
      <c r="L2181" s="1" t="s">
        <v>23</v>
      </c>
      <c r="M2181" s="1" t="str">
        <f t="shared" si="34"/>
        <v>Consistent</v>
      </c>
      <c r="N2181" s="1" t="str">
        <f>_xlfn.XLOOKUP(H2181, risk_score!A:A, risk_score!B:B, 0)</f>
        <v>Low Risk</v>
      </c>
    </row>
    <row r="2182" spans="1:14">
      <c r="A2182" s="2">
        <v>0.49608796296296298</v>
      </c>
      <c r="B2182" s="3">
        <v>44841</v>
      </c>
      <c r="C2182" s="1">
        <v>151970486</v>
      </c>
      <c r="D2182" s="1">
        <v>4808280164</v>
      </c>
      <c r="E2182" s="1">
        <v>8467.25</v>
      </c>
      <c r="F2182" s="1" t="s">
        <v>12</v>
      </c>
      <c r="G2182" s="1" t="s">
        <v>12</v>
      </c>
      <c r="H2182" s="1" t="s">
        <v>13</v>
      </c>
      <c r="I2182" s="1" t="s">
        <v>13</v>
      </c>
      <c r="J2182" s="1" t="s">
        <v>25</v>
      </c>
      <c r="K2182" s="1">
        <v>0</v>
      </c>
      <c r="L2182" s="1" t="s">
        <v>24</v>
      </c>
      <c r="M2182" s="1" t="str">
        <f t="shared" si="34"/>
        <v>Consistent</v>
      </c>
      <c r="N2182" s="1" t="str">
        <f>_xlfn.XLOOKUP(H2182, risk_score!A:A, risk_score!B:B, 0)</f>
        <v>Low Risk</v>
      </c>
    </row>
    <row r="2183" spans="1:14">
      <c r="A2183" s="2">
        <v>0.49609953703703702</v>
      </c>
      <c r="B2183" s="3">
        <v>44841</v>
      </c>
      <c r="C2183" s="1">
        <v>9226756684</v>
      </c>
      <c r="D2183" s="1">
        <v>5858369125</v>
      </c>
      <c r="E2183" s="1">
        <v>17280.3</v>
      </c>
      <c r="F2183" s="1" t="s">
        <v>12</v>
      </c>
      <c r="G2183" s="1" t="s">
        <v>12</v>
      </c>
      <c r="H2183" s="1" t="s">
        <v>13</v>
      </c>
      <c r="I2183" s="1" t="s">
        <v>13</v>
      </c>
      <c r="J2183" s="1" t="s">
        <v>20</v>
      </c>
      <c r="K2183" s="1">
        <v>0</v>
      </c>
      <c r="L2183" s="1" t="s">
        <v>23</v>
      </c>
      <c r="M2183" s="1" t="str">
        <f t="shared" si="34"/>
        <v>Consistent</v>
      </c>
      <c r="N2183" s="1" t="str">
        <f>_xlfn.XLOOKUP(H2183, risk_score!A:A, risk_score!B:B, 0)</f>
        <v>Low Risk</v>
      </c>
    </row>
    <row r="2184" spans="1:14">
      <c r="A2184" s="2">
        <v>0.49611111111111111</v>
      </c>
      <c r="B2184" s="3">
        <v>44841</v>
      </c>
      <c r="C2184" s="1">
        <v>9302522864</v>
      </c>
      <c r="D2184" s="1">
        <v>5466123934</v>
      </c>
      <c r="E2184" s="1">
        <v>8454.24</v>
      </c>
      <c r="F2184" s="1" t="s">
        <v>12</v>
      </c>
      <c r="G2184" s="1" t="s">
        <v>12</v>
      </c>
      <c r="H2184" s="1" t="s">
        <v>13</v>
      </c>
      <c r="I2184" s="1" t="s">
        <v>13</v>
      </c>
      <c r="J2184" s="1" t="s">
        <v>27</v>
      </c>
      <c r="K2184" s="1">
        <v>0</v>
      </c>
      <c r="L2184" s="1" t="s">
        <v>23</v>
      </c>
      <c r="M2184" s="1" t="str">
        <f t="shared" si="34"/>
        <v>Consistent</v>
      </c>
      <c r="N2184" s="1" t="str">
        <f>_xlfn.XLOOKUP(H2184, risk_score!A:A, risk_score!B:B, 0)</f>
        <v>Low Risk</v>
      </c>
    </row>
    <row r="2185" spans="1:14">
      <c r="A2185" s="2">
        <v>0.49612268518518521</v>
      </c>
      <c r="B2185" s="3">
        <v>44841</v>
      </c>
      <c r="C2185" s="1">
        <v>1386801348</v>
      </c>
      <c r="D2185" s="1">
        <v>4389315764</v>
      </c>
      <c r="E2185" s="1">
        <v>11432.36</v>
      </c>
      <c r="F2185" s="1" t="s">
        <v>12</v>
      </c>
      <c r="G2185" s="1" t="s">
        <v>12</v>
      </c>
      <c r="H2185" s="1" t="s">
        <v>13</v>
      </c>
      <c r="I2185" s="1" t="s">
        <v>13</v>
      </c>
      <c r="J2185" s="1" t="s">
        <v>25</v>
      </c>
      <c r="K2185" s="1">
        <v>0</v>
      </c>
      <c r="L2185" s="1" t="s">
        <v>21</v>
      </c>
      <c r="M2185" s="1" t="str">
        <f t="shared" si="34"/>
        <v>Consistent</v>
      </c>
      <c r="N2185" s="1" t="str">
        <f>_xlfn.XLOOKUP(H2185, risk_score!A:A, risk_score!B:B, 0)</f>
        <v>Low Risk</v>
      </c>
    </row>
    <row r="2186" spans="1:14">
      <c r="A2186" s="2">
        <v>0.49614583333333334</v>
      </c>
      <c r="B2186" s="3">
        <v>44841</v>
      </c>
      <c r="C2186" s="1">
        <v>7501327339</v>
      </c>
      <c r="D2186" s="1">
        <v>4057865559</v>
      </c>
      <c r="E2186" s="1">
        <v>9314.99</v>
      </c>
      <c r="F2186" s="1" t="s">
        <v>12</v>
      </c>
      <c r="G2186" s="1" t="s">
        <v>12</v>
      </c>
      <c r="H2186" s="1" t="s">
        <v>13</v>
      </c>
      <c r="I2186" s="1" t="s">
        <v>13</v>
      </c>
      <c r="J2186" s="1" t="s">
        <v>20</v>
      </c>
      <c r="K2186" s="1">
        <v>0</v>
      </c>
      <c r="L2186" s="1" t="s">
        <v>19</v>
      </c>
      <c r="M2186" s="1" t="str">
        <f t="shared" si="34"/>
        <v>Consistent</v>
      </c>
      <c r="N2186" s="1" t="str">
        <f>_xlfn.XLOOKUP(H2186, risk_score!A:A, risk_score!B:B, 0)</f>
        <v>Low Risk</v>
      </c>
    </row>
    <row r="2187" spans="1:14">
      <c r="A2187" s="2">
        <v>0.49619212962962961</v>
      </c>
      <c r="B2187" s="3">
        <v>44841</v>
      </c>
      <c r="C2187" s="1">
        <v>3977956775</v>
      </c>
      <c r="D2187" s="1">
        <v>5363117119</v>
      </c>
      <c r="E2187" s="1">
        <v>9644.7000000000007</v>
      </c>
      <c r="F2187" s="1" t="s">
        <v>12</v>
      </c>
      <c r="G2187" s="1" t="s">
        <v>12</v>
      </c>
      <c r="H2187" s="1" t="s">
        <v>13</v>
      </c>
      <c r="I2187" s="1" t="s">
        <v>13</v>
      </c>
      <c r="J2187" s="1" t="s">
        <v>20</v>
      </c>
      <c r="K2187" s="1">
        <v>0</v>
      </c>
      <c r="L2187" s="1" t="s">
        <v>23</v>
      </c>
      <c r="M2187" s="1" t="str">
        <f t="shared" si="34"/>
        <v>Consistent</v>
      </c>
      <c r="N2187" s="1" t="str">
        <f>_xlfn.XLOOKUP(H2187, risk_score!A:A, risk_score!B:B, 0)</f>
        <v>Low Risk</v>
      </c>
    </row>
    <row r="2188" spans="1:14">
      <c r="A2188" s="2">
        <v>0.4962152777777778</v>
      </c>
      <c r="B2188" s="3">
        <v>44841</v>
      </c>
      <c r="C2188" s="1">
        <v>222127079</v>
      </c>
      <c r="D2188" s="1">
        <v>5858369125</v>
      </c>
      <c r="E2188" s="1">
        <v>7817.22</v>
      </c>
      <c r="F2188" s="1" t="s">
        <v>12</v>
      </c>
      <c r="G2188" s="1" t="s">
        <v>12</v>
      </c>
      <c r="H2188" s="1" t="s">
        <v>13</v>
      </c>
      <c r="I2188" s="1" t="s">
        <v>13</v>
      </c>
      <c r="J2188" s="1" t="s">
        <v>20</v>
      </c>
      <c r="K2188" s="1">
        <v>0</v>
      </c>
      <c r="L2188" s="1" t="s">
        <v>23</v>
      </c>
      <c r="M2188" s="1" t="str">
        <f t="shared" si="34"/>
        <v>Consistent</v>
      </c>
      <c r="N2188" s="1" t="str">
        <f>_xlfn.XLOOKUP(H2188, risk_score!A:A, risk_score!B:B, 0)</f>
        <v>Low Risk</v>
      </c>
    </row>
    <row r="2189" spans="1:14">
      <c r="A2189" s="2">
        <v>0.49623842592592593</v>
      </c>
      <c r="B2189" s="3">
        <v>44841</v>
      </c>
      <c r="C2189" s="1">
        <v>7219174047</v>
      </c>
      <c r="D2189" s="1">
        <v>3368920731</v>
      </c>
      <c r="E2189" s="1">
        <v>27782.02</v>
      </c>
      <c r="F2189" s="1" t="s">
        <v>12</v>
      </c>
      <c r="G2189" s="1" t="s">
        <v>12</v>
      </c>
      <c r="H2189" s="1" t="s">
        <v>13</v>
      </c>
      <c r="I2189" s="1" t="s">
        <v>13</v>
      </c>
      <c r="J2189" s="1" t="s">
        <v>20</v>
      </c>
      <c r="K2189" s="1">
        <v>0</v>
      </c>
      <c r="L2189" s="1" t="s">
        <v>21</v>
      </c>
      <c r="M2189" s="1" t="str">
        <f t="shared" si="34"/>
        <v>Consistent</v>
      </c>
      <c r="N2189" s="1" t="str">
        <f>_xlfn.XLOOKUP(H2189, risk_score!A:A, risk_score!B:B, 0)</f>
        <v>Low Risk</v>
      </c>
    </row>
    <row r="2190" spans="1:14">
      <c r="A2190" s="2">
        <v>0.49623842592592593</v>
      </c>
      <c r="B2190" s="3">
        <v>44841</v>
      </c>
      <c r="C2190" s="1">
        <v>8456279067</v>
      </c>
      <c r="D2190" s="1">
        <v>3889335486</v>
      </c>
      <c r="E2190" s="1">
        <v>14716.99</v>
      </c>
      <c r="F2190" s="1" t="s">
        <v>12</v>
      </c>
      <c r="G2190" s="1" t="s">
        <v>12</v>
      </c>
      <c r="H2190" s="1" t="s">
        <v>13</v>
      </c>
      <c r="I2190" s="1" t="s">
        <v>13</v>
      </c>
      <c r="J2190" s="1" t="s">
        <v>20</v>
      </c>
      <c r="K2190" s="1">
        <v>0</v>
      </c>
      <c r="L2190" s="1" t="s">
        <v>19</v>
      </c>
      <c r="M2190" s="1" t="str">
        <f t="shared" si="34"/>
        <v>Consistent</v>
      </c>
      <c r="N2190" s="1" t="str">
        <f>_xlfn.XLOOKUP(H2190, risk_score!A:A, risk_score!B:B, 0)</f>
        <v>Low Risk</v>
      </c>
    </row>
    <row r="2191" spans="1:14">
      <c r="A2191" s="2">
        <v>0.49625000000000002</v>
      </c>
      <c r="B2191" s="3">
        <v>44841</v>
      </c>
      <c r="C2191" s="1">
        <v>2645692846</v>
      </c>
      <c r="D2191" s="1">
        <v>1847194032</v>
      </c>
      <c r="E2191" s="1">
        <v>248.16</v>
      </c>
      <c r="F2191" s="1" t="s">
        <v>12</v>
      </c>
      <c r="G2191" s="1" t="s">
        <v>12</v>
      </c>
      <c r="H2191" s="1" t="s">
        <v>13</v>
      </c>
      <c r="I2191" s="1" t="s">
        <v>13</v>
      </c>
      <c r="J2191" s="1" t="s">
        <v>22</v>
      </c>
      <c r="K2191" s="1">
        <v>0</v>
      </c>
      <c r="L2191" s="1" t="s">
        <v>21</v>
      </c>
      <c r="M2191" s="1" t="str">
        <f t="shared" si="34"/>
        <v>Consistent</v>
      </c>
      <c r="N2191" s="1" t="str">
        <f>_xlfn.XLOOKUP(H2191, risk_score!A:A, risk_score!B:B, 0)</f>
        <v>Low Risk</v>
      </c>
    </row>
    <row r="2192" spans="1:14">
      <c r="A2192" s="2">
        <v>0.49626157407407406</v>
      </c>
      <c r="B2192" s="3">
        <v>44841</v>
      </c>
      <c r="C2192" s="1">
        <v>9480835161</v>
      </c>
      <c r="D2192" s="1">
        <v>5116518184</v>
      </c>
      <c r="E2192" s="1">
        <v>251.65</v>
      </c>
      <c r="F2192" s="1" t="s">
        <v>12</v>
      </c>
      <c r="G2192" s="1" t="s">
        <v>12</v>
      </c>
      <c r="H2192" s="1" t="s">
        <v>13</v>
      </c>
      <c r="I2192" s="1" t="s">
        <v>13</v>
      </c>
      <c r="J2192" s="1" t="s">
        <v>22</v>
      </c>
      <c r="K2192" s="1">
        <v>0</v>
      </c>
      <c r="L2192" s="1" t="s">
        <v>21</v>
      </c>
      <c r="M2192" s="1" t="str">
        <f t="shared" si="34"/>
        <v>Consistent</v>
      </c>
      <c r="N2192" s="1" t="str">
        <f>_xlfn.XLOOKUP(H2192, risk_score!A:A, risk_score!B:B, 0)</f>
        <v>Low Risk</v>
      </c>
    </row>
    <row r="2193" spans="1:14">
      <c r="A2193" s="2">
        <v>0.4962847222222222</v>
      </c>
      <c r="B2193" s="3">
        <v>44841</v>
      </c>
      <c r="C2193" s="1">
        <v>9620686680</v>
      </c>
      <c r="D2193" s="1">
        <v>9333931974</v>
      </c>
      <c r="E2193" s="1">
        <v>110.63</v>
      </c>
      <c r="F2193" s="1" t="s">
        <v>12</v>
      </c>
      <c r="G2193" s="1" t="s">
        <v>12</v>
      </c>
      <c r="H2193" s="1" t="s">
        <v>13</v>
      </c>
      <c r="I2193" s="1" t="s">
        <v>13</v>
      </c>
      <c r="J2193" s="1" t="s">
        <v>36</v>
      </c>
      <c r="K2193" s="1">
        <v>0</v>
      </c>
      <c r="L2193" s="1" t="s">
        <v>37</v>
      </c>
      <c r="M2193" s="1" t="str">
        <f t="shared" si="34"/>
        <v>Consistent</v>
      </c>
      <c r="N2193" s="1" t="str">
        <f>_xlfn.XLOOKUP(H2193, risk_score!A:A, risk_score!B:B, 0)</f>
        <v>Low Risk</v>
      </c>
    </row>
    <row r="2194" spans="1:14">
      <c r="A2194" s="2">
        <v>0.4962847222222222</v>
      </c>
      <c r="B2194" s="3">
        <v>44841</v>
      </c>
      <c r="C2194" s="1">
        <v>7421451752</v>
      </c>
      <c r="D2194" s="1">
        <v>3557538160</v>
      </c>
      <c r="E2194" s="1">
        <v>4221.92</v>
      </c>
      <c r="F2194" s="1" t="s">
        <v>12</v>
      </c>
      <c r="G2194" s="1" t="s">
        <v>12</v>
      </c>
      <c r="H2194" s="1" t="s">
        <v>13</v>
      </c>
      <c r="I2194" s="1" t="s">
        <v>13</v>
      </c>
      <c r="J2194" s="1" t="s">
        <v>25</v>
      </c>
      <c r="K2194" s="1">
        <v>0</v>
      </c>
      <c r="L2194" s="1" t="s">
        <v>19</v>
      </c>
      <c r="M2194" s="1" t="str">
        <f t="shared" si="34"/>
        <v>Consistent</v>
      </c>
      <c r="N2194" s="1" t="str">
        <f>_xlfn.XLOOKUP(H2194, risk_score!A:A, risk_score!B:B, 0)</f>
        <v>Low Risk</v>
      </c>
    </row>
    <row r="2195" spans="1:14">
      <c r="A2195" s="2">
        <v>0.4962847222222222</v>
      </c>
      <c r="B2195" s="3">
        <v>44841</v>
      </c>
      <c r="C2195" s="1">
        <v>3826795727</v>
      </c>
      <c r="D2195" s="1">
        <v>7390345835</v>
      </c>
      <c r="E2195" s="1">
        <v>13406.96</v>
      </c>
      <c r="F2195" s="1" t="s">
        <v>12</v>
      </c>
      <c r="G2195" s="1" t="s">
        <v>12</v>
      </c>
      <c r="H2195" s="1" t="s">
        <v>13</v>
      </c>
      <c r="I2195" s="1" t="s">
        <v>13</v>
      </c>
      <c r="J2195" s="1" t="s">
        <v>22</v>
      </c>
      <c r="K2195" s="1">
        <v>0</v>
      </c>
      <c r="L2195" s="1" t="s">
        <v>21</v>
      </c>
      <c r="M2195" s="1" t="str">
        <f t="shared" si="34"/>
        <v>Consistent</v>
      </c>
      <c r="N2195" s="1" t="str">
        <f>_xlfn.XLOOKUP(H2195, risk_score!A:A, risk_score!B:B, 0)</f>
        <v>Low Risk</v>
      </c>
    </row>
    <row r="2196" spans="1:14">
      <c r="A2196" s="2">
        <v>0.49633101851851852</v>
      </c>
      <c r="B2196" s="3">
        <v>44841</v>
      </c>
      <c r="C2196" s="1">
        <v>7695306517</v>
      </c>
      <c r="D2196" s="1">
        <v>1320927231</v>
      </c>
      <c r="E2196" s="1">
        <v>9587.14</v>
      </c>
      <c r="F2196" s="1" t="s">
        <v>12</v>
      </c>
      <c r="G2196" s="1" t="s">
        <v>12</v>
      </c>
      <c r="H2196" s="1" t="s">
        <v>13</v>
      </c>
      <c r="I2196" s="1" t="s">
        <v>13</v>
      </c>
      <c r="J2196" s="1" t="s">
        <v>27</v>
      </c>
      <c r="K2196" s="1">
        <v>0</v>
      </c>
      <c r="L2196" s="1" t="s">
        <v>23</v>
      </c>
      <c r="M2196" s="1" t="str">
        <f t="shared" si="34"/>
        <v>Consistent</v>
      </c>
      <c r="N2196" s="1" t="str">
        <f>_xlfn.XLOOKUP(H2196, risk_score!A:A, risk_score!B:B, 0)</f>
        <v>Low Risk</v>
      </c>
    </row>
    <row r="2197" spans="1:14">
      <c r="A2197" s="2">
        <v>0.49634259259259261</v>
      </c>
      <c r="B2197" s="3">
        <v>44841</v>
      </c>
      <c r="C2197" s="1">
        <v>7937917609</v>
      </c>
      <c r="D2197" s="1">
        <v>2485355071</v>
      </c>
      <c r="E2197" s="1">
        <v>4699.96</v>
      </c>
      <c r="F2197" s="1" t="s">
        <v>12</v>
      </c>
      <c r="G2197" s="1" t="s">
        <v>12</v>
      </c>
      <c r="H2197" s="1" t="s">
        <v>13</v>
      </c>
      <c r="I2197" s="1" t="s">
        <v>13</v>
      </c>
      <c r="J2197" s="1" t="s">
        <v>25</v>
      </c>
      <c r="K2197" s="1">
        <v>0</v>
      </c>
      <c r="L2197" s="1" t="s">
        <v>21</v>
      </c>
      <c r="M2197" s="1" t="str">
        <f t="shared" si="34"/>
        <v>Consistent</v>
      </c>
      <c r="N2197" s="1" t="str">
        <f>_xlfn.XLOOKUP(H2197, risk_score!A:A, risk_score!B:B, 0)</f>
        <v>Low Risk</v>
      </c>
    </row>
    <row r="2198" spans="1:14">
      <c r="A2198" s="2">
        <v>0.49638888888888888</v>
      </c>
      <c r="B2198" s="3">
        <v>44841</v>
      </c>
      <c r="C2198" s="1">
        <v>7834027132</v>
      </c>
      <c r="D2198" s="1">
        <v>8834373071</v>
      </c>
      <c r="E2198" s="1">
        <v>1935.62</v>
      </c>
      <c r="F2198" s="1" t="s">
        <v>12</v>
      </c>
      <c r="G2198" s="1" t="s">
        <v>12</v>
      </c>
      <c r="H2198" s="1" t="s">
        <v>13</v>
      </c>
      <c r="I2198" s="1" t="s">
        <v>13</v>
      </c>
      <c r="J2198" s="1" t="s">
        <v>25</v>
      </c>
      <c r="K2198" s="1">
        <v>0</v>
      </c>
      <c r="L2198" s="1" t="s">
        <v>21</v>
      </c>
      <c r="M2198" s="1" t="str">
        <f t="shared" si="34"/>
        <v>Consistent</v>
      </c>
      <c r="N2198" s="1" t="str">
        <f>_xlfn.XLOOKUP(H2198, risk_score!A:A, risk_score!B:B, 0)</f>
        <v>Low Risk</v>
      </c>
    </row>
    <row r="2199" spans="1:14">
      <c r="A2199" s="2">
        <v>0.49641203703703701</v>
      </c>
      <c r="B2199" s="3">
        <v>44841</v>
      </c>
      <c r="C2199" s="1">
        <v>8273126721</v>
      </c>
      <c r="D2199" s="1">
        <v>409707192</v>
      </c>
      <c r="E2199" s="1">
        <v>6136.41</v>
      </c>
      <c r="F2199" s="1" t="s">
        <v>12</v>
      </c>
      <c r="G2199" s="1" t="s">
        <v>12</v>
      </c>
      <c r="H2199" s="1" t="s">
        <v>13</v>
      </c>
      <c r="I2199" s="1" t="s">
        <v>13</v>
      </c>
      <c r="J2199" s="1" t="s">
        <v>27</v>
      </c>
      <c r="K2199" s="1">
        <v>0</v>
      </c>
      <c r="L2199" s="1" t="s">
        <v>23</v>
      </c>
      <c r="M2199" s="1" t="str">
        <f t="shared" si="34"/>
        <v>Consistent</v>
      </c>
      <c r="N2199" s="1" t="str">
        <f>_xlfn.XLOOKUP(H2199, risk_score!A:A, risk_score!B:B, 0)</f>
        <v>Low Risk</v>
      </c>
    </row>
    <row r="2200" spans="1:14">
      <c r="A2200" s="2">
        <v>0.49644675925925924</v>
      </c>
      <c r="B2200" s="3">
        <v>44841</v>
      </c>
      <c r="C2200" s="1">
        <v>9598349393</v>
      </c>
      <c r="D2200" s="1">
        <v>8518184956</v>
      </c>
      <c r="E2200" s="1">
        <v>6889.84</v>
      </c>
      <c r="F2200" s="1" t="s">
        <v>12</v>
      </c>
      <c r="G2200" s="1" t="s">
        <v>12</v>
      </c>
      <c r="H2200" s="1" t="s">
        <v>13</v>
      </c>
      <c r="I2200" s="1" t="s">
        <v>13</v>
      </c>
      <c r="J2200" s="1" t="s">
        <v>25</v>
      </c>
      <c r="K2200" s="1">
        <v>0</v>
      </c>
      <c r="L2200" s="1" t="s">
        <v>23</v>
      </c>
      <c r="M2200" s="1" t="str">
        <f t="shared" si="34"/>
        <v>Consistent</v>
      </c>
      <c r="N2200" s="1" t="str">
        <f>_xlfn.XLOOKUP(H2200, risk_score!A:A, risk_score!B:B, 0)</f>
        <v>Low Risk</v>
      </c>
    </row>
    <row r="2201" spans="1:14">
      <c r="A2201" s="2">
        <v>0.49645833333333333</v>
      </c>
      <c r="B2201" s="3">
        <v>44841</v>
      </c>
      <c r="C2201" s="1">
        <v>3510078932</v>
      </c>
      <c r="D2201" s="1">
        <v>9858029207</v>
      </c>
      <c r="E2201" s="1">
        <v>8658.9599999999991</v>
      </c>
      <c r="F2201" s="1" t="s">
        <v>12</v>
      </c>
      <c r="G2201" s="1" t="s">
        <v>42</v>
      </c>
      <c r="H2201" s="1" t="s">
        <v>13</v>
      </c>
      <c r="I2201" s="1" t="s">
        <v>43</v>
      </c>
      <c r="J2201" s="1" t="s">
        <v>18</v>
      </c>
      <c r="K2201" s="1">
        <v>0</v>
      </c>
      <c r="L2201" s="1" t="s">
        <v>19</v>
      </c>
      <c r="M2201" s="1" t="str">
        <f t="shared" si="34"/>
        <v>Potential Layering</v>
      </c>
      <c r="N2201" s="1" t="str">
        <f>_xlfn.XLOOKUP(H2201, risk_score!A:A, risk_score!B:B, 0)</f>
        <v>Low Risk</v>
      </c>
    </row>
    <row r="2202" spans="1:14">
      <c r="A2202" s="2">
        <v>0.49646990740740743</v>
      </c>
      <c r="B2202" s="3">
        <v>44841</v>
      </c>
      <c r="C2202" s="1">
        <v>5225662186</v>
      </c>
      <c r="D2202" s="1">
        <v>7440882270</v>
      </c>
      <c r="E2202" s="1">
        <v>7120.47</v>
      </c>
      <c r="F2202" s="1" t="s">
        <v>12</v>
      </c>
      <c r="G2202" s="1" t="s">
        <v>12</v>
      </c>
      <c r="H2202" s="1" t="s">
        <v>13</v>
      </c>
      <c r="I2202" s="1" t="s">
        <v>13</v>
      </c>
      <c r="J2202" s="1" t="s">
        <v>27</v>
      </c>
      <c r="K2202" s="1">
        <v>0</v>
      </c>
      <c r="L2202" s="1" t="s">
        <v>21</v>
      </c>
      <c r="M2202" s="1" t="str">
        <f t="shared" si="34"/>
        <v>Consistent</v>
      </c>
      <c r="N2202" s="1" t="str">
        <f>_xlfn.XLOOKUP(H2202, risk_score!A:A, risk_score!B:B, 0)</f>
        <v>Low Risk</v>
      </c>
    </row>
    <row r="2203" spans="1:14">
      <c r="A2203" s="2">
        <v>0.49649305555555556</v>
      </c>
      <c r="B2203" s="3">
        <v>44841</v>
      </c>
      <c r="C2203" s="1">
        <v>3743560453</v>
      </c>
      <c r="D2203" s="1">
        <v>7633353182</v>
      </c>
      <c r="E2203" s="1">
        <v>120.16</v>
      </c>
      <c r="F2203" s="1" t="s">
        <v>12</v>
      </c>
      <c r="G2203" s="1" t="s">
        <v>12</v>
      </c>
      <c r="H2203" s="1" t="s">
        <v>13</v>
      </c>
      <c r="I2203" s="1" t="s">
        <v>13</v>
      </c>
      <c r="J2203" s="1" t="s">
        <v>20</v>
      </c>
      <c r="K2203" s="1">
        <v>0</v>
      </c>
      <c r="L2203" s="1" t="s">
        <v>21</v>
      </c>
      <c r="M2203" s="1" t="str">
        <f t="shared" si="34"/>
        <v>Consistent</v>
      </c>
      <c r="N2203" s="1" t="str">
        <f>_xlfn.XLOOKUP(H2203, risk_score!A:A, risk_score!B:B, 0)</f>
        <v>Low Risk</v>
      </c>
    </row>
    <row r="2204" spans="1:14">
      <c r="A2204" s="2">
        <v>0.49652777777777779</v>
      </c>
      <c r="B2204" s="3">
        <v>44841</v>
      </c>
      <c r="C2204" s="1">
        <v>1776829912</v>
      </c>
      <c r="D2204" s="1">
        <v>2974851432</v>
      </c>
      <c r="E2204" s="1">
        <v>2330.58</v>
      </c>
      <c r="F2204" s="1" t="s">
        <v>12</v>
      </c>
      <c r="G2204" s="1" t="s">
        <v>12</v>
      </c>
      <c r="H2204" s="1" t="s">
        <v>13</v>
      </c>
      <c r="I2204" s="1" t="s">
        <v>13</v>
      </c>
      <c r="J2204" s="1" t="s">
        <v>25</v>
      </c>
      <c r="K2204" s="1">
        <v>0</v>
      </c>
      <c r="L2204" s="1" t="s">
        <v>21</v>
      </c>
      <c r="M2204" s="1" t="str">
        <f t="shared" si="34"/>
        <v>Consistent</v>
      </c>
      <c r="N2204" s="1" t="str">
        <f>_xlfn.XLOOKUP(H2204, risk_score!A:A, risk_score!B:B, 0)</f>
        <v>Low Risk</v>
      </c>
    </row>
    <row r="2205" spans="1:14">
      <c r="A2205" s="2">
        <v>0.49655092592592592</v>
      </c>
      <c r="B2205" s="3">
        <v>44841</v>
      </c>
      <c r="C2205" s="1">
        <v>6316931980</v>
      </c>
      <c r="D2205" s="1">
        <v>1890700458</v>
      </c>
      <c r="E2205" s="1">
        <v>10958.9</v>
      </c>
      <c r="F2205" s="1" t="s">
        <v>12</v>
      </c>
      <c r="G2205" s="1" t="s">
        <v>12</v>
      </c>
      <c r="H2205" s="1" t="s">
        <v>13</v>
      </c>
      <c r="I2205" s="1" t="s">
        <v>13</v>
      </c>
      <c r="J2205" s="1" t="s">
        <v>25</v>
      </c>
      <c r="K2205" s="1">
        <v>0</v>
      </c>
      <c r="L2205" s="1" t="s">
        <v>21</v>
      </c>
      <c r="M2205" s="1" t="str">
        <f t="shared" si="34"/>
        <v>Consistent</v>
      </c>
      <c r="N2205" s="1" t="str">
        <f>_xlfn.XLOOKUP(H2205, risk_score!A:A, risk_score!B:B, 0)</f>
        <v>Low Risk</v>
      </c>
    </row>
    <row r="2206" spans="1:14">
      <c r="A2206" s="2">
        <v>0.49656250000000002</v>
      </c>
      <c r="B2206" s="3">
        <v>44841</v>
      </c>
      <c r="C2206" s="1">
        <v>7143169330</v>
      </c>
      <c r="D2206" s="1">
        <v>7509313232</v>
      </c>
      <c r="E2206" s="1">
        <v>2750</v>
      </c>
      <c r="F2206" s="1" t="s">
        <v>12</v>
      </c>
      <c r="G2206" s="1" t="s">
        <v>12</v>
      </c>
      <c r="H2206" s="1" t="s">
        <v>13</v>
      </c>
      <c r="I2206" s="1" t="s">
        <v>13</v>
      </c>
      <c r="J2206" s="1" t="s">
        <v>20</v>
      </c>
      <c r="K2206" s="1">
        <v>0</v>
      </c>
      <c r="L2206" s="1" t="s">
        <v>21</v>
      </c>
      <c r="M2206" s="1" t="str">
        <f t="shared" si="34"/>
        <v>Consistent</v>
      </c>
      <c r="N2206" s="1" t="str">
        <f>_xlfn.XLOOKUP(H2206, risk_score!A:A, risk_score!B:B, 0)</f>
        <v>Low Risk</v>
      </c>
    </row>
    <row r="2207" spans="1:14">
      <c r="A2207" s="2">
        <v>0.49658564814814815</v>
      </c>
      <c r="B2207" s="3">
        <v>44841</v>
      </c>
      <c r="C2207" s="1">
        <v>6086421020</v>
      </c>
      <c r="D2207" s="1">
        <v>7011505686</v>
      </c>
      <c r="E2207" s="1">
        <v>11446.68</v>
      </c>
      <c r="F2207" s="1" t="s">
        <v>12</v>
      </c>
      <c r="G2207" s="1" t="s">
        <v>29</v>
      </c>
      <c r="H2207" s="1" t="s">
        <v>13</v>
      </c>
      <c r="I2207" s="1" t="s">
        <v>48</v>
      </c>
      <c r="J2207" s="1" t="s">
        <v>18</v>
      </c>
      <c r="K2207" s="1">
        <v>0</v>
      </c>
      <c r="L2207" s="1" t="s">
        <v>19</v>
      </c>
      <c r="M2207" s="1" t="str">
        <f t="shared" si="34"/>
        <v>Potential Layering</v>
      </c>
      <c r="N2207" s="1" t="str">
        <f>_xlfn.XLOOKUP(H2207, risk_score!A:A, risk_score!B:B, 0)</f>
        <v>Low Risk</v>
      </c>
    </row>
    <row r="2208" spans="1:14">
      <c r="A2208" s="2">
        <v>0.49659722222222225</v>
      </c>
      <c r="B2208" s="3">
        <v>44841</v>
      </c>
      <c r="C2208" s="1">
        <v>1491989064</v>
      </c>
      <c r="D2208" s="1">
        <v>9460624653</v>
      </c>
      <c r="E2208" s="1">
        <v>12748.05</v>
      </c>
      <c r="F2208" s="1" t="s">
        <v>12</v>
      </c>
      <c r="G2208" s="1" t="s">
        <v>29</v>
      </c>
      <c r="H2208" s="1" t="s">
        <v>13</v>
      </c>
      <c r="I2208" s="1" t="s">
        <v>30</v>
      </c>
      <c r="J2208" s="1" t="s">
        <v>18</v>
      </c>
      <c r="K2208" s="1">
        <v>0</v>
      </c>
      <c r="L2208" s="1" t="s">
        <v>19</v>
      </c>
      <c r="M2208" s="1" t="str">
        <f t="shared" si="34"/>
        <v>Potential Layering</v>
      </c>
      <c r="N2208" s="1" t="str">
        <f>_xlfn.XLOOKUP(H2208, risk_score!A:A, risk_score!B:B, 0)</f>
        <v>Low Risk</v>
      </c>
    </row>
    <row r="2209" spans="1:14">
      <c r="A2209" s="2">
        <v>0.49660879629629628</v>
      </c>
      <c r="B2209" s="3">
        <v>44841</v>
      </c>
      <c r="C2209" s="1">
        <v>3262760251</v>
      </c>
      <c r="D2209" s="1">
        <v>3695545812</v>
      </c>
      <c r="E2209" s="1">
        <v>20747.669999999998</v>
      </c>
      <c r="F2209" s="1" t="s">
        <v>12</v>
      </c>
      <c r="G2209" s="1" t="s">
        <v>12</v>
      </c>
      <c r="H2209" s="1" t="s">
        <v>13</v>
      </c>
      <c r="I2209" s="1" t="s">
        <v>13</v>
      </c>
      <c r="J2209" s="1" t="s">
        <v>25</v>
      </c>
      <c r="K2209" s="1">
        <v>0</v>
      </c>
      <c r="L2209" s="1" t="s">
        <v>23</v>
      </c>
      <c r="M2209" s="1" t="str">
        <f t="shared" si="34"/>
        <v>Consistent</v>
      </c>
      <c r="N2209" s="1" t="str">
        <f>_xlfn.XLOOKUP(H2209, risk_score!A:A, risk_score!B:B, 0)</f>
        <v>Low Risk</v>
      </c>
    </row>
    <row r="2210" spans="1:14">
      <c r="A2210" s="2">
        <v>0.49662037037037038</v>
      </c>
      <c r="B2210" s="3">
        <v>44841</v>
      </c>
      <c r="C2210" s="1">
        <v>7700588772</v>
      </c>
      <c r="D2210" s="1">
        <v>9105769228</v>
      </c>
      <c r="E2210" s="1">
        <v>6549.81</v>
      </c>
      <c r="F2210" s="1" t="s">
        <v>12</v>
      </c>
      <c r="G2210" s="1" t="s">
        <v>12</v>
      </c>
      <c r="H2210" s="1" t="s">
        <v>13</v>
      </c>
      <c r="I2210" s="1" t="s">
        <v>13</v>
      </c>
      <c r="J2210" s="1" t="s">
        <v>25</v>
      </c>
      <c r="K2210" s="1">
        <v>0</v>
      </c>
      <c r="L2210" s="1" t="s">
        <v>23</v>
      </c>
      <c r="M2210" s="1" t="str">
        <f t="shared" si="34"/>
        <v>Consistent</v>
      </c>
      <c r="N2210" s="1" t="str">
        <f>_xlfn.XLOOKUP(H2210, risk_score!A:A, risk_score!B:B, 0)</f>
        <v>Low Risk</v>
      </c>
    </row>
    <row r="2211" spans="1:14">
      <c r="A2211" s="2">
        <v>0.49664351851851851</v>
      </c>
      <c r="B2211" s="3">
        <v>44841</v>
      </c>
      <c r="C2211" s="1">
        <v>3426609302</v>
      </c>
      <c r="D2211" s="1">
        <v>7004320228</v>
      </c>
      <c r="E2211" s="1">
        <v>4176.72</v>
      </c>
      <c r="F2211" s="1" t="s">
        <v>12</v>
      </c>
      <c r="G2211" s="1" t="s">
        <v>12</v>
      </c>
      <c r="H2211" s="1" t="s">
        <v>13</v>
      </c>
      <c r="I2211" s="1" t="s">
        <v>13</v>
      </c>
      <c r="J2211" s="1" t="s">
        <v>14</v>
      </c>
      <c r="K2211" s="1">
        <v>0</v>
      </c>
      <c r="L2211" s="1" t="s">
        <v>15</v>
      </c>
      <c r="M2211" s="1" t="str">
        <f t="shared" si="34"/>
        <v>Consistent</v>
      </c>
      <c r="N2211" s="1" t="str">
        <f>_xlfn.XLOOKUP(H2211, risk_score!A:A, risk_score!B:B, 0)</f>
        <v>Low Risk</v>
      </c>
    </row>
    <row r="2212" spans="1:14">
      <c r="A2212" s="2">
        <v>0.49666666666666665</v>
      </c>
      <c r="B2212" s="3">
        <v>44841</v>
      </c>
      <c r="C2212" s="1">
        <v>4196292485</v>
      </c>
      <c r="D2212" s="1">
        <v>8400332529</v>
      </c>
      <c r="E2212" s="1">
        <v>963.31</v>
      </c>
      <c r="F2212" s="1" t="s">
        <v>12</v>
      </c>
      <c r="G2212" s="1" t="s">
        <v>12</v>
      </c>
      <c r="H2212" s="1" t="s">
        <v>13</v>
      </c>
      <c r="I2212" s="1" t="s">
        <v>13</v>
      </c>
      <c r="J2212" s="1" t="s">
        <v>22</v>
      </c>
      <c r="K2212" s="1">
        <v>0</v>
      </c>
      <c r="L2212" s="1" t="s">
        <v>21</v>
      </c>
      <c r="M2212" s="1" t="str">
        <f t="shared" si="34"/>
        <v>Consistent</v>
      </c>
      <c r="N2212" s="1" t="str">
        <f>_xlfn.XLOOKUP(H2212, risk_score!A:A, risk_score!B:B, 0)</f>
        <v>Low Risk</v>
      </c>
    </row>
    <row r="2213" spans="1:14">
      <c r="A2213" s="2">
        <v>0.49666666666666665</v>
      </c>
      <c r="B2213" s="3">
        <v>44841</v>
      </c>
      <c r="C2213" s="1">
        <v>7508313997</v>
      </c>
      <c r="D2213" s="1">
        <v>665107776</v>
      </c>
      <c r="E2213" s="1">
        <v>3148.14</v>
      </c>
      <c r="F2213" s="1" t="s">
        <v>12</v>
      </c>
      <c r="G2213" s="1" t="s">
        <v>12</v>
      </c>
      <c r="H2213" s="1" t="s">
        <v>13</v>
      </c>
      <c r="I2213" s="1" t="s">
        <v>13</v>
      </c>
      <c r="J2213" s="1" t="s">
        <v>22</v>
      </c>
      <c r="K2213" s="1">
        <v>0</v>
      </c>
      <c r="L2213" s="1" t="s">
        <v>21</v>
      </c>
      <c r="M2213" s="1" t="str">
        <f t="shared" si="34"/>
        <v>Consistent</v>
      </c>
      <c r="N2213" s="1" t="str">
        <f>_xlfn.XLOOKUP(H2213, risk_score!A:A, risk_score!B:B, 0)</f>
        <v>Low Risk</v>
      </c>
    </row>
    <row r="2214" spans="1:14">
      <c r="A2214" s="2">
        <v>0.49667824074074074</v>
      </c>
      <c r="B2214" s="3">
        <v>44841</v>
      </c>
      <c r="C2214" s="1">
        <v>6786390467</v>
      </c>
      <c r="D2214" s="1">
        <v>441611918</v>
      </c>
      <c r="E2214" s="1">
        <v>1426.37</v>
      </c>
      <c r="F2214" s="1" t="s">
        <v>12</v>
      </c>
      <c r="G2214" s="1" t="s">
        <v>12</v>
      </c>
      <c r="H2214" s="1" t="s">
        <v>13</v>
      </c>
      <c r="I2214" s="1" t="s">
        <v>13</v>
      </c>
      <c r="J2214" s="1" t="s">
        <v>14</v>
      </c>
      <c r="K2214" s="1">
        <v>0</v>
      </c>
      <c r="L2214" s="1" t="s">
        <v>15</v>
      </c>
      <c r="M2214" s="1" t="str">
        <f t="shared" si="34"/>
        <v>Consistent</v>
      </c>
      <c r="N2214" s="1" t="str">
        <f>_xlfn.XLOOKUP(H2214, risk_score!A:A, risk_score!B:B, 0)</f>
        <v>Low Risk</v>
      </c>
    </row>
    <row r="2215" spans="1:14">
      <c r="A2215" s="2">
        <v>0.49670138888888887</v>
      </c>
      <c r="B2215" s="3">
        <v>44841</v>
      </c>
      <c r="C2215" s="1">
        <v>7367118749</v>
      </c>
      <c r="D2215" s="1">
        <v>6691833511</v>
      </c>
      <c r="E2215" s="1">
        <v>1430.75</v>
      </c>
      <c r="F2215" s="1" t="s">
        <v>51</v>
      </c>
      <c r="G2215" s="1" t="s">
        <v>12</v>
      </c>
      <c r="H2215" s="1" t="s">
        <v>52</v>
      </c>
      <c r="I2215" s="1" t="s">
        <v>13</v>
      </c>
      <c r="J2215" s="1" t="s">
        <v>18</v>
      </c>
      <c r="K2215" s="1">
        <v>0</v>
      </c>
      <c r="L2215" s="1" t="s">
        <v>21</v>
      </c>
      <c r="M2215" s="1" t="str">
        <f t="shared" si="34"/>
        <v>Potential Layering</v>
      </c>
      <c r="N2215" s="1" t="str">
        <f>_xlfn.XLOOKUP(H2215, risk_score!A:A, risk_score!B:B, 0)</f>
        <v>Medium Risk</v>
      </c>
    </row>
    <row r="2216" spans="1:14">
      <c r="A2216" s="2">
        <v>0.49677083333333333</v>
      </c>
      <c r="B2216" s="3">
        <v>44841</v>
      </c>
      <c r="C2216" s="1">
        <v>5046677426</v>
      </c>
      <c r="D2216" s="1">
        <v>7177567542</v>
      </c>
      <c r="E2216" s="1">
        <v>6752.55</v>
      </c>
      <c r="F2216" s="1" t="s">
        <v>12</v>
      </c>
      <c r="G2216" s="1" t="s">
        <v>12</v>
      </c>
      <c r="H2216" s="1" t="s">
        <v>13</v>
      </c>
      <c r="I2216" s="1" t="s">
        <v>13</v>
      </c>
      <c r="J2216" s="1" t="s">
        <v>22</v>
      </c>
      <c r="K2216" s="1">
        <v>0</v>
      </c>
      <c r="L2216" s="1" t="s">
        <v>21</v>
      </c>
      <c r="M2216" s="1" t="str">
        <f t="shared" si="34"/>
        <v>Consistent</v>
      </c>
      <c r="N2216" s="1" t="str">
        <f>_xlfn.XLOOKUP(H2216, risk_score!A:A, risk_score!B:B, 0)</f>
        <v>Low Risk</v>
      </c>
    </row>
    <row r="2217" spans="1:14">
      <c r="A2217" s="2">
        <v>0.49680555555555556</v>
      </c>
      <c r="B2217" s="3">
        <v>44841</v>
      </c>
      <c r="C2217" s="1">
        <v>7665277514</v>
      </c>
      <c r="D2217" s="1">
        <v>1261579466</v>
      </c>
      <c r="E2217" s="1">
        <v>8413.02</v>
      </c>
      <c r="F2217" s="1" t="s">
        <v>12</v>
      </c>
      <c r="G2217" s="1" t="s">
        <v>12</v>
      </c>
      <c r="H2217" s="1" t="s">
        <v>13</v>
      </c>
      <c r="I2217" s="1" t="s">
        <v>13</v>
      </c>
      <c r="J2217" s="1" t="s">
        <v>22</v>
      </c>
      <c r="K2217" s="1">
        <v>0</v>
      </c>
      <c r="L2217" s="1" t="s">
        <v>21</v>
      </c>
      <c r="M2217" s="1" t="str">
        <f t="shared" si="34"/>
        <v>Consistent</v>
      </c>
      <c r="N2217" s="1" t="str">
        <f>_xlfn.XLOOKUP(H2217, risk_score!A:A, risk_score!B:B, 0)</f>
        <v>Low Risk</v>
      </c>
    </row>
    <row r="2218" spans="1:14">
      <c r="A2218" s="2">
        <v>0.49681712962962965</v>
      </c>
      <c r="B2218" s="3">
        <v>44841</v>
      </c>
      <c r="C2218" s="1">
        <v>3711017685</v>
      </c>
      <c r="D2218" s="1">
        <v>5896180453</v>
      </c>
      <c r="E2218" s="1">
        <v>11127.69</v>
      </c>
      <c r="F2218" s="1" t="s">
        <v>12</v>
      </c>
      <c r="G2218" s="1" t="s">
        <v>12</v>
      </c>
      <c r="H2218" s="1" t="s">
        <v>13</v>
      </c>
      <c r="I2218" s="1" t="s">
        <v>13</v>
      </c>
      <c r="J2218" s="1" t="s">
        <v>27</v>
      </c>
      <c r="K2218" s="1">
        <v>0</v>
      </c>
      <c r="L2218" s="1" t="s">
        <v>23</v>
      </c>
      <c r="M2218" s="1" t="str">
        <f t="shared" si="34"/>
        <v>Consistent</v>
      </c>
      <c r="N2218" s="1" t="str">
        <f>_xlfn.XLOOKUP(H2218, risk_score!A:A, risk_score!B:B, 0)</f>
        <v>Low Risk</v>
      </c>
    </row>
    <row r="2219" spans="1:14">
      <c r="A2219" s="2">
        <v>0.49681712962962965</v>
      </c>
      <c r="B2219" s="3">
        <v>44841</v>
      </c>
      <c r="C2219" s="1">
        <v>8459501061</v>
      </c>
      <c r="D2219" s="1">
        <v>2700010988</v>
      </c>
      <c r="E2219" s="1">
        <v>3488.75</v>
      </c>
      <c r="F2219" s="1" t="s">
        <v>12</v>
      </c>
      <c r="G2219" s="1" t="s">
        <v>12</v>
      </c>
      <c r="H2219" s="1" t="s">
        <v>13</v>
      </c>
      <c r="I2219" s="1" t="s">
        <v>13</v>
      </c>
      <c r="J2219" s="1" t="s">
        <v>22</v>
      </c>
      <c r="K2219" s="1">
        <v>0</v>
      </c>
      <c r="L2219" s="1" t="s">
        <v>21</v>
      </c>
      <c r="M2219" s="1" t="str">
        <f t="shared" si="34"/>
        <v>Consistent</v>
      </c>
      <c r="N2219" s="1" t="str">
        <f>_xlfn.XLOOKUP(H2219, risk_score!A:A, risk_score!B:B, 0)</f>
        <v>Low Risk</v>
      </c>
    </row>
    <row r="2220" spans="1:14">
      <c r="A2220" s="2">
        <v>0.49684027777777778</v>
      </c>
      <c r="B2220" s="3">
        <v>44841</v>
      </c>
      <c r="C2220" s="1">
        <v>6988928906</v>
      </c>
      <c r="D2220" s="1">
        <v>6953672776</v>
      </c>
      <c r="E2220" s="1">
        <v>8550.99</v>
      </c>
      <c r="F2220" s="1" t="s">
        <v>12</v>
      </c>
      <c r="G2220" s="1" t="s">
        <v>34</v>
      </c>
      <c r="H2220" s="1" t="s">
        <v>13</v>
      </c>
      <c r="I2220" s="1" t="s">
        <v>35</v>
      </c>
      <c r="J2220" s="1" t="s">
        <v>18</v>
      </c>
      <c r="K2220" s="1">
        <v>0</v>
      </c>
      <c r="L2220" s="1" t="s">
        <v>23</v>
      </c>
      <c r="M2220" s="1" t="str">
        <f t="shared" si="34"/>
        <v>Potential Layering</v>
      </c>
      <c r="N2220" s="1" t="str">
        <f>_xlfn.XLOOKUP(H2220, risk_score!A:A, risk_score!B:B, 0)</f>
        <v>Low Risk</v>
      </c>
    </row>
    <row r="2221" spans="1:14">
      <c r="A2221" s="2">
        <v>0.49687500000000001</v>
      </c>
      <c r="B2221" s="3">
        <v>44841</v>
      </c>
      <c r="C2221" s="1">
        <v>8487080282</v>
      </c>
      <c r="D2221" s="1">
        <v>5708936901</v>
      </c>
      <c r="E2221" s="1">
        <v>5801.47</v>
      </c>
      <c r="F2221" s="1" t="s">
        <v>12</v>
      </c>
      <c r="G2221" s="1" t="s">
        <v>12</v>
      </c>
      <c r="H2221" s="1" t="s">
        <v>13</v>
      </c>
      <c r="I2221" s="1" t="s">
        <v>13</v>
      </c>
      <c r="J2221" s="1" t="s">
        <v>25</v>
      </c>
      <c r="K2221" s="1">
        <v>0</v>
      </c>
      <c r="L2221" s="1" t="s">
        <v>23</v>
      </c>
      <c r="M2221" s="1" t="str">
        <f t="shared" si="34"/>
        <v>Consistent</v>
      </c>
      <c r="N2221" s="1" t="str">
        <f>_xlfn.XLOOKUP(H2221, risk_score!A:A, risk_score!B:B, 0)</f>
        <v>Low Risk</v>
      </c>
    </row>
    <row r="2222" spans="1:14">
      <c r="A2222" s="2">
        <v>0.49689814814814814</v>
      </c>
      <c r="B2222" s="3">
        <v>44841</v>
      </c>
      <c r="C2222" s="1">
        <v>9734083970</v>
      </c>
      <c r="D2222" s="1">
        <v>4117514495</v>
      </c>
      <c r="E2222" s="1">
        <v>4850.8900000000003</v>
      </c>
      <c r="F2222" s="1" t="s">
        <v>12</v>
      </c>
      <c r="G2222" s="1" t="s">
        <v>12</v>
      </c>
      <c r="H2222" s="1" t="s">
        <v>13</v>
      </c>
      <c r="I2222" s="1" t="s">
        <v>13</v>
      </c>
      <c r="J2222" s="1" t="s">
        <v>20</v>
      </c>
      <c r="K2222" s="1">
        <v>0</v>
      </c>
      <c r="L2222" s="1" t="s">
        <v>19</v>
      </c>
      <c r="M2222" s="1" t="str">
        <f t="shared" si="34"/>
        <v>Consistent</v>
      </c>
      <c r="N2222" s="1" t="str">
        <f>_xlfn.XLOOKUP(H2222, risk_score!A:A, risk_score!B:B, 0)</f>
        <v>Low Risk</v>
      </c>
    </row>
    <row r="2223" spans="1:14">
      <c r="A2223" s="2">
        <v>0.49692129629629628</v>
      </c>
      <c r="B2223" s="3">
        <v>44841</v>
      </c>
      <c r="C2223" s="1">
        <v>582717708</v>
      </c>
      <c r="D2223" s="1">
        <v>7892884492</v>
      </c>
      <c r="E2223" s="1">
        <v>17599.849999999999</v>
      </c>
      <c r="F2223" s="1" t="s">
        <v>12</v>
      </c>
      <c r="G2223" s="1" t="s">
        <v>32</v>
      </c>
      <c r="H2223" s="1" t="s">
        <v>13</v>
      </c>
      <c r="I2223" s="1" t="s">
        <v>33</v>
      </c>
      <c r="J2223" s="1" t="s">
        <v>18</v>
      </c>
      <c r="K2223" s="1">
        <v>0</v>
      </c>
      <c r="L2223" s="1" t="s">
        <v>23</v>
      </c>
      <c r="M2223" s="1" t="str">
        <f t="shared" si="34"/>
        <v>Potential Layering</v>
      </c>
      <c r="N2223" s="1" t="str">
        <f>_xlfn.XLOOKUP(H2223, risk_score!A:A, risk_score!B:B, 0)</f>
        <v>Low Risk</v>
      </c>
    </row>
    <row r="2224" spans="1:14">
      <c r="A2224" s="2">
        <v>0.49694444444444447</v>
      </c>
      <c r="B2224" s="3">
        <v>44841</v>
      </c>
      <c r="C2224" s="1">
        <v>5464175742</v>
      </c>
      <c r="D2224" s="1">
        <v>7898602992</v>
      </c>
      <c r="E2224" s="1">
        <v>610.15</v>
      </c>
      <c r="F2224" s="1" t="s">
        <v>12</v>
      </c>
      <c r="G2224" s="1" t="s">
        <v>12</v>
      </c>
      <c r="H2224" s="1" t="s">
        <v>13</v>
      </c>
      <c r="I2224" s="1" t="s">
        <v>13</v>
      </c>
      <c r="J2224" s="1" t="s">
        <v>27</v>
      </c>
      <c r="K2224" s="1">
        <v>0</v>
      </c>
      <c r="L2224" s="1" t="s">
        <v>21</v>
      </c>
      <c r="M2224" s="1" t="str">
        <f t="shared" si="34"/>
        <v>Consistent</v>
      </c>
      <c r="N2224" s="1" t="str">
        <f>_xlfn.XLOOKUP(H2224, risk_score!A:A, risk_score!B:B, 0)</f>
        <v>Low Risk</v>
      </c>
    </row>
    <row r="2225" spans="1:14">
      <c r="A2225" s="2">
        <v>0.49694444444444447</v>
      </c>
      <c r="B2225" s="3">
        <v>44841</v>
      </c>
      <c r="C2225" s="1">
        <v>7689962249</v>
      </c>
      <c r="D2225" s="1">
        <v>8531561324</v>
      </c>
      <c r="E2225" s="1">
        <v>21227.51</v>
      </c>
      <c r="F2225" s="1" t="s">
        <v>12</v>
      </c>
      <c r="G2225" s="1" t="s">
        <v>12</v>
      </c>
      <c r="H2225" s="1" t="s">
        <v>13</v>
      </c>
      <c r="I2225" s="1" t="s">
        <v>13</v>
      </c>
      <c r="J2225" s="1" t="s">
        <v>25</v>
      </c>
      <c r="K2225" s="1">
        <v>0</v>
      </c>
      <c r="L2225" s="1" t="s">
        <v>21</v>
      </c>
      <c r="M2225" s="1" t="str">
        <f t="shared" si="34"/>
        <v>Consistent</v>
      </c>
      <c r="N2225" s="1" t="str">
        <f>_xlfn.XLOOKUP(H2225, risk_score!A:A, risk_score!B:B, 0)</f>
        <v>Low Risk</v>
      </c>
    </row>
    <row r="2226" spans="1:14">
      <c r="A2226" s="2">
        <v>0.4969675925925926</v>
      </c>
      <c r="B2226" s="3">
        <v>44841</v>
      </c>
      <c r="C2226" s="1">
        <v>2762694319</v>
      </c>
      <c r="D2226" s="1">
        <v>3195734264</v>
      </c>
      <c r="E2226" s="1">
        <v>260.27999999999997</v>
      </c>
      <c r="F2226" s="1" t="s">
        <v>12</v>
      </c>
      <c r="G2226" s="1" t="s">
        <v>12</v>
      </c>
      <c r="H2226" s="1" t="s">
        <v>13</v>
      </c>
      <c r="I2226" s="1" t="s">
        <v>13</v>
      </c>
      <c r="J2226" s="1" t="s">
        <v>27</v>
      </c>
      <c r="K2226" s="1">
        <v>0</v>
      </c>
      <c r="L2226" s="1" t="s">
        <v>21</v>
      </c>
      <c r="M2226" s="1" t="str">
        <f t="shared" si="34"/>
        <v>Consistent</v>
      </c>
      <c r="N2226" s="1" t="str">
        <f>_xlfn.XLOOKUP(H2226, risk_score!A:A, risk_score!B:B, 0)</f>
        <v>Low Risk</v>
      </c>
    </row>
    <row r="2227" spans="1:14">
      <c r="A2227" s="2">
        <v>0.49699074074074073</v>
      </c>
      <c r="B2227" s="3">
        <v>44841</v>
      </c>
      <c r="C2227" s="1">
        <v>5053538999</v>
      </c>
      <c r="D2227" s="1">
        <v>3447850137</v>
      </c>
      <c r="E2227" s="1">
        <v>996.3</v>
      </c>
      <c r="F2227" s="1" t="s">
        <v>12</v>
      </c>
      <c r="G2227" s="1" t="s">
        <v>12</v>
      </c>
      <c r="H2227" s="1" t="s">
        <v>13</v>
      </c>
      <c r="I2227" s="1" t="s">
        <v>13</v>
      </c>
      <c r="J2227" s="1" t="s">
        <v>14</v>
      </c>
      <c r="K2227" s="1">
        <v>0</v>
      </c>
      <c r="L2227" s="1" t="s">
        <v>15</v>
      </c>
      <c r="M2227" s="1" t="str">
        <f t="shared" si="34"/>
        <v>Consistent</v>
      </c>
      <c r="N2227" s="1" t="str">
        <f>_xlfn.XLOOKUP(H2227, risk_score!A:A, risk_score!B:B, 0)</f>
        <v>Low Risk</v>
      </c>
    </row>
    <row r="2228" spans="1:14">
      <c r="A2228" s="2">
        <v>0.49699074074074073</v>
      </c>
      <c r="B2228" s="3">
        <v>44841</v>
      </c>
      <c r="C2228" s="1">
        <v>8365714262</v>
      </c>
      <c r="D2228" s="1">
        <v>5112501104</v>
      </c>
      <c r="E2228" s="1">
        <v>5892.7</v>
      </c>
      <c r="F2228" s="1" t="s">
        <v>12</v>
      </c>
      <c r="G2228" s="1" t="s">
        <v>12</v>
      </c>
      <c r="H2228" s="1" t="s">
        <v>13</v>
      </c>
      <c r="I2228" s="1" t="s">
        <v>13</v>
      </c>
      <c r="J2228" s="1" t="s">
        <v>25</v>
      </c>
      <c r="K2228" s="1">
        <v>0</v>
      </c>
      <c r="L2228" s="1" t="s">
        <v>38</v>
      </c>
      <c r="M2228" s="1" t="str">
        <f t="shared" si="34"/>
        <v>Consistent</v>
      </c>
      <c r="N2228" s="1" t="str">
        <f>_xlfn.XLOOKUP(H2228, risk_score!A:A, risk_score!B:B, 0)</f>
        <v>Low Risk</v>
      </c>
    </row>
    <row r="2229" spans="1:14">
      <c r="A2229" s="2">
        <v>0.49702546296296296</v>
      </c>
      <c r="B2229" s="3">
        <v>44841</v>
      </c>
      <c r="C2229" s="1">
        <v>6377408382</v>
      </c>
      <c r="D2229" s="1">
        <v>1377603863</v>
      </c>
      <c r="E2229" s="1">
        <v>5445.4</v>
      </c>
      <c r="F2229" s="1" t="s">
        <v>12</v>
      </c>
      <c r="G2229" s="1" t="s">
        <v>12</v>
      </c>
      <c r="H2229" s="1" t="s">
        <v>13</v>
      </c>
      <c r="I2229" s="1" t="s">
        <v>13</v>
      </c>
      <c r="J2229" s="1" t="s">
        <v>27</v>
      </c>
      <c r="K2229" s="1">
        <v>0</v>
      </c>
      <c r="L2229" s="1" t="s">
        <v>23</v>
      </c>
      <c r="M2229" s="1" t="str">
        <f t="shared" si="34"/>
        <v>Consistent</v>
      </c>
      <c r="N2229" s="1" t="str">
        <f>_xlfn.XLOOKUP(H2229, risk_score!A:A, risk_score!B:B, 0)</f>
        <v>Low Risk</v>
      </c>
    </row>
    <row r="2230" spans="1:14">
      <c r="A2230" s="2">
        <v>0.49703703703703705</v>
      </c>
      <c r="B2230" s="3">
        <v>44841</v>
      </c>
      <c r="C2230" s="1">
        <v>8987848252</v>
      </c>
      <c r="D2230" s="1">
        <v>3809653464</v>
      </c>
      <c r="E2230" s="1">
        <v>8819.1</v>
      </c>
      <c r="F2230" s="1" t="s">
        <v>12</v>
      </c>
      <c r="G2230" s="1" t="s">
        <v>29</v>
      </c>
      <c r="H2230" s="1" t="s">
        <v>13</v>
      </c>
      <c r="I2230" s="1" t="s">
        <v>55</v>
      </c>
      <c r="J2230" s="1" t="s">
        <v>18</v>
      </c>
      <c r="K2230" s="1">
        <v>0</v>
      </c>
      <c r="L2230" s="1" t="s">
        <v>19</v>
      </c>
      <c r="M2230" s="1" t="str">
        <f t="shared" si="34"/>
        <v>Potential Layering</v>
      </c>
      <c r="N2230" s="1" t="str">
        <f>_xlfn.XLOOKUP(H2230, risk_score!A:A, risk_score!B:B, 0)</f>
        <v>Low Risk</v>
      </c>
    </row>
    <row r="2231" spans="1:14">
      <c r="A2231" s="2">
        <v>0.49704861111111109</v>
      </c>
      <c r="B2231" s="3">
        <v>44841</v>
      </c>
      <c r="C2231" s="1">
        <v>8379629650</v>
      </c>
      <c r="D2231" s="1">
        <v>6813185909</v>
      </c>
      <c r="E2231" s="1">
        <v>133.97</v>
      </c>
      <c r="F2231" s="1" t="s">
        <v>12</v>
      </c>
      <c r="G2231" s="1" t="s">
        <v>12</v>
      </c>
      <c r="H2231" s="1" t="s">
        <v>13</v>
      </c>
      <c r="I2231" s="1" t="s">
        <v>13</v>
      </c>
      <c r="J2231" s="1" t="s">
        <v>36</v>
      </c>
      <c r="K2231" s="1">
        <v>0</v>
      </c>
      <c r="L2231" s="1" t="s">
        <v>37</v>
      </c>
      <c r="M2231" s="1" t="str">
        <f t="shared" si="34"/>
        <v>Consistent</v>
      </c>
      <c r="N2231" s="1" t="str">
        <f>_xlfn.XLOOKUP(H2231, risk_score!A:A, risk_score!B:B, 0)</f>
        <v>Low Risk</v>
      </c>
    </row>
    <row r="2232" spans="1:14">
      <c r="A2232" s="2">
        <v>0.49704861111111109</v>
      </c>
      <c r="B2232" s="3">
        <v>44841</v>
      </c>
      <c r="C2232" s="1">
        <v>6377722027</v>
      </c>
      <c r="D2232" s="1">
        <v>941102661</v>
      </c>
      <c r="E2232" s="1">
        <v>509.13</v>
      </c>
      <c r="F2232" s="1" t="s">
        <v>12</v>
      </c>
      <c r="G2232" s="1" t="s">
        <v>12</v>
      </c>
      <c r="H2232" s="1" t="s">
        <v>13</v>
      </c>
      <c r="I2232" s="1" t="s">
        <v>13</v>
      </c>
      <c r="J2232" s="1" t="s">
        <v>22</v>
      </c>
      <c r="K2232" s="1">
        <v>0</v>
      </c>
      <c r="L2232" s="1" t="s">
        <v>21</v>
      </c>
      <c r="M2232" s="1" t="str">
        <f t="shared" si="34"/>
        <v>Consistent</v>
      </c>
      <c r="N2232" s="1" t="str">
        <f>_xlfn.XLOOKUP(H2232, risk_score!A:A, risk_score!B:B, 0)</f>
        <v>Low Risk</v>
      </c>
    </row>
    <row r="2233" spans="1:14">
      <c r="A2233" s="2">
        <v>0.49708333333333332</v>
      </c>
      <c r="B2233" s="3">
        <v>44841</v>
      </c>
      <c r="C2233" s="1">
        <v>2084733860</v>
      </c>
      <c r="D2233" s="1">
        <v>3087946555</v>
      </c>
      <c r="E2233" s="1">
        <v>716.46</v>
      </c>
      <c r="F2233" s="1" t="s">
        <v>12</v>
      </c>
      <c r="G2233" s="1" t="s">
        <v>12</v>
      </c>
      <c r="H2233" s="1" t="s">
        <v>13</v>
      </c>
      <c r="I2233" s="1" t="s">
        <v>13</v>
      </c>
      <c r="J2233" s="1" t="s">
        <v>22</v>
      </c>
      <c r="K2233" s="1">
        <v>0</v>
      </c>
      <c r="L2233" s="1" t="s">
        <v>24</v>
      </c>
      <c r="M2233" s="1" t="str">
        <f t="shared" si="34"/>
        <v>Consistent</v>
      </c>
      <c r="N2233" s="1" t="str">
        <f>_xlfn.XLOOKUP(H2233, risk_score!A:A, risk_score!B:B, 0)</f>
        <v>Low Risk</v>
      </c>
    </row>
    <row r="2234" spans="1:14">
      <c r="A2234" s="2">
        <v>0.49714120370370368</v>
      </c>
      <c r="B2234" s="3">
        <v>44841</v>
      </c>
      <c r="C2234" s="1">
        <v>852830669</v>
      </c>
      <c r="D2234" s="1">
        <v>4576147620</v>
      </c>
      <c r="E2234" s="1">
        <v>33583.120000000003</v>
      </c>
      <c r="F2234" s="1" t="s">
        <v>12</v>
      </c>
      <c r="G2234" s="1" t="s">
        <v>12</v>
      </c>
      <c r="H2234" s="1" t="s">
        <v>13</v>
      </c>
      <c r="I2234" s="1" t="s">
        <v>13</v>
      </c>
      <c r="J2234" s="1" t="s">
        <v>25</v>
      </c>
      <c r="K2234" s="1">
        <v>0</v>
      </c>
      <c r="L2234" s="1" t="s">
        <v>49</v>
      </c>
      <c r="M2234" s="1" t="str">
        <f t="shared" si="34"/>
        <v>Consistent</v>
      </c>
      <c r="N2234" s="1" t="str">
        <f>_xlfn.XLOOKUP(H2234, risk_score!A:A, risk_score!B:B, 0)</f>
        <v>Low Risk</v>
      </c>
    </row>
    <row r="2235" spans="1:14">
      <c r="A2235" s="2">
        <v>0.4971875</v>
      </c>
      <c r="B2235" s="3">
        <v>44841</v>
      </c>
      <c r="C2235" s="1">
        <v>2320387917</v>
      </c>
      <c r="D2235" s="1">
        <v>1465487567</v>
      </c>
      <c r="E2235" s="1">
        <v>17605.7</v>
      </c>
      <c r="F2235" s="1" t="s">
        <v>12</v>
      </c>
      <c r="G2235" s="1" t="s">
        <v>12</v>
      </c>
      <c r="H2235" s="1" t="s">
        <v>13</v>
      </c>
      <c r="I2235" s="1" t="s">
        <v>13</v>
      </c>
      <c r="J2235" s="1" t="s">
        <v>27</v>
      </c>
      <c r="K2235" s="1">
        <v>0</v>
      </c>
      <c r="L2235" s="1" t="s">
        <v>23</v>
      </c>
      <c r="M2235" s="1" t="str">
        <f t="shared" si="34"/>
        <v>Consistent</v>
      </c>
      <c r="N2235" s="1" t="str">
        <f>_xlfn.XLOOKUP(H2235, risk_score!A:A, risk_score!B:B, 0)</f>
        <v>Low Risk</v>
      </c>
    </row>
    <row r="2236" spans="1:14">
      <c r="A2236" s="2">
        <v>0.49722222222222223</v>
      </c>
      <c r="B2236" s="3">
        <v>44841</v>
      </c>
      <c r="C2236" s="1">
        <v>6362402354</v>
      </c>
      <c r="D2236" s="1">
        <v>1070668333</v>
      </c>
      <c r="E2236" s="1">
        <v>2852.41</v>
      </c>
      <c r="F2236" s="1" t="s">
        <v>12</v>
      </c>
      <c r="G2236" s="1" t="s">
        <v>12</v>
      </c>
      <c r="H2236" s="1" t="s">
        <v>13</v>
      </c>
      <c r="I2236" s="1" t="s">
        <v>13</v>
      </c>
      <c r="J2236" s="1" t="s">
        <v>22</v>
      </c>
      <c r="K2236" s="1">
        <v>0</v>
      </c>
      <c r="L2236" s="1" t="s">
        <v>24</v>
      </c>
      <c r="M2236" s="1" t="str">
        <f t="shared" si="34"/>
        <v>Consistent</v>
      </c>
      <c r="N2236" s="1" t="str">
        <f>_xlfn.XLOOKUP(H2236, risk_score!A:A, risk_score!B:B, 0)</f>
        <v>Low Risk</v>
      </c>
    </row>
    <row r="2237" spans="1:14">
      <c r="A2237" s="2">
        <v>0.49725694444444446</v>
      </c>
      <c r="B2237" s="3">
        <v>44841</v>
      </c>
      <c r="C2237" s="1">
        <v>1491989064</v>
      </c>
      <c r="D2237" s="1">
        <v>8401255335</v>
      </c>
      <c r="E2237" s="1">
        <v>6066.9</v>
      </c>
      <c r="F2237" s="1" t="s">
        <v>12</v>
      </c>
      <c r="G2237" s="1" t="s">
        <v>16</v>
      </c>
      <c r="H2237" s="1" t="s">
        <v>13</v>
      </c>
      <c r="I2237" s="1" t="s">
        <v>17</v>
      </c>
      <c r="J2237" s="1" t="s">
        <v>18</v>
      </c>
      <c r="K2237" s="1">
        <v>0</v>
      </c>
      <c r="L2237" s="1" t="s">
        <v>19</v>
      </c>
      <c r="M2237" s="1" t="str">
        <f t="shared" si="34"/>
        <v>Potential Layering</v>
      </c>
      <c r="N2237" s="1" t="str">
        <f>_xlfn.XLOOKUP(H2237, risk_score!A:A, risk_score!B:B, 0)</f>
        <v>Low Risk</v>
      </c>
    </row>
    <row r="2238" spans="1:14">
      <c r="A2238" s="2">
        <v>0.4972685185185185</v>
      </c>
      <c r="B2238" s="3">
        <v>44841</v>
      </c>
      <c r="C2238" s="1">
        <v>9734083970</v>
      </c>
      <c r="D2238" s="1">
        <v>6864265387</v>
      </c>
      <c r="E2238" s="1">
        <v>6094.86</v>
      </c>
      <c r="F2238" s="1" t="s">
        <v>12</v>
      </c>
      <c r="G2238" s="1" t="s">
        <v>12</v>
      </c>
      <c r="H2238" s="1" t="s">
        <v>13</v>
      </c>
      <c r="I2238" s="1" t="s">
        <v>13</v>
      </c>
      <c r="J2238" s="1" t="s">
        <v>27</v>
      </c>
      <c r="K2238" s="1">
        <v>0</v>
      </c>
      <c r="L2238" s="1" t="s">
        <v>19</v>
      </c>
      <c r="M2238" s="1" t="str">
        <f t="shared" si="34"/>
        <v>Consistent</v>
      </c>
      <c r="N2238" s="1" t="str">
        <f>_xlfn.XLOOKUP(H2238, risk_score!A:A, risk_score!B:B, 0)</f>
        <v>Low Risk</v>
      </c>
    </row>
    <row r="2239" spans="1:14">
      <c r="A2239" s="2">
        <v>0.49731481481481482</v>
      </c>
      <c r="B2239" s="3">
        <v>44841</v>
      </c>
      <c r="C2239" s="1">
        <v>4268002116</v>
      </c>
      <c r="D2239" s="1">
        <v>5453026234</v>
      </c>
      <c r="E2239" s="1">
        <v>7534.08</v>
      </c>
      <c r="F2239" s="1" t="s">
        <v>12</v>
      </c>
      <c r="G2239" s="1" t="s">
        <v>12</v>
      </c>
      <c r="H2239" s="1" t="s">
        <v>13</v>
      </c>
      <c r="I2239" s="1" t="s">
        <v>13</v>
      </c>
      <c r="J2239" s="1" t="s">
        <v>25</v>
      </c>
      <c r="K2239" s="1">
        <v>0</v>
      </c>
      <c r="L2239" s="1" t="s">
        <v>21</v>
      </c>
      <c r="M2239" s="1" t="str">
        <f t="shared" si="34"/>
        <v>Consistent</v>
      </c>
      <c r="N2239" s="1" t="str">
        <f>_xlfn.XLOOKUP(H2239, risk_score!A:A, risk_score!B:B, 0)</f>
        <v>Low Risk</v>
      </c>
    </row>
    <row r="2240" spans="1:14">
      <c r="A2240" s="2">
        <v>0.49732638888888892</v>
      </c>
      <c r="B2240" s="3">
        <v>44841</v>
      </c>
      <c r="C2240" s="1">
        <v>4839307489</v>
      </c>
      <c r="D2240" s="1">
        <v>5228783575</v>
      </c>
      <c r="E2240" s="1">
        <v>1536.04</v>
      </c>
      <c r="F2240" s="1" t="s">
        <v>12</v>
      </c>
      <c r="G2240" s="1" t="s">
        <v>12</v>
      </c>
      <c r="H2240" s="1" t="s">
        <v>13</v>
      </c>
      <c r="I2240" s="1" t="s">
        <v>13</v>
      </c>
      <c r="J2240" s="1" t="s">
        <v>14</v>
      </c>
      <c r="K2240" s="1">
        <v>0</v>
      </c>
      <c r="L2240" s="1" t="s">
        <v>15</v>
      </c>
      <c r="M2240" s="1" t="str">
        <f t="shared" si="34"/>
        <v>Consistent</v>
      </c>
      <c r="N2240" s="1" t="str">
        <f>_xlfn.XLOOKUP(H2240, risk_score!A:A, risk_score!B:B, 0)</f>
        <v>Low Risk</v>
      </c>
    </row>
    <row r="2241" spans="1:14">
      <c r="A2241" s="2">
        <v>0.49733796296296295</v>
      </c>
      <c r="B2241" s="3">
        <v>44841</v>
      </c>
      <c r="C2241" s="1">
        <v>9939335199</v>
      </c>
      <c r="D2241" s="1">
        <v>9398227120</v>
      </c>
      <c r="E2241" s="1">
        <v>4273.6000000000004</v>
      </c>
      <c r="F2241" s="1" t="s">
        <v>12</v>
      </c>
      <c r="G2241" s="1" t="s">
        <v>46</v>
      </c>
      <c r="H2241" s="1" t="s">
        <v>13</v>
      </c>
      <c r="I2241" s="1" t="s">
        <v>13</v>
      </c>
      <c r="J2241" s="1" t="s">
        <v>20</v>
      </c>
      <c r="K2241" s="1">
        <v>0</v>
      </c>
      <c r="L2241" s="1" t="s">
        <v>21</v>
      </c>
      <c r="M2241" s="1" t="str">
        <f t="shared" si="34"/>
        <v>Potential Layering</v>
      </c>
      <c r="N2241" s="1" t="str">
        <f>_xlfn.XLOOKUP(H2241, risk_score!A:A, risk_score!B:B, 0)</f>
        <v>Low Risk</v>
      </c>
    </row>
    <row r="2242" spans="1:14">
      <c r="A2242" s="2">
        <v>0.49733796296296295</v>
      </c>
      <c r="B2242" s="3">
        <v>44841</v>
      </c>
      <c r="C2242" s="1">
        <v>7044608957</v>
      </c>
      <c r="D2242" s="1">
        <v>9830312092</v>
      </c>
      <c r="E2242" s="1">
        <v>1270.82</v>
      </c>
      <c r="F2242" s="1" t="s">
        <v>12</v>
      </c>
      <c r="G2242" s="1" t="s">
        <v>26</v>
      </c>
      <c r="H2242" s="1" t="s">
        <v>13</v>
      </c>
      <c r="I2242" s="1" t="s">
        <v>56</v>
      </c>
      <c r="J2242" s="1" t="s">
        <v>18</v>
      </c>
      <c r="K2242" s="1">
        <v>0</v>
      </c>
      <c r="L2242" s="1" t="s">
        <v>21</v>
      </c>
      <c r="M2242" s="1" t="str">
        <f t="shared" si="34"/>
        <v>Potential Layering</v>
      </c>
      <c r="N2242" s="1" t="str">
        <f>_xlfn.XLOOKUP(H2242, risk_score!A:A, risk_score!B:B, 0)</f>
        <v>Low Risk</v>
      </c>
    </row>
    <row r="2243" spans="1:14">
      <c r="A2243" s="2">
        <v>0.49737268518518518</v>
      </c>
      <c r="B2243" s="3">
        <v>44841</v>
      </c>
      <c r="C2243" s="1">
        <v>8203229522</v>
      </c>
      <c r="D2243" s="1">
        <v>8519194353</v>
      </c>
      <c r="E2243" s="1">
        <v>11276.48</v>
      </c>
      <c r="F2243" s="1" t="s">
        <v>12</v>
      </c>
      <c r="G2243" s="1" t="s">
        <v>28</v>
      </c>
      <c r="H2243" s="1" t="s">
        <v>13</v>
      </c>
      <c r="I2243" s="1" t="s">
        <v>57</v>
      </c>
      <c r="J2243" s="1" t="s">
        <v>18</v>
      </c>
      <c r="K2243" s="1">
        <v>0</v>
      </c>
      <c r="L2243" s="1" t="s">
        <v>19</v>
      </c>
      <c r="M2243" s="1" t="str">
        <f t="shared" ref="M2243:M2306" si="35">IF(F2243=G2243, "Consistent", "Potential Layering")</f>
        <v>Potential Layering</v>
      </c>
      <c r="N2243" s="1" t="str">
        <f>_xlfn.XLOOKUP(H2243, risk_score!A:A, risk_score!B:B, 0)</f>
        <v>Low Risk</v>
      </c>
    </row>
    <row r="2244" spans="1:14">
      <c r="A2244" s="2">
        <v>0.49737268518518518</v>
      </c>
      <c r="B2244" s="3">
        <v>44841</v>
      </c>
      <c r="C2244" s="1">
        <v>5800799124</v>
      </c>
      <c r="D2244" s="1">
        <v>6572999489</v>
      </c>
      <c r="E2244" s="1">
        <v>406.13</v>
      </c>
      <c r="F2244" s="1" t="s">
        <v>12</v>
      </c>
      <c r="G2244" s="1" t="s">
        <v>12</v>
      </c>
      <c r="H2244" s="1" t="s">
        <v>13</v>
      </c>
      <c r="I2244" s="1" t="s">
        <v>13</v>
      </c>
      <c r="J2244" s="1" t="s">
        <v>20</v>
      </c>
      <c r="K2244" s="1">
        <v>0</v>
      </c>
      <c r="L2244" s="1" t="s">
        <v>21</v>
      </c>
      <c r="M2244" s="1" t="str">
        <f t="shared" si="35"/>
        <v>Consistent</v>
      </c>
      <c r="N2244" s="1" t="str">
        <f>_xlfn.XLOOKUP(H2244, risk_score!A:A, risk_score!B:B, 0)</f>
        <v>Low Risk</v>
      </c>
    </row>
    <row r="2245" spans="1:14">
      <c r="A2245" s="2">
        <v>0.49737268518518518</v>
      </c>
      <c r="B2245" s="3">
        <v>44841</v>
      </c>
      <c r="C2245" s="1">
        <v>9811317821</v>
      </c>
      <c r="D2245" s="1">
        <v>1813014634</v>
      </c>
      <c r="E2245" s="1">
        <v>237.48</v>
      </c>
      <c r="F2245" s="1" t="s">
        <v>12</v>
      </c>
      <c r="G2245" s="1" t="s">
        <v>12</v>
      </c>
      <c r="H2245" s="1" t="s">
        <v>13</v>
      </c>
      <c r="I2245" s="1" t="s">
        <v>13</v>
      </c>
      <c r="J2245" s="1" t="s">
        <v>25</v>
      </c>
      <c r="K2245" s="1">
        <v>0</v>
      </c>
      <c r="L2245" s="1" t="s">
        <v>24</v>
      </c>
      <c r="M2245" s="1" t="str">
        <f t="shared" si="35"/>
        <v>Consistent</v>
      </c>
      <c r="N2245" s="1" t="str">
        <f>_xlfn.XLOOKUP(H2245, risk_score!A:A, risk_score!B:B, 0)</f>
        <v>Low Risk</v>
      </c>
    </row>
    <row r="2246" spans="1:14">
      <c r="A2246" s="2">
        <v>0.49745370370370373</v>
      </c>
      <c r="B2246" s="3">
        <v>44841</v>
      </c>
      <c r="C2246" s="1">
        <v>3411478558</v>
      </c>
      <c r="D2246" s="1">
        <v>7827593959</v>
      </c>
      <c r="E2246" s="1">
        <v>2483.96</v>
      </c>
      <c r="F2246" s="1" t="s">
        <v>12</v>
      </c>
      <c r="G2246" s="1" t="s">
        <v>12</v>
      </c>
      <c r="H2246" s="1" t="s">
        <v>13</v>
      </c>
      <c r="I2246" s="1" t="s">
        <v>13</v>
      </c>
      <c r="J2246" s="1" t="s">
        <v>22</v>
      </c>
      <c r="K2246" s="1">
        <v>0</v>
      </c>
      <c r="L2246" s="1" t="s">
        <v>21</v>
      </c>
      <c r="M2246" s="1" t="str">
        <f t="shared" si="35"/>
        <v>Consistent</v>
      </c>
      <c r="N2246" s="1" t="str">
        <f>_xlfn.XLOOKUP(H2246, risk_score!A:A, risk_score!B:B, 0)</f>
        <v>Low Risk</v>
      </c>
    </row>
    <row r="2247" spans="1:14">
      <c r="A2247" s="2">
        <v>0.4974884259259259</v>
      </c>
      <c r="B2247" s="3">
        <v>44841</v>
      </c>
      <c r="C2247" s="1">
        <v>486741379</v>
      </c>
      <c r="D2247" s="1">
        <v>5408804160</v>
      </c>
      <c r="E2247" s="1">
        <v>1605</v>
      </c>
      <c r="F2247" s="1" t="s">
        <v>12</v>
      </c>
      <c r="G2247" s="1" t="s">
        <v>12</v>
      </c>
      <c r="H2247" s="1" t="s">
        <v>13</v>
      </c>
      <c r="I2247" s="1" t="s">
        <v>13</v>
      </c>
      <c r="J2247" s="1" t="s">
        <v>14</v>
      </c>
      <c r="K2247" s="1">
        <v>0</v>
      </c>
      <c r="L2247" s="1" t="s">
        <v>15</v>
      </c>
      <c r="M2247" s="1" t="str">
        <f t="shared" si="35"/>
        <v>Consistent</v>
      </c>
      <c r="N2247" s="1" t="str">
        <f>_xlfn.XLOOKUP(H2247, risk_score!A:A, risk_score!B:B, 0)</f>
        <v>Low Risk</v>
      </c>
    </row>
    <row r="2248" spans="1:14">
      <c r="A2248" s="2">
        <v>0.49752314814814813</v>
      </c>
      <c r="B2248" s="3">
        <v>44841</v>
      </c>
      <c r="C2248" s="1">
        <v>8955442183</v>
      </c>
      <c r="D2248" s="1">
        <v>5858369125</v>
      </c>
      <c r="E2248" s="1">
        <v>6008.06</v>
      </c>
      <c r="F2248" s="1" t="s">
        <v>12</v>
      </c>
      <c r="G2248" s="1" t="s">
        <v>12</v>
      </c>
      <c r="H2248" s="1" t="s">
        <v>13</v>
      </c>
      <c r="I2248" s="1" t="s">
        <v>13</v>
      </c>
      <c r="J2248" s="1" t="s">
        <v>27</v>
      </c>
      <c r="K2248" s="1">
        <v>0</v>
      </c>
      <c r="L2248" s="1" t="s">
        <v>23</v>
      </c>
      <c r="M2248" s="1" t="str">
        <f t="shared" si="35"/>
        <v>Consistent</v>
      </c>
      <c r="N2248" s="1" t="str">
        <f>_xlfn.XLOOKUP(H2248, risk_score!A:A, risk_score!B:B, 0)</f>
        <v>Low Risk</v>
      </c>
    </row>
    <row r="2249" spans="1:14">
      <c r="A2249" s="2">
        <v>0.49754629629629632</v>
      </c>
      <c r="B2249" s="3">
        <v>44841</v>
      </c>
      <c r="C2249" s="1">
        <v>7474613980</v>
      </c>
      <c r="D2249" s="1">
        <v>8352571580</v>
      </c>
      <c r="E2249" s="1">
        <v>12004.43</v>
      </c>
      <c r="F2249" s="1" t="s">
        <v>12</v>
      </c>
      <c r="G2249" s="1" t="s">
        <v>12</v>
      </c>
      <c r="H2249" s="1" t="s">
        <v>13</v>
      </c>
      <c r="I2249" s="1" t="s">
        <v>13</v>
      </c>
      <c r="J2249" s="1" t="s">
        <v>27</v>
      </c>
      <c r="K2249" s="1">
        <v>0</v>
      </c>
      <c r="L2249" s="1" t="s">
        <v>23</v>
      </c>
      <c r="M2249" s="1" t="str">
        <f t="shared" si="35"/>
        <v>Consistent</v>
      </c>
      <c r="N2249" s="1" t="str">
        <f>_xlfn.XLOOKUP(H2249, risk_score!A:A, risk_score!B:B, 0)</f>
        <v>Low Risk</v>
      </c>
    </row>
    <row r="2250" spans="1:14">
      <c r="A2250" s="2">
        <v>0.49754629629629632</v>
      </c>
      <c r="B2250" s="3">
        <v>44841</v>
      </c>
      <c r="C2250" s="1">
        <v>6127913747</v>
      </c>
      <c r="D2250" s="1">
        <v>9734911782</v>
      </c>
      <c r="E2250" s="1">
        <v>16637.38</v>
      </c>
      <c r="F2250" s="1" t="s">
        <v>12</v>
      </c>
      <c r="G2250" s="1" t="s">
        <v>12</v>
      </c>
      <c r="H2250" s="1" t="s">
        <v>13</v>
      </c>
      <c r="I2250" s="1" t="s">
        <v>13</v>
      </c>
      <c r="J2250" s="1" t="s">
        <v>20</v>
      </c>
      <c r="K2250" s="1">
        <v>0</v>
      </c>
      <c r="L2250" s="1" t="s">
        <v>21</v>
      </c>
      <c r="M2250" s="1" t="str">
        <f t="shared" si="35"/>
        <v>Consistent</v>
      </c>
      <c r="N2250" s="1" t="str">
        <f>_xlfn.XLOOKUP(H2250, risk_score!A:A, risk_score!B:B, 0)</f>
        <v>Low Risk</v>
      </c>
    </row>
    <row r="2251" spans="1:14">
      <c r="A2251" s="2">
        <v>0.49760416666666668</v>
      </c>
      <c r="B2251" s="3">
        <v>44841</v>
      </c>
      <c r="C2251" s="1">
        <v>5260635412</v>
      </c>
      <c r="D2251" s="1">
        <v>4169343637</v>
      </c>
      <c r="E2251" s="1">
        <v>4638.03</v>
      </c>
      <c r="F2251" s="1" t="s">
        <v>12</v>
      </c>
      <c r="G2251" s="1" t="s">
        <v>12</v>
      </c>
      <c r="H2251" s="1" t="s">
        <v>13</v>
      </c>
      <c r="I2251" s="1" t="s">
        <v>13</v>
      </c>
      <c r="J2251" s="1" t="s">
        <v>27</v>
      </c>
      <c r="K2251" s="1">
        <v>0</v>
      </c>
      <c r="L2251" s="1" t="s">
        <v>21</v>
      </c>
      <c r="M2251" s="1" t="str">
        <f t="shared" si="35"/>
        <v>Consistent</v>
      </c>
      <c r="N2251" s="1" t="str">
        <f>_xlfn.XLOOKUP(H2251, risk_score!A:A, risk_score!B:B, 0)</f>
        <v>Low Risk</v>
      </c>
    </row>
    <row r="2252" spans="1:14">
      <c r="A2252" s="2">
        <v>0.49765046296296295</v>
      </c>
      <c r="B2252" s="3">
        <v>44841</v>
      </c>
      <c r="C2252" s="1">
        <v>8881222793</v>
      </c>
      <c r="D2252" s="1">
        <v>5706442692</v>
      </c>
      <c r="E2252" s="1">
        <v>291.61</v>
      </c>
      <c r="F2252" s="1" t="s">
        <v>12</v>
      </c>
      <c r="G2252" s="1" t="s">
        <v>12</v>
      </c>
      <c r="H2252" s="1" t="s">
        <v>13</v>
      </c>
      <c r="I2252" s="1" t="s">
        <v>13</v>
      </c>
      <c r="J2252" s="1" t="s">
        <v>36</v>
      </c>
      <c r="K2252" s="1">
        <v>0</v>
      </c>
      <c r="L2252" s="1" t="s">
        <v>37</v>
      </c>
      <c r="M2252" s="1" t="str">
        <f t="shared" si="35"/>
        <v>Consistent</v>
      </c>
      <c r="N2252" s="1" t="str">
        <f>_xlfn.XLOOKUP(H2252, risk_score!A:A, risk_score!B:B, 0)</f>
        <v>Low Risk</v>
      </c>
    </row>
    <row r="2253" spans="1:14">
      <c r="A2253" s="2">
        <v>0.49767361111111114</v>
      </c>
      <c r="B2253" s="3">
        <v>44841</v>
      </c>
      <c r="C2253" s="1">
        <v>1265983749</v>
      </c>
      <c r="D2253" s="1">
        <v>4744425638</v>
      </c>
      <c r="E2253" s="1">
        <v>2069.64</v>
      </c>
      <c r="F2253" s="1" t="s">
        <v>12</v>
      </c>
      <c r="G2253" s="1" t="s">
        <v>16</v>
      </c>
      <c r="H2253" s="1" t="s">
        <v>13</v>
      </c>
      <c r="I2253" s="1" t="s">
        <v>17</v>
      </c>
      <c r="J2253" s="1" t="s">
        <v>18</v>
      </c>
      <c r="K2253" s="1">
        <v>0</v>
      </c>
      <c r="L2253" s="1" t="s">
        <v>21</v>
      </c>
      <c r="M2253" s="1" t="str">
        <f t="shared" si="35"/>
        <v>Potential Layering</v>
      </c>
      <c r="N2253" s="1" t="str">
        <f>_xlfn.XLOOKUP(H2253, risk_score!A:A, risk_score!B:B, 0)</f>
        <v>Low Risk</v>
      </c>
    </row>
    <row r="2254" spans="1:14">
      <c r="A2254" s="2">
        <v>0.49769675925925927</v>
      </c>
      <c r="B2254" s="3">
        <v>44841</v>
      </c>
      <c r="C2254" s="1">
        <v>7645900198</v>
      </c>
      <c r="D2254" s="1">
        <v>9524204186</v>
      </c>
      <c r="E2254" s="1">
        <v>195.76</v>
      </c>
      <c r="F2254" s="1" t="s">
        <v>12</v>
      </c>
      <c r="G2254" s="1" t="s">
        <v>12</v>
      </c>
      <c r="H2254" s="1" t="s">
        <v>13</v>
      </c>
      <c r="I2254" s="1" t="s">
        <v>13</v>
      </c>
      <c r="J2254" s="1" t="s">
        <v>22</v>
      </c>
      <c r="K2254" s="1">
        <v>0</v>
      </c>
      <c r="L2254" s="1" t="s">
        <v>21</v>
      </c>
      <c r="M2254" s="1" t="str">
        <f t="shared" si="35"/>
        <v>Consistent</v>
      </c>
      <c r="N2254" s="1" t="str">
        <f>_xlfn.XLOOKUP(H2254, risk_score!A:A, risk_score!B:B, 0)</f>
        <v>Low Risk</v>
      </c>
    </row>
    <row r="2255" spans="1:14">
      <c r="A2255" s="2">
        <v>0.49769675925925927</v>
      </c>
      <c r="B2255" s="3">
        <v>44841</v>
      </c>
      <c r="C2255" s="1">
        <v>9672385397</v>
      </c>
      <c r="D2255" s="1">
        <v>2477907704</v>
      </c>
      <c r="E2255" s="1">
        <v>6684.31</v>
      </c>
      <c r="F2255" s="1" t="s">
        <v>12</v>
      </c>
      <c r="G2255" s="1" t="s">
        <v>12</v>
      </c>
      <c r="H2255" s="1" t="s">
        <v>13</v>
      </c>
      <c r="I2255" s="1" t="s">
        <v>13</v>
      </c>
      <c r="J2255" s="1" t="s">
        <v>20</v>
      </c>
      <c r="K2255" s="1">
        <v>0</v>
      </c>
      <c r="L2255" s="1" t="s">
        <v>24</v>
      </c>
      <c r="M2255" s="1" t="str">
        <f t="shared" si="35"/>
        <v>Consistent</v>
      </c>
      <c r="N2255" s="1" t="str">
        <f>_xlfn.XLOOKUP(H2255, risk_score!A:A, risk_score!B:B, 0)</f>
        <v>Low Risk</v>
      </c>
    </row>
    <row r="2256" spans="1:14">
      <c r="A2256" s="2">
        <v>0.49770833333333331</v>
      </c>
      <c r="B2256" s="3">
        <v>44841</v>
      </c>
      <c r="C2256" s="1">
        <v>7977294927</v>
      </c>
      <c r="D2256" s="1">
        <v>1739020770</v>
      </c>
      <c r="E2256" s="1">
        <v>27298.65</v>
      </c>
      <c r="F2256" s="1" t="s">
        <v>12</v>
      </c>
      <c r="G2256" s="1" t="s">
        <v>12</v>
      </c>
      <c r="H2256" s="1" t="s">
        <v>13</v>
      </c>
      <c r="I2256" s="1" t="s">
        <v>13</v>
      </c>
      <c r="J2256" s="1" t="s">
        <v>20</v>
      </c>
      <c r="K2256" s="1">
        <v>0</v>
      </c>
      <c r="L2256" s="1" t="s">
        <v>21</v>
      </c>
      <c r="M2256" s="1" t="str">
        <f t="shared" si="35"/>
        <v>Consistent</v>
      </c>
      <c r="N2256" s="1" t="str">
        <f>_xlfn.XLOOKUP(H2256, risk_score!A:A, risk_score!B:B, 0)</f>
        <v>Low Risk</v>
      </c>
    </row>
    <row r="2257" spans="1:14">
      <c r="A2257" s="2">
        <v>0.49778935185185186</v>
      </c>
      <c r="B2257" s="3">
        <v>44841</v>
      </c>
      <c r="C2257" s="1">
        <v>2562020395</v>
      </c>
      <c r="D2257" s="1">
        <v>1431561040</v>
      </c>
      <c r="E2257" s="1">
        <v>10044.25</v>
      </c>
      <c r="F2257" s="1" t="s">
        <v>12</v>
      </c>
      <c r="G2257" s="1" t="s">
        <v>12</v>
      </c>
      <c r="H2257" s="1" t="s">
        <v>13</v>
      </c>
      <c r="I2257" s="1" t="s">
        <v>13</v>
      </c>
      <c r="J2257" s="1" t="s">
        <v>25</v>
      </c>
      <c r="K2257" s="1">
        <v>0</v>
      </c>
      <c r="L2257" s="1" t="s">
        <v>23</v>
      </c>
      <c r="M2257" s="1" t="str">
        <f t="shared" si="35"/>
        <v>Consistent</v>
      </c>
      <c r="N2257" s="1" t="str">
        <f>_xlfn.XLOOKUP(H2257, risk_score!A:A, risk_score!B:B, 0)</f>
        <v>Low Risk</v>
      </c>
    </row>
    <row r="2258" spans="1:14">
      <c r="A2258" s="2">
        <v>0.49783564814814812</v>
      </c>
      <c r="B2258" s="3">
        <v>44841</v>
      </c>
      <c r="C2258" s="1">
        <v>2828131246</v>
      </c>
      <c r="D2258" s="1">
        <v>9468773476</v>
      </c>
      <c r="E2258" s="1">
        <v>753.59</v>
      </c>
      <c r="F2258" s="1" t="s">
        <v>12</v>
      </c>
      <c r="G2258" s="1" t="s">
        <v>12</v>
      </c>
      <c r="H2258" s="1" t="s">
        <v>13</v>
      </c>
      <c r="I2258" s="1" t="s">
        <v>13</v>
      </c>
      <c r="J2258" s="1" t="s">
        <v>25</v>
      </c>
      <c r="K2258" s="1">
        <v>0</v>
      </c>
      <c r="L2258" s="1" t="s">
        <v>21</v>
      </c>
      <c r="M2258" s="1" t="str">
        <f t="shared" si="35"/>
        <v>Consistent</v>
      </c>
      <c r="N2258" s="1" t="str">
        <f>_xlfn.XLOOKUP(H2258, risk_score!A:A, risk_score!B:B, 0)</f>
        <v>Low Risk</v>
      </c>
    </row>
    <row r="2259" spans="1:14">
      <c r="A2259" s="2">
        <v>0.49788194444444445</v>
      </c>
      <c r="B2259" s="3">
        <v>44841</v>
      </c>
      <c r="C2259" s="1">
        <v>2865033012</v>
      </c>
      <c r="D2259" s="1">
        <v>1320927231</v>
      </c>
      <c r="E2259" s="1">
        <v>5267.51</v>
      </c>
      <c r="F2259" s="1" t="s">
        <v>12</v>
      </c>
      <c r="G2259" s="1" t="s">
        <v>12</v>
      </c>
      <c r="H2259" s="1" t="s">
        <v>13</v>
      </c>
      <c r="I2259" s="1" t="s">
        <v>13</v>
      </c>
      <c r="J2259" s="1" t="s">
        <v>20</v>
      </c>
      <c r="K2259" s="1">
        <v>0</v>
      </c>
      <c r="L2259" s="1" t="s">
        <v>23</v>
      </c>
      <c r="M2259" s="1" t="str">
        <f t="shared" si="35"/>
        <v>Consistent</v>
      </c>
      <c r="N2259" s="1" t="str">
        <f>_xlfn.XLOOKUP(H2259, risk_score!A:A, risk_score!B:B, 0)</f>
        <v>Low Risk</v>
      </c>
    </row>
    <row r="2260" spans="1:14">
      <c r="A2260" s="2">
        <v>0.49804398148148149</v>
      </c>
      <c r="B2260" s="3">
        <v>44841</v>
      </c>
      <c r="C2260" s="1">
        <v>6615382865</v>
      </c>
      <c r="D2260" s="1">
        <v>5143381717</v>
      </c>
      <c r="E2260" s="1">
        <v>22134.2</v>
      </c>
      <c r="F2260" s="1" t="s">
        <v>12</v>
      </c>
      <c r="G2260" s="1" t="s">
        <v>12</v>
      </c>
      <c r="H2260" s="1" t="s">
        <v>13</v>
      </c>
      <c r="I2260" s="1" t="s">
        <v>13</v>
      </c>
      <c r="J2260" s="1" t="s">
        <v>27</v>
      </c>
      <c r="K2260" s="1">
        <v>0</v>
      </c>
      <c r="L2260" s="1" t="s">
        <v>21</v>
      </c>
      <c r="M2260" s="1" t="str">
        <f t="shared" si="35"/>
        <v>Consistent</v>
      </c>
      <c r="N2260" s="1" t="str">
        <f>_xlfn.XLOOKUP(H2260, risk_score!A:A, risk_score!B:B, 0)</f>
        <v>Low Risk</v>
      </c>
    </row>
    <row r="2261" spans="1:14">
      <c r="A2261" s="2">
        <v>0.49809027777777776</v>
      </c>
      <c r="B2261" s="3">
        <v>44841</v>
      </c>
      <c r="C2261" s="1">
        <v>749315581</v>
      </c>
      <c r="D2261" s="1">
        <v>8673917867</v>
      </c>
      <c r="E2261" s="1">
        <v>8647.8700000000008</v>
      </c>
      <c r="F2261" s="1" t="s">
        <v>12</v>
      </c>
      <c r="G2261" s="1" t="s">
        <v>12</v>
      </c>
      <c r="H2261" s="1" t="s">
        <v>13</v>
      </c>
      <c r="I2261" s="1" t="s">
        <v>13</v>
      </c>
      <c r="J2261" s="1" t="s">
        <v>22</v>
      </c>
      <c r="K2261" s="1">
        <v>0</v>
      </c>
      <c r="L2261" s="1" t="s">
        <v>23</v>
      </c>
      <c r="M2261" s="1" t="str">
        <f t="shared" si="35"/>
        <v>Consistent</v>
      </c>
      <c r="N2261" s="1" t="str">
        <f>_xlfn.XLOOKUP(H2261, risk_score!A:A, risk_score!B:B, 0)</f>
        <v>Low Risk</v>
      </c>
    </row>
    <row r="2262" spans="1:14">
      <c r="A2262" s="2">
        <v>0.49811342592592595</v>
      </c>
      <c r="B2262" s="3">
        <v>44841</v>
      </c>
      <c r="C2262" s="1">
        <v>6743376113</v>
      </c>
      <c r="D2262" s="1">
        <v>621060264</v>
      </c>
      <c r="E2262" s="1">
        <v>25458.14</v>
      </c>
      <c r="F2262" s="1" t="s">
        <v>12</v>
      </c>
      <c r="G2262" s="1" t="s">
        <v>12</v>
      </c>
      <c r="H2262" s="1" t="s">
        <v>13</v>
      </c>
      <c r="I2262" s="1" t="s">
        <v>13</v>
      </c>
      <c r="J2262" s="1" t="s">
        <v>27</v>
      </c>
      <c r="K2262" s="1">
        <v>0</v>
      </c>
      <c r="L2262" s="1" t="s">
        <v>23</v>
      </c>
      <c r="M2262" s="1" t="str">
        <f t="shared" si="35"/>
        <v>Consistent</v>
      </c>
      <c r="N2262" s="1" t="str">
        <f>_xlfn.XLOOKUP(H2262, risk_score!A:A, risk_score!B:B, 0)</f>
        <v>Low Risk</v>
      </c>
    </row>
    <row r="2263" spans="1:14">
      <c r="A2263" s="2">
        <v>0.49812499999999998</v>
      </c>
      <c r="B2263" s="3">
        <v>44841</v>
      </c>
      <c r="C2263" s="1">
        <v>1915450576</v>
      </c>
      <c r="D2263" s="1">
        <v>5162401694</v>
      </c>
      <c r="E2263" s="1">
        <v>10713.38</v>
      </c>
      <c r="F2263" s="1" t="s">
        <v>12</v>
      </c>
      <c r="G2263" s="1" t="s">
        <v>12</v>
      </c>
      <c r="H2263" s="1" t="s">
        <v>13</v>
      </c>
      <c r="I2263" s="1" t="s">
        <v>13</v>
      </c>
      <c r="J2263" s="1" t="s">
        <v>22</v>
      </c>
      <c r="K2263" s="1">
        <v>0</v>
      </c>
      <c r="L2263" s="1" t="s">
        <v>19</v>
      </c>
      <c r="M2263" s="1" t="str">
        <f t="shared" si="35"/>
        <v>Consistent</v>
      </c>
      <c r="N2263" s="1" t="str">
        <f>_xlfn.XLOOKUP(H2263, risk_score!A:A, risk_score!B:B, 0)</f>
        <v>Low Risk</v>
      </c>
    </row>
    <row r="2264" spans="1:14">
      <c r="A2264" s="2">
        <v>0.49812499999999998</v>
      </c>
      <c r="B2264" s="3">
        <v>44841</v>
      </c>
      <c r="C2264" s="1">
        <v>2042130994</v>
      </c>
      <c r="D2264" s="1">
        <v>4275794093</v>
      </c>
      <c r="E2264" s="1">
        <v>864.66</v>
      </c>
      <c r="F2264" s="1" t="s">
        <v>12</v>
      </c>
      <c r="G2264" s="1" t="s">
        <v>12</v>
      </c>
      <c r="H2264" s="1" t="s">
        <v>13</v>
      </c>
      <c r="I2264" s="1" t="s">
        <v>13</v>
      </c>
      <c r="J2264" s="1" t="s">
        <v>25</v>
      </c>
      <c r="K2264" s="1">
        <v>0</v>
      </c>
      <c r="L2264" s="1" t="s">
        <v>21</v>
      </c>
      <c r="M2264" s="1" t="str">
        <f t="shared" si="35"/>
        <v>Consistent</v>
      </c>
      <c r="N2264" s="1" t="str">
        <f>_xlfn.XLOOKUP(H2264, risk_score!A:A, risk_score!B:B, 0)</f>
        <v>Low Risk</v>
      </c>
    </row>
    <row r="2265" spans="1:14">
      <c r="A2265" s="2">
        <v>0.49815972222222221</v>
      </c>
      <c r="B2265" s="3">
        <v>44841</v>
      </c>
      <c r="C2265" s="1">
        <v>4789436997</v>
      </c>
      <c r="D2265" s="1">
        <v>1343571597</v>
      </c>
      <c r="E2265" s="1">
        <v>1942.5</v>
      </c>
      <c r="F2265" s="1" t="s">
        <v>12</v>
      </c>
      <c r="G2265" s="1" t="s">
        <v>12</v>
      </c>
      <c r="H2265" s="1" t="s">
        <v>13</v>
      </c>
      <c r="I2265" s="1" t="s">
        <v>13</v>
      </c>
      <c r="J2265" s="1" t="s">
        <v>25</v>
      </c>
      <c r="K2265" s="1">
        <v>0</v>
      </c>
      <c r="L2265" s="1" t="s">
        <v>21</v>
      </c>
      <c r="M2265" s="1" t="str">
        <f t="shared" si="35"/>
        <v>Consistent</v>
      </c>
      <c r="N2265" s="1" t="str">
        <f>_xlfn.XLOOKUP(H2265, risk_score!A:A, risk_score!B:B, 0)</f>
        <v>Low Risk</v>
      </c>
    </row>
    <row r="2266" spans="1:14">
      <c r="A2266" s="2">
        <v>0.49819444444444444</v>
      </c>
      <c r="B2266" s="3">
        <v>44841</v>
      </c>
      <c r="C2266" s="1">
        <v>2252743283</v>
      </c>
      <c r="D2266" s="1">
        <v>3903944436</v>
      </c>
      <c r="E2266" s="1">
        <v>4382.3599999999997</v>
      </c>
      <c r="F2266" s="1" t="s">
        <v>12</v>
      </c>
      <c r="G2266" s="1" t="s">
        <v>12</v>
      </c>
      <c r="H2266" s="1" t="s">
        <v>13</v>
      </c>
      <c r="I2266" s="1" t="s">
        <v>13</v>
      </c>
      <c r="J2266" s="1" t="s">
        <v>22</v>
      </c>
      <c r="K2266" s="1">
        <v>0</v>
      </c>
      <c r="L2266" s="1" t="s">
        <v>21</v>
      </c>
      <c r="M2266" s="1" t="str">
        <f t="shared" si="35"/>
        <v>Consistent</v>
      </c>
      <c r="N2266" s="1" t="str">
        <f>_xlfn.XLOOKUP(H2266, risk_score!A:A, risk_score!B:B, 0)</f>
        <v>Low Risk</v>
      </c>
    </row>
    <row r="2267" spans="1:14">
      <c r="A2267" s="2">
        <v>0.49820601851851853</v>
      </c>
      <c r="B2267" s="3">
        <v>44841</v>
      </c>
      <c r="C2267" s="1">
        <v>1773265181</v>
      </c>
      <c r="D2267" s="1">
        <v>6373118964</v>
      </c>
      <c r="E2267" s="1">
        <v>158.91</v>
      </c>
      <c r="F2267" s="1" t="s">
        <v>12</v>
      </c>
      <c r="G2267" s="1" t="s">
        <v>12</v>
      </c>
      <c r="H2267" s="1" t="s">
        <v>13</v>
      </c>
      <c r="I2267" s="1" t="s">
        <v>13</v>
      </c>
      <c r="J2267" s="1" t="s">
        <v>36</v>
      </c>
      <c r="K2267" s="1">
        <v>0</v>
      </c>
      <c r="L2267" s="1" t="s">
        <v>37</v>
      </c>
      <c r="M2267" s="1" t="str">
        <f t="shared" si="35"/>
        <v>Consistent</v>
      </c>
      <c r="N2267" s="1" t="str">
        <f>_xlfn.XLOOKUP(H2267, risk_score!A:A, risk_score!B:B, 0)</f>
        <v>Low Risk</v>
      </c>
    </row>
    <row r="2268" spans="1:14">
      <c r="A2268" s="2">
        <v>0.49832175925925926</v>
      </c>
      <c r="B2268" s="3">
        <v>44841</v>
      </c>
      <c r="C2268" s="1">
        <v>2499203242</v>
      </c>
      <c r="D2268" s="1">
        <v>1285588849</v>
      </c>
      <c r="E2268" s="1">
        <v>1323.12</v>
      </c>
      <c r="F2268" s="1" t="s">
        <v>12</v>
      </c>
      <c r="G2268" s="1" t="s">
        <v>12</v>
      </c>
      <c r="H2268" s="1" t="s">
        <v>13</v>
      </c>
      <c r="I2268" s="1" t="s">
        <v>13</v>
      </c>
      <c r="J2268" s="1" t="s">
        <v>14</v>
      </c>
      <c r="K2268" s="1">
        <v>0</v>
      </c>
      <c r="L2268" s="1" t="s">
        <v>15</v>
      </c>
      <c r="M2268" s="1" t="str">
        <f t="shared" si="35"/>
        <v>Consistent</v>
      </c>
      <c r="N2268" s="1" t="str">
        <f>_xlfn.XLOOKUP(H2268, risk_score!A:A, risk_score!B:B, 0)</f>
        <v>Low Risk</v>
      </c>
    </row>
    <row r="2269" spans="1:14">
      <c r="A2269" s="2">
        <v>0.49835648148148148</v>
      </c>
      <c r="B2269" s="3">
        <v>44841</v>
      </c>
      <c r="C2269" s="1">
        <v>7501327339</v>
      </c>
      <c r="D2269" s="1">
        <v>881702872</v>
      </c>
      <c r="E2269" s="1">
        <v>8761.74</v>
      </c>
      <c r="F2269" s="1" t="s">
        <v>12</v>
      </c>
      <c r="G2269" s="1" t="s">
        <v>12</v>
      </c>
      <c r="H2269" s="1" t="s">
        <v>13</v>
      </c>
      <c r="I2269" s="1" t="s">
        <v>13</v>
      </c>
      <c r="J2269" s="1" t="s">
        <v>20</v>
      </c>
      <c r="K2269" s="1">
        <v>0</v>
      </c>
      <c r="L2269" s="1" t="s">
        <v>19</v>
      </c>
      <c r="M2269" s="1" t="str">
        <f t="shared" si="35"/>
        <v>Consistent</v>
      </c>
      <c r="N2269" s="1" t="str">
        <f>_xlfn.XLOOKUP(H2269, risk_score!A:A, risk_score!B:B, 0)</f>
        <v>Low Risk</v>
      </c>
    </row>
    <row r="2270" spans="1:14">
      <c r="A2270" s="2">
        <v>0.49837962962962962</v>
      </c>
      <c r="B2270" s="3">
        <v>44841</v>
      </c>
      <c r="C2270" s="1">
        <v>5622928657</v>
      </c>
      <c r="D2270" s="1">
        <v>5977109387</v>
      </c>
      <c r="E2270" s="1">
        <v>6829.02</v>
      </c>
      <c r="F2270" s="1" t="s">
        <v>12</v>
      </c>
      <c r="G2270" s="1" t="s">
        <v>12</v>
      </c>
      <c r="H2270" s="1" t="s">
        <v>13</v>
      </c>
      <c r="I2270" s="1" t="s">
        <v>13</v>
      </c>
      <c r="J2270" s="1" t="s">
        <v>27</v>
      </c>
      <c r="K2270" s="1">
        <v>0</v>
      </c>
      <c r="L2270" s="1" t="s">
        <v>21</v>
      </c>
      <c r="M2270" s="1" t="str">
        <f t="shared" si="35"/>
        <v>Consistent</v>
      </c>
      <c r="N2270" s="1" t="str">
        <f>_xlfn.XLOOKUP(H2270, risk_score!A:A, risk_score!B:B, 0)</f>
        <v>Low Risk</v>
      </c>
    </row>
    <row r="2271" spans="1:14">
      <c r="A2271" s="2">
        <v>0.49837962962962962</v>
      </c>
      <c r="B2271" s="3">
        <v>44841</v>
      </c>
      <c r="C2271" s="1">
        <v>8750584081</v>
      </c>
      <c r="D2271" s="1">
        <v>5901930134</v>
      </c>
      <c r="E2271" s="1">
        <v>2398.2399999999998</v>
      </c>
      <c r="F2271" s="1" t="s">
        <v>12</v>
      </c>
      <c r="G2271" s="1" t="s">
        <v>12</v>
      </c>
      <c r="H2271" s="1" t="s">
        <v>13</v>
      </c>
      <c r="I2271" s="1" t="s">
        <v>13</v>
      </c>
      <c r="J2271" s="1" t="s">
        <v>27</v>
      </c>
      <c r="K2271" s="1">
        <v>0</v>
      </c>
      <c r="L2271" s="1" t="s">
        <v>24</v>
      </c>
      <c r="M2271" s="1" t="str">
        <f t="shared" si="35"/>
        <v>Consistent</v>
      </c>
      <c r="N2271" s="1" t="str">
        <f>_xlfn.XLOOKUP(H2271, risk_score!A:A, risk_score!B:B, 0)</f>
        <v>Low Risk</v>
      </c>
    </row>
    <row r="2272" spans="1:14">
      <c r="A2272" s="2">
        <v>0.49839120370370371</v>
      </c>
      <c r="B2272" s="3">
        <v>44841</v>
      </c>
      <c r="C2272" s="1">
        <v>1182528804</v>
      </c>
      <c r="D2272" s="1">
        <v>2534644942</v>
      </c>
      <c r="E2272" s="1">
        <v>12544.4</v>
      </c>
      <c r="F2272" s="1" t="s">
        <v>12</v>
      </c>
      <c r="G2272" s="1" t="s">
        <v>29</v>
      </c>
      <c r="H2272" s="1" t="s">
        <v>13</v>
      </c>
      <c r="I2272" s="1" t="s">
        <v>31</v>
      </c>
      <c r="J2272" s="1" t="s">
        <v>18</v>
      </c>
      <c r="K2272" s="1">
        <v>0</v>
      </c>
      <c r="L2272" s="1" t="s">
        <v>23</v>
      </c>
      <c r="M2272" s="1" t="str">
        <f t="shared" si="35"/>
        <v>Potential Layering</v>
      </c>
      <c r="N2272" s="1" t="str">
        <f>_xlfn.XLOOKUP(H2272, risk_score!A:A, risk_score!B:B, 0)</f>
        <v>Low Risk</v>
      </c>
    </row>
    <row r="2273" spans="1:14">
      <c r="A2273" s="2">
        <v>0.49841435185185184</v>
      </c>
      <c r="B2273" s="3">
        <v>44841</v>
      </c>
      <c r="C2273" s="1">
        <v>1915450576</v>
      </c>
      <c r="D2273" s="1">
        <v>5162401694</v>
      </c>
      <c r="E2273" s="1">
        <v>10598.71</v>
      </c>
      <c r="F2273" s="1" t="s">
        <v>12</v>
      </c>
      <c r="G2273" s="1" t="s">
        <v>12</v>
      </c>
      <c r="H2273" s="1" t="s">
        <v>13</v>
      </c>
      <c r="I2273" s="1" t="s">
        <v>13</v>
      </c>
      <c r="J2273" s="1" t="s">
        <v>27</v>
      </c>
      <c r="K2273" s="1">
        <v>0</v>
      </c>
      <c r="L2273" s="1" t="s">
        <v>19</v>
      </c>
      <c r="M2273" s="1" t="str">
        <f t="shared" si="35"/>
        <v>Consistent</v>
      </c>
      <c r="N2273" s="1" t="str">
        <f>_xlfn.XLOOKUP(H2273, risk_score!A:A, risk_score!B:B, 0)</f>
        <v>Low Risk</v>
      </c>
    </row>
    <row r="2274" spans="1:14">
      <c r="A2274" s="2">
        <v>0.49841435185185184</v>
      </c>
      <c r="B2274" s="3">
        <v>44841</v>
      </c>
      <c r="C2274" s="1">
        <v>889096335</v>
      </c>
      <c r="D2274" s="1">
        <v>4173195094</v>
      </c>
      <c r="E2274" s="1">
        <v>9794.84</v>
      </c>
      <c r="F2274" s="1" t="s">
        <v>12</v>
      </c>
      <c r="G2274" s="1" t="s">
        <v>12</v>
      </c>
      <c r="H2274" s="1" t="s">
        <v>13</v>
      </c>
      <c r="I2274" s="1" t="s">
        <v>13</v>
      </c>
      <c r="J2274" s="1" t="s">
        <v>25</v>
      </c>
      <c r="K2274" s="1">
        <v>0</v>
      </c>
      <c r="L2274" s="1" t="s">
        <v>23</v>
      </c>
      <c r="M2274" s="1" t="str">
        <f t="shared" si="35"/>
        <v>Consistent</v>
      </c>
      <c r="N2274" s="1" t="str">
        <f>_xlfn.XLOOKUP(H2274, risk_score!A:A, risk_score!B:B, 0)</f>
        <v>Low Risk</v>
      </c>
    </row>
    <row r="2275" spans="1:14">
      <c r="A2275" s="2">
        <v>0.49844907407407407</v>
      </c>
      <c r="B2275" s="3">
        <v>44841</v>
      </c>
      <c r="C2275" s="1">
        <v>4850589376</v>
      </c>
      <c r="D2275" s="1">
        <v>6951345555</v>
      </c>
      <c r="E2275" s="1">
        <v>68.88</v>
      </c>
      <c r="F2275" s="1" t="s">
        <v>12</v>
      </c>
      <c r="G2275" s="1" t="s">
        <v>12</v>
      </c>
      <c r="H2275" s="1" t="s">
        <v>13</v>
      </c>
      <c r="I2275" s="1" t="s">
        <v>13</v>
      </c>
      <c r="J2275" s="1" t="s">
        <v>36</v>
      </c>
      <c r="K2275" s="1">
        <v>0</v>
      </c>
      <c r="L2275" s="1" t="s">
        <v>37</v>
      </c>
      <c r="M2275" s="1" t="str">
        <f t="shared" si="35"/>
        <v>Consistent</v>
      </c>
      <c r="N2275" s="1" t="str">
        <f>_xlfn.XLOOKUP(H2275, risk_score!A:A, risk_score!B:B, 0)</f>
        <v>Low Risk</v>
      </c>
    </row>
    <row r="2276" spans="1:14">
      <c r="A2276" s="2">
        <v>0.49847222222222221</v>
      </c>
      <c r="B2276" s="3">
        <v>44841</v>
      </c>
      <c r="C2276" s="1">
        <v>7116746187</v>
      </c>
      <c r="D2276" s="1">
        <v>1978597595</v>
      </c>
      <c r="E2276" s="1">
        <v>1510.61</v>
      </c>
      <c r="F2276" s="1" t="s">
        <v>12</v>
      </c>
      <c r="G2276" s="1" t="s">
        <v>12</v>
      </c>
      <c r="H2276" s="1" t="s">
        <v>13</v>
      </c>
      <c r="I2276" s="1" t="s">
        <v>13</v>
      </c>
      <c r="J2276" s="1" t="s">
        <v>22</v>
      </c>
      <c r="K2276" s="1">
        <v>0</v>
      </c>
      <c r="L2276" s="1" t="s">
        <v>21</v>
      </c>
      <c r="M2276" s="1" t="str">
        <f t="shared" si="35"/>
        <v>Consistent</v>
      </c>
      <c r="N2276" s="1" t="str">
        <f>_xlfn.XLOOKUP(H2276, risk_score!A:A, risk_score!B:B, 0)</f>
        <v>Low Risk</v>
      </c>
    </row>
    <row r="2277" spans="1:14">
      <c r="A2277" s="2">
        <v>0.49851851851851853</v>
      </c>
      <c r="B2277" s="3">
        <v>44841</v>
      </c>
      <c r="C2277" s="1">
        <v>8203229522</v>
      </c>
      <c r="D2277" s="1">
        <v>4419703232</v>
      </c>
      <c r="E2277" s="1">
        <v>9013.52</v>
      </c>
      <c r="F2277" s="1" t="s">
        <v>12</v>
      </c>
      <c r="G2277" s="1" t="s">
        <v>12</v>
      </c>
      <c r="H2277" s="1" t="s">
        <v>13</v>
      </c>
      <c r="I2277" s="1" t="s">
        <v>13</v>
      </c>
      <c r="J2277" s="1" t="s">
        <v>25</v>
      </c>
      <c r="K2277" s="1">
        <v>0</v>
      </c>
      <c r="L2277" s="1" t="s">
        <v>19</v>
      </c>
      <c r="M2277" s="1" t="str">
        <f t="shared" si="35"/>
        <v>Consistent</v>
      </c>
      <c r="N2277" s="1" t="str">
        <f>_xlfn.XLOOKUP(H2277, risk_score!A:A, risk_score!B:B, 0)</f>
        <v>Low Risk</v>
      </c>
    </row>
    <row r="2278" spans="1:14">
      <c r="A2278" s="2">
        <v>0.49857638888888889</v>
      </c>
      <c r="B2278" s="3">
        <v>44841</v>
      </c>
      <c r="C2278" s="1">
        <v>1378784400</v>
      </c>
      <c r="D2278" s="1">
        <v>6533060638</v>
      </c>
      <c r="E2278" s="1">
        <v>5124.46</v>
      </c>
      <c r="F2278" s="1" t="s">
        <v>12</v>
      </c>
      <c r="G2278" s="1" t="s">
        <v>12</v>
      </c>
      <c r="H2278" s="1" t="s">
        <v>13</v>
      </c>
      <c r="I2278" s="1" t="s">
        <v>13</v>
      </c>
      <c r="J2278" s="1" t="s">
        <v>27</v>
      </c>
      <c r="K2278" s="1">
        <v>0</v>
      </c>
      <c r="L2278" s="1" t="s">
        <v>19</v>
      </c>
      <c r="M2278" s="1" t="str">
        <f t="shared" si="35"/>
        <v>Consistent</v>
      </c>
      <c r="N2278" s="1" t="str">
        <f>_xlfn.XLOOKUP(H2278, risk_score!A:A, risk_score!B:B, 0)</f>
        <v>Low Risk</v>
      </c>
    </row>
    <row r="2279" spans="1:14">
      <c r="A2279" s="2">
        <v>0.49857638888888889</v>
      </c>
      <c r="B2279" s="3">
        <v>44841</v>
      </c>
      <c r="C2279" s="1">
        <v>525950594</v>
      </c>
      <c r="D2279" s="1">
        <v>409707192</v>
      </c>
      <c r="E2279" s="1">
        <v>6060.92</v>
      </c>
      <c r="F2279" s="1" t="s">
        <v>12</v>
      </c>
      <c r="G2279" s="1" t="s">
        <v>12</v>
      </c>
      <c r="H2279" s="1" t="s">
        <v>13</v>
      </c>
      <c r="I2279" s="1" t="s">
        <v>13</v>
      </c>
      <c r="J2279" s="1" t="s">
        <v>20</v>
      </c>
      <c r="K2279" s="1">
        <v>0</v>
      </c>
      <c r="L2279" s="1" t="s">
        <v>23</v>
      </c>
      <c r="M2279" s="1" t="str">
        <f t="shared" si="35"/>
        <v>Consistent</v>
      </c>
      <c r="N2279" s="1" t="str">
        <f>_xlfn.XLOOKUP(H2279, risk_score!A:A, risk_score!B:B, 0)</f>
        <v>Low Risk</v>
      </c>
    </row>
    <row r="2280" spans="1:14">
      <c r="A2280" s="2">
        <v>0.49859953703703702</v>
      </c>
      <c r="B2280" s="3">
        <v>44841</v>
      </c>
      <c r="C2280" s="1">
        <v>3644256410</v>
      </c>
      <c r="D2280" s="1">
        <v>3066321263</v>
      </c>
      <c r="E2280" s="1">
        <v>6094.14</v>
      </c>
      <c r="F2280" s="1" t="s">
        <v>12</v>
      </c>
      <c r="G2280" s="1" t="s">
        <v>12</v>
      </c>
      <c r="H2280" s="1" t="s">
        <v>13</v>
      </c>
      <c r="I2280" s="1" t="s">
        <v>13</v>
      </c>
      <c r="J2280" s="1" t="s">
        <v>20</v>
      </c>
      <c r="K2280" s="1">
        <v>0</v>
      </c>
      <c r="L2280" s="1" t="s">
        <v>23</v>
      </c>
      <c r="M2280" s="1" t="str">
        <f t="shared" si="35"/>
        <v>Consistent</v>
      </c>
      <c r="N2280" s="1" t="str">
        <f>_xlfn.XLOOKUP(H2280, risk_score!A:A, risk_score!B:B, 0)</f>
        <v>Low Risk</v>
      </c>
    </row>
    <row r="2281" spans="1:14">
      <c r="A2281" s="2">
        <v>0.49869212962962961</v>
      </c>
      <c r="B2281" s="3">
        <v>44841</v>
      </c>
      <c r="C2281" s="1">
        <v>3709430533</v>
      </c>
      <c r="D2281" s="1">
        <v>2002969578</v>
      </c>
      <c r="E2281" s="1">
        <v>6378.9</v>
      </c>
      <c r="F2281" s="1" t="s">
        <v>12</v>
      </c>
      <c r="G2281" s="1" t="s">
        <v>12</v>
      </c>
      <c r="H2281" s="1" t="s">
        <v>13</v>
      </c>
      <c r="I2281" s="1" t="s">
        <v>13</v>
      </c>
      <c r="J2281" s="1" t="s">
        <v>22</v>
      </c>
      <c r="K2281" s="1">
        <v>0</v>
      </c>
      <c r="L2281" s="1" t="s">
        <v>19</v>
      </c>
      <c r="M2281" s="1" t="str">
        <f t="shared" si="35"/>
        <v>Consistent</v>
      </c>
      <c r="N2281" s="1" t="str">
        <f>_xlfn.XLOOKUP(H2281, risk_score!A:A, risk_score!B:B, 0)</f>
        <v>Low Risk</v>
      </c>
    </row>
    <row r="2282" spans="1:14">
      <c r="A2282" s="2">
        <v>0.4987152777777778</v>
      </c>
      <c r="B2282" s="3">
        <v>44841</v>
      </c>
      <c r="C2282" s="1">
        <v>1083806619</v>
      </c>
      <c r="D2282" s="1">
        <v>6088726353</v>
      </c>
      <c r="E2282" s="1">
        <v>423.21</v>
      </c>
      <c r="F2282" s="1" t="s">
        <v>12</v>
      </c>
      <c r="G2282" s="1" t="s">
        <v>12</v>
      </c>
      <c r="H2282" s="1" t="s">
        <v>13</v>
      </c>
      <c r="I2282" s="1" t="s">
        <v>13</v>
      </c>
      <c r="J2282" s="1" t="s">
        <v>27</v>
      </c>
      <c r="K2282" s="1">
        <v>0</v>
      </c>
      <c r="L2282" s="1" t="s">
        <v>21</v>
      </c>
      <c r="M2282" s="1" t="str">
        <f t="shared" si="35"/>
        <v>Consistent</v>
      </c>
      <c r="N2282" s="1" t="str">
        <f>_xlfn.XLOOKUP(H2282, risk_score!A:A, risk_score!B:B, 0)</f>
        <v>Low Risk</v>
      </c>
    </row>
    <row r="2283" spans="1:14">
      <c r="A2283" s="2">
        <v>0.49875000000000003</v>
      </c>
      <c r="B2283" s="3">
        <v>44841</v>
      </c>
      <c r="C2283" s="1">
        <v>7023162176</v>
      </c>
      <c r="D2283" s="1">
        <v>3790547430</v>
      </c>
      <c r="E2283" s="1">
        <v>460.61</v>
      </c>
      <c r="F2283" s="1" t="s">
        <v>12</v>
      </c>
      <c r="G2283" s="1" t="s">
        <v>12</v>
      </c>
      <c r="H2283" s="1" t="s">
        <v>13</v>
      </c>
      <c r="I2283" s="1" t="s">
        <v>13</v>
      </c>
      <c r="J2283" s="1" t="s">
        <v>14</v>
      </c>
      <c r="K2283" s="1">
        <v>0</v>
      </c>
      <c r="L2283" s="1" t="s">
        <v>15</v>
      </c>
      <c r="M2283" s="1" t="str">
        <f t="shared" si="35"/>
        <v>Consistent</v>
      </c>
      <c r="N2283" s="1" t="str">
        <f>_xlfn.XLOOKUP(H2283, risk_score!A:A, risk_score!B:B, 0)</f>
        <v>Low Risk</v>
      </c>
    </row>
    <row r="2284" spans="1:14">
      <c r="A2284" s="2">
        <v>0.49885416666666665</v>
      </c>
      <c r="B2284" s="3">
        <v>44841</v>
      </c>
      <c r="C2284" s="1">
        <v>3168051873</v>
      </c>
      <c r="D2284" s="1">
        <v>365650600</v>
      </c>
      <c r="E2284" s="1">
        <v>8182.52</v>
      </c>
      <c r="F2284" s="1" t="s">
        <v>12</v>
      </c>
      <c r="G2284" s="1" t="s">
        <v>59</v>
      </c>
      <c r="H2284" s="1" t="s">
        <v>13</v>
      </c>
      <c r="I2284" s="1" t="s">
        <v>13</v>
      </c>
      <c r="J2284" s="1" t="s">
        <v>20</v>
      </c>
      <c r="K2284" s="1">
        <v>0</v>
      </c>
      <c r="L2284" s="1" t="s">
        <v>19</v>
      </c>
      <c r="M2284" s="1" t="str">
        <f t="shared" si="35"/>
        <v>Potential Layering</v>
      </c>
      <c r="N2284" s="1" t="str">
        <f>_xlfn.XLOOKUP(H2284, risk_score!A:A, risk_score!B:B, 0)</f>
        <v>Low Risk</v>
      </c>
    </row>
    <row r="2285" spans="1:14">
      <c r="A2285" s="2">
        <v>0.49888888888888888</v>
      </c>
      <c r="B2285" s="3">
        <v>44841</v>
      </c>
      <c r="C2285" s="1">
        <v>7016963971</v>
      </c>
      <c r="D2285" s="1">
        <v>1411286618</v>
      </c>
      <c r="E2285" s="1">
        <v>1644.82</v>
      </c>
      <c r="F2285" s="1" t="s">
        <v>12</v>
      </c>
      <c r="G2285" s="1" t="s">
        <v>12</v>
      </c>
      <c r="H2285" s="1" t="s">
        <v>13</v>
      </c>
      <c r="I2285" s="1" t="s">
        <v>13</v>
      </c>
      <c r="J2285" s="1" t="s">
        <v>22</v>
      </c>
      <c r="K2285" s="1">
        <v>0</v>
      </c>
      <c r="L2285" s="1" t="s">
        <v>21</v>
      </c>
      <c r="M2285" s="1" t="str">
        <f t="shared" si="35"/>
        <v>Consistent</v>
      </c>
      <c r="N2285" s="1" t="str">
        <f>_xlfn.XLOOKUP(H2285, risk_score!A:A, risk_score!B:B, 0)</f>
        <v>Low Risk</v>
      </c>
    </row>
    <row r="2286" spans="1:14">
      <c r="A2286" s="2">
        <v>0.49892361111111111</v>
      </c>
      <c r="B2286" s="3">
        <v>44841</v>
      </c>
      <c r="C2286" s="1">
        <v>1226944129</v>
      </c>
      <c r="D2286" s="1">
        <v>2534644942</v>
      </c>
      <c r="E2286" s="1">
        <v>13528.29</v>
      </c>
      <c r="F2286" s="1" t="s">
        <v>12</v>
      </c>
      <c r="G2286" s="1" t="s">
        <v>29</v>
      </c>
      <c r="H2286" s="1" t="s">
        <v>13</v>
      </c>
      <c r="I2286" s="1" t="s">
        <v>31</v>
      </c>
      <c r="J2286" s="1" t="s">
        <v>18</v>
      </c>
      <c r="K2286" s="1">
        <v>0</v>
      </c>
      <c r="L2286" s="1" t="s">
        <v>23</v>
      </c>
      <c r="M2286" s="1" t="str">
        <f t="shared" si="35"/>
        <v>Potential Layering</v>
      </c>
      <c r="N2286" s="1" t="str">
        <f>_xlfn.XLOOKUP(H2286, risk_score!A:A, risk_score!B:B, 0)</f>
        <v>Low Risk</v>
      </c>
    </row>
    <row r="2287" spans="1:14">
      <c r="A2287" s="2">
        <v>0.49892361111111111</v>
      </c>
      <c r="B2287" s="3">
        <v>44841</v>
      </c>
      <c r="C2287" s="1">
        <v>3244691308</v>
      </c>
      <c r="D2287" s="1">
        <v>1048234912</v>
      </c>
      <c r="E2287" s="1">
        <v>631.41999999999996</v>
      </c>
      <c r="F2287" s="1" t="s">
        <v>12</v>
      </c>
      <c r="G2287" s="1" t="s">
        <v>12</v>
      </c>
      <c r="H2287" s="1" t="s">
        <v>13</v>
      </c>
      <c r="I2287" s="1" t="s">
        <v>13</v>
      </c>
      <c r="J2287" s="1" t="s">
        <v>22</v>
      </c>
      <c r="K2287" s="1">
        <v>0</v>
      </c>
      <c r="L2287" s="1" t="s">
        <v>21</v>
      </c>
      <c r="M2287" s="1" t="str">
        <f t="shared" si="35"/>
        <v>Consistent</v>
      </c>
      <c r="N2287" s="1" t="str">
        <f>_xlfn.XLOOKUP(H2287, risk_score!A:A, risk_score!B:B, 0)</f>
        <v>Low Risk</v>
      </c>
    </row>
    <row r="2288" spans="1:14">
      <c r="A2288" s="2">
        <v>0.4989351851851852</v>
      </c>
      <c r="B2288" s="3">
        <v>44841</v>
      </c>
      <c r="C2288" s="1">
        <v>6648669738</v>
      </c>
      <c r="D2288" s="1">
        <v>3486775846</v>
      </c>
      <c r="E2288" s="1">
        <v>6248.76</v>
      </c>
      <c r="F2288" s="1" t="s">
        <v>12</v>
      </c>
      <c r="G2288" s="1" t="s">
        <v>12</v>
      </c>
      <c r="H2288" s="1" t="s">
        <v>13</v>
      </c>
      <c r="I2288" s="1" t="s">
        <v>13</v>
      </c>
      <c r="J2288" s="1" t="s">
        <v>20</v>
      </c>
      <c r="K2288" s="1">
        <v>0</v>
      </c>
      <c r="L2288" s="1" t="s">
        <v>21</v>
      </c>
      <c r="M2288" s="1" t="str">
        <f t="shared" si="35"/>
        <v>Consistent</v>
      </c>
      <c r="N2288" s="1" t="str">
        <f>_xlfn.XLOOKUP(H2288, risk_score!A:A, risk_score!B:B, 0)</f>
        <v>Low Risk</v>
      </c>
    </row>
    <row r="2289" spans="1:14">
      <c r="A2289" s="2">
        <v>0.4989351851851852</v>
      </c>
      <c r="B2289" s="3">
        <v>44841</v>
      </c>
      <c r="C2289" s="1">
        <v>5102544036</v>
      </c>
      <c r="D2289" s="1">
        <v>5109623450</v>
      </c>
      <c r="E2289" s="1">
        <v>6798.66</v>
      </c>
      <c r="F2289" s="1" t="s">
        <v>12</v>
      </c>
      <c r="G2289" s="1" t="s">
        <v>12</v>
      </c>
      <c r="H2289" s="1" t="s">
        <v>13</v>
      </c>
      <c r="I2289" s="1" t="s">
        <v>13</v>
      </c>
      <c r="J2289" s="1" t="s">
        <v>22</v>
      </c>
      <c r="K2289" s="1">
        <v>0</v>
      </c>
      <c r="L2289" s="1" t="s">
        <v>23</v>
      </c>
      <c r="M2289" s="1" t="str">
        <f t="shared" si="35"/>
        <v>Consistent</v>
      </c>
      <c r="N2289" s="1" t="str">
        <f>_xlfn.XLOOKUP(H2289, risk_score!A:A, risk_score!B:B, 0)</f>
        <v>Low Risk</v>
      </c>
    </row>
    <row r="2290" spans="1:14">
      <c r="A2290" s="2">
        <v>0.4989351851851852</v>
      </c>
      <c r="B2290" s="3">
        <v>44841</v>
      </c>
      <c r="C2290" s="1">
        <v>5021785800</v>
      </c>
      <c r="D2290" s="1">
        <v>1883329014</v>
      </c>
      <c r="E2290" s="1">
        <v>8006.31</v>
      </c>
      <c r="F2290" s="1" t="s">
        <v>12</v>
      </c>
      <c r="G2290" s="1" t="s">
        <v>12</v>
      </c>
      <c r="H2290" s="1" t="s">
        <v>13</v>
      </c>
      <c r="I2290" s="1" t="s">
        <v>13</v>
      </c>
      <c r="J2290" s="1" t="s">
        <v>22</v>
      </c>
      <c r="K2290" s="1">
        <v>0</v>
      </c>
      <c r="L2290" s="1" t="s">
        <v>19</v>
      </c>
      <c r="M2290" s="1" t="str">
        <f t="shared" si="35"/>
        <v>Consistent</v>
      </c>
      <c r="N2290" s="1" t="str">
        <f>_xlfn.XLOOKUP(H2290, risk_score!A:A, risk_score!B:B, 0)</f>
        <v>Low Risk</v>
      </c>
    </row>
    <row r="2291" spans="1:14">
      <c r="A2291" s="2">
        <v>0.49898148148148147</v>
      </c>
      <c r="B2291" s="3">
        <v>44841</v>
      </c>
      <c r="C2291" s="1">
        <v>3149859158</v>
      </c>
      <c r="D2291" s="1">
        <v>5787399025</v>
      </c>
      <c r="E2291" s="1">
        <v>156.12</v>
      </c>
      <c r="F2291" s="1" t="s">
        <v>12</v>
      </c>
      <c r="G2291" s="1" t="s">
        <v>12</v>
      </c>
      <c r="H2291" s="1" t="s">
        <v>13</v>
      </c>
      <c r="I2291" s="1" t="s">
        <v>13</v>
      </c>
      <c r="J2291" s="1" t="s">
        <v>27</v>
      </c>
      <c r="K2291" s="1">
        <v>0</v>
      </c>
      <c r="L2291" s="1" t="s">
        <v>21</v>
      </c>
      <c r="M2291" s="1" t="str">
        <f t="shared" si="35"/>
        <v>Consistent</v>
      </c>
      <c r="N2291" s="1" t="str">
        <f>_xlfn.XLOOKUP(H2291, risk_score!A:A, risk_score!B:B, 0)</f>
        <v>Low Risk</v>
      </c>
    </row>
    <row r="2292" spans="1:14">
      <c r="A2292" s="2">
        <v>0.49899305555555556</v>
      </c>
      <c r="B2292" s="3">
        <v>44841</v>
      </c>
      <c r="C2292" s="1">
        <v>3825506456</v>
      </c>
      <c r="D2292" s="1">
        <v>5276855531</v>
      </c>
      <c r="E2292" s="1">
        <v>4415.91</v>
      </c>
      <c r="F2292" s="1" t="s">
        <v>12</v>
      </c>
      <c r="G2292" s="1" t="s">
        <v>12</v>
      </c>
      <c r="H2292" s="1" t="s">
        <v>13</v>
      </c>
      <c r="I2292" s="1" t="s">
        <v>13</v>
      </c>
      <c r="J2292" s="1" t="s">
        <v>20</v>
      </c>
      <c r="K2292" s="1">
        <v>0</v>
      </c>
      <c r="L2292" s="1" t="s">
        <v>21</v>
      </c>
      <c r="M2292" s="1" t="str">
        <f t="shared" si="35"/>
        <v>Consistent</v>
      </c>
      <c r="N2292" s="1" t="str">
        <f>_xlfn.XLOOKUP(H2292, risk_score!A:A, risk_score!B:B, 0)</f>
        <v>Low Risk</v>
      </c>
    </row>
    <row r="2293" spans="1:14">
      <c r="A2293" s="2">
        <v>0.49902777777777779</v>
      </c>
      <c r="B2293" s="3">
        <v>44841</v>
      </c>
      <c r="C2293" s="1">
        <v>1144157295</v>
      </c>
      <c r="D2293" s="1">
        <v>8808932535</v>
      </c>
      <c r="E2293" s="1">
        <v>8062.41</v>
      </c>
      <c r="F2293" s="1" t="s">
        <v>12</v>
      </c>
      <c r="G2293" s="1" t="s">
        <v>12</v>
      </c>
      <c r="H2293" s="1" t="s">
        <v>13</v>
      </c>
      <c r="I2293" s="1" t="s">
        <v>13</v>
      </c>
      <c r="J2293" s="1" t="s">
        <v>25</v>
      </c>
      <c r="K2293" s="1">
        <v>0</v>
      </c>
      <c r="L2293" s="1" t="s">
        <v>21</v>
      </c>
      <c r="M2293" s="1" t="str">
        <f t="shared" si="35"/>
        <v>Consistent</v>
      </c>
      <c r="N2293" s="1" t="str">
        <f>_xlfn.XLOOKUP(H2293, risk_score!A:A, risk_score!B:B, 0)</f>
        <v>Low Risk</v>
      </c>
    </row>
    <row r="2294" spans="1:14">
      <c r="A2294" s="2">
        <v>0.49906250000000002</v>
      </c>
      <c r="B2294" s="3">
        <v>44841</v>
      </c>
      <c r="C2294" s="1">
        <v>1995805675</v>
      </c>
      <c r="D2294" s="1">
        <v>9913414273</v>
      </c>
      <c r="E2294" s="1">
        <v>63.21</v>
      </c>
      <c r="F2294" s="1" t="s">
        <v>12</v>
      </c>
      <c r="G2294" s="1" t="s">
        <v>12</v>
      </c>
      <c r="H2294" s="1" t="s">
        <v>13</v>
      </c>
      <c r="I2294" s="1" t="s">
        <v>13</v>
      </c>
      <c r="J2294" s="1" t="s">
        <v>36</v>
      </c>
      <c r="K2294" s="1">
        <v>0</v>
      </c>
      <c r="L2294" s="1" t="s">
        <v>37</v>
      </c>
      <c r="M2294" s="1" t="str">
        <f t="shared" si="35"/>
        <v>Consistent</v>
      </c>
      <c r="N2294" s="1" t="str">
        <f>_xlfn.XLOOKUP(H2294, risk_score!A:A, risk_score!B:B, 0)</f>
        <v>Low Risk</v>
      </c>
    </row>
    <row r="2295" spans="1:14">
      <c r="A2295" s="2">
        <v>0.49907407407407406</v>
      </c>
      <c r="B2295" s="3">
        <v>44841</v>
      </c>
      <c r="C2295" s="1">
        <v>3173291888</v>
      </c>
      <c r="D2295" s="1">
        <v>3231241774</v>
      </c>
      <c r="E2295" s="1">
        <v>2253.35</v>
      </c>
      <c r="F2295" s="1" t="s">
        <v>12</v>
      </c>
      <c r="G2295" s="1" t="s">
        <v>12</v>
      </c>
      <c r="H2295" s="1" t="s">
        <v>13</v>
      </c>
      <c r="I2295" s="1" t="s">
        <v>13</v>
      </c>
      <c r="J2295" s="1" t="s">
        <v>27</v>
      </c>
      <c r="K2295" s="1">
        <v>0</v>
      </c>
      <c r="L2295" s="1" t="s">
        <v>21</v>
      </c>
      <c r="M2295" s="1" t="str">
        <f t="shared" si="35"/>
        <v>Consistent</v>
      </c>
      <c r="N2295" s="1" t="str">
        <f>_xlfn.XLOOKUP(H2295, risk_score!A:A, risk_score!B:B, 0)</f>
        <v>Low Risk</v>
      </c>
    </row>
    <row r="2296" spans="1:14">
      <c r="A2296" s="2">
        <v>0.49907407407407406</v>
      </c>
      <c r="B2296" s="3">
        <v>44841</v>
      </c>
      <c r="C2296" s="1">
        <v>9599009457</v>
      </c>
      <c r="D2296" s="1">
        <v>7106391404</v>
      </c>
      <c r="E2296" s="1">
        <v>9753.24</v>
      </c>
      <c r="F2296" s="1" t="s">
        <v>12</v>
      </c>
      <c r="G2296" s="1" t="s">
        <v>51</v>
      </c>
      <c r="H2296" s="1" t="s">
        <v>13</v>
      </c>
      <c r="I2296" s="1" t="s">
        <v>52</v>
      </c>
      <c r="J2296" s="1" t="s">
        <v>18</v>
      </c>
      <c r="K2296" s="1">
        <v>0</v>
      </c>
      <c r="L2296" s="1" t="s">
        <v>19</v>
      </c>
      <c r="M2296" s="1" t="str">
        <f t="shared" si="35"/>
        <v>Potential Layering</v>
      </c>
      <c r="N2296" s="1" t="str">
        <f>_xlfn.XLOOKUP(H2296, risk_score!A:A, risk_score!B:B, 0)</f>
        <v>Low Risk</v>
      </c>
    </row>
    <row r="2297" spans="1:14">
      <c r="A2297" s="2">
        <v>0.49908564814814815</v>
      </c>
      <c r="B2297" s="3">
        <v>44841</v>
      </c>
      <c r="C2297" s="1">
        <v>8987848252</v>
      </c>
      <c r="D2297" s="1">
        <v>685567924</v>
      </c>
      <c r="E2297" s="1">
        <v>10901.15</v>
      </c>
      <c r="F2297" s="1" t="s">
        <v>12</v>
      </c>
      <c r="G2297" s="1" t="s">
        <v>12</v>
      </c>
      <c r="H2297" s="1" t="s">
        <v>13</v>
      </c>
      <c r="I2297" s="1" t="s">
        <v>13</v>
      </c>
      <c r="J2297" s="1" t="s">
        <v>25</v>
      </c>
      <c r="K2297" s="1">
        <v>0</v>
      </c>
      <c r="L2297" s="1" t="s">
        <v>19</v>
      </c>
      <c r="M2297" s="1" t="str">
        <f t="shared" si="35"/>
        <v>Consistent</v>
      </c>
      <c r="N2297" s="1" t="str">
        <f>_xlfn.XLOOKUP(H2297, risk_score!A:A, risk_score!B:B, 0)</f>
        <v>Low Risk</v>
      </c>
    </row>
    <row r="2298" spans="1:14">
      <c r="A2298" s="2">
        <v>0.49909722222222225</v>
      </c>
      <c r="B2298" s="3">
        <v>44841</v>
      </c>
      <c r="C2298" s="1">
        <v>2797271466</v>
      </c>
      <c r="D2298" s="1">
        <v>5914713322</v>
      </c>
      <c r="E2298" s="1">
        <v>10986.22</v>
      </c>
      <c r="F2298" s="1" t="s">
        <v>12</v>
      </c>
      <c r="G2298" s="1" t="s">
        <v>12</v>
      </c>
      <c r="H2298" s="1" t="s">
        <v>13</v>
      </c>
      <c r="I2298" s="1" t="s">
        <v>13</v>
      </c>
      <c r="J2298" s="1" t="s">
        <v>27</v>
      </c>
      <c r="K2298" s="1">
        <v>0</v>
      </c>
      <c r="L2298" s="1" t="s">
        <v>19</v>
      </c>
      <c r="M2298" s="1" t="str">
        <f t="shared" si="35"/>
        <v>Consistent</v>
      </c>
      <c r="N2298" s="1" t="str">
        <f>_xlfn.XLOOKUP(H2298, risk_score!A:A, risk_score!B:B, 0)</f>
        <v>Low Risk</v>
      </c>
    </row>
    <row r="2299" spans="1:14">
      <c r="A2299" s="2">
        <v>0.49913194444444442</v>
      </c>
      <c r="B2299" s="3">
        <v>44841</v>
      </c>
      <c r="C2299" s="1">
        <v>327609046</v>
      </c>
      <c r="D2299" s="1">
        <v>6223365730</v>
      </c>
      <c r="E2299" s="1">
        <v>24795.65</v>
      </c>
      <c r="F2299" s="1" t="s">
        <v>12</v>
      </c>
      <c r="G2299" s="1" t="s">
        <v>12</v>
      </c>
      <c r="H2299" s="1" t="s">
        <v>13</v>
      </c>
      <c r="I2299" s="1" t="s">
        <v>13</v>
      </c>
      <c r="J2299" s="1" t="s">
        <v>20</v>
      </c>
      <c r="K2299" s="1">
        <v>0</v>
      </c>
      <c r="L2299" s="1" t="s">
        <v>23</v>
      </c>
      <c r="M2299" s="1" t="str">
        <f t="shared" si="35"/>
        <v>Consistent</v>
      </c>
      <c r="N2299" s="1" t="str">
        <f>_xlfn.XLOOKUP(H2299, risk_score!A:A, risk_score!B:B, 0)</f>
        <v>Low Risk</v>
      </c>
    </row>
    <row r="2300" spans="1:14">
      <c r="A2300" s="2">
        <v>0.49913194444444442</v>
      </c>
      <c r="B2300" s="3">
        <v>44841</v>
      </c>
      <c r="C2300" s="1">
        <v>3375998526</v>
      </c>
      <c r="D2300" s="1">
        <v>7444122993</v>
      </c>
      <c r="E2300" s="1">
        <v>5083.92</v>
      </c>
      <c r="F2300" s="1" t="s">
        <v>12</v>
      </c>
      <c r="G2300" s="1" t="s">
        <v>12</v>
      </c>
      <c r="H2300" s="1" t="s">
        <v>13</v>
      </c>
      <c r="I2300" s="1" t="s">
        <v>13</v>
      </c>
      <c r="J2300" s="1" t="s">
        <v>14</v>
      </c>
      <c r="K2300" s="1">
        <v>0</v>
      </c>
      <c r="L2300" s="1" t="s">
        <v>15</v>
      </c>
      <c r="M2300" s="1" t="str">
        <f t="shared" si="35"/>
        <v>Consistent</v>
      </c>
      <c r="N2300" s="1" t="str">
        <f>_xlfn.XLOOKUP(H2300, risk_score!A:A, risk_score!B:B, 0)</f>
        <v>Low Risk</v>
      </c>
    </row>
    <row r="2301" spans="1:14">
      <c r="A2301" s="2">
        <v>0.49916666666666665</v>
      </c>
      <c r="B2301" s="3">
        <v>44841</v>
      </c>
      <c r="C2301" s="1">
        <v>4712930207</v>
      </c>
      <c r="D2301" s="1">
        <v>1493436023</v>
      </c>
      <c r="E2301" s="1">
        <v>13619.6</v>
      </c>
      <c r="F2301" s="1" t="s">
        <v>12</v>
      </c>
      <c r="G2301" s="1" t="s">
        <v>12</v>
      </c>
      <c r="H2301" s="1" t="s">
        <v>13</v>
      </c>
      <c r="I2301" s="1" t="s">
        <v>13</v>
      </c>
      <c r="J2301" s="1" t="s">
        <v>20</v>
      </c>
      <c r="K2301" s="1">
        <v>0</v>
      </c>
      <c r="L2301" s="1" t="s">
        <v>23</v>
      </c>
      <c r="M2301" s="1" t="str">
        <f t="shared" si="35"/>
        <v>Consistent</v>
      </c>
      <c r="N2301" s="1" t="str">
        <f>_xlfn.XLOOKUP(H2301, risk_score!A:A, risk_score!B:B, 0)</f>
        <v>Low Risk</v>
      </c>
    </row>
    <row r="2302" spans="1:14">
      <c r="A2302" s="2">
        <v>0.49917824074074074</v>
      </c>
      <c r="B2302" s="3">
        <v>44841</v>
      </c>
      <c r="C2302" s="1">
        <v>822669024</v>
      </c>
      <c r="D2302" s="1">
        <v>6855864868</v>
      </c>
      <c r="E2302" s="1">
        <v>2259.44</v>
      </c>
      <c r="F2302" s="1" t="s">
        <v>12</v>
      </c>
      <c r="G2302" s="1" t="s">
        <v>12</v>
      </c>
      <c r="H2302" s="1" t="s">
        <v>13</v>
      </c>
      <c r="I2302" s="1" t="s">
        <v>13</v>
      </c>
      <c r="J2302" s="1" t="s">
        <v>14</v>
      </c>
      <c r="K2302" s="1">
        <v>0</v>
      </c>
      <c r="L2302" s="1" t="s">
        <v>15</v>
      </c>
      <c r="M2302" s="1" t="str">
        <f t="shared" si="35"/>
        <v>Consistent</v>
      </c>
      <c r="N2302" s="1" t="str">
        <f>_xlfn.XLOOKUP(H2302, risk_score!A:A, risk_score!B:B, 0)</f>
        <v>Low Risk</v>
      </c>
    </row>
    <row r="2303" spans="1:14">
      <c r="A2303" s="2">
        <v>0.4992476851851852</v>
      </c>
      <c r="B2303" s="3">
        <v>44841</v>
      </c>
      <c r="C2303" s="1">
        <v>1706196950</v>
      </c>
      <c r="D2303" s="1">
        <v>3695545812</v>
      </c>
      <c r="E2303" s="1">
        <v>4887.45</v>
      </c>
      <c r="F2303" s="1" t="s">
        <v>12</v>
      </c>
      <c r="G2303" s="1" t="s">
        <v>12</v>
      </c>
      <c r="H2303" s="1" t="s">
        <v>13</v>
      </c>
      <c r="I2303" s="1" t="s">
        <v>13</v>
      </c>
      <c r="J2303" s="1" t="s">
        <v>22</v>
      </c>
      <c r="K2303" s="1">
        <v>0</v>
      </c>
      <c r="L2303" s="1" t="s">
        <v>23</v>
      </c>
      <c r="M2303" s="1" t="str">
        <f t="shared" si="35"/>
        <v>Consistent</v>
      </c>
      <c r="N2303" s="1" t="str">
        <f>_xlfn.XLOOKUP(H2303, risk_score!A:A, risk_score!B:B, 0)</f>
        <v>Low Risk</v>
      </c>
    </row>
    <row r="2304" spans="1:14">
      <c r="A2304" s="2">
        <v>0.49930555555555556</v>
      </c>
      <c r="B2304" s="3">
        <v>44841</v>
      </c>
      <c r="C2304" s="1">
        <v>336186837</v>
      </c>
      <c r="D2304" s="1">
        <v>5125866622</v>
      </c>
      <c r="E2304" s="1">
        <v>1871.08</v>
      </c>
      <c r="F2304" s="1" t="s">
        <v>12</v>
      </c>
      <c r="G2304" s="1" t="s">
        <v>12</v>
      </c>
      <c r="H2304" s="1" t="s">
        <v>13</v>
      </c>
      <c r="I2304" s="1" t="s">
        <v>13</v>
      </c>
      <c r="J2304" s="1" t="s">
        <v>25</v>
      </c>
      <c r="K2304" s="1">
        <v>0</v>
      </c>
      <c r="L2304" s="1" t="s">
        <v>21</v>
      </c>
      <c r="M2304" s="1" t="str">
        <f t="shared" si="35"/>
        <v>Consistent</v>
      </c>
      <c r="N2304" s="1" t="str">
        <f>_xlfn.XLOOKUP(H2304, risk_score!A:A, risk_score!B:B, 0)</f>
        <v>Low Risk</v>
      </c>
    </row>
    <row r="2305" spans="1:14">
      <c r="A2305" s="2">
        <v>0.49932870370370369</v>
      </c>
      <c r="B2305" s="3">
        <v>44841</v>
      </c>
      <c r="C2305" s="1">
        <v>8212330109</v>
      </c>
      <c r="D2305" s="1">
        <v>2534644942</v>
      </c>
      <c r="E2305" s="1">
        <v>5450.85</v>
      </c>
      <c r="F2305" s="1" t="s">
        <v>12</v>
      </c>
      <c r="G2305" s="1" t="s">
        <v>29</v>
      </c>
      <c r="H2305" s="1" t="s">
        <v>13</v>
      </c>
      <c r="I2305" s="1" t="s">
        <v>31</v>
      </c>
      <c r="J2305" s="1" t="s">
        <v>18</v>
      </c>
      <c r="K2305" s="1">
        <v>0</v>
      </c>
      <c r="L2305" s="1" t="s">
        <v>23</v>
      </c>
      <c r="M2305" s="1" t="str">
        <f t="shared" si="35"/>
        <v>Potential Layering</v>
      </c>
      <c r="N2305" s="1" t="str">
        <f>_xlfn.XLOOKUP(H2305, risk_score!A:A, risk_score!B:B, 0)</f>
        <v>Low Risk</v>
      </c>
    </row>
    <row r="2306" spans="1:14">
      <c r="A2306" s="2">
        <v>0.49943287037037037</v>
      </c>
      <c r="B2306" s="3">
        <v>44841</v>
      </c>
      <c r="C2306" s="1">
        <v>6928641335</v>
      </c>
      <c r="D2306" s="1">
        <v>6673687782</v>
      </c>
      <c r="E2306" s="1">
        <v>5584.06</v>
      </c>
      <c r="F2306" s="1" t="s">
        <v>12</v>
      </c>
      <c r="G2306" s="1" t="s">
        <v>12</v>
      </c>
      <c r="H2306" s="1" t="s">
        <v>13</v>
      </c>
      <c r="I2306" s="1" t="s">
        <v>13</v>
      </c>
      <c r="J2306" s="1" t="s">
        <v>14</v>
      </c>
      <c r="K2306" s="1">
        <v>0</v>
      </c>
      <c r="L2306" s="1" t="s">
        <v>15</v>
      </c>
      <c r="M2306" s="1" t="str">
        <f t="shared" si="35"/>
        <v>Consistent</v>
      </c>
      <c r="N2306" s="1" t="str">
        <f>_xlfn.XLOOKUP(H2306, risk_score!A:A, risk_score!B:B, 0)</f>
        <v>Low Risk</v>
      </c>
    </row>
    <row r="2307" spans="1:14">
      <c r="A2307" s="2">
        <v>0.49943287037037037</v>
      </c>
      <c r="B2307" s="3">
        <v>44841</v>
      </c>
      <c r="C2307" s="1">
        <v>6541552727</v>
      </c>
      <c r="D2307" s="1">
        <v>8678069851</v>
      </c>
      <c r="E2307" s="1">
        <v>4708.12</v>
      </c>
      <c r="F2307" s="1" t="s">
        <v>12</v>
      </c>
      <c r="G2307" s="1" t="s">
        <v>12</v>
      </c>
      <c r="H2307" s="1" t="s">
        <v>13</v>
      </c>
      <c r="I2307" s="1" t="s">
        <v>13</v>
      </c>
      <c r="J2307" s="1" t="s">
        <v>25</v>
      </c>
      <c r="K2307" s="1">
        <v>0</v>
      </c>
      <c r="L2307" s="1" t="s">
        <v>19</v>
      </c>
      <c r="M2307" s="1" t="str">
        <f t="shared" ref="M2307:M2370" si="36">IF(F2307=G2307, "Consistent", "Potential Layering")</f>
        <v>Consistent</v>
      </c>
      <c r="N2307" s="1" t="str">
        <f>_xlfn.XLOOKUP(H2307, risk_score!A:A, risk_score!B:B, 0)</f>
        <v>Low Risk</v>
      </c>
    </row>
    <row r="2308" spans="1:14">
      <c r="A2308" s="2">
        <v>0.49945601851851851</v>
      </c>
      <c r="B2308" s="3">
        <v>44841</v>
      </c>
      <c r="C2308" s="1">
        <v>8456279067</v>
      </c>
      <c r="D2308" s="1">
        <v>4358275767</v>
      </c>
      <c r="E2308" s="1">
        <v>13232.04</v>
      </c>
      <c r="F2308" s="1" t="s">
        <v>12</v>
      </c>
      <c r="G2308" s="1" t="s">
        <v>12</v>
      </c>
      <c r="H2308" s="1" t="s">
        <v>13</v>
      </c>
      <c r="I2308" s="1" t="s">
        <v>13</v>
      </c>
      <c r="J2308" s="1" t="s">
        <v>22</v>
      </c>
      <c r="K2308" s="1">
        <v>0</v>
      </c>
      <c r="L2308" s="1" t="s">
        <v>19</v>
      </c>
      <c r="M2308" s="1" t="str">
        <f t="shared" si="36"/>
        <v>Consistent</v>
      </c>
      <c r="N2308" s="1" t="str">
        <f>_xlfn.XLOOKUP(H2308, risk_score!A:A, risk_score!B:B, 0)</f>
        <v>Low Risk</v>
      </c>
    </row>
    <row r="2309" spans="1:14">
      <c r="A2309" s="2">
        <v>0.4995486111111111</v>
      </c>
      <c r="B2309" s="3">
        <v>44841</v>
      </c>
      <c r="C2309" s="1">
        <v>8505166011</v>
      </c>
      <c r="D2309" s="1">
        <v>1839396638</v>
      </c>
      <c r="E2309" s="1">
        <v>511.72</v>
      </c>
      <c r="F2309" s="1" t="s">
        <v>12</v>
      </c>
      <c r="G2309" s="1" t="s">
        <v>12</v>
      </c>
      <c r="H2309" s="1" t="s">
        <v>13</v>
      </c>
      <c r="I2309" s="1" t="s">
        <v>13</v>
      </c>
      <c r="J2309" s="1" t="s">
        <v>25</v>
      </c>
      <c r="K2309" s="1">
        <v>0</v>
      </c>
      <c r="L2309" s="1" t="s">
        <v>21</v>
      </c>
      <c r="M2309" s="1" t="str">
        <f t="shared" si="36"/>
        <v>Consistent</v>
      </c>
      <c r="N2309" s="1" t="str">
        <f>_xlfn.XLOOKUP(H2309, risk_score!A:A, risk_score!B:B, 0)</f>
        <v>Low Risk</v>
      </c>
    </row>
    <row r="2310" spans="1:14">
      <c r="A2310" s="2">
        <v>0.49956018518518519</v>
      </c>
      <c r="B2310" s="3">
        <v>44841</v>
      </c>
      <c r="C2310" s="1">
        <v>5256639835</v>
      </c>
      <c r="D2310" s="1">
        <v>3452933653</v>
      </c>
      <c r="E2310" s="1">
        <v>1588.89</v>
      </c>
      <c r="F2310" s="1" t="s">
        <v>12</v>
      </c>
      <c r="G2310" s="1" t="s">
        <v>12</v>
      </c>
      <c r="H2310" s="1" t="s">
        <v>13</v>
      </c>
      <c r="I2310" s="1" t="s">
        <v>13</v>
      </c>
      <c r="J2310" s="1" t="s">
        <v>27</v>
      </c>
      <c r="K2310" s="1">
        <v>0</v>
      </c>
      <c r="L2310" s="1" t="s">
        <v>21</v>
      </c>
      <c r="M2310" s="1" t="str">
        <f t="shared" si="36"/>
        <v>Consistent</v>
      </c>
      <c r="N2310" s="1" t="str">
        <f>_xlfn.XLOOKUP(H2310, risk_score!A:A, risk_score!B:B, 0)</f>
        <v>Low Risk</v>
      </c>
    </row>
    <row r="2311" spans="1:14">
      <c r="A2311" s="2">
        <v>0.49956018518518519</v>
      </c>
      <c r="B2311" s="3">
        <v>44841</v>
      </c>
      <c r="C2311" s="1">
        <v>3967122805</v>
      </c>
      <c r="D2311" s="1">
        <v>1493436023</v>
      </c>
      <c r="E2311" s="1">
        <v>5319.97</v>
      </c>
      <c r="F2311" s="1" t="s">
        <v>12</v>
      </c>
      <c r="G2311" s="1" t="s">
        <v>12</v>
      </c>
      <c r="H2311" s="1" t="s">
        <v>13</v>
      </c>
      <c r="I2311" s="1" t="s">
        <v>13</v>
      </c>
      <c r="J2311" s="1" t="s">
        <v>20</v>
      </c>
      <c r="K2311" s="1">
        <v>0</v>
      </c>
      <c r="L2311" s="1" t="s">
        <v>23</v>
      </c>
      <c r="M2311" s="1" t="str">
        <f t="shared" si="36"/>
        <v>Consistent</v>
      </c>
      <c r="N2311" s="1" t="str">
        <f>_xlfn.XLOOKUP(H2311, risk_score!A:A, risk_score!B:B, 0)</f>
        <v>Low Risk</v>
      </c>
    </row>
    <row r="2312" spans="1:14">
      <c r="A2312" s="2">
        <v>0.49961805555555555</v>
      </c>
      <c r="B2312" s="3">
        <v>44841</v>
      </c>
      <c r="C2312" s="1">
        <v>6246120714</v>
      </c>
      <c r="D2312" s="1">
        <v>6156522174</v>
      </c>
      <c r="E2312" s="1">
        <v>3003.18</v>
      </c>
      <c r="F2312" s="1" t="s">
        <v>12</v>
      </c>
      <c r="G2312" s="1" t="s">
        <v>12</v>
      </c>
      <c r="H2312" s="1" t="s">
        <v>13</v>
      </c>
      <c r="I2312" s="1" t="s">
        <v>13</v>
      </c>
      <c r="J2312" s="1" t="s">
        <v>27</v>
      </c>
      <c r="K2312" s="1">
        <v>0</v>
      </c>
      <c r="L2312" s="1" t="s">
        <v>21</v>
      </c>
      <c r="M2312" s="1" t="str">
        <f t="shared" si="36"/>
        <v>Consistent</v>
      </c>
      <c r="N2312" s="1" t="str">
        <f>_xlfn.XLOOKUP(H2312, risk_score!A:A, risk_score!B:B, 0)</f>
        <v>Low Risk</v>
      </c>
    </row>
    <row r="2313" spans="1:14">
      <c r="A2313" s="2">
        <v>0.49962962962962965</v>
      </c>
      <c r="B2313" s="3">
        <v>44841</v>
      </c>
      <c r="C2313" s="1">
        <v>5637735379</v>
      </c>
      <c r="D2313" s="1">
        <v>8157033255</v>
      </c>
      <c r="E2313" s="1">
        <v>133.68</v>
      </c>
      <c r="F2313" s="1" t="s">
        <v>12</v>
      </c>
      <c r="G2313" s="1" t="s">
        <v>12</v>
      </c>
      <c r="H2313" s="1" t="s">
        <v>13</v>
      </c>
      <c r="I2313" s="1" t="s">
        <v>13</v>
      </c>
      <c r="J2313" s="1" t="s">
        <v>36</v>
      </c>
      <c r="K2313" s="1">
        <v>0</v>
      </c>
      <c r="L2313" s="1" t="s">
        <v>37</v>
      </c>
      <c r="M2313" s="1" t="str">
        <f t="shared" si="36"/>
        <v>Consistent</v>
      </c>
      <c r="N2313" s="1" t="str">
        <f>_xlfn.XLOOKUP(H2313, risk_score!A:A, risk_score!B:B, 0)</f>
        <v>Low Risk</v>
      </c>
    </row>
    <row r="2314" spans="1:14">
      <c r="A2314" s="2">
        <v>0.49962962962962965</v>
      </c>
      <c r="B2314" s="3">
        <v>44841</v>
      </c>
      <c r="C2314" s="1">
        <v>6106138674</v>
      </c>
      <c r="D2314" s="1">
        <v>3220735304</v>
      </c>
      <c r="E2314" s="1">
        <v>11818.12</v>
      </c>
      <c r="F2314" s="1" t="s">
        <v>12</v>
      </c>
      <c r="G2314" s="1" t="s">
        <v>12</v>
      </c>
      <c r="H2314" s="1" t="s">
        <v>13</v>
      </c>
      <c r="I2314" s="1" t="s">
        <v>13</v>
      </c>
      <c r="J2314" s="1" t="s">
        <v>27</v>
      </c>
      <c r="K2314" s="1">
        <v>0</v>
      </c>
      <c r="L2314" s="1" t="s">
        <v>23</v>
      </c>
      <c r="M2314" s="1" t="str">
        <f t="shared" si="36"/>
        <v>Consistent</v>
      </c>
      <c r="N2314" s="1" t="str">
        <f>_xlfn.XLOOKUP(H2314, risk_score!A:A, risk_score!B:B, 0)</f>
        <v>Low Risk</v>
      </c>
    </row>
    <row r="2315" spans="1:14">
      <c r="A2315" s="2">
        <v>0.49971064814814814</v>
      </c>
      <c r="B2315" s="3">
        <v>44841</v>
      </c>
      <c r="C2315" s="1">
        <v>7924551009</v>
      </c>
      <c r="D2315" s="1">
        <v>7199625988</v>
      </c>
      <c r="E2315" s="1">
        <v>15893.04</v>
      </c>
      <c r="F2315" s="1" t="s">
        <v>12</v>
      </c>
      <c r="G2315" s="1" t="s">
        <v>12</v>
      </c>
      <c r="H2315" s="1" t="s">
        <v>13</v>
      </c>
      <c r="I2315" s="1" t="s">
        <v>13</v>
      </c>
      <c r="J2315" s="1" t="s">
        <v>22</v>
      </c>
      <c r="K2315" s="1">
        <v>0</v>
      </c>
      <c r="L2315" s="1" t="s">
        <v>23</v>
      </c>
      <c r="M2315" s="1" t="str">
        <f t="shared" si="36"/>
        <v>Consistent</v>
      </c>
      <c r="N2315" s="1" t="str">
        <f>_xlfn.XLOOKUP(H2315, risk_score!A:A, risk_score!B:B, 0)</f>
        <v>Low Risk</v>
      </c>
    </row>
    <row r="2316" spans="1:14">
      <c r="A2316" s="2">
        <v>0.49971064814814814</v>
      </c>
      <c r="B2316" s="3">
        <v>44841</v>
      </c>
      <c r="C2316" s="1">
        <v>144148532</v>
      </c>
      <c r="D2316" s="1">
        <v>6770825970</v>
      </c>
      <c r="E2316" s="1">
        <v>11689.93</v>
      </c>
      <c r="F2316" s="1" t="s">
        <v>12</v>
      </c>
      <c r="G2316" s="1" t="s">
        <v>12</v>
      </c>
      <c r="H2316" s="1" t="s">
        <v>13</v>
      </c>
      <c r="I2316" s="1" t="s">
        <v>13</v>
      </c>
      <c r="J2316" s="1" t="s">
        <v>27</v>
      </c>
      <c r="K2316" s="1">
        <v>0</v>
      </c>
      <c r="L2316" s="1" t="s">
        <v>24</v>
      </c>
      <c r="M2316" s="1" t="str">
        <f t="shared" si="36"/>
        <v>Consistent</v>
      </c>
      <c r="N2316" s="1" t="str">
        <f>_xlfn.XLOOKUP(H2316, risk_score!A:A, risk_score!B:B, 0)</f>
        <v>Low Risk</v>
      </c>
    </row>
    <row r="2317" spans="1:14">
      <c r="A2317" s="2">
        <v>0.49975694444444446</v>
      </c>
      <c r="B2317" s="3">
        <v>44841</v>
      </c>
      <c r="C2317" s="1">
        <v>2790083909</v>
      </c>
      <c r="D2317" s="1">
        <v>6726281157</v>
      </c>
      <c r="E2317" s="1">
        <v>1219.92</v>
      </c>
      <c r="F2317" s="1" t="s">
        <v>12</v>
      </c>
      <c r="G2317" s="1" t="s">
        <v>12</v>
      </c>
      <c r="H2317" s="1" t="s">
        <v>13</v>
      </c>
      <c r="I2317" s="1" t="s">
        <v>13</v>
      </c>
      <c r="J2317" s="1" t="s">
        <v>27</v>
      </c>
      <c r="K2317" s="1">
        <v>0</v>
      </c>
      <c r="L2317" s="1" t="s">
        <v>21</v>
      </c>
      <c r="M2317" s="1" t="str">
        <f t="shared" si="36"/>
        <v>Consistent</v>
      </c>
      <c r="N2317" s="1" t="str">
        <f>_xlfn.XLOOKUP(H2317, risk_score!A:A, risk_score!B:B, 0)</f>
        <v>Low Risk</v>
      </c>
    </row>
    <row r="2318" spans="1:14">
      <c r="A2318" s="2">
        <v>0.49975694444444446</v>
      </c>
      <c r="B2318" s="3">
        <v>44841</v>
      </c>
      <c r="C2318" s="1">
        <v>5798480765</v>
      </c>
      <c r="D2318" s="1">
        <v>4724445469</v>
      </c>
      <c r="E2318" s="1">
        <v>12388.82</v>
      </c>
      <c r="F2318" s="1" t="s">
        <v>12</v>
      </c>
      <c r="G2318" s="1" t="s">
        <v>12</v>
      </c>
      <c r="H2318" s="1" t="s">
        <v>13</v>
      </c>
      <c r="I2318" s="1" t="s">
        <v>13</v>
      </c>
      <c r="J2318" s="1" t="s">
        <v>27</v>
      </c>
      <c r="K2318" s="1">
        <v>0</v>
      </c>
      <c r="L2318" s="1" t="s">
        <v>24</v>
      </c>
      <c r="M2318" s="1" t="str">
        <f t="shared" si="36"/>
        <v>Consistent</v>
      </c>
      <c r="N2318" s="1" t="str">
        <f>_xlfn.XLOOKUP(H2318, risk_score!A:A, risk_score!B:B, 0)</f>
        <v>Low Risk</v>
      </c>
    </row>
    <row r="2319" spans="1:14">
      <c r="A2319" s="2">
        <v>0.49979166666666669</v>
      </c>
      <c r="B2319" s="3">
        <v>44841</v>
      </c>
      <c r="C2319" s="1">
        <v>4952248063</v>
      </c>
      <c r="D2319" s="1">
        <v>6807457877</v>
      </c>
      <c r="E2319" s="1">
        <v>2453.94</v>
      </c>
      <c r="F2319" s="1" t="s">
        <v>12</v>
      </c>
      <c r="G2319" s="1" t="s">
        <v>12</v>
      </c>
      <c r="H2319" s="1" t="s">
        <v>13</v>
      </c>
      <c r="I2319" s="1" t="s">
        <v>13</v>
      </c>
      <c r="J2319" s="1" t="s">
        <v>27</v>
      </c>
      <c r="K2319" s="1">
        <v>0</v>
      </c>
      <c r="L2319" s="1" t="s">
        <v>21</v>
      </c>
      <c r="M2319" s="1" t="str">
        <f t="shared" si="36"/>
        <v>Consistent</v>
      </c>
      <c r="N2319" s="1" t="str">
        <f>_xlfn.XLOOKUP(H2319, risk_score!A:A, risk_score!B:B, 0)</f>
        <v>Low Risk</v>
      </c>
    </row>
    <row r="2320" spans="1:14">
      <c r="A2320" s="2">
        <v>0.49982638888888886</v>
      </c>
      <c r="B2320" s="3">
        <v>44841</v>
      </c>
      <c r="C2320" s="1">
        <v>8955442183</v>
      </c>
      <c r="D2320" s="1">
        <v>5858369125</v>
      </c>
      <c r="E2320" s="1">
        <v>6063.24</v>
      </c>
      <c r="F2320" s="1" t="s">
        <v>12</v>
      </c>
      <c r="G2320" s="1" t="s">
        <v>12</v>
      </c>
      <c r="H2320" s="1" t="s">
        <v>13</v>
      </c>
      <c r="I2320" s="1" t="s">
        <v>13</v>
      </c>
      <c r="J2320" s="1" t="s">
        <v>25</v>
      </c>
      <c r="K2320" s="1">
        <v>0</v>
      </c>
      <c r="L2320" s="1" t="s">
        <v>23</v>
      </c>
      <c r="M2320" s="1" t="str">
        <f t="shared" si="36"/>
        <v>Consistent</v>
      </c>
      <c r="N2320" s="1" t="str">
        <f>_xlfn.XLOOKUP(H2320, risk_score!A:A, risk_score!B:B, 0)</f>
        <v>Low Risk</v>
      </c>
    </row>
    <row r="2321" spans="1:14">
      <c r="A2321" s="2">
        <v>0.49984953703703705</v>
      </c>
      <c r="B2321" s="3">
        <v>44841</v>
      </c>
      <c r="C2321" s="1">
        <v>7758268667</v>
      </c>
      <c r="D2321" s="1">
        <v>5982526038</v>
      </c>
      <c r="E2321" s="1">
        <v>5548.77</v>
      </c>
      <c r="F2321" s="1" t="s">
        <v>12</v>
      </c>
      <c r="G2321" s="1" t="s">
        <v>12</v>
      </c>
      <c r="H2321" s="1" t="s">
        <v>13</v>
      </c>
      <c r="I2321" s="1" t="s">
        <v>13</v>
      </c>
      <c r="J2321" s="1" t="s">
        <v>27</v>
      </c>
      <c r="K2321" s="1">
        <v>0</v>
      </c>
      <c r="L2321" s="1" t="s">
        <v>19</v>
      </c>
      <c r="M2321" s="1" t="str">
        <f t="shared" si="36"/>
        <v>Consistent</v>
      </c>
      <c r="N2321" s="1" t="str">
        <f>_xlfn.XLOOKUP(H2321, risk_score!A:A, risk_score!B:B, 0)</f>
        <v>Low Risk</v>
      </c>
    </row>
    <row r="2322" spans="1:14">
      <c r="A2322" s="2">
        <v>0.49986111111111109</v>
      </c>
      <c r="B2322" s="3">
        <v>44841</v>
      </c>
      <c r="C2322" s="1">
        <v>2777193404</v>
      </c>
      <c r="D2322" s="1">
        <v>7707810729</v>
      </c>
      <c r="E2322" s="1">
        <v>2038.52</v>
      </c>
      <c r="F2322" s="1" t="s">
        <v>12</v>
      </c>
      <c r="G2322" s="1" t="s">
        <v>12</v>
      </c>
      <c r="H2322" s="1" t="s">
        <v>13</v>
      </c>
      <c r="I2322" s="1" t="s">
        <v>13</v>
      </c>
      <c r="J2322" s="1" t="s">
        <v>14</v>
      </c>
      <c r="K2322" s="1">
        <v>0</v>
      </c>
      <c r="L2322" s="1" t="s">
        <v>15</v>
      </c>
      <c r="M2322" s="1" t="str">
        <f t="shared" si="36"/>
        <v>Consistent</v>
      </c>
      <c r="N2322" s="1" t="str">
        <f>_xlfn.XLOOKUP(H2322, risk_score!A:A, risk_score!B:B, 0)</f>
        <v>Low Risk</v>
      </c>
    </row>
    <row r="2323" spans="1:14">
      <c r="A2323" s="2">
        <v>0.49987268518518518</v>
      </c>
      <c r="B2323" s="3">
        <v>44841</v>
      </c>
      <c r="C2323" s="1">
        <v>5408417237</v>
      </c>
      <c r="D2323" s="1">
        <v>5427279848</v>
      </c>
      <c r="E2323" s="1">
        <v>475.13</v>
      </c>
      <c r="F2323" s="1" t="s">
        <v>12</v>
      </c>
      <c r="G2323" s="1" t="s">
        <v>12</v>
      </c>
      <c r="H2323" s="1" t="s">
        <v>13</v>
      </c>
      <c r="I2323" s="1" t="s">
        <v>13</v>
      </c>
      <c r="J2323" s="1" t="s">
        <v>22</v>
      </c>
      <c r="K2323" s="1">
        <v>0</v>
      </c>
      <c r="L2323" s="1" t="s">
        <v>21</v>
      </c>
      <c r="M2323" s="1" t="str">
        <f t="shared" si="36"/>
        <v>Consistent</v>
      </c>
      <c r="N2323" s="1" t="str">
        <f>_xlfn.XLOOKUP(H2323, risk_score!A:A, risk_score!B:B, 0)</f>
        <v>Low Risk</v>
      </c>
    </row>
    <row r="2324" spans="1:14">
      <c r="A2324" s="2">
        <v>0.49989583333333332</v>
      </c>
      <c r="B2324" s="3">
        <v>44841</v>
      </c>
      <c r="C2324" s="1">
        <v>897254603</v>
      </c>
      <c r="D2324" s="1">
        <v>329034696</v>
      </c>
      <c r="E2324" s="1">
        <v>2994.33</v>
      </c>
      <c r="F2324" s="1" t="s">
        <v>44</v>
      </c>
      <c r="G2324" s="1" t="s">
        <v>16</v>
      </c>
      <c r="H2324" s="1" t="s">
        <v>13</v>
      </c>
      <c r="I2324" s="1" t="s">
        <v>17</v>
      </c>
      <c r="J2324" s="1" t="s">
        <v>18</v>
      </c>
      <c r="K2324" s="1">
        <v>0</v>
      </c>
      <c r="L2324" s="1" t="s">
        <v>21</v>
      </c>
      <c r="M2324" s="1" t="str">
        <f t="shared" si="36"/>
        <v>Potential Layering</v>
      </c>
      <c r="N2324" s="1" t="str">
        <f>_xlfn.XLOOKUP(H2324, risk_score!A:A, risk_score!B:B, 0)</f>
        <v>Low Risk</v>
      </c>
    </row>
    <row r="2325" spans="1:14">
      <c r="A2325" s="2">
        <v>0.49991898148148151</v>
      </c>
      <c r="B2325" s="3">
        <v>44841</v>
      </c>
      <c r="C2325" s="1">
        <v>3724007662</v>
      </c>
      <c r="D2325" s="1">
        <v>5682858918</v>
      </c>
      <c r="E2325" s="1">
        <v>585.03</v>
      </c>
      <c r="F2325" s="1" t="s">
        <v>16</v>
      </c>
      <c r="G2325" s="1" t="s">
        <v>12</v>
      </c>
      <c r="H2325" s="1" t="s">
        <v>13</v>
      </c>
      <c r="I2325" s="1" t="s">
        <v>13</v>
      </c>
      <c r="J2325" s="1" t="s">
        <v>14</v>
      </c>
      <c r="K2325" s="1">
        <v>0</v>
      </c>
      <c r="L2325" s="1" t="s">
        <v>15</v>
      </c>
      <c r="M2325" s="1" t="str">
        <f t="shared" si="36"/>
        <v>Potential Layering</v>
      </c>
      <c r="N2325" s="1" t="str">
        <f>_xlfn.XLOOKUP(H2325, risk_score!A:A, risk_score!B:B, 0)</f>
        <v>Low Risk</v>
      </c>
    </row>
    <row r="2326" spans="1:14">
      <c r="A2326" s="2">
        <v>0.49997685185185187</v>
      </c>
      <c r="B2326" s="3">
        <v>44841</v>
      </c>
      <c r="C2326" s="1">
        <v>4957552805</v>
      </c>
      <c r="D2326" s="1">
        <v>1377603863</v>
      </c>
      <c r="E2326" s="1">
        <v>5249.21</v>
      </c>
      <c r="F2326" s="1" t="s">
        <v>12</v>
      </c>
      <c r="G2326" s="1" t="s">
        <v>12</v>
      </c>
      <c r="H2326" s="1" t="s">
        <v>13</v>
      </c>
      <c r="I2326" s="1" t="s">
        <v>13</v>
      </c>
      <c r="J2326" s="1" t="s">
        <v>20</v>
      </c>
      <c r="K2326" s="1">
        <v>0</v>
      </c>
      <c r="L2326" s="1" t="s">
        <v>23</v>
      </c>
      <c r="M2326" s="1" t="str">
        <f t="shared" si="36"/>
        <v>Consistent</v>
      </c>
      <c r="N2326" s="1" t="str">
        <f>_xlfn.XLOOKUP(H2326, risk_score!A:A, risk_score!B:B, 0)</f>
        <v>Low Risk</v>
      </c>
    </row>
    <row r="2327" spans="1:14">
      <c r="A2327" s="2">
        <v>0.50005787037037042</v>
      </c>
      <c r="B2327" s="3">
        <v>44841</v>
      </c>
      <c r="C2327" s="1">
        <v>3186698068</v>
      </c>
      <c r="D2327" s="1">
        <v>3070846090</v>
      </c>
      <c r="E2327" s="1">
        <v>1132.8599999999999</v>
      </c>
      <c r="F2327" s="1" t="s">
        <v>12</v>
      </c>
      <c r="G2327" s="1" t="s">
        <v>12</v>
      </c>
      <c r="H2327" s="1" t="s">
        <v>13</v>
      </c>
      <c r="I2327" s="1" t="s">
        <v>13</v>
      </c>
      <c r="J2327" s="1" t="s">
        <v>22</v>
      </c>
      <c r="K2327" s="1">
        <v>0</v>
      </c>
      <c r="L2327" s="1" t="s">
        <v>21</v>
      </c>
      <c r="M2327" s="1" t="str">
        <f t="shared" si="36"/>
        <v>Consistent</v>
      </c>
      <c r="N2327" s="1" t="str">
        <f>_xlfn.XLOOKUP(H2327, risk_score!A:A, risk_score!B:B, 0)</f>
        <v>Low Risk</v>
      </c>
    </row>
    <row r="2328" spans="1:14">
      <c r="A2328" s="2">
        <v>0.50006944444444446</v>
      </c>
      <c r="B2328" s="3">
        <v>44841</v>
      </c>
      <c r="C2328" s="1">
        <v>6314111367</v>
      </c>
      <c r="D2328" s="1">
        <v>1320927231</v>
      </c>
      <c r="E2328" s="1">
        <v>37679.31</v>
      </c>
      <c r="F2328" s="1" t="s">
        <v>12</v>
      </c>
      <c r="G2328" s="1" t="s">
        <v>12</v>
      </c>
      <c r="H2328" s="1" t="s">
        <v>13</v>
      </c>
      <c r="I2328" s="1" t="s">
        <v>13</v>
      </c>
      <c r="J2328" s="1" t="s">
        <v>20</v>
      </c>
      <c r="K2328" s="1">
        <v>0</v>
      </c>
      <c r="L2328" s="1" t="s">
        <v>23</v>
      </c>
      <c r="M2328" s="1" t="str">
        <f t="shared" si="36"/>
        <v>Consistent</v>
      </c>
      <c r="N2328" s="1" t="str">
        <f>_xlfn.XLOOKUP(H2328, risk_score!A:A, risk_score!B:B, 0)</f>
        <v>Low Risk</v>
      </c>
    </row>
    <row r="2329" spans="1:14">
      <c r="A2329" s="2">
        <v>0.50008101851851849</v>
      </c>
      <c r="B2329" s="3">
        <v>44841</v>
      </c>
      <c r="C2329" s="1">
        <v>511037666</v>
      </c>
      <c r="D2329" s="1">
        <v>8678802420</v>
      </c>
      <c r="E2329" s="1">
        <v>8594.89</v>
      </c>
      <c r="F2329" s="1" t="s">
        <v>12</v>
      </c>
      <c r="G2329" s="1" t="s">
        <v>12</v>
      </c>
      <c r="H2329" s="1" t="s">
        <v>13</v>
      </c>
      <c r="I2329" s="1" t="s">
        <v>13</v>
      </c>
      <c r="J2329" s="1" t="s">
        <v>20</v>
      </c>
      <c r="K2329" s="1">
        <v>0</v>
      </c>
      <c r="L2329" s="1" t="s">
        <v>23</v>
      </c>
      <c r="M2329" s="1" t="str">
        <f t="shared" si="36"/>
        <v>Consistent</v>
      </c>
      <c r="N2329" s="1" t="str">
        <f>_xlfn.XLOOKUP(H2329, risk_score!A:A, risk_score!B:B, 0)</f>
        <v>Low Risk</v>
      </c>
    </row>
    <row r="2330" spans="1:14">
      <c r="A2330" s="2">
        <v>0.50010416666666668</v>
      </c>
      <c r="B2330" s="3">
        <v>44841</v>
      </c>
      <c r="C2330" s="1">
        <v>1388172926</v>
      </c>
      <c r="D2330" s="1">
        <v>7736276353</v>
      </c>
      <c r="E2330" s="1">
        <v>1465.18</v>
      </c>
      <c r="F2330" s="1" t="s">
        <v>12</v>
      </c>
      <c r="G2330" s="1" t="s">
        <v>26</v>
      </c>
      <c r="H2330" s="1" t="s">
        <v>13</v>
      </c>
      <c r="I2330" s="1" t="s">
        <v>13</v>
      </c>
      <c r="J2330" s="1" t="s">
        <v>25</v>
      </c>
      <c r="K2330" s="1">
        <v>0</v>
      </c>
      <c r="L2330" s="1" t="s">
        <v>21</v>
      </c>
      <c r="M2330" s="1" t="str">
        <f t="shared" si="36"/>
        <v>Potential Layering</v>
      </c>
      <c r="N2330" s="1" t="str">
        <f>_xlfn.XLOOKUP(H2330, risk_score!A:A, risk_score!B:B, 0)</f>
        <v>Low Risk</v>
      </c>
    </row>
    <row r="2331" spans="1:14">
      <c r="A2331" s="2">
        <v>0.50018518518518518</v>
      </c>
      <c r="B2331" s="3">
        <v>44841</v>
      </c>
      <c r="C2331" s="1">
        <v>4331853125</v>
      </c>
      <c r="D2331" s="1">
        <v>2939111542</v>
      </c>
      <c r="E2331" s="1">
        <v>18837.23</v>
      </c>
      <c r="F2331" s="1" t="s">
        <v>12</v>
      </c>
      <c r="G2331" s="1" t="s">
        <v>29</v>
      </c>
      <c r="H2331" s="1" t="s">
        <v>13</v>
      </c>
      <c r="I2331" s="1" t="s">
        <v>48</v>
      </c>
      <c r="J2331" s="1" t="s">
        <v>18</v>
      </c>
      <c r="K2331" s="1">
        <v>0</v>
      </c>
      <c r="L2331" s="1" t="s">
        <v>21</v>
      </c>
      <c r="M2331" s="1" t="str">
        <f t="shared" si="36"/>
        <v>Potential Layering</v>
      </c>
      <c r="N2331" s="1" t="str">
        <f>_xlfn.XLOOKUP(H2331, risk_score!A:A, risk_score!B:B, 0)</f>
        <v>Low Risk</v>
      </c>
    </row>
    <row r="2332" spans="1:14">
      <c r="A2332" s="2">
        <v>0.5002199074074074</v>
      </c>
      <c r="B2332" s="3">
        <v>44841</v>
      </c>
      <c r="C2332" s="1">
        <v>8746213790</v>
      </c>
      <c r="D2332" s="1">
        <v>1684541326</v>
      </c>
      <c r="E2332" s="1">
        <v>3072.33</v>
      </c>
      <c r="F2332" s="1" t="s">
        <v>12</v>
      </c>
      <c r="G2332" s="1" t="s">
        <v>12</v>
      </c>
      <c r="H2332" s="1" t="s">
        <v>13</v>
      </c>
      <c r="I2332" s="1" t="s">
        <v>13</v>
      </c>
      <c r="J2332" s="1" t="s">
        <v>27</v>
      </c>
      <c r="K2332" s="1">
        <v>0</v>
      </c>
      <c r="L2332" s="1" t="s">
        <v>21</v>
      </c>
      <c r="M2332" s="1" t="str">
        <f t="shared" si="36"/>
        <v>Consistent</v>
      </c>
      <c r="N2332" s="1" t="str">
        <f>_xlfn.XLOOKUP(H2332, risk_score!A:A, risk_score!B:B, 0)</f>
        <v>Low Risk</v>
      </c>
    </row>
    <row r="2333" spans="1:14">
      <c r="A2333" s="2">
        <v>0.50026620370370367</v>
      </c>
      <c r="B2333" s="3">
        <v>44841</v>
      </c>
      <c r="C2333" s="1">
        <v>8617561409</v>
      </c>
      <c r="D2333" s="1">
        <v>5107678457</v>
      </c>
      <c r="E2333" s="1">
        <v>432.16</v>
      </c>
      <c r="F2333" s="1" t="s">
        <v>32</v>
      </c>
      <c r="G2333" s="1" t="s">
        <v>34</v>
      </c>
      <c r="H2333" s="1" t="s">
        <v>13</v>
      </c>
      <c r="I2333" s="1" t="s">
        <v>35</v>
      </c>
      <c r="J2333" s="1" t="s">
        <v>18</v>
      </c>
      <c r="K2333" s="1">
        <v>0</v>
      </c>
      <c r="L2333" s="1" t="s">
        <v>21</v>
      </c>
      <c r="M2333" s="1" t="str">
        <f t="shared" si="36"/>
        <v>Potential Layering</v>
      </c>
      <c r="N2333" s="1" t="str">
        <f>_xlfn.XLOOKUP(H2333, risk_score!A:A, risk_score!B:B, 0)</f>
        <v>Low Risk</v>
      </c>
    </row>
    <row r="2334" spans="1:14">
      <c r="A2334" s="2">
        <v>0.50026620370370367</v>
      </c>
      <c r="B2334" s="3">
        <v>44841</v>
      </c>
      <c r="C2334" s="1">
        <v>5087590800</v>
      </c>
      <c r="D2334" s="1">
        <v>5157997094</v>
      </c>
      <c r="E2334" s="1">
        <v>1037.58</v>
      </c>
      <c r="F2334" s="1" t="s">
        <v>12</v>
      </c>
      <c r="G2334" s="1" t="s">
        <v>12</v>
      </c>
      <c r="H2334" s="1" t="s">
        <v>13</v>
      </c>
      <c r="I2334" s="1" t="s">
        <v>13</v>
      </c>
      <c r="J2334" s="1" t="s">
        <v>14</v>
      </c>
      <c r="K2334" s="1">
        <v>0</v>
      </c>
      <c r="L2334" s="1" t="s">
        <v>15</v>
      </c>
      <c r="M2334" s="1" t="str">
        <f t="shared" si="36"/>
        <v>Consistent</v>
      </c>
      <c r="N2334" s="1" t="str">
        <f>_xlfn.XLOOKUP(H2334, risk_score!A:A, risk_score!B:B, 0)</f>
        <v>Low Risk</v>
      </c>
    </row>
    <row r="2335" spans="1:14">
      <c r="A2335" s="2">
        <v>0.50027777777777782</v>
      </c>
      <c r="B2335" s="3">
        <v>44841</v>
      </c>
      <c r="C2335" s="1">
        <v>7544673935</v>
      </c>
      <c r="D2335" s="1">
        <v>5649105236</v>
      </c>
      <c r="E2335" s="1">
        <v>4427.3</v>
      </c>
      <c r="F2335" s="1" t="s">
        <v>12</v>
      </c>
      <c r="G2335" s="1" t="s">
        <v>12</v>
      </c>
      <c r="H2335" s="1" t="s">
        <v>13</v>
      </c>
      <c r="I2335" s="1" t="s">
        <v>13</v>
      </c>
      <c r="J2335" s="1" t="s">
        <v>14</v>
      </c>
      <c r="K2335" s="1">
        <v>0</v>
      </c>
      <c r="L2335" s="1" t="s">
        <v>15</v>
      </c>
      <c r="M2335" s="1" t="str">
        <f t="shared" si="36"/>
        <v>Consistent</v>
      </c>
      <c r="N2335" s="1" t="str">
        <f>_xlfn.XLOOKUP(H2335, risk_score!A:A, risk_score!B:B, 0)</f>
        <v>Low Risk</v>
      </c>
    </row>
    <row r="2336" spans="1:14">
      <c r="A2336" s="2">
        <v>0.5003009259259259</v>
      </c>
      <c r="B2336" s="3">
        <v>44841</v>
      </c>
      <c r="C2336" s="1">
        <v>9819086477</v>
      </c>
      <c r="D2336" s="1">
        <v>8719655191</v>
      </c>
      <c r="E2336" s="1">
        <v>2624.6</v>
      </c>
      <c r="F2336" s="1" t="s">
        <v>12</v>
      </c>
      <c r="G2336" s="1" t="s">
        <v>12</v>
      </c>
      <c r="H2336" s="1" t="s">
        <v>13</v>
      </c>
      <c r="I2336" s="1" t="s">
        <v>13</v>
      </c>
      <c r="J2336" s="1" t="s">
        <v>25</v>
      </c>
      <c r="K2336" s="1">
        <v>0</v>
      </c>
      <c r="L2336" s="1" t="s">
        <v>21</v>
      </c>
      <c r="M2336" s="1" t="str">
        <f t="shared" si="36"/>
        <v>Consistent</v>
      </c>
      <c r="N2336" s="1" t="str">
        <f>_xlfn.XLOOKUP(H2336, risk_score!A:A, risk_score!B:B, 0)</f>
        <v>Low Risk</v>
      </c>
    </row>
    <row r="2337" spans="1:14">
      <c r="A2337" s="2">
        <v>0.50031250000000005</v>
      </c>
      <c r="B2337" s="3">
        <v>44841</v>
      </c>
      <c r="C2337" s="1">
        <v>3168051873</v>
      </c>
      <c r="D2337" s="1">
        <v>9757535272</v>
      </c>
      <c r="E2337" s="1">
        <v>11291.62</v>
      </c>
      <c r="F2337" s="1" t="s">
        <v>12</v>
      </c>
      <c r="G2337" s="1" t="s">
        <v>12</v>
      </c>
      <c r="H2337" s="1" t="s">
        <v>13</v>
      </c>
      <c r="I2337" s="1" t="s">
        <v>13</v>
      </c>
      <c r="J2337" s="1" t="s">
        <v>27</v>
      </c>
      <c r="K2337" s="1">
        <v>0</v>
      </c>
      <c r="L2337" s="1" t="s">
        <v>19</v>
      </c>
      <c r="M2337" s="1" t="str">
        <f t="shared" si="36"/>
        <v>Consistent</v>
      </c>
      <c r="N2337" s="1" t="str">
        <f>_xlfn.XLOOKUP(H2337, risk_score!A:A, risk_score!B:B, 0)</f>
        <v>Low Risk</v>
      </c>
    </row>
    <row r="2338" spans="1:14">
      <c r="A2338" s="2">
        <v>0.50035879629629632</v>
      </c>
      <c r="B2338" s="3">
        <v>44841</v>
      </c>
      <c r="C2338" s="1">
        <v>8166392165</v>
      </c>
      <c r="D2338" s="1">
        <v>8006681784</v>
      </c>
      <c r="E2338" s="1">
        <v>5355.35</v>
      </c>
      <c r="F2338" s="1" t="s">
        <v>12</v>
      </c>
      <c r="G2338" s="1" t="s">
        <v>42</v>
      </c>
      <c r="H2338" s="1" t="s">
        <v>13</v>
      </c>
      <c r="I2338" s="1" t="s">
        <v>43</v>
      </c>
      <c r="J2338" s="1" t="s">
        <v>18</v>
      </c>
      <c r="K2338" s="1">
        <v>0</v>
      </c>
      <c r="L2338" s="1" t="s">
        <v>38</v>
      </c>
      <c r="M2338" s="1" t="str">
        <f t="shared" si="36"/>
        <v>Potential Layering</v>
      </c>
      <c r="N2338" s="1" t="str">
        <f>_xlfn.XLOOKUP(H2338, risk_score!A:A, risk_score!B:B, 0)</f>
        <v>Low Risk</v>
      </c>
    </row>
    <row r="2339" spans="1:14">
      <c r="A2339" s="2">
        <v>0.50040509259259258</v>
      </c>
      <c r="B2339" s="3">
        <v>44841</v>
      </c>
      <c r="C2339" s="1">
        <v>4092935105</v>
      </c>
      <c r="D2339" s="1">
        <v>6775802975</v>
      </c>
      <c r="E2339" s="1">
        <v>2971.63</v>
      </c>
      <c r="F2339" s="1" t="s">
        <v>12</v>
      </c>
      <c r="G2339" s="1" t="s">
        <v>12</v>
      </c>
      <c r="H2339" s="1" t="s">
        <v>13</v>
      </c>
      <c r="I2339" s="1" t="s">
        <v>13</v>
      </c>
      <c r="J2339" s="1" t="s">
        <v>22</v>
      </c>
      <c r="K2339" s="1">
        <v>0</v>
      </c>
      <c r="L2339" s="1" t="s">
        <v>21</v>
      </c>
      <c r="M2339" s="1" t="str">
        <f t="shared" si="36"/>
        <v>Consistent</v>
      </c>
      <c r="N2339" s="1" t="str">
        <f>_xlfn.XLOOKUP(H2339, risk_score!A:A, risk_score!B:B, 0)</f>
        <v>Low Risk</v>
      </c>
    </row>
    <row r="2340" spans="1:14">
      <c r="A2340" s="2">
        <v>0.50040509259259258</v>
      </c>
      <c r="B2340" s="3">
        <v>44841</v>
      </c>
      <c r="C2340" s="1">
        <v>2365007895</v>
      </c>
      <c r="D2340" s="1">
        <v>6618026760</v>
      </c>
      <c r="E2340" s="1">
        <v>12039.9</v>
      </c>
      <c r="F2340" s="1" t="s">
        <v>12</v>
      </c>
      <c r="G2340" s="1" t="s">
        <v>12</v>
      </c>
      <c r="H2340" s="1" t="s">
        <v>13</v>
      </c>
      <c r="I2340" s="1" t="s">
        <v>13</v>
      </c>
      <c r="J2340" s="1" t="s">
        <v>27</v>
      </c>
      <c r="K2340" s="1">
        <v>0</v>
      </c>
      <c r="L2340" s="1" t="s">
        <v>19</v>
      </c>
      <c r="M2340" s="1" t="str">
        <f t="shared" si="36"/>
        <v>Consistent</v>
      </c>
      <c r="N2340" s="1" t="str">
        <f>_xlfn.XLOOKUP(H2340, risk_score!A:A, risk_score!B:B, 0)</f>
        <v>Low Risk</v>
      </c>
    </row>
    <row r="2341" spans="1:14">
      <c r="A2341" s="2">
        <v>0.50041666666666662</v>
      </c>
      <c r="B2341" s="3">
        <v>44841</v>
      </c>
      <c r="C2341" s="1">
        <v>7239180502</v>
      </c>
      <c r="D2341" s="1">
        <v>8673917867</v>
      </c>
      <c r="E2341" s="1">
        <v>7109.09</v>
      </c>
      <c r="F2341" s="1" t="s">
        <v>12</v>
      </c>
      <c r="G2341" s="1" t="s">
        <v>12</v>
      </c>
      <c r="H2341" s="1" t="s">
        <v>13</v>
      </c>
      <c r="I2341" s="1" t="s">
        <v>13</v>
      </c>
      <c r="J2341" s="1" t="s">
        <v>27</v>
      </c>
      <c r="K2341" s="1">
        <v>0</v>
      </c>
      <c r="L2341" s="1" t="s">
        <v>23</v>
      </c>
      <c r="M2341" s="1" t="str">
        <f t="shared" si="36"/>
        <v>Consistent</v>
      </c>
      <c r="N2341" s="1" t="str">
        <f>_xlfn.XLOOKUP(H2341, risk_score!A:A, risk_score!B:B, 0)</f>
        <v>Low Risk</v>
      </c>
    </row>
    <row r="2342" spans="1:14">
      <c r="A2342" s="2">
        <v>0.50043981481481481</v>
      </c>
      <c r="B2342" s="3">
        <v>44841</v>
      </c>
      <c r="C2342" s="1">
        <v>3614082527</v>
      </c>
      <c r="D2342" s="1">
        <v>3099235880</v>
      </c>
      <c r="E2342" s="1">
        <v>8970.7199999999993</v>
      </c>
      <c r="F2342" s="1" t="s">
        <v>12</v>
      </c>
      <c r="G2342" s="1" t="s">
        <v>12</v>
      </c>
      <c r="H2342" s="1" t="s">
        <v>13</v>
      </c>
      <c r="I2342" s="1" t="s">
        <v>13</v>
      </c>
      <c r="J2342" s="1" t="s">
        <v>25</v>
      </c>
      <c r="K2342" s="1">
        <v>0</v>
      </c>
      <c r="L2342" s="1" t="s">
        <v>19</v>
      </c>
      <c r="M2342" s="1" t="str">
        <f t="shared" si="36"/>
        <v>Consistent</v>
      </c>
      <c r="N2342" s="1" t="str">
        <f>_xlfn.XLOOKUP(H2342, risk_score!A:A, risk_score!B:B, 0)</f>
        <v>Low Risk</v>
      </c>
    </row>
    <row r="2343" spans="1:14">
      <c r="A2343" s="2">
        <v>0.50045138888888885</v>
      </c>
      <c r="B2343" s="3">
        <v>44841</v>
      </c>
      <c r="C2343" s="1">
        <v>2002482587</v>
      </c>
      <c r="D2343" s="1">
        <v>6611479325</v>
      </c>
      <c r="E2343" s="1">
        <v>10915.73</v>
      </c>
      <c r="F2343" s="1" t="s">
        <v>12</v>
      </c>
      <c r="G2343" s="1" t="s">
        <v>12</v>
      </c>
      <c r="H2343" s="1" t="s">
        <v>13</v>
      </c>
      <c r="I2343" s="1" t="s">
        <v>13</v>
      </c>
      <c r="J2343" s="1" t="s">
        <v>20</v>
      </c>
      <c r="K2343" s="1">
        <v>0</v>
      </c>
      <c r="L2343" s="1" t="s">
        <v>21</v>
      </c>
      <c r="M2343" s="1" t="str">
        <f t="shared" si="36"/>
        <v>Consistent</v>
      </c>
      <c r="N2343" s="1" t="str">
        <f>_xlfn.XLOOKUP(H2343, risk_score!A:A, risk_score!B:B, 0)</f>
        <v>Low Risk</v>
      </c>
    </row>
    <row r="2344" spans="1:14">
      <c r="A2344" s="2">
        <v>0.500462962962963</v>
      </c>
      <c r="B2344" s="3">
        <v>44841</v>
      </c>
      <c r="C2344" s="1">
        <v>3112884770</v>
      </c>
      <c r="D2344" s="1">
        <v>8907367612</v>
      </c>
      <c r="E2344" s="1">
        <v>1956.97</v>
      </c>
      <c r="F2344" s="1" t="s">
        <v>12</v>
      </c>
      <c r="G2344" s="1" t="s">
        <v>12</v>
      </c>
      <c r="H2344" s="1" t="s">
        <v>13</v>
      </c>
      <c r="I2344" s="1" t="s">
        <v>13</v>
      </c>
      <c r="J2344" s="1" t="s">
        <v>22</v>
      </c>
      <c r="K2344" s="1">
        <v>0</v>
      </c>
      <c r="L2344" s="1" t="s">
        <v>21</v>
      </c>
      <c r="M2344" s="1" t="str">
        <f t="shared" si="36"/>
        <v>Consistent</v>
      </c>
      <c r="N2344" s="1" t="str">
        <f>_xlfn.XLOOKUP(H2344, risk_score!A:A, risk_score!B:B, 0)</f>
        <v>Low Risk</v>
      </c>
    </row>
    <row r="2345" spans="1:14">
      <c r="A2345" s="2">
        <v>0.50047453703703704</v>
      </c>
      <c r="B2345" s="3">
        <v>44841</v>
      </c>
      <c r="C2345" s="1">
        <v>675669049</v>
      </c>
      <c r="D2345" s="1">
        <v>1567400421</v>
      </c>
      <c r="E2345" s="1">
        <v>8894.61</v>
      </c>
      <c r="F2345" s="1" t="s">
        <v>12</v>
      </c>
      <c r="G2345" s="1" t="s">
        <v>12</v>
      </c>
      <c r="H2345" s="1" t="s">
        <v>13</v>
      </c>
      <c r="I2345" s="1" t="s">
        <v>13</v>
      </c>
      <c r="J2345" s="1" t="s">
        <v>25</v>
      </c>
      <c r="K2345" s="1">
        <v>0</v>
      </c>
      <c r="L2345" s="1" t="s">
        <v>19</v>
      </c>
      <c r="M2345" s="1" t="str">
        <f t="shared" si="36"/>
        <v>Consistent</v>
      </c>
      <c r="N2345" s="1" t="str">
        <f>_xlfn.XLOOKUP(H2345, risk_score!A:A, risk_score!B:B, 0)</f>
        <v>Low Risk</v>
      </c>
    </row>
    <row r="2346" spans="1:14">
      <c r="A2346" s="2">
        <v>0.50047453703703704</v>
      </c>
      <c r="B2346" s="3">
        <v>44841</v>
      </c>
      <c r="C2346" s="1">
        <v>3709430533</v>
      </c>
      <c r="D2346" s="1">
        <v>7543250720</v>
      </c>
      <c r="E2346" s="1">
        <v>6830.42</v>
      </c>
      <c r="F2346" s="1" t="s">
        <v>12</v>
      </c>
      <c r="G2346" s="1" t="s">
        <v>12</v>
      </c>
      <c r="H2346" s="1" t="s">
        <v>13</v>
      </c>
      <c r="I2346" s="1" t="s">
        <v>13</v>
      </c>
      <c r="J2346" s="1" t="s">
        <v>20</v>
      </c>
      <c r="K2346" s="1">
        <v>0</v>
      </c>
      <c r="L2346" s="1" t="s">
        <v>19</v>
      </c>
      <c r="M2346" s="1" t="str">
        <f t="shared" si="36"/>
        <v>Consistent</v>
      </c>
      <c r="N2346" s="1" t="str">
        <f>_xlfn.XLOOKUP(H2346, risk_score!A:A, risk_score!B:B, 0)</f>
        <v>Low Risk</v>
      </c>
    </row>
    <row r="2347" spans="1:14">
      <c r="A2347" s="2">
        <v>0.50050925925925926</v>
      </c>
      <c r="B2347" s="3">
        <v>44841</v>
      </c>
      <c r="C2347" s="1">
        <v>3981260199</v>
      </c>
      <c r="D2347" s="1">
        <v>5363117119</v>
      </c>
      <c r="E2347" s="1">
        <v>18008.13</v>
      </c>
      <c r="F2347" s="1" t="s">
        <v>12</v>
      </c>
      <c r="G2347" s="1" t="s">
        <v>44</v>
      </c>
      <c r="H2347" s="1" t="s">
        <v>13</v>
      </c>
      <c r="I2347" s="1" t="s">
        <v>13</v>
      </c>
      <c r="J2347" s="1" t="s">
        <v>20</v>
      </c>
      <c r="K2347" s="1">
        <v>0</v>
      </c>
      <c r="L2347" s="1" t="s">
        <v>23</v>
      </c>
      <c r="M2347" s="1" t="str">
        <f t="shared" si="36"/>
        <v>Potential Layering</v>
      </c>
      <c r="N2347" s="1" t="str">
        <f>_xlfn.XLOOKUP(H2347, risk_score!A:A, risk_score!B:B, 0)</f>
        <v>Low Risk</v>
      </c>
    </row>
    <row r="2348" spans="1:14">
      <c r="A2348" s="2">
        <v>0.50056712962962968</v>
      </c>
      <c r="B2348" s="3">
        <v>44841</v>
      </c>
      <c r="C2348" s="1">
        <v>3510078932</v>
      </c>
      <c r="D2348" s="1">
        <v>9059301099</v>
      </c>
      <c r="E2348" s="1">
        <v>8421.2199999999993</v>
      </c>
      <c r="F2348" s="1" t="s">
        <v>12</v>
      </c>
      <c r="G2348" s="1" t="s">
        <v>12</v>
      </c>
      <c r="H2348" s="1" t="s">
        <v>13</v>
      </c>
      <c r="I2348" s="1" t="s">
        <v>13</v>
      </c>
      <c r="J2348" s="1" t="s">
        <v>20</v>
      </c>
      <c r="K2348" s="1">
        <v>0</v>
      </c>
      <c r="L2348" s="1" t="s">
        <v>19</v>
      </c>
      <c r="M2348" s="1" t="str">
        <f t="shared" si="36"/>
        <v>Consistent</v>
      </c>
      <c r="N2348" s="1" t="str">
        <f>_xlfn.XLOOKUP(H2348, risk_score!A:A, risk_score!B:B, 0)</f>
        <v>Low Risk</v>
      </c>
    </row>
    <row r="2349" spans="1:14">
      <c r="A2349" s="2">
        <v>0.50061342592592595</v>
      </c>
      <c r="B2349" s="3">
        <v>44841</v>
      </c>
      <c r="C2349" s="1">
        <v>6032005546</v>
      </c>
      <c r="D2349" s="1">
        <v>6444220418</v>
      </c>
      <c r="E2349" s="1">
        <v>20301.88</v>
      </c>
      <c r="F2349" s="1" t="s">
        <v>12</v>
      </c>
      <c r="G2349" s="1" t="s">
        <v>12</v>
      </c>
      <c r="H2349" s="1" t="s">
        <v>13</v>
      </c>
      <c r="I2349" s="1" t="s">
        <v>13</v>
      </c>
      <c r="J2349" s="1" t="s">
        <v>20</v>
      </c>
      <c r="K2349" s="1">
        <v>0</v>
      </c>
      <c r="L2349" s="1" t="s">
        <v>23</v>
      </c>
      <c r="M2349" s="1" t="str">
        <f t="shared" si="36"/>
        <v>Consistent</v>
      </c>
      <c r="N2349" s="1" t="str">
        <f>_xlfn.XLOOKUP(H2349, risk_score!A:A, risk_score!B:B, 0)</f>
        <v>Low Risk</v>
      </c>
    </row>
    <row r="2350" spans="1:14">
      <c r="A2350" s="2">
        <v>0.50062499999999999</v>
      </c>
      <c r="B2350" s="3">
        <v>44841</v>
      </c>
      <c r="C2350" s="1">
        <v>5179099063</v>
      </c>
      <c r="D2350" s="1">
        <v>5689707346</v>
      </c>
      <c r="E2350" s="1">
        <v>6589.32</v>
      </c>
      <c r="F2350" s="1" t="s">
        <v>12</v>
      </c>
      <c r="G2350" s="1" t="s">
        <v>12</v>
      </c>
      <c r="H2350" s="1" t="s">
        <v>13</v>
      </c>
      <c r="I2350" s="1" t="s">
        <v>13</v>
      </c>
      <c r="J2350" s="1" t="s">
        <v>22</v>
      </c>
      <c r="K2350" s="1">
        <v>0</v>
      </c>
      <c r="L2350" s="1" t="s">
        <v>21</v>
      </c>
      <c r="M2350" s="1" t="str">
        <f t="shared" si="36"/>
        <v>Consistent</v>
      </c>
      <c r="N2350" s="1" t="str">
        <f>_xlfn.XLOOKUP(H2350, risk_score!A:A, risk_score!B:B, 0)</f>
        <v>Low Risk</v>
      </c>
    </row>
    <row r="2351" spans="1:14">
      <c r="A2351" s="2">
        <v>0.50063657407407403</v>
      </c>
      <c r="B2351" s="3">
        <v>44841</v>
      </c>
      <c r="C2351" s="1">
        <v>6916264887</v>
      </c>
      <c r="D2351" s="1">
        <v>6953672776</v>
      </c>
      <c r="E2351" s="1">
        <v>6568.91</v>
      </c>
      <c r="F2351" s="1" t="s">
        <v>12</v>
      </c>
      <c r="G2351" s="1" t="s">
        <v>34</v>
      </c>
      <c r="H2351" s="1" t="s">
        <v>13</v>
      </c>
      <c r="I2351" s="1" t="s">
        <v>35</v>
      </c>
      <c r="J2351" s="1" t="s">
        <v>18</v>
      </c>
      <c r="K2351" s="1">
        <v>0</v>
      </c>
      <c r="L2351" s="1" t="s">
        <v>23</v>
      </c>
      <c r="M2351" s="1" t="str">
        <f t="shared" si="36"/>
        <v>Potential Layering</v>
      </c>
      <c r="N2351" s="1" t="str">
        <f>_xlfn.XLOOKUP(H2351, risk_score!A:A, risk_score!B:B, 0)</f>
        <v>Low Risk</v>
      </c>
    </row>
    <row r="2352" spans="1:14">
      <c r="A2352" s="2">
        <v>0.50067129629629625</v>
      </c>
      <c r="B2352" s="3">
        <v>44841</v>
      </c>
      <c r="C2352" s="1">
        <v>5868277189</v>
      </c>
      <c r="D2352" s="1">
        <v>4621276676</v>
      </c>
      <c r="E2352" s="1">
        <v>14046.72</v>
      </c>
      <c r="F2352" s="1" t="s">
        <v>12</v>
      </c>
      <c r="G2352" s="1" t="s">
        <v>12</v>
      </c>
      <c r="H2352" s="1" t="s">
        <v>13</v>
      </c>
      <c r="I2352" s="1" t="s">
        <v>13</v>
      </c>
      <c r="J2352" s="1" t="s">
        <v>22</v>
      </c>
      <c r="K2352" s="1">
        <v>0</v>
      </c>
      <c r="L2352" s="1" t="s">
        <v>24</v>
      </c>
      <c r="M2352" s="1" t="str">
        <f t="shared" si="36"/>
        <v>Consistent</v>
      </c>
      <c r="N2352" s="1" t="str">
        <f>_xlfn.XLOOKUP(H2352, risk_score!A:A, risk_score!B:B, 0)</f>
        <v>Low Risk</v>
      </c>
    </row>
    <row r="2353" spans="1:14">
      <c r="A2353" s="2">
        <v>0.50069444444444444</v>
      </c>
      <c r="B2353" s="3">
        <v>44841</v>
      </c>
      <c r="C2353" s="1">
        <v>2752671696</v>
      </c>
      <c r="D2353" s="1">
        <v>7710315345</v>
      </c>
      <c r="E2353" s="1">
        <v>477.72</v>
      </c>
      <c r="F2353" s="1" t="s">
        <v>12</v>
      </c>
      <c r="G2353" s="1" t="s">
        <v>12</v>
      </c>
      <c r="H2353" s="1" t="s">
        <v>13</v>
      </c>
      <c r="I2353" s="1" t="s">
        <v>13</v>
      </c>
      <c r="J2353" s="1" t="s">
        <v>22</v>
      </c>
      <c r="K2353" s="1">
        <v>0</v>
      </c>
      <c r="L2353" s="1" t="s">
        <v>21</v>
      </c>
      <c r="M2353" s="1" t="str">
        <f t="shared" si="36"/>
        <v>Consistent</v>
      </c>
      <c r="N2353" s="1" t="str">
        <f>_xlfn.XLOOKUP(H2353, risk_score!A:A, risk_score!B:B, 0)</f>
        <v>Low Risk</v>
      </c>
    </row>
    <row r="2354" spans="1:14">
      <c r="A2354" s="2">
        <v>0.50071759259259263</v>
      </c>
      <c r="B2354" s="3">
        <v>44841</v>
      </c>
      <c r="C2354" s="1">
        <v>5020435831</v>
      </c>
      <c r="D2354" s="1">
        <v>830689913</v>
      </c>
      <c r="E2354" s="1">
        <v>2814.52</v>
      </c>
      <c r="F2354" s="1" t="s">
        <v>12</v>
      </c>
      <c r="G2354" s="1" t="s">
        <v>12</v>
      </c>
      <c r="H2354" s="1" t="s">
        <v>13</v>
      </c>
      <c r="I2354" s="1" t="s">
        <v>13</v>
      </c>
      <c r="J2354" s="1" t="s">
        <v>22</v>
      </c>
      <c r="K2354" s="1">
        <v>0</v>
      </c>
      <c r="L2354" s="1" t="s">
        <v>21</v>
      </c>
      <c r="M2354" s="1" t="str">
        <f t="shared" si="36"/>
        <v>Consistent</v>
      </c>
      <c r="N2354" s="1" t="str">
        <f>_xlfn.XLOOKUP(H2354, risk_score!A:A, risk_score!B:B, 0)</f>
        <v>Low Risk</v>
      </c>
    </row>
    <row r="2355" spans="1:14">
      <c r="A2355" s="2">
        <v>0.50071759259259263</v>
      </c>
      <c r="B2355" s="3">
        <v>44841</v>
      </c>
      <c r="C2355" s="1">
        <v>7421451752</v>
      </c>
      <c r="D2355" s="1">
        <v>3557538160</v>
      </c>
      <c r="E2355" s="1">
        <v>4263.6099999999997</v>
      </c>
      <c r="F2355" s="1" t="s">
        <v>12</v>
      </c>
      <c r="G2355" s="1" t="s">
        <v>12</v>
      </c>
      <c r="H2355" s="1" t="s">
        <v>13</v>
      </c>
      <c r="I2355" s="1" t="s">
        <v>13</v>
      </c>
      <c r="J2355" s="1" t="s">
        <v>25</v>
      </c>
      <c r="K2355" s="1">
        <v>0</v>
      </c>
      <c r="L2355" s="1" t="s">
        <v>19</v>
      </c>
      <c r="M2355" s="1" t="str">
        <f t="shared" si="36"/>
        <v>Consistent</v>
      </c>
      <c r="N2355" s="1" t="str">
        <f>_xlfn.XLOOKUP(H2355, risk_score!A:A, risk_score!B:B, 0)</f>
        <v>Low Risk</v>
      </c>
    </row>
    <row r="2356" spans="1:14">
      <c r="A2356" s="2">
        <v>0.50071759259259263</v>
      </c>
      <c r="B2356" s="3">
        <v>44841</v>
      </c>
      <c r="C2356" s="1">
        <v>1630883469</v>
      </c>
      <c r="D2356" s="1">
        <v>9600420220</v>
      </c>
      <c r="E2356" s="1">
        <v>11376.58</v>
      </c>
      <c r="F2356" s="1" t="s">
        <v>12</v>
      </c>
      <c r="G2356" s="1" t="s">
        <v>12</v>
      </c>
      <c r="H2356" s="1" t="s">
        <v>13</v>
      </c>
      <c r="I2356" s="1" t="s">
        <v>13</v>
      </c>
      <c r="J2356" s="1" t="s">
        <v>20</v>
      </c>
      <c r="K2356" s="1">
        <v>0</v>
      </c>
      <c r="L2356" s="1" t="s">
        <v>23</v>
      </c>
      <c r="M2356" s="1" t="str">
        <f t="shared" si="36"/>
        <v>Consistent</v>
      </c>
      <c r="N2356" s="1" t="str">
        <f>_xlfn.XLOOKUP(H2356, risk_score!A:A, risk_score!B:B, 0)</f>
        <v>Low Risk</v>
      </c>
    </row>
    <row r="2357" spans="1:14">
      <c r="A2357" s="2">
        <v>0.50077546296296294</v>
      </c>
      <c r="B2357" s="3">
        <v>44841</v>
      </c>
      <c r="C2357" s="1">
        <v>6641810024</v>
      </c>
      <c r="D2357" s="1">
        <v>3243012742</v>
      </c>
      <c r="E2357" s="1">
        <v>10971.68</v>
      </c>
      <c r="F2357" s="1" t="s">
        <v>12</v>
      </c>
      <c r="G2357" s="1" t="s">
        <v>12</v>
      </c>
      <c r="H2357" s="1" t="s">
        <v>13</v>
      </c>
      <c r="I2357" s="1" t="s">
        <v>13</v>
      </c>
      <c r="J2357" s="1" t="s">
        <v>25</v>
      </c>
      <c r="K2357" s="1">
        <v>0</v>
      </c>
      <c r="L2357" s="1" t="s">
        <v>21</v>
      </c>
      <c r="M2357" s="1" t="str">
        <f t="shared" si="36"/>
        <v>Consistent</v>
      </c>
      <c r="N2357" s="1" t="str">
        <f>_xlfn.XLOOKUP(H2357, risk_score!A:A, risk_score!B:B, 0)</f>
        <v>Low Risk</v>
      </c>
    </row>
    <row r="2358" spans="1:14">
      <c r="A2358" s="2">
        <v>0.50085648148148143</v>
      </c>
      <c r="B2358" s="3">
        <v>44841</v>
      </c>
      <c r="C2358" s="1">
        <v>3109776919</v>
      </c>
      <c r="D2358" s="1">
        <v>5858369125</v>
      </c>
      <c r="E2358" s="1">
        <v>4482.1099999999997</v>
      </c>
      <c r="F2358" s="1" t="s">
        <v>12</v>
      </c>
      <c r="G2358" s="1" t="s">
        <v>12</v>
      </c>
      <c r="H2358" s="1" t="s">
        <v>13</v>
      </c>
      <c r="I2358" s="1" t="s">
        <v>13</v>
      </c>
      <c r="J2358" s="1" t="s">
        <v>20</v>
      </c>
      <c r="K2358" s="1">
        <v>0</v>
      </c>
      <c r="L2358" s="1" t="s">
        <v>23</v>
      </c>
      <c r="M2358" s="1" t="str">
        <f t="shared" si="36"/>
        <v>Consistent</v>
      </c>
      <c r="N2358" s="1" t="str">
        <f>_xlfn.XLOOKUP(H2358, risk_score!A:A, risk_score!B:B, 0)</f>
        <v>Low Risk</v>
      </c>
    </row>
    <row r="2359" spans="1:14">
      <c r="A2359" s="2">
        <v>0.50089120370370366</v>
      </c>
      <c r="B2359" s="3">
        <v>44841</v>
      </c>
      <c r="C2359" s="1">
        <v>1378784400</v>
      </c>
      <c r="D2359" s="1">
        <v>1672094971</v>
      </c>
      <c r="E2359" s="1">
        <v>8940.82</v>
      </c>
      <c r="F2359" s="1" t="s">
        <v>12</v>
      </c>
      <c r="G2359" s="1" t="s">
        <v>12</v>
      </c>
      <c r="H2359" s="1" t="s">
        <v>13</v>
      </c>
      <c r="I2359" s="1" t="s">
        <v>13</v>
      </c>
      <c r="J2359" s="1" t="s">
        <v>27</v>
      </c>
      <c r="K2359" s="1">
        <v>0</v>
      </c>
      <c r="L2359" s="1" t="s">
        <v>19</v>
      </c>
      <c r="M2359" s="1" t="str">
        <f t="shared" si="36"/>
        <v>Consistent</v>
      </c>
      <c r="N2359" s="1" t="str">
        <f>_xlfn.XLOOKUP(H2359, risk_score!A:A, risk_score!B:B, 0)</f>
        <v>Low Risk</v>
      </c>
    </row>
    <row r="2360" spans="1:14">
      <c r="A2360" s="2">
        <v>0.5009837962962963</v>
      </c>
      <c r="B2360" s="3">
        <v>44841</v>
      </c>
      <c r="C2360" s="1">
        <v>8952177221</v>
      </c>
      <c r="D2360" s="1">
        <v>3031188286</v>
      </c>
      <c r="E2360" s="1">
        <v>11755.12</v>
      </c>
      <c r="F2360" s="1" t="s">
        <v>12</v>
      </c>
      <c r="G2360" s="1" t="s">
        <v>12</v>
      </c>
      <c r="H2360" s="1" t="s">
        <v>13</v>
      </c>
      <c r="I2360" s="1" t="s">
        <v>13</v>
      </c>
      <c r="J2360" s="1" t="s">
        <v>20</v>
      </c>
      <c r="K2360" s="1">
        <v>0</v>
      </c>
      <c r="L2360" s="1" t="s">
        <v>19</v>
      </c>
      <c r="M2360" s="1" t="str">
        <f t="shared" si="36"/>
        <v>Consistent</v>
      </c>
      <c r="N2360" s="1" t="str">
        <f>_xlfn.XLOOKUP(H2360, risk_score!A:A, risk_score!B:B, 0)</f>
        <v>Low Risk</v>
      </c>
    </row>
    <row r="2361" spans="1:14">
      <c r="A2361" s="2">
        <v>0.50099537037037034</v>
      </c>
      <c r="B2361" s="3">
        <v>44841</v>
      </c>
      <c r="C2361" s="1">
        <v>2264729898</v>
      </c>
      <c r="D2361" s="1">
        <v>5478888585</v>
      </c>
      <c r="E2361" s="1">
        <v>289536.71000000002</v>
      </c>
      <c r="F2361" s="1" t="s">
        <v>12</v>
      </c>
      <c r="G2361" s="1" t="s">
        <v>12</v>
      </c>
      <c r="H2361" s="1" t="s">
        <v>13</v>
      </c>
      <c r="I2361" s="1" t="s">
        <v>13</v>
      </c>
      <c r="J2361" s="1" t="s">
        <v>20</v>
      </c>
      <c r="K2361" s="1">
        <v>0</v>
      </c>
      <c r="L2361" s="1" t="s">
        <v>58</v>
      </c>
      <c r="M2361" s="1" t="str">
        <f t="shared" si="36"/>
        <v>Consistent</v>
      </c>
      <c r="N2361" s="1" t="str">
        <f>_xlfn.XLOOKUP(H2361, risk_score!A:A, risk_score!B:B, 0)</f>
        <v>Low Risk</v>
      </c>
    </row>
    <row r="2362" spans="1:14">
      <c r="A2362" s="2">
        <v>0.50108796296296299</v>
      </c>
      <c r="B2362" s="3">
        <v>44841</v>
      </c>
      <c r="C2362" s="1">
        <v>3844336299</v>
      </c>
      <c r="D2362" s="1">
        <v>7160736915</v>
      </c>
      <c r="E2362" s="1">
        <v>11091.52</v>
      </c>
      <c r="F2362" s="1" t="s">
        <v>12</v>
      </c>
      <c r="G2362" s="1" t="s">
        <v>12</v>
      </c>
      <c r="H2362" s="1" t="s">
        <v>13</v>
      </c>
      <c r="I2362" s="1" t="s">
        <v>13</v>
      </c>
      <c r="J2362" s="1" t="s">
        <v>25</v>
      </c>
      <c r="K2362" s="1">
        <v>0</v>
      </c>
      <c r="L2362" s="1" t="s">
        <v>23</v>
      </c>
      <c r="M2362" s="1" t="str">
        <f t="shared" si="36"/>
        <v>Consistent</v>
      </c>
      <c r="N2362" s="1" t="str">
        <f>_xlfn.XLOOKUP(H2362, risk_score!A:A, risk_score!B:B, 0)</f>
        <v>Low Risk</v>
      </c>
    </row>
    <row r="2363" spans="1:14">
      <c r="A2363" s="2">
        <v>0.50112268518518521</v>
      </c>
      <c r="B2363" s="3">
        <v>44841</v>
      </c>
      <c r="C2363" s="1">
        <v>5982914936</v>
      </c>
      <c r="D2363" s="1">
        <v>5903480509</v>
      </c>
      <c r="E2363" s="1">
        <v>7911.36</v>
      </c>
      <c r="F2363" s="1" t="s">
        <v>12</v>
      </c>
      <c r="G2363" s="1" t="s">
        <v>29</v>
      </c>
      <c r="H2363" s="1" t="s">
        <v>13</v>
      </c>
      <c r="I2363" s="1" t="s">
        <v>48</v>
      </c>
      <c r="J2363" s="1" t="s">
        <v>18</v>
      </c>
      <c r="K2363" s="1">
        <v>0</v>
      </c>
      <c r="L2363" s="1" t="s">
        <v>19</v>
      </c>
      <c r="M2363" s="1" t="str">
        <f t="shared" si="36"/>
        <v>Potential Layering</v>
      </c>
      <c r="N2363" s="1" t="str">
        <f>_xlfn.XLOOKUP(H2363, risk_score!A:A, risk_score!B:B, 0)</f>
        <v>Low Risk</v>
      </c>
    </row>
    <row r="2364" spans="1:14">
      <c r="A2364" s="2">
        <v>0.50113425925925925</v>
      </c>
      <c r="B2364" s="3">
        <v>44841</v>
      </c>
      <c r="C2364" s="1">
        <v>2295065694</v>
      </c>
      <c r="D2364" s="1">
        <v>2640873257</v>
      </c>
      <c r="E2364" s="1">
        <v>374.72</v>
      </c>
      <c r="F2364" s="1" t="s">
        <v>12</v>
      </c>
      <c r="G2364" s="1" t="s">
        <v>12</v>
      </c>
      <c r="H2364" s="1" t="s">
        <v>13</v>
      </c>
      <c r="I2364" s="1" t="s">
        <v>13</v>
      </c>
      <c r="J2364" s="1" t="s">
        <v>20</v>
      </c>
      <c r="K2364" s="1">
        <v>0</v>
      </c>
      <c r="L2364" s="1" t="s">
        <v>21</v>
      </c>
      <c r="M2364" s="1" t="str">
        <f t="shared" si="36"/>
        <v>Consistent</v>
      </c>
      <c r="N2364" s="1" t="str">
        <f>_xlfn.XLOOKUP(H2364, risk_score!A:A, risk_score!B:B, 0)</f>
        <v>Low Risk</v>
      </c>
    </row>
    <row r="2365" spans="1:14">
      <c r="A2365" s="2">
        <v>0.50113425925925925</v>
      </c>
      <c r="B2365" s="3">
        <v>44841</v>
      </c>
      <c r="C2365" s="1">
        <v>5811105590</v>
      </c>
      <c r="D2365" s="1">
        <v>7433240186</v>
      </c>
      <c r="E2365" s="1">
        <v>5297.79</v>
      </c>
      <c r="F2365" s="1" t="s">
        <v>12</v>
      </c>
      <c r="G2365" s="1" t="s">
        <v>12</v>
      </c>
      <c r="H2365" s="1" t="s">
        <v>13</v>
      </c>
      <c r="I2365" s="1" t="s">
        <v>13</v>
      </c>
      <c r="J2365" s="1" t="s">
        <v>25</v>
      </c>
      <c r="K2365" s="1">
        <v>0</v>
      </c>
      <c r="L2365" s="1" t="s">
        <v>38</v>
      </c>
      <c r="M2365" s="1" t="str">
        <f t="shared" si="36"/>
        <v>Consistent</v>
      </c>
      <c r="N2365" s="1" t="str">
        <f>_xlfn.XLOOKUP(H2365, risk_score!A:A, risk_score!B:B, 0)</f>
        <v>Low Risk</v>
      </c>
    </row>
    <row r="2366" spans="1:14">
      <c r="A2366" s="2">
        <v>0.50115740740740744</v>
      </c>
      <c r="B2366" s="3">
        <v>44841</v>
      </c>
      <c r="C2366" s="1">
        <v>544228479</v>
      </c>
      <c r="D2366" s="1">
        <v>954323465</v>
      </c>
      <c r="E2366" s="1">
        <v>485.41</v>
      </c>
      <c r="F2366" s="1" t="s">
        <v>12</v>
      </c>
      <c r="G2366" s="1" t="s">
        <v>12</v>
      </c>
      <c r="H2366" s="1" t="s">
        <v>13</v>
      </c>
      <c r="I2366" s="1" t="s">
        <v>13</v>
      </c>
      <c r="J2366" s="1" t="s">
        <v>20</v>
      </c>
      <c r="K2366" s="1">
        <v>0</v>
      </c>
      <c r="L2366" s="1" t="s">
        <v>21</v>
      </c>
      <c r="M2366" s="1" t="str">
        <f t="shared" si="36"/>
        <v>Consistent</v>
      </c>
      <c r="N2366" s="1" t="str">
        <f>_xlfn.XLOOKUP(H2366, risk_score!A:A, risk_score!B:B, 0)</f>
        <v>Low Risk</v>
      </c>
    </row>
    <row r="2367" spans="1:14">
      <c r="A2367" s="2">
        <v>0.50116898148148148</v>
      </c>
      <c r="B2367" s="3">
        <v>44841</v>
      </c>
      <c r="C2367" s="1">
        <v>6666902743</v>
      </c>
      <c r="D2367" s="1">
        <v>1414709830</v>
      </c>
      <c r="E2367" s="1">
        <v>38.409999999999997</v>
      </c>
      <c r="F2367" s="1" t="s">
        <v>12</v>
      </c>
      <c r="G2367" s="1" t="s">
        <v>12</v>
      </c>
      <c r="H2367" s="1" t="s">
        <v>13</v>
      </c>
      <c r="I2367" s="1" t="s">
        <v>13</v>
      </c>
      <c r="J2367" s="1" t="s">
        <v>20</v>
      </c>
      <c r="K2367" s="1">
        <v>0</v>
      </c>
      <c r="L2367" s="1" t="s">
        <v>21</v>
      </c>
      <c r="M2367" s="1" t="str">
        <f t="shared" si="36"/>
        <v>Consistent</v>
      </c>
      <c r="N2367" s="1" t="str">
        <f>_xlfn.XLOOKUP(H2367, risk_score!A:A, risk_score!B:B, 0)</f>
        <v>Low Risk</v>
      </c>
    </row>
    <row r="2368" spans="1:14">
      <c r="A2368" s="2">
        <v>0.50123842592592593</v>
      </c>
      <c r="B2368" s="3">
        <v>44841</v>
      </c>
      <c r="C2368" s="1">
        <v>8386786616</v>
      </c>
      <c r="D2368" s="1">
        <v>364288862</v>
      </c>
      <c r="E2368" s="1">
        <v>1878.63</v>
      </c>
      <c r="F2368" s="1" t="s">
        <v>12</v>
      </c>
      <c r="G2368" s="1" t="s">
        <v>12</v>
      </c>
      <c r="H2368" s="1" t="s">
        <v>13</v>
      </c>
      <c r="I2368" s="1" t="s">
        <v>13</v>
      </c>
      <c r="J2368" s="1" t="s">
        <v>25</v>
      </c>
      <c r="K2368" s="1">
        <v>0</v>
      </c>
      <c r="L2368" s="1" t="s">
        <v>21</v>
      </c>
      <c r="M2368" s="1" t="str">
        <f t="shared" si="36"/>
        <v>Consistent</v>
      </c>
      <c r="N2368" s="1" t="str">
        <f>_xlfn.XLOOKUP(H2368, risk_score!A:A, risk_score!B:B, 0)</f>
        <v>Low Risk</v>
      </c>
    </row>
    <row r="2369" spans="1:14">
      <c r="A2369" s="2">
        <v>0.50123842592592593</v>
      </c>
      <c r="B2369" s="3">
        <v>44841</v>
      </c>
      <c r="C2369" s="1">
        <v>6145220289</v>
      </c>
      <c r="D2369" s="1">
        <v>8569263421</v>
      </c>
      <c r="E2369" s="1">
        <v>4858.7700000000004</v>
      </c>
      <c r="F2369" s="1" t="s">
        <v>12</v>
      </c>
      <c r="G2369" s="1" t="s">
        <v>12</v>
      </c>
      <c r="H2369" s="1" t="s">
        <v>13</v>
      </c>
      <c r="I2369" s="1" t="s">
        <v>13</v>
      </c>
      <c r="J2369" s="1" t="s">
        <v>22</v>
      </c>
      <c r="K2369" s="1">
        <v>0</v>
      </c>
      <c r="L2369" s="1" t="s">
        <v>21</v>
      </c>
      <c r="M2369" s="1" t="str">
        <f t="shared" si="36"/>
        <v>Consistent</v>
      </c>
      <c r="N2369" s="1" t="str">
        <f>_xlfn.XLOOKUP(H2369, risk_score!A:A, risk_score!B:B, 0)</f>
        <v>Low Risk</v>
      </c>
    </row>
    <row r="2370" spans="1:14">
      <c r="A2370" s="2">
        <v>0.50123842592592593</v>
      </c>
      <c r="B2370" s="3">
        <v>44841</v>
      </c>
      <c r="C2370" s="1">
        <v>2797271466</v>
      </c>
      <c r="D2370" s="1">
        <v>7981094247</v>
      </c>
      <c r="E2370" s="1">
        <v>7586</v>
      </c>
      <c r="F2370" s="1" t="s">
        <v>12</v>
      </c>
      <c r="G2370" s="1" t="s">
        <v>12</v>
      </c>
      <c r="H2370" s="1" t="s">
        <v>13</v>
      </c>
      <c r="I2370" s="1" t="s">
        <v>13</v>
      </c>
      <c r="J2370" s="1" t="s">
        <v>22</v>
      </c>
      <c r="K2370" s="1">
        <v>0</v>
      </c>
      <c r="L2370" s="1" t="s">
        <v>19</v>
      </c>
      <c r="M2370" s="1" t="str">
        <f t="shared" si="36"/>
        <v>Consistent</v>
      </c>
      <c r="N2370" s="1" t="str">
        <f>_xlfn.XLOOKUP(H2370, risk_score!A:A, risk_score!B:B, 0)</f>
        <v>Low Risk</v>
      </c>
    </row>
    <row r="2371" spans="1:14">
      <c r="A2371" s="2">
        <v>0.50124999999999997</v>
      </c>
      <c r="B2371" s="3">
        <v>44841</v>
      </c>
      <c r="C2371" s="1">
        <v>2020824487</v>
      </c>
      <c r="D2371" s="1">
        <v>2170654464</v>
      </c>
      <c r="E2371" s="1">
        <v>3828.34</v>
      </c>
      <c r="F2371" s="1" t="s">
        <v>12</v>
      </c>
      <c r="G2371" s="1" t="s">
        <v>12</v>
      </c>
      <c r="H2371" s="1" t="s">
        <v>13</v>
      </c>
      <c r="I2371" s="1" t="s">
        <v>13</v>
      </c>
      <c r="J2371" s="1" t="s">
        <v>14</v>
      </c>
      <c r="K2371" s="1">
        <v>0</v>
      </c>
      <c r="L2371" s="1" t="s">
        <v>15</v>
      </c>
      <c r="M2371" s="1" t="str">
        <f t="shared" ref="M2371:M2434" si="37">IF(F2371=G2371, "Consistent", "Potential Layering")</f>
        <v>Consistent</v>
      </c>
      <c r="N2371" s="1" t="str">
        <f>_xlfn.XLOOKUP(H2371, risk_score!A:A, risk_score!B:B, 0)</f>
        <v>Low Risk</v>
      </c>
    </row>
    <row r="2372" spans="1:14">
      <c r="A2372" s="2">
        <v>0.50134259259259262</v>
      </c>
      <c r="B2372" s="3">
        <v>44841</v>
      </c>
      <c r="C2372" s="1">
        <v>7920281595</v>
      </c>
      <c r="D2372" s="1">
        <v>4659008255</v>
      </c>
      <c r="E2372" s="1">
        <v>2402.5100000000002</v>
      </c>
      <c r="F2372" s="1" t="s">
        <v>12</v>
      </c>
      <c r="G2372" s="1" t="s">
        <v>12</v>
      </c>
      <c r="H2372" s="1" t="s">
        <v>13</v>
      </c>
      <c r="I2372" s="1" t="s">
        <v>13</v>
      </c>
      <c r="J2372" s="1" t="s">
        <v>27</v>
      </c>
      <c r="K2372" s="1">
        <v>0</v>
      </c>
      <c r="L2372" s="1" t="s">
        <v>21</v>
      </c>
      <c r="M2372" s="1" t="str">
        <f t="shared" si="37"/>
        <v>Consistent</v>
      </c>
      <c r="N2372" s="1" t="str">
        <f>_xlfn.XLOOKUP(H2372, risk_score!A:A, risk_score!B:B, 0)</f>
        <v>Low Risk</v>
      </c>
    </row>
    <row r="2373" spans="1:14">
      <c r="A2373" s="2">
        <v>0.50135416666666666</v>
      </c>
      <c r="B2373" s="3">
        <v>44841</v>
      </c>
      <c r="C2373" s="1">
        <v>6115757778</v>
      </c>
      <c r="D2373" s="1">
        <v>2176567218</v>
      </c>
      <c r="E2373" s="1">
        <v>1770.78</v>
      </c>
      <c r="F2373" s="1" t="s">
        <v>12</v>
      </c>
      <c r="G2373" s="1" t="s">
        <v>12</v>
      </c>
      <c r="H2373" s="1" t="s">
        <v>13</v>
      </c>
      <c r="I2373" s="1" t="s">
        <v>13</v>
      </c>
      <c r="J2373" s="1" t="s">
        <v>27</v>
      </c>
      <c r="K2373" s="1">
        <v>0</v>
      </c>
      <c r="L2373" s="1" t="s">
        <v>24</v>
      </c>
      <c r="M2373" s="1" t="str">
        <f t="shared" si="37"/>
        <v>Consistent</v>
      </c>
      <c r="N2373" s="1" t="str">
        <f>_xlfn.XLOOKUP(H2373, risk_score!A:A, risk_score!B:B, 0)</f>
        <v>Low Risk</v>
      </c>
    </row>
    <row r="2374" spans="1:14">
      <c r="A2374" s="2">
        <v>0.50137731481481485</v>
      </c>
      <c r="B2374" s="3">
        <v>44841</v>
      </c>
      <c r="C2374" s="1">
        <v>4763305803</v>
      </c>
      <c r="D2374" s="1">
        <v>8172080174</v>
      </c>
      <c r="E2374" s="1">
        <v>7377.92</v>
      </c>
      <c r="F2374" s="1" t="s">
        <v>12</v>
      </c>
      <c r="G2374" s="1" t="s">
        <v>12</v>
      </c>
      <c r="H2374" s="1" t="s">
        <v>13</v>
      </c>
      <c r="I2374" s="1" t="s">
        <v>13</v>
      </c>
      <c r="J2374" s="1" t="s">
        <v>22</v>
      </c>
      <c r="K2374" s="1">
        <v>0</v>
      </c>
      <c r="L2374" s="1" t="s">
        <v>23</v>
      </c>
      <c r="M2374" s="1" t="str">
        <f t="shared" si="37"/>
        <v>Consistent</v>
      </c>
      <c r="N2374" s="1" t="str">
        <f>_xlfn.XLOOKUP(H2374, risk_score!A:A, risk_score!B:B, 0)</f>
        <v>Low Risk</v>
      </c>
    </row>
    <row r="2375" spans="1:14">
      <c r="A2375" s="2">
        <v>0.50138888888888888</v>
      </c>
      <c r="B2375" s="3">
        <v>44841</v>
      </c>
      <c r="C2375" s="1">
        <v>8465703037</v>
      </c>
      <c r="D2375" s="1">
        <v>3504367345</v>
      </c>
      <c r="E2375" s="1">
        <v>14088.24</v>
      </c>
      <c r="F2375" s="1" t="s">
        <v>12</v>
      </c>
      <c r="G2375" s="1" t="s">
        <v>28</v>
      </c>
      <c r="H2375" s="1" t="s">
        <v>13</v>
      </c>
      <c r="I2375" s="1" t="s">
        <v>57</v>
      </c>
      <c r="J2375" s="1" t="s">
        <v>18</v>
      </c>
      <c r="K2375" s="1">
        <v>0</v>
      </c>
      <c r="L2375" s="1" t="s">
        <v>58</v>
      </c>
      <c r="M2375" s="1" t="str">
        <f t="shared" si="37"/>
        <v>Potential Layering</v>
      </c>
      <c r="N2375" s="1" t="str">
        <f>_xlfn.XLOOKUP(H2375, risk_score!A:A, risk_score!B:B, 0)</f>
        <v>Low Risk</v>
      </c>
    </row>
    <row r="2376" spans="1:14">
      <c r="A2376" s="2">
        <v>0.50142361111111111</v>
      </c>
      <c r="B2376" s="3">
        <v>44841</v>
      </c>
      <c r="C2376" s="1">
        <v>149017192</v>
      </c>
      <c r="D2376" s="1">
        <v>3793525386</v>
      </c>
      <c r="E2376" s="1">
        <v>827.78</v>
      </c>
      <c r="F2376" s="1" t="s">
        <v>12</v>
      </c>
      <c r="G2376" s="1" t="s">
        <v>12</v>
      </c>
      <c r="H2376" s="1" t="s">
        <v>13</v>
      </c>
      <c r="I2376" s="1" t="s">
        <v>13</v>
      </c>
      <c r="J2376" s="1" t="s">
        <v>25</v>
      </c>
      <c r="K2376" s="1">
        <v>0</v>
      </c>
      <c r="L2376" s="1" t="s">
        <v>21</v>
      </c>
      <c r="M2376" s="1" t="str">
        <f t="shared" si="37"/>
        <v>Consistent</v>
      </c>
      <c r="N2376" s="1" t="str">
        <f>_xlfn.XLOOKUP(H2376, risk_score!A:A, risk_score!B:B, 0)</f>
        <v>Low Risk</v>
      </c>
    </row>
    <row r="2377" spans="1:14">
      <c r="A2377" s="2">
        <v>0.50150462962962961</v>
      </c>
      <c r="B2377" s="3">
        <v>44841</v>
      </c>
      <c r="C2377" s="1">
        <v>8985185343</v>
      </c>
      <c r="D2377" s="1">
        <v>8730254659</v>
      </c>
      <c r="E2377" s="1">
        <v>740.19</v>
      </c>
      <c r="F2377" s="1" t="s">
        <v>12</v>
      </c>
      <c r="G2377" s="1" t="s">
        <v>12</v>
      </c>
      <c r="H2377" s="1" t="s">
        <v>13</v>
      </c>
      <c r="I2377" s="1" t="s">
        <v>13</v>
      </c>
      <c r="J2377" s="1" t="s">
        <v>22</v>
      </c>
      <c r="K2377" s="1">
        <v>0</v>
      </c>
      <c r="L2377" s="1" t="s">
        <v>21</v>
      </c>
      <c r="M2377" s="1" t="str">
        <f t="shared" si="37"/>
        <v>Consistent</v>
      </c>
      <c r="N2377" s="1" t="str">
        <f>_xlfn.XLOOKUP(H2377, risk_score!A:A, risk_score!B:B, 0)</f>
        <v>Low Risk</v>
      </c>
    </row>
    <row r="2378" spans="1:14">
      <c r="A2378" s="2">
        <v>0.50163194444444448</v>
      </c>
      <c r="B2378" s="3">
        <v>44841</v>
      </c>
      <c r="C2378" s="1">
        <v>5909936132</v>
      </c>
      <c r="D2378" s="1">
        <v>8413455065</v>
      </c>
      <c r="E2378" s="1">
        <v>3566.25</v>
      </c>
      <c r="F2378" s="1" t="s">
        <v>12</v>
      </c>
      <c r="G2378" s="1" t="s">
        <v>12</v>
      </c>
      <c r="H2378" s="1" t="s">
        <v>13</v>
      </c>
      <c r="I2378" s="1" t="s">
        <v>13</v>
      </c>
      <c r="J2378" s="1" t="s">
        <v>22</v>
      </c>
      <c r="K2378" s="1">
        <v>0</v>
      </c>
      <c r="L2378" s="1" t="s">
        <v>21</v>
      </c>
      <c r="M2378" s="1" t="str">
        <f t="shared" si="37"/>
        <v>Consistent</v>
      </c>
      <c r="N2378" s="1" t="str">
        <f>_xlfn.XLOOKUP(H2378, risk_score!A:A, risk_score!B:B, 0)</f>
        <v>Low Risk</v>
      </c>
    </row>
    <row r="2379" spans="1:14">
      <c r="A2379" s="2">
        <v>0.50166666666666671</v>
      </c>
      <c r="B2379" s="3">
        <v>44841</v>
      </c>
      <c r="C2379" s="1">
        <v>5936713526</v>
      </c>
      <c r="D2379" s="1">
        <v>7160736915</v>
      </c>
      <c r="E2379" s="1">
        <v>14258.42</v>
      </c>
      <c r="F2379" s="1" t="s">
        <v>12</v>
      </c>
      <c r="G2379" s="1" t="s">
        <v>12</v>
      </c>
      <c r="H2379" s="1" t="s">
        <v>13</v>
      </c>
      <c r="I2379" s="1" t="s">
        <v>13</v>
      </c>
      <c r="J2379" s="1" t="s">
        <v>27</v>
      </c>
      <c r="K2379" s="1">
        <v>0</v>
      </c>
      <c r="L2379" s="1" t="s">
        <v>23</v>
      </c>
      <c r="M2379" s="1" t="str">
        <f t="shared" si="37"/>
        <v>Consistent</v>
      </c>
      <c r="N2379" s="1" t="str">
        <f>_xlfn.XLOOKUP(H2379, risk_score!A:A, risk_score!B:B, 0)</f>
        <v>Low Risk</v>
      </c>
    </row>
    <row r="2380" spans="1:14">
      <c r="A2380" s="2">
        <v>0.50168981481481478</v>
      </c>
      <c r="B2380" s="3">
        <v>44841</v>
      </c>
      <c r="C2380" s="1">
        <v>8389148416</v>
      </c>
      <c r="D2380" s="1">
        <v>3487686607</v>
      </c>
      <c r="E2380" s="1">
        <v>8388.31</v>
      </c>
      <c r="F2380" s="1" t="s">
        <v>12</v>
      </c>
      <c r="G2380" s="1" t="s">
        <v>12</v>
      </c>
      <c r="H2380" s="1" t="s">
        <v>13</v>
      </c>
      <c r="I2380" s="1" t="s">
        <v>13</v>
      </c>
      <c r="J2380" s="1" t="s">
        <v>25</v>
      </c>
      <c r="K2380" s="1">
        <v>0</v>
      </c>
      <c r="L2380" s="1" t="s">
        <v>19</v>
      </c>
      <c r="M2380" s="1" t="str">
        <f t="shared" si="37"/>
        <v>Consistent</v>
      </c>
      <c r="N2380" s="1" t="str">
        <f>_xlfn.XLOOKUP(H2380, risk_score!A:A, risk_score!B:B, 0)</f>
        <v>Low Risk</v>
      </c>
    </row>
    <row r="2381" spans="1:14">
      <c r="A2381" s="2">
        <v>0.5017476851851852</v>
      </c>
      <c r="B2381" s="3">
        <v>44841</v>
      </c>
      <c r="C2381" s="1">
        <v>804673744</v>
      </c>
      <c r="D2381" s="1">
        <v>3688848176</v>
      </c>
      <c r="E2381" s="1">
        <v>33505.15</v>
      </c>
      <c r="F2381" s="1" t="s">
        <v>12</v>
      </c>
      <c r="G2381" s="1" t="s">
        <v>12</v>
      </c>
      <c r="H2381" s="1" t="s">
        <v>13</v>
      </c>
      <c r="I2381" s="1" t="s">
        <v>13</v>
      </c>
      <c r="J2381" s="1" t="s">
        <v>27</v>
      </c>
      <c r="K2381" s="1">
        <v>0</v>
      </c>
      <c r="L2381" s="1" t="s">
        <v>21</v>
      </c>
      <c r="M2381" s="1" t="str">
        <f t="shared" si="37"/>
        <v>Consistent</v>
      </c>
      <c r="N2381" s="1" t="str">
        <f>_xlfn.XLOOKUP(H2381, risk_score!A:A, risk_score!B:B, 0)</f>
        <v>Low Risk</v>
      </c>
    </row>
    <row r="2382" spans="1:14">
      <c r="A2382" s="2">
        <v>0.50178240740740743</v>
      </c>
      <c r="B2382" s="3">
        <v>44841</v>
      </c>
      <c r="C2382" s="1">
        <v>4643259000</v>
      </c>
      <c r="D2382" s="1">
        <v>3241394835</v>
      </c>
      <c r="E2382" s="1">
        <v>10654.91</v>
      </c>
      <c r="F2382" s="1" t="s">
        <v>12</v>
      </c>
      <c r="G2382" s="1" t="s">
        <v>12</v>
      </c>
      <c r="H2382" s="1" t="s">
        <v>13</v>
      </c>
      <c r="I2382" s="1" t="s">
        <v>13</v>
      </c>
      <c r="J2382" s="1" t="s">
        <v>20</v>
      </c>
      <c r="K2382" s="1">
        <v>0</v>
      </c>
      <c r="L2382" s="1" t="s">
        <v>21</v>
      </c>
      <c r="M2382" s="1" t="str">
        <f t="shared" si="37"/>
        <v>Consistent</v>
      </c>
      <c r="N2382" s="1" t="str">
        <f>_xlfn.XLOOKUP(H2382, risk_score!A:A, risk_score!B:B, 0)</f>
        <v>Low Risk</v>
      </c>
    </row>
    <row r="2383" spans="1:14">
      <c r="A2383" s="2">
        <v>0.50185185185185188</v>
      </c>
      <c r="B2383" s="3">
        <v>44841</v>
      </c>
      <c r="C2383" s="1">
        <v>5813296620</v>
      </c>
      <c r="D2383" s="1">
        <v>7151718803</v>
      </c>
      <c r="E2383" s="1">
        <v>4477.03</v>
      </c>
      <c r="F2383" s="1" t="s">
        <v>26</v>
      </c>
      <c r="G2383" s="1" t="s">
        <v>12</v>
      </c>
      <c r="H2383" s="1" t="s">
        <v>56</v>
      </c>
      <c r="I2383" s="1" t="s">
        <v>13</v>
      </c>
      <c r="J2383" s="1" t="s">
        <v>18</v>
      </c>
      <c r="K2383" s="1">
        <v>0</v>
      </c>
      <c r="L2383" s="1" t="s">
        <v>21</v>
      </c>
      <c r="M2383" s="1" t="str">
        <f t="shared" si="37"/>
        <v>Potential Layering</v>
      </c>
      <c r="N2383" s="1" t="str">
        <f>_xlfn.XLOOKUP(H2383, risk_score!A:A, risk_score!B:B, 0)</f>
        <v>Medium Risk</v>
      </c>
    </row>
    <row r="2384" spans="1:14">
      <c r="A2384" s="2">
        <v>0.50188657407407411</v>
      </c>
      <c r="B2384" s="3">
        <v>44841</v>
      </c>
      <c r="C2384" s="1">
        <v>4037018968</v>
      </c>
      <c r="D2384" s="1">
        <v>9907636152</v>
      </c>
      <c r="E2384" s="1">
        <v>40.729999999999997</v>
      </c>
      <c r="F2384" s="1" t="s">
        <v>12</v>
      </c>
      <c r="G2384" s="1" t="s">
        <v>12</v>
      </c>
      <c r="H2384" s="1" t="s">
        <v>13</v>
      </c>
      <c r="I2384" s="1" t="s">
        <v>13</v>
      </c>
      <c r="J2384" s="1" t="s">
        <v>25</v>
      </c>
      <c r="K2384" s="1">
        <v>0</v>
      </c>
      <c r="L2384" s="1" t="s">
        <v>21</v>
      </c>
      <c r="M2384" s="1" t="str">
        <f t="shared" si="37"/>
        <v>Consistent</v>
      </c>
      <c r="N2384" s="1" t="str">
        <f>_xlfn.XLOOKUP(H2384, risk_score!A:A, risk_score!B:B, 0)</f>
        <v>Low Risk</v>
      </c>
    </row>
    <row r="2385" spans="1:14">
      <c r="A2385" s="2">
        <v>0.50192129629629634</v>
      </c>
      <c r="B2385" s="3">
        <v>44841</v>
      </c>
      <c r="C2385" s="1">
        <v>8793643150</v>
      </c>
      <c r="D2385" s="1">
        <v>2570862071</v>
      </c>
      <c r="E2385" s="1">
        <v>8449.3700000000008</v>
      </c>
      <c r="F2385" s="1" t="s">
        <v>12</v>
      </c>
      <c r="G2385" s="1" t="s">
        <v>12</v>
      </c>
      <c r="H2385" s="1" t="s">
        <v>13</v>
      </c>
      <c r="I2385" s="1" t="s">
        <v>13</v>
      </c>
      <c r="J2385" s="1" t="s">
        <v>25</v>
      </c>
      <c r="K2385" s="1">
        <v>0</v>
      </c>
      <c r="L2385" s="1" t="s">
        <v>38</v>
      </c>
      <c r="M2385" s="1" t="str">
        <f t="shared" si="37"/>
        <v>Consistent</v>
      </c>
      <c r="N2385" s="1" t="str">
        <f>_xlfn.XLOOKUP(H2385, risk_score!A:A, risk_score!B:B, 0)</f>
        <v>Low Risk</v>
      </c>
    </row>
    <row r="2386" spans="1:14">
      <c r="A2386" s="2">
        <v>0.50195601851851857</v>
      </c>
      <c r="B2386" s="3">
        <v>44841</v>
      </c>
      <c r="C2386" s="1">
        <v>3792189465</v>
      </c>
      <c r="D2386" s="1">
        <v>7080357663</v>
      </c>
      <c r="E2386" s="1">
        <v>5428.45</v>
      </c>
      <c r="F2386" s="1" t="s">
        <v>34</v>
      </c>
      <c r="G2386" s="1" t="s">
        <v>12</v>
      </c>
      <c r="H2386" s="1" t="s">
        <v>35</v>
      </c>
      <c r="I2386" s="1" t="s">
        <v>13</v>
      </c>
      <c r="J2386" s="1" t="s">
        <v>18</v>
      </c>
      <c r="K2386" s="1">
        <v>0</v>
      </c>
      <c r="L2386" s="1" t="s">
        <v>23</v>
      </c>
      <c r="M2386" s="1" t="str">
        <f t="shared" si="37"/>
        <v>Potential Layering</v>
      </c>
      <c r="N2386" s="1" t="str">
        <f>_xlfn.XLOOKUP(H2386, risk_score!A:A, risk_score!B:B, 0)</f>
        <v>High Risk</v>
      </c>
    </row>
    <row r="2387" spans="1:14">
      <c r="A2387" s="2">
        <v>0.50197916666666664</v>
      </c>
      <c r="B2387" s="3">
        <v>44841</v>
      </c>
      <c r="C2387" s="1">
        <v>914847590</v>
      </c>
      <c r="D2387" s="1">
        <v>9610781638</v>
      </c>
      <c r="E2387" s="1">
        <v>285.13</v>
      </c>
      <c r="F2387" s="1" t="s">
        <v>12</v>
      </c>
      <c r="G2387" s="1" t="s">
        <v>12</v>
      </c>
      <c r="H2387" s="1" t="s">
        <v>13</v>
      </c>
      <c r="I2387" s="1" t="s">
        <v>13</v>
      </c>
      <c r="J2387" s="1" t="s">
        <v>25</v>
      </c>
      <c r="K2387" s="1">
        <v>0</v>
      </c>
      <c r="L2387" s="1" t="s">
        <v>21</v>
      </c>
      <c r="M2387" s="1" t="str">
        <f t="shared" si="37"/>
        <v>Consistent</v>
      </c>
      <c r="N2387" s="1" t="str">
        <f>_xlfn.XLOOKUP(H2387, risk_score!A:A, risk_score!B:B, 0)</f>
        <v>Low Risk</v>
      </c>
    </row>
    <row r="2388" spans="1:14">
      <c r="A2388" s="2">
        <v>0.50200231481481483</v>
      </c>
      <c r="B2388" s="3">
        <v>44841</v>
      </c>
      <c r="C2388" s="1">
        <v>809625447</v>
      </c>
      <c r="D2388" s="1">
        <v>4552293879</v>
      </c>
      <c r="E2388" s="1">
        <v>515.33000000000004</v>
      </c>
      <c r="F2388" s="1" t="s">
        <v>12</v>
      </c>
      <c r="G2388" s="1" t="s">
        <v>12</v>
      </c>
      <c r="H2388" s="1" t="s">
        <v>13</v>
      </c>
      <c r="I2388" s="1" t="s">
        <v>13</v>
      </c>
      <c r="J2388" s="1" t="s">
        <v>27</v>
      </c>
      <c r="K2388" s="1">
        <v>0</v>
      </c>
      <c r="L2388" s="1" t="s">
        <v>21</v>
      </c>
      <c r="M2388" s="1" t="str">
        <f t="shared" si="37"/>
        <v>Consistent</v>
      </c>
      <c r="N2388" s="1" t="str">
        <f>_xlfn.XLOOKUP(H2388, risk_score!A:A, risk_score!B:B, 0)</f>
        <v>Low Risk</v>
      </c>
    </row>
    <row r="2389" spans="1:14">
      <c r="A2389" s="2">
        <v>0.50200231481481483</v>
      </c>
      <c r="B2389" s="3">
        <v>44841</v>
      </c>
      <c r="C2389" s="1">
        <v>8957461886</v>
      </c>
      <c r="D2389" s="1">
        <v>589468112</v>
      </c>
      <c r="E2389" s="1">
        <v>3571.34</v>
      </c>
      <c r="F2389" s="1" t="s">
        <v>12</v>
      </c>
      <c r="G2389" s="1" t="s">
        <v>12</v>
      </c>
      <c r="H2389" s="1" t="s">
        <v>13</v>
      </c>
      <c r="I2389" s="1" t="s">
        <v>13</v>
      </c>
      <c r="J2389" s="1" t="s">
        <v>27</v>
      </c>
      <c r="K2389" s="1">
        <v>0</v>
      </c>
      <c r="L2389" s="1" t="s">
        <v>38</v>
      </c>
      <c r="M2389" s="1" t="str">
        <f t="shared" si="37"/>
        <v>Consistent</v>
      </c>
      <c r="N2389" s="1" t="str">
        <f>_xlfn.XLOOKUP(H2389, risk_score!A:A, risk_score!B:B, 0)</f>
        <v>Low Risk</v>
      </c>
    </row>
    <row r="2390" spans="1:14">
      <c r="A2390" s="2">
        <v>0.50201388888888887</v>
      </c>
      <c r="B2390" s="3">
        <v>44841</v>
      </c>
      <c r="C2390" s="1">
        <v>5395605156</v>
      </c>
      <c r="D2390" s="1">
        <v>1935753108</v>
      </c>
      <c r="E2390" s="1">
        <v>203.19</v>
      </c>
      <c r="F2390" s="1" t="s">
        <v>12</v>
      </c>
      <c r="G2390" s="1" t="s">
        <v>29</v>
      </c>
      <c r="H2390" s="1" t="s">
        <v>13</v>
      </c>
      <c r="I2390" s="1" t="s">
        <v>55</v>
      </c>
      <c r="J2390" s="1" t="s">
        <v>18</v>
      </c>
      <c r="K2390" s="1">
        <v>0</v>
      </c>
      <c r="L2390" s="1" t="s">
        <v>21</v>
      </c>
      <c r="M2390" s="1" t="str">
        <f t="shared" si="37"/>
        <v>Potential Layering</v>
      </c>
      <c r="N2390" s="1" t="str">
        <f>_xlfn.XLOOKUP(H2390, risk_score!A:A, risk_score!B:B, 0)</f>
        <v>Low Risk</v>
      </c>
    </row>
    <row r="2391" spans="1:14">
      <c r="A2391" s="2">
        <v>0.50202546296296291</v>
      </c>
      <c r="B2391" s="3">
        <v>44841</v>
      </c>
      <c r="C2391" s="1">
        <v>7039738145</v>
      </c>
      <c r="D2391" s="1">
        <v>8520898167</v>
      </c>
      <c r="E2391" s="1">
        <v>2722.24</v>
      </c>
      <c r="F2391" s="1" t="s">
        <v>12</v>
      </c>
      <c r="G2391" s="1" t="s">
        <v>12</v>
      </c>
      <c r="H2391" s="1" t="s">
        <v>13</v>
      </c>
      <c r="I2391" s="1" t="s">
        <v>13</v>
      </c>
      <c r="J2391" s="1" t="s">
        <v>20</v>
      </c>
      <c r="K2391" s="1">
        <v>0</v>
      </c>
      <c r="L2391" s="1" t="s">
        <v>21</v>
      </c>
      <c r="M2391" s="1" t="str">
        <f t="shared" si="37"/>
        <v>Consistent</v>
      </c>
      <c r="N2391" s="1" t="str">
        <f>_xlfn.XLOOKUP(H2391, risk_score!A:A, risk_score!B:B, 0)</f>
        <v>Low Risk</v>
      </c>
    </row>
    <row r="2392" spans="1:14">
      <c r="A2392" s="2">
        <v>0.50203703703703706</v>
      </c>
      <c r="B2392" s="3">
        <v>44841</v>
      </c>
      <c r="C2392" s="1">
        <v>2199795388</v>
      </c>
      <c r="D2392" s="1">
        <v>1377603863</v>
      </c>
      <c r="E2392" s="1">
        <v>9502.9</v>
      </c>
      <c r="F2392" s="1" t="s">
        <v>12</v>
      </c>
      <c r="G2392" s="1" t="s">
        <v>12</v>
      </c>
      <c r="H2392" s="1" t="s">
        <v>13</v>
      </c>
      <c r="I2392" s="1" t="s">
        <v>13</v>
      </c>
      <c r="J2392" s="1" t="s">
        <v>27</v>
      </c>
      <c r="K2392" s="1">
        <v>0</v>
      </c>
      <c r="L2392" s="1" t="s">
        <v>23</v>
      </c>
      <c r="M2392" s="1" t="str">
        <f t="shared" si="37"/>
        <v>Consistent</v>
      </c>
      <c r="N2392" s="1" t="str">
        <f>_xlfn.XLOOKUP(H2392, risk_score!A:A, risk_score!B:B, 0)</f>
        <v>Low Risk</v>
      </c>
    </row>
    <row r="2393" spans="1:14">
      <c r="A2393" s="2">
        <v>0.5020486111111111</v>
      </c>
      <c r="B2393" s="3">
        <v>44841</v>
      </c>
      <c r="C2393" s="1">
        <v>8764936238</v>
      </c>
      <c r="D2393" s="1">
        <v>1605606632</v>
      </c>
      <c r="E2393" s="1">
        <v>14099.37</v>
      </c>
      <c r="F2393" s="1" t="s">
        <v>12</v>
      </c>
      <c r="G2393" s="1" t="s">
        <v>12</v>
      </c>
      <c r="H2393" s="1" t="s">
        <v>13</v>
      </c>
      <c r="I2393" s="1" t="s">
        <v>13</v>
      </c>
      <c r="J2393" s="1" t="s">
        <v>20</v>
      </c>
      <c r="K2393" s="1">
        <v>0</v>
      </c>
      <c r="L2393" s="1" t="s">
        <v>21</v>
      </c>
      <c r="M2393" s="1" t="str">
        <f t="shared" si="37"/>
        <v>Consistent</v>
      </c>
      <c r="N2393" s="1" t="str">
        <f>_xlfn.XLOOKUP(H2393, risk_score!A:A, risk_score!B:B, 0)</f>
        <v>Low Risk</v>
      </c>
    </row>
    <row r="2394" spans="1:14">
      <c r="A2394" s="2">
        <v>0.50206018518518514</v>
      </c>
      <c r="B2394" s="3">
        <v>44841</v>
      </c>
      <c r="C2394" s="1">
        <v>7459299368</v>
      </c>
      <c r="D2394" s="1">
        <v>3877452462</v>
      </c>
      <c r="E2394" s="1">
        <v>22895.41</v>
      </c>
      <c r="F2394" s="1" t="s">
        <v>12</v>
      </c>
      <c r="G2394" s="1" t="s">
        <v>12</v>
      </c>
      <c r="H2394" s="1" t="s">
        <v>13</v>
      </c>
      <c r="I2394" s="1" t="s">
        <v>13</v>
      </c>
      <c r="J2394" s="1" t="s">
        <v>20</v>
      </c>
      <c r="K2394" s="1">
        <v>0</v>
      </c>
      <c r="L2394" s="1" t="s">
        <v>21</v>
      </c>
      <c r="M2394" s="1" t="str">
        <f t="shared" si="37"/>
        <v>Consistent</v>
      </c>
      <c r="N2394" s="1" t="str">
        <f>_xlfn.XLOOKUP(H2394, risk_score!A:A, risk_score!B:B, 0)</f>
        <v>Low Risk</v>
      </c>
    </row>
    <row r="2395" spans="1:14">
      <c r="A2395" s="2">
        <v>0.50210648148148151</v>
      </c>
      <c r="B2395" s="3">
        <v>44841</v>
      </c>
      <c r="C2395" s="1">
        <v>7656746582</v>
      </c>
      <c r="D2395" s="1">
        <v>5238755833</v>
      </c>
      <c r="E2395" s="1">
        <v>1727.24</v>
      </c>
      <c r="F2395" s="1" t="s">
        <v>12</v>
      </c>
      <c r="G2395" s="1" t="s">
        <v>12</v>
      </c>
      <c r="H2395" s="1" t="s">
        <v>13</v>
      </c>
      <c r="I2395" s="1" t="s">
        <v>13</v>
      </c>
      <c r="J2395" s="1" t="s">
        <v>27</v>
      </c>
      <c r="K2395" s="1">
        <v>0</v>
      </c>
      <c r="L2395" s="1" t="s">
        <v>21</v>
      </c>
      <c r="M2395" s="1" t="str">
        <f t="shared" si="37"/>
        <v>Consistent</v>
      </c>
      <c r="N2395" s="1" t="str">
        <f>_xlfn.XLOOKUP(H2395, risk_score!A:A, risk_score!B:B, 0)</f>
        <v>Low Risk</v>
      </c>
    </row>
    <row r="2396" spans="1:14">
      <c r="A2396" s="2">
        <v>0.50212962962962959</v>
      </c>
      <c r="B2396" s="3">
        <v>44841</v>
      </c>
      <c r="C2396" s="1">
        <v>4957540351</v>
      </c>
      <c r="D2396" s="1">
        <v>5468312004</v>
      </c>
      <c r="E2396" s="1">
        <v>383.61</v>
      </c>
      <c r="F2396" s="1" t="s">
        <v>12</v>
      </c>
      <c r="G2396" s="1" t="s">
        <v>12</v>
      </c>
      <c r="H2396" s="1" t="s">
        <v>13</v>
      </c>
      <c r="I2396" s="1" t="s">
        <v>13</v>
      </c>
      <c r="J2396" s="1" t="s">
        <v>25</v>
      </c>
      <c r="K2396" s="1">
        <v>0</v>
      </c>
      <c r="L2396" s="1" t="s">
        <v>21</v>
      </c>
      <c r="M2396" s="1" t="str">
        <f t="shared" si="37"/>
        <v>Consistent</v>
      </c>
      <c r="N2396" s="1" t="str">
        <f>_xlfn.XLOOKUP(H2396, risk_score!A:A, risk_score!B:B, 0)</f>
        <v>Low Risk</v>
      </c>
    </row>
    <row r="2397" spans="1:14">
      <c r="A2397" s="2">
        <v>0.50222222222222224</v>
      </c>
      <c r="B2397" s="3">
        <v>44841</v>
      </c>
      <c r="C2397" s="1">
        <v>8770181801</v>
      </c>
      <c r="D2397" s="1">
        <v>8906126287</v>
      </c>
      <c r="E2397" s="1">
        <v>9424</v>
      </c>
      <c r="F2397" s="1" t="s">
        <v>12</v>
      </c>
      <c r="G2397" s="1" t="s">
        <v>12</v>
      </c>
      <c r="H2397" s="1" t="s">
        <v>13</v>
      </c>
      <c r="I2397" s="1" t="s">
        <v>13</v>
      </c>
      <c r="J2397" s="1" t="s">
        <v>27</v>
      </c>
      <c r="K2397" s="1">
        <v>0</v>
      </c>
      <c r="L2397" s="1" t="s">
        <v>38</v>
      </c>
      <c r="M2397" s="1" t="str">
        <f t="shared" si="37"/>
        <v>Consistent</v>
      </c>
      <c r="N2397" s="1" t="str">
        <f>_xlfn.XLOOKUP(H2397, risk_score!A:A, risk_score!B:B, 0)</f>
        <v>Low Risk</v>
      </c>
    </row>
    <row r="2398" spans="1:14">
      <c r="A2398" s="2">
        <v>0.5022685185185185</v>
      </c>
      <c r="B2398" s="3">
        <v>44841</v>
      </c>
      <c r="C2398" s="1">
        <v>5021785800</v>
      </c>
      <c r="D2398" s="1">
        <v>9085148554</v>
      </c>
      <c r="E2398" s="1">
        <v>10339.450000000001</v>
      </c>
      <c r="F2398" s="1" t="s">
        <v>12</v>
      </c>
      <c r="G2398" s="1" t="s">
        <v>12</v>
      </c>
      <c r="H2398" s="1" t="s">
        <v>13</v>
      </c>
      <c r="I2398" s="1" t="s">
        <v>13</v>
      </c>
      <c r="J2398" s="1" t="s">
        <v>27</v>
      </c>
      <c r="K2398" s="1">
        <v>0</v>
      </c>
      <c r="L2398" s="1" t="s">
        <v>19</v>
      </c>
      <c r="M2398" s="1" t="str">
        <f t="shared" si="37"/>
        <v>Consistent</v>
      </c>
      <c r="N2398" s="1" t="str">
        <f>_xlfn.XLOOKUP(H2398, risk_score!A:A, risk_score!B:B, 0)</f>
        <v>Low Risk</v>
      </c>
    </row>
    <row r="2399" spans="1:14">
      <c r="A2399" s="2">
        <v>0.50231481481481477</v>
      </c>
      <c r="B2399" s="3">
        <v>44841</v>
      </c>
      <c r="C2399" s="1">
        <v>3510078932</v>
      </c>
      <c r="D2399" s="1">
        <v>2436228903</v>
      </c>
      <c r="E2399" s="1">
        <v>7079.88</v>
      </c>
      <c r="F2399" s="1" t="s">
        <v>12</v>
      </c>
      <c r="G2399" s="1" t="s">
        <v>34</v>
      </c>
      <c r="H2399" s="1" t="s">
        <v>13</v>
      </c>
      <c r="I2399" s="1" t="s">
        <v>35</v>
      </c>
      <c r="J2399" s="1" t="s">
        <v>18</v>
      </c>
      <c r="K2399" s="1">
        <v>0</v>
      </c>
      <c r="L2399" s="1" t="s">
        <v>19</v>
      </c>
      <c r="M2399" s="1" t="str">
        <f t="shared" si="37"/>
        <v>Potential Layering</v>
      </c>
      <c r="N2399" s="1" t="str">
        <f>_xlfn.XLOOKUP(H2399, risk_score!A:A, risk_score!B:B, 0)</f>
        <v>Low Risk</v>
      </c>
    </row>
    <row r="2400" spans="1:14">
      <c r="A2400" s="2">
        <v>0.50237268518518519</v>
      </c>
      <c r="B2400" s="3">
        <v>44841</v>
      </c>
      <c r="C2400" s="1">
        <v>918178079</v>
      </c>
      <c r="D2400" s="1">
        <v>7872689655</v>
      </c>
      <c r="E2400" s="1">
        <v>1193.53</v>
      </c>
      <c r="F2400" s="1" t="s">
        <v>12</v>
      </c>
      <c r="G2400" s="1" t="s">
        <v>12</v>
      </c>
      <c r="H2400" s="1" t="s">
        <v>13</v>
      </c>
      <c r="I2400" s="1" t="s">
        <v>13</v>
      </c>
      <c r="J2400" s="1" t="s">
        <v>22</v>
      </c>
      <c r="K2400" s="1">
        <v>0</v>
      </c>
      <c r="L2400" s="1" t="s">
        <v>21</v>
      </c>
      <c r="M2400" s="1" t="str">
        <f t="shared" si="37"/>
        <v>Consistent</v>
      </c>
      <c r="N2400" s="1" t="str">
        <f>_xlfn.XLOOKUP(H2400, risk_score!A:A, risk_score!B:B, 0)</f>
        <v>Low Risk</v>
      </c>
    </row>
    <row r="2401" spans="1:14">
      <c r="A2401" s="2">
        <v>0.50237268518518519</v>
      </c>
      <c r="B2401" s="3">
        <v>44841</v>
      </c>
      <c r="C2401" s="1">
        <v>5232268182</v>
      </c>
      <c r="D2401" s="1">
        <v>3695545812</v>
      </c>
      <c r="E2401" s="1">
        <v>6737.27</v>
      </c>
      <c r="F2401" s="1" t="s">
        <v>12</v>
      </c>
      <c r="G2401" s="1" t="s">
        <v>12</v>
      </c>
      <c r="H2401" s="1" t="s">
        <v>13</v>
      </c>
      <c r="I2401" s="1" t="s">
        <v>13</v>
      </c>
      <c r="J2401" s="1" t="s">
        <v>27</v>
      </c>
      <c r="K2401" s="1">
        <v>0</v>
      </c>
      <c r="L2401" s="1" t="s">
        <v>23</v>
      </c>
      <c r="M2401" s="1" t="str">
        <f t="shared" si="37"/>
        <v>Consistent</v>
      </c>
      <c r="N2401" s="1" t="str">
        <f>_xlfn.XLOOKUP(H2401, risk_score!A:A, risk_score!B:B, 0)</f>
        <v>Low Risk</v>
      </c>
    </row>
    <row r="2402" spans="1:14">
      <c r="A2402" s="2">
        <v>0.50241898148148145</v>
      </c>
      <c r="B2402" s="3">
        <v>44841</v>
      </c>
      <c r="C2402" s="1">
        <v>7134871762</v>
      </c>
      <c r="D2402" s="1">
        <v>6130902000</v>
      </c>
      <c r="E2402" s="1">
        <v>12451.62</v>
      </c>
      <c r="F2402" s="1" t="s">
        <v>12</v>
      </c>
      <c r="G2402" s="1" t="s">
        <v>12</v>
      </c>
      <c r="H2402" s="1" t="s">
        <v>13</v>
      </c>
      <c r="I2402" s="1" t="s">
        <v>13</v>
      </c>
      <c r="J2402" s="1" t="s">
        <v>25</v>
      </c>
      <c r="K2402" s="1">
        <v>0</v>
      </c>
      <c r="L2402" s="1" t="s">
        <v>21</v>
      </c>
      <c r="M2402" s="1" t="str">
        <f t="shared" si="37"/>
        <v>Consistent</v>
      </c>
      <c r="N2402" s="1" t="str">
        <f>_xlfn.XLOOKUP(H2402, risk_score!A:A, risk_score!B:B, 0)</f>
        <v>Low Risk</v>
      </c>
    </row>
    <row r="2403" spans="1:14">
      <c r="A2403" s="2">
        <v>0.50246527777777783</v>
      </c>
      <c r="B2403" s="3">
        <v>44841</v>
      </c>
      <c r="C2403" s="1">
        <v>3759003567</v>
      </c>
      <c r="D2403" s="1">
        <v>8265748095</v>
      </c>
      <c r="E2403" s="1">
        <v>841.46</v>
      </c>
      <c r="F2403" s="1" t="s">
        <v>12</v>
      </c>
      <c r="G2403" s="1" t="s">
        <v>12</v>
      </c>
      <c r="H2403" s="1" t="s">
        <v>13</v>
      </c>
      <c r="I2403" s="1" t="s">
        <v>13</v>
      </c>
      <c r="J2403" s="1" t="s">
        <v>14</v>
      </c>
      <c r="K2403" s="1">
        <v>0</v>
      </c>
      <c r="L2403" s="1" t="s">
        <v>15</v>
      </c>
      <c r="M2403" s="1" t="str">
        <f t="shared" si="37"/>
        <v>Consistent</v>
      </c>
      <c r="N2403" s="1" t="str">
        <f>_xlfn.XLOOKUP(H2403, risk_score!A:A, risk_score!B:B, 0)</f>
        <v>Low Risk</v>
      </c>
    </row>
    <row r="2404" spans="1:14">
      <c r="A2404" s="2">
        <v>0.50247685185185187</v>
      </c>
      <c r="B2404" s="3">
        <v>44841</v>
      </c>
      <c r="C2404" s="1">
        <v>747047182</v>
      </c>
      <c r="D2404" s="1">
        <v>9849696378</v>
      </c>
      <c r="E2404" s="1">
        <v>5909.55</v>
      </c>
      <c r="F2404" s="1" t="s">
        <v>12</v>
      </c>
      <c r="G2404" s="1" t="s">
        <v>12</v>
      </c>
      <c r="H2404" s="1" t="s">
        <v>13</v>
      </c>
      <c r="I2404" s="1" t="s">
        <v>13</v>
      </c>
      <c r="J2404" s="1" t="s">
        <v>20</v>
      </c>
      <c r="K2404" s="1">
        <v>0</v>
      </c>
      <c r="L2404" s="1" t="s">
        <v>21</v>
      </c>
      <c r="M2404" s="1" t="str">
        <f t="shared" si="37"/>
        <v>Consistent</v>
      </c>
      <c r="N2404" s="1" t="str">
        <f>_xlfn.XLOOKUP(H2404, risk_score!A:A, risk_score!B:B, 0)</f>
        <v>Low Risk</v>
      </c>
    </row>
    <row r="2405" spans="1:14">
      <c r="A2405" s="2">
        <v>0.50248842592592591</v>
      </c>
      <c r="B2405" s="3">
        <v>44841</v>
      </c>
      <c r="C2405" s="1">
        <v>7669236826</v>
      </c>
      <c r="D2405" s="1">
        <v>5112224952</v>
      </c>
      <c r="E2405" s="1">
        <v>9658.4599999999991</v>
      </c>
      <c r="F2405" s="1" t="s">
        <v>12</v>
      </c>
      <c r="G2405" s="1" t="s">
        <v>12</v>
      </c>
      <c r="H2405" s="1" t="s">
        <v>13</v>
      </c>
      <c r="I2405" s="1" t="s">
        <v>13</v>
      </c>
      <c r="J2405" s="1" t="s">
        <v>22</v>
      </c>
      <c r="K2405" s="1">
        <v>0</v>
      </c>
      <c r="L2405" s="1" t="s">
        <v>19</v>
      </c>
      <c r="M2405" s="1" t="str">
        <f t="shared" si="37"/>
        <v>Consistent</v>
      </c>
      <c r="N2405" s="1" t="str">
        <f>_xlfn.XLOOKUP(H2405, risk_score!A:A, risk_score!B:B, 0)</f>
        <v>Low Risk</v>
      </c>
    </row>
    <row r="2406" spans="1:14">
      <c r="A2406" s="2">
        <v>0.50254629629629632</v>
      </c>
      <c r="B2406" s="3">
        <v>44841</v>
      </c>
      <c r="C2406" s="1">
        <v>5242230374</v>
      </c>
      <c r="D2406" s="1">
        <v>5313885777</v>
      </c>
      <c r="E2406" s="1">
        <v>1041.3499999999999</v>
      </c>
      <c r="F2406" s="1" t="s">
        <v>12</v>
      </c>
      <c r="G2406" s="1" t="s">
        <v>12</v>
      </c>
      <c r="H2406" s="1" t="s">
        <v>13</v>
      </c>
      <c r="I2406" s="1" t="s">
        <v>13</v>
      </c>
      <c r="J2406" s="1" t="s">
        <v>27</v>
      </c>
      <c r="K2406" s="1">
        <v>0</v>
      </c>
      <c r="L2406" s="1" t="s">
        <v>21</v>
      </c>
      <c r="M2406" s="1" t="str">
        <f t="shared" si="37"/>
        <v>Consistent</v>
      </c>
      <c r="N2406" s="1" t="str">
        <f>_xlfn.XLOOKUP(H2406, risk_score!A:A, risk_score!B:B, 0)</f>
        <v>Low Risk</v>
      </c>
    </row>
    <row r="2407" spans="1:14">
      <c r="A2407" s="2">
        <v>0.5025694444444444</v>
      </c>
      <c r="B2407" s="3">
        <v>44841</v>
      </c>
      <c r="C2407" s="1">
        <v>2365007895</v>
      </c>
      <c r="D2407" s="1">
        <v>8015553278</v>
      </c>
      <c r="E2407" s="1">
        <v>6893.42</v>
      </c>
      <c r="F2407" s="1" t="s">
        <v>12</v>
      </c>
      <c r="G2407" s="1" t="s">
        <v>12</v>
      </c>
      <c r="H2407" s="1" t="s">
        <v>13</v>
      </c>
      <c r="I2407" s="1" t="s">
        <v>13</v>
      </c>
      <c r="J2407" s="1" t="s">
        <v>22</v>
      </c>
      <c r="K2407" s="1">
        <v>0</v>
      </c>
      <c r="L2407" s="1" t="s">
        <v>19</v>
      </c>
      <c r="M2407" s="1" t="str">
        <f t="shared" si="37"/>
        <v>Consistent</v>
      </c>
      <c r="N2407" s="1" t="str">
        <f>_xlfn.XLOOKUP(H2407, risk_score!A:A, risk_score!B:B, 0)</f>
        <v>Low Risk</v>
      </c>
    </row>
    <row r="2408" spans="1:14">
      <c r="A2408" s="2">
        <v>0.50258101851851855</v>
      </c>
      <c r="B2408" s="3">
        <v>44841</v>
      </c>
      <c r="C2408" s="1">
        <v>8876576612</v>
      </c>
      <c r="D2408" s="1">
        <v>8518184956</v>
      </c>
      <c r="E2408" s="1">
        <v>11835.08</v>
      </c>
      <c r="F2408" s="1" t="s">
        <v>12</v>
      </c>
      <c r="G2408" s="1" t="s">
        <v>12</v>
      </c>
      <c r="H2408" s="1" t="s">
        <v>13</v>
      </c>
      <c r="I2408" s="1" t="s">
        <v>13</v>
      </c>
      <c r="J2408" s="1" t="s">
        <v>22</v>
      </c>
      <c r="K2408" s="1">
        <v>0</v>
      </c>
      <c r="L2408" s="1" t="s">
        <v>23</v>
      </c>
      <c r="M2408" s="1" t="str">
        <f t="shared" si="37"/>
        <v>Consistent</v>
      </c>
      <c r="N2408" s="1" t="str">
        <f>_xlfn.XLOOKUP(H2408, risk_score!A:A, risk_score!B:B, 0)</f>
        <v>Low Risk</v>
      </c>
    </row>
    <row r="2409" spans="1:14">
      <c r="A2409" s="2">
        <v>0.50259259259259259</v>
      </c>
      <c r="B2409" s="3">
        <v>44841</v>
      </c>
      <c r="C2409" s="1">
        <v>237682274</v>
      </c>
      <c r="D2409" s="1">
        <v>5109623450</v>
      </c>
      <c r="E2409" s="1">
        <v>7195.8</v>
      </c>
      <c r="F2409" s="1" t="s">
        <v>12</v>
      </c>
      <c r="G2409" s="1" t="s">
        <v>12</v>
      </c>
      <c r="H2409" s="1" t="s">
        <v>13</v>
      </c>
      <c r="I2409" s="1" t="s">
        <v>13</v>
      </c>
      <c r="J2409" s="1" t="s">
        <v>20</v>
      </c>
      <c r="K2409" s="1">
        <v>0</v>
      </c>
      <c r="L2409" s="1" t="s">
        <v>23</v>
      </c>
      <c r="M2409" s="1" t="str">
        <f t="shared" si="37"/>
        <v>Consistent</v>
      </c>
      <c r="N2409" s="1" t="str">
        <f>_xlfn.XLOOKUP(H2409, risk_score!A:A, risk_score!B:B, 0)</f>
        <v>Low Risk</v>
      </c>
    </row>
    <row r="2410" spans="1:14">
      <c r="A2410" s="2">
        <v>0.50259259259259259</v>
      </c>
      <c r="B2410" s="3">
        <v>44841</v>
      </c>
      <c r="C2410" s="1">
        <v>7837548824</v>
      </c>
      <c r="D2410" s="1">
        <v>7935735988</v>
      </c>
      <c r="E2410" s="1">
        <v>345.86</v>
      </c>
      <c r="F2410" s="1" t="s">
        <v>12</v>
      </c>
      <c r="G2410" s="1" t="s">
        <v>12</v>
      </c>
      <c r="H2410" s="1" t="s">
        <v>13</v>
      </c>
      <c r="I2410" s="1" t="s">
        <v>13</v>
      </c>
      <c r="J2410" s="1" t="s">
        <v>27</v>
      </c>
      <c r="K2410" s="1">
        <v>0</v>
      </c>
      <c r="L2410" s="1" t="s">
        <v>21</v>
      </c>
      <c r="M2410" s="1" t="str">
        <f t="shared" si="37"/>
        <v>Consistent</v>
      </c>
      <c r="N2410" s="1" t="str">
        <f>_xlfn.XLOOKUP(H2410, risk_score!A:A, risk_score!B:B, 0)</f>
        <v>Low Risk</v>
      </c>
    </row>
    <row r="2411" spans="1:14">
      <c r="A2411" s="2">
        <v>0.50260416666666663</v>
      </c>
      <c r="B2411" s="3">
        <v>44841</v>
      </c>
      <c r="C2411" s="1">
        <v>9093631380</v>
      </c>
      <c r="D2411" s="1">
        <v>8425878016</v>
      </c>
      <c r="E2411" s="1">
        <v>15594.8</v>
      </c>
      <c r="F2411" s="1" t="s">
        <v>12</v>
      </c>
      <c r="G2411" s="1" t="s">
        <v>12</v>
      </c>
      <c r="H2411" s="1" t="s">
        <v>13</v>
      </c>
      <c r="I2411" s="1" t="s">
        <v>13</v>
      </c>
      <c r="J2411" s="1" t="s">
        <v>27</v>
      </c>
      <c r="K2411" s="1">
        <v>0</v>
      </c>
      <c r="L2411" s="1" t="s">
        <v>24</v>
      </c>
      <c r="M2411" s="1" t="str">
        <f t="shared" si="37"/>
        <v>Consistent</v>
      </c>
      <c r="N2411" s="1" t="str">
        <f>_xlfn.XLOOKUP(H2411, risk_score!A:A, risk_score!B:B, 0)</f>
        <v>Low Risk</v>
      </c>
    </row>
    <row r="2412" spans="1:14">
      <c r="A2412" s="2">
        <v>0.50262731481481482</v>
      </c>
      <c r="B2412" s="3">
        <v>44841</v>
      </c>
      <c r="C2412" s="1">
        <v>9630883739</v>
      </c>
      <c r="D2412" s="1">
        <v>2364807807</v>
      </c>
      <c r="E2412" s="1">
        <v>2010.1</v>
      </c>
      <c r="F2412" s="1" t="s">
        <v>12</v>
      </c>
      <c r="G2412" s="1" t="s">
        <v>12</v>
      </c>
      <c r="H2412" s="1" t="s">
        <v>13</v>
      </c>
      <c r="I2412" s="1" t="s">
        <v>13</v>
      </c>
      <c r="J2412" s="1" t="s">
        <v>20</v>
      </c>
      <c r="K2412" s="1">
        <v>0</v>
      </c>
      <c r="L2412" s="1" t="s">
        <v>21</v>
      </c>
      <c r="M2412" s="1" t="str">
        <f t="shared" si="37"/>
        <v>Consistent</v>
      </c>
      <c r="N2412" s="1" t="str">
        <f>_xlfn.XLOOKUP(H2412, risk_score!A:A, risk_score!B:B, 0)</f>
        <v>Low Risk</v>
      </c>
    </row>
    <row r="2413" spans="1:14">
      <c r="A2413" s="2">
        <v>0.50265046296296301</v>
      </c>
      <c r="B2413" s="3">
        <v>44841</v>
      </c>
      <c r="C2413" s="1">
        <v>3442075999</v>
      </c>
      <c r="D2413" s="1">
        <v>1881545328</v>
      </c>
      <c r="E2413" s="1">
        <v>29850.09</v>
      </c>
      <c r="F2413" s="1" t="s">
        <v>29</v>
      </c>
      <c r="G2413" s="1" t="s">
        <v>12</v>
      </c>
      <c r="H2413" s="1" t="s">
        <v>50</v>
      </c>
      <c r="I2413" s="1" t="s">
        <v>13</v>
      </c>
      <c r="J2413" s="1" t="s">
        <v>18</v>
      </c>
      <c r="K2413" s="1">
        <v>0</v>
      </c>
      <c r="L2413" s="1" t="s">
        <v>21</v>
      </c>
      <c r="M2413" s="1" t="str">
        <f t="shared" si="37"/>
        <v>Potential Layering</v>
      </c>
      <c r="N2413" s="1" t="str">
        <f>_xlfn.XLOOKUP(H2413, risk_score!A:A, risk_score!B:B, 0)</f>
        <v>Low Risk</v>
      </c>
    </row>
    <row r="2414" spans="1:14">
      <c r="A2414" s="2">
        <v>0.50266203703703705</v>
      </c>
      <c r="B2414" s="3">
        <v>44841</v>
      </c>
      <c r="C2414" s="1">
        <v>217239763</v>
      </c>
      <c r="D2414" s="1">
        <v>2582625514</v>
      </c>
      <c r="E2414" s="1">
        <v>4412.78</v>
      </c>
      <c r="F2414" s="1" t="s">
        <v>12</v>
      </c>
      <c r="G2414" s="1" t="s">
        <v>12</v>
      </c>
      <c r="H2414" s="1" t="s">
        <v>13</v>
      </c>
      <c r="I2414" s="1" t="s">
        <v>13</v>
      </c>
      <c r="J2414" s="1" t="s">
        <v>14</v>
      </c>
      <c r="K2414" s="1">
        <v>0</v>
      </c>
      <c r="L2414" s="1" t="s">
        <v>15</v>
      </c>
      <c r="M2414" s="1" t="str">
        <f t="shared" si="37"/>
        <v>Consistent</v>
      </c>
      <c r="N2414" s="1" t="str">
        <f>_xlfn.XLOOKUP(H2414, risk_score!A:A, risk_score!B:B, 0)</f>
        <v>Low Risk</v>
      </c>
    </row>
    <row r="2415" spans="1:14">
      <c r="A2415" s="2">
        <v>0.50275462962962958</v>
      </c>
      <c r="B2415" s="3">
        <v>44841</v>
      </c>
      <c r="C2415" s="1">
        <v>7421451752</v>
      </c>
      <c r="D2415" s="1">
        <v>2755709071</v>
      </c>
      <c r="E2415" s="1">
        <v>5881.57</v>
      </c>
      <c r="F2415" s="1" t="s">
        <v>12</v>
      </c>
      <c r="G2415" s="1" t="s">
        <v>12</v>
      </c>
      <c r="H2415" s="1" t="s">
        <v>13</v>
      </c>
      <c r="I2415" s="1" t="s">
        <v>13</v>
      </c>
      <c r="J2415" s="1" t="s">
        <v>27</v>
      </c>
      <c r="K2415" s="1">
        <v>0</v>
      </c>
      <c r="L2415" s="1" t="s">
        <v>19</v>
      </c>
      <c r="M2415" s="1" t="str">
        <f t="shared" si="37"/>
        <v>Consistent</v>
      </c>
      <c r="N2415" s="1" t="str">
        <f>_xlfn.XLOOKUP(H2415, risk_score!A:A, risk_score!B:B, 0)</f>
        <v>Low Risk</v>
      </c>
    </row>
    <row r="2416" spans="1:14">
      <c r="A2416" s="2">
        <v>0.50276620370370373</v>
      </c>
      <c r="B2416" s="3">
        <v>44841</v>
      </c>
      <c r="C2416" s="1">
        <v>8203229522</v>
      </c>
      <c r="D2416" s="1">
        <v>9897263201</v>
      </c>
      <c r="E2416" s="1">
        <v>12765.19</v>
      </c>
      <c r="F2416" s="1" t="s">
        <v>12</v>
      </c>
      <c r="G2416" s="1" t="s">
        <v>12</v>
      </c>
      <c r="H2416" s="1" t="s">
        <v>13</v>
      </c>
      <c r="I2416" s="1" t="s">
        <v>13</v>
      </c>
      <c r="J2416" s="1" t="s">
        <v>25</v>
      </c>
      <c r="K2416" s="1">
        <v>0</v>
      </c>
      <c r="L2416" s="1" t="s">
        <v>19</v>
      </c>
      <c r="M2416" s="1" t="str">
        <f t="shared" si="37"/>
        <v>Consistent</v>
      </c>
      <c r="N2416" s="1" t="str">
        <f>_xlfn.XLOOKUP(H2416, risk_score!A:A, risk_score!B:B, 0)</f>
        <v>Low Risk</v>
      </c>
    </row>
    <row r="2417" spans="1:14">
      <c r="A2417" s="2">
        <v>0.50280092592592596</v>
      </c>
      <c r="B2417" s="3">
        <v>44841</v>
      </c>
      <c r="C2417" s="1">
        <v>9734083970</v>
      </c>
      <c r="D2417" s="1">
        <v>2792106785</v>
      </c>
      <c r="E2417" s="1">
        <v>7899.79</v>
      </c>
      <c r="F2417" s="1" t="s">
        <v>12</v>
      </c>
      <c r="G2417" s="1" t="s">
        <v>12</v>
      </c>
      <c r="H2417" s="1" t="s">
        <v>13</v>
      </c>
      <c r="I2417" s="1" t="s">
        <v>13</v>
      </c>
      <c r="J2417" s="1" t="s">
        <v>22</v>
      </c>
      <c r="K2417" s="1">
        <v>0</v>
      </c>
      <c r="L2417" s="1" t="s">
        <v>19</v>
      </c>
      <c r="M2417" s="1" t="str">
        <f t="shared" si="37"/>
        <v>Consistent</v>
      </c>
      <c r="N2417" s="1" t="str">
        <f>_xlfn.XLOOKUP(H2417, risk_score!A:A, risk_score!B:B, 0)</f>
        <v>Low Risk</v>
      </c>
    </row>
    <row r="2418" spans="1:14">
      <c r="A2418" s="2">
        <v>0.50283564814814818</v>
      </c>
      <c r="B2418" s="3">
        <v>44841</v>
      </c>
      <c r="C2418" s="1">
        <v>229007460</v>
      </c>
      <c r="D2418" s="1">
        <v>7827518643</v>
      </c>
      <c r="E2418" s="1">
        <v>673.61</v>
      </c>
      <c r="F2418" s="1" t="s">
        <v>12</v>
      </c>
      <c r="G2418" s="1" t="s">
        <v>29</v>
      </c>
      <c r="H2418" s="1" t="s">
        <v>13</v>
      </c>
      <c r="I2418" s="1" t="s">
        <v>31</v>
      </c>
      <c r="J2418" s="1" t="s">
        <v>18</v>
      </c>
      <c r="K2418" s="1">
        <v>0</v>
      </c>
      <c r="L2418" s="1" t="s">
        <v>21</v>
      </c>
      <c r="M2418" s="1" t="str">
        <f t="shared" si="37"/>
        <v>Potential Layering</v>
      </c>
      <c r="N2418" s="1" t="str">
        <f>_xlfn.XLOOKUP(H2418, risk_score!A:A, risk_score!B:B, 0)</f>
        <v>Low Risk</v>
      </c>
    </row>
    <row r="2419" spans="1:14">
      <c r="A2419" s="2">
        <v>0.50295138888888891</v>
      </c>
      <c r="B2419" s="3">
        <v>44841</v>
      </c>
      <c r="C2419" s="1">
        <v>4647388553</v>
      </c>
      <c r="D2419" s="1">
        <v>5128042167</v>
      </c>
      <c r="E2419" s="1">
        <v>6759.94</v>
      </c>
      <c r="F2419" s="1" t="s">
        <v>12</v>
      </c>
      <c r="G2419" s="1" t="s">
        <v>12</v>
      </c>
      <c r="H2419" s="1" t="s">
        <v>13</v>
      </c>
      <c r="I2419" s="1" t="s">
        <v>13</v>
      </c>
      <c r="J2419" s="1" t="s">
        <v>27</v>
      </c>
      <c r="K2419" s="1">
        <v>0</v>
      </c>
      <c r="L2419" s="1" t="s">
        <v>21</v>
      </c>
      <c r="M2419" s="1" t="str">
        <f t="shared" si="37"/>
        <v>Consistent</v>
      </c>
      <c r="N2419" s="1" t="str">
        <f>_xlfn.XLOOKUP(H2419, risk_score!A:A, risk_score!B:B, 0)</f>
        <v>Low Risk</v>
      </c>
    </row>
    <row r="2420" spans="1:14">
      <c r="A2420" s="2">
        <v>0.50298611111111113</v>
      </c>
      <c r="B2420" s="3">
        <v>44841</v>
      </c>
      <c r="C2420" s="1">
        <v>648937549</v>
      </c>
      <c r="D2420" s="1">
        <v>3196656190</v>
      </c>
      <c r="E2420" s="1">
        <v>6086.21</v>
      </c>
      <c r="F2420" s="1" t="s">
        <v>12</v>
      </c>
      <c r="G2420" s="1" t="s">
        <v>12</v>
      </c>
      <c r="H2420" s="1" t="s">
        <v>13</v>
      </c>
      <c r="I2420" s="1" t="s">
        <v>13</v>
      </c>
      <c r="J2420" s="1" t="s">
        <v>22</v>
      </c>
      <c r="K2420" s="1">
        <v>0</v>
      </c>
      <c r="L2420" s="1" t="s">
        <v>21</v>
      </c>
      <c r="M2420" s="1" t="str">
        <f t="shared" si="37"/>
        <v>Consistent</v>
      </c>
      <c r="N2420" s="1" t="str">
        <f>_xlfn.XLOOKUP(H2420, risk_score!A:A, risk_score!B:B, 0)</f>
        <v>Low Risk</v>
      </c>
    </row>
    <row r="2421" spans="1:14">
      <c r="A2421" s="2">
        <v>0.50302083333333336</v>
      </c>
      <c r="B2421" s="3">
        <v>44841</v>
      </c>
      <c r="C2421" s="1">
        <v>251879181</v>
      </c>
      <c r="D2421" s="1">
        <v>389536150</v>
      </c>
      <c r="E2421" s="1">
        <v>793.39</v>
      </c>
      <c r="F2421" s="1" t="s">
        <v>12</v>
      </c>
      <c r="G2421" s="1" t="s">
        <v>12</v>
      </c>
      <c r="H2421" s="1" t="s">
        <v>13</v>
      </c>
      <c r="I2421" s="1" t="s">
        <v>13</v>
      </c>
      <c r="J2421" s="1" t="s">
        <v>27</v>
      </c>
      <c r="K2421" s="1">
        <v>0</v>
      </c>
      <c r="L2421" s="1" t="s">
        <v>21</v>
      </c>
      <c r="M2421" s="1" t="str">
        <f t="shared" si="37"/>
        <v>Consistent</v>
      </c>
      <c r="N2421" s="1" t="str">
        <f>_xlfn.XLOOKUP(H2421, risk_score!A:A, risk_score!B:B, 0)</f>
        <v>Low Risk</v>
      </c>
    </row>
    <row r="2422" spans="1:14">
      <c r="A2422" s="2">
        <v>0.5030324074074074</v>
      </c>
      <c r="B2422" s="3">
        <v>44841</v>
      </c>
      <c r="C2422" s="1">
        <v>7669236826</v>
      </c>
      <c r="D2422" s="1">
        <v>5112224952</v>
      </c>
      <c r="E2422" s="1">
        <v>9428.01</v>
      </c>
      <c r="F2422" s="1" t="s">
        <v>12</v>
      </c>
      <c r="G2422" s="1" t="s">
        <v>12</v>
      </c>
      <c r="H2422" s="1" t="s">
        <v>13</v>
      </c>
      <c r="I2422" s="1" t="s">
        <v>13</v>
      </c>
      <c r="J2422" s="1" t="s">
        <v>27</v>
      </c>
      <c r="K2422" s="1">
        <v>0</v>
      </c>
      <c r="L2422" s="1" t="s">
        <v>19</v>
      </c>
      <c r="M2422" s="1" t="str">
        <f t="shared" si="37"/>
        <v>Consistent</v>
      </c>
      <c r="N2422" s="1" t="str">
        <f>_xlfn.XLOOKUP(H2422, risk_score!A:A, risk_score!B:B, 0)</f>
        <v>Low Risk</v>
      </c>
    </row>
    <row r="2423" spans="1:14">
      <c r="A2423" s="2">
        <v>0.50306712962962963</v>
      </c>
      <c r="B2423" s="3">
        <v>44841</v>
      </c>
      <c r="C2423" s="1">
        <v>5129412985</v>
      </c>
      <c r="D2423" s="1">
        <v>2855896317</v>
      </c>
      <c r="E2423" s="1">
        <v>110.87</v>
      </c>
      <c r="F2423" s="1" t="s">
        <v>12</v>
      </c>
      <c r="G2423" s="1" t="s">
        <v>12</v>
      </c>
      <c r="H2423" s="1" t="s">
        <v>13</v>
      </c>
      <c r="I2423" s="1" t="s">
        <v>13</v>
      </c>
      <c r="J2423" s="1" t="s">
        <v>36</v>
      </c>
      <c r="K2423" s="1">
        <v>0</v>
      </c>
      <c r="L2423" s="1" t="s">
        <v>37</v>
      </c>
      <c r="M2423" s="1" t="str">
        <f t="shared" si="37"/>
        <v>Consistent</v>
      </c>
      <c r="N2423" s="1" t="str">
        <f>_xlfn.XLOOKUP(H2423, risk_score!A:A, risk_score!B:B, 0)</f>
        <v>Low Risk</v>
      </c>
    </row>
    <row r="2424" spans="1:14">
      <c r="A2424" s="2">
        <v>0.50309027777777782</v>
      </c>
      <c r="B2424" s="3">
        <v>44841</v>
      </c>
      <c r="C2424" s="1">
        <v>757587762</v>
      </c>
      <c r="D2424" s="1">
        <v>6176629545</v>
      </c>
      <c r="E2424" s="1">
        <v>19952.830000000002</v>
      </c>
      <c r="F2424" s="1" t="s">
        <v>12</v>
      </c>
      <c r="G2424" s="1" t="s">
        <v>12</v>
      </c>
      <c r="H2424" s="1" t="s">
        <v>13</v>
      </c>
      <c r="I2424" s="1" t="s">
        <v>13</v>
      </c>
      <c r="J2424" s="1" t="s">
        <v>22</v>
      </c>
      <c r="K2424" s="1">
        <v>0</v>
      </c>
      <c r="L2424" s="1" t="s">
        <v>21</v>
      </c>
      <c r="M2424" s="1" t="str">
        <f t="shared" si="37"/>
        <v>Consistent</v>
      </c>
      <c r="N2424" s="1" t="str">
        <f>_xlfn.XLOOKUP(H2424, risk_score!A:A, risk_score!B:B, 0)</f>
        <v>Low Risk</v>
      </c>
    </row>
    <row r="2425" spans="1:14">
      <c r="A2425" s="2">
        <v>0.50313657407407408</v>
      </c>
      <c r="B2425" s="3">
        <v>44841</v>
      </c>
      <c r="C2425" s="1">
        <v>7468481487</v>
      </c>
      <c r="D2425" s="1">
        <v>5071265406</v>
      </c>
      <c r="E2425" s="1">
        <v>22715.59</v>
      </c>
      <c r="F2425" s="1" t="s">
        <v>12</v>
      </c>
      <c r="G2425" s="1" t="s">
        <v>12</v>
      </c>
      <c r="H2425" s="1" t="s">
        <v>13</v>
      </c>
      <c r="I2425" s="1" t="s">
        <v>13</v>
      </c>
      <c r="J2425" s="1" t="s">
        <v>20</v>
      </c>
      <c r="K2425" s="1">
        <v>0</v>
      </c>
      <c r="L2425" s="1" t="s">
        <v>21</v>
      </c>
      <c r="M2425" s="1" t="str">
        <f t="shared" si="37"/>
        <v>Consistent</v>
      </c>
      <c r="N2425" s="1" t="str">
        <f>_xlfn.XLOOKUP(H2425, risk_score!A:A, risk_score!B:B, 0)</f>
        <v>Low Risk</v>
      </c>
    </row>
    <row r="2426" spans="1:14">
      <c r="A2426" s="2">
        <v>0.50315972222222227</v>
      </c>
      <c r="B2426" s="3">
        <v>44841</v>
      </c>
      <c r="C2426" s="1">
        <v>2562020395</v>
      </c>
      <c r="D2426" s="1">
        <v>1431561040</v>
      </c>
      <c r="E2426" s="1">
        <v>10093.959999999999</v>
      </c>
      <c r="F2426" s="1" t="s">
        <v>12</v>
      </c>
      <c r="G2426" s="1" t="s">
        <v>12</v>
      </c>
      <c r="H2426" s="1" t="s">
        <v>13</v>
      </c>
      <c r="I2426" s="1" t="s">
        <v>13</v>
      </c>
      <c r="J2426" s="1" t="s">
        <v>25</v>
      </c>
      <c r="K2426" s="1">
        <v>0</v>
      </c>
      <c r="L2426" s="1" t="s">
        <v>23</v>
      </c>
      <c r="M2426" s="1" t="str">
        <f t="shared" si="37"/>
        <v>Consistent</v>
      </c>
      <c r="N2426" s="1" t="str">
        <f>_xlfn.XLOOKUP(H2426, risk_score!A:A, risk_score!B:B, 0)</f>
        <v>Low Risk</v>
      </c>
    </row>
    <row r="2427" spans="1:14">
      <c r="A2427" s="2">
        <v>0.50317129629629631</v>
      </c>
      <c r="B2427" s="3">
        <v>44841</v>
      </c>
      <c r="C2427" s="1">
        <v>7444122993</v>
      </c>
      <c r="D2427" s="1">
        <v>3401350105</v>
      </c>
      <c r="E2427" s="1">
        <v>1821.04</v>
      </c>
      <c r="F2427" s="1" t="s">
        <v>12</v>
      </c>
      <c r="G2427" s="1" t="s">
        <v>12</v>
      </c>
      <c r="H2427" s="1" t="s">
        <v>13</v>
      </c>
      <c r="I2427" s="1" t="s">
        <v>13</v>
      </c>
      <c r="J2427" s="1" t="s">
        <v>27</v>
      </c>
      <c r="K2427" s="1">
        <v>0</v>
      </c>
      <c r="L2427" s="1" t="s">
        <v>21</v>
      </c>
      <c r="M2427" s="1" t="str">
        <f t="shared" si="37"/>
        <v>Consistent</v>
      </c>
      <c r="N2427" s="1" t="str">
        <f>_xlfn.XLOOKUP(H2427, risk_score!A:A, risk_score!B:B, 0)</f>
        <v>Low Risk</v>
      </c>
    </row>
    <row r="2428" spans="1:14">
      <c r="A2428" s="2">
        <v>0.50317129629629631</v>
      </c>
      <c r="B2428" s="3">
        <v>44841</v>
      </c>
      <c r="C2428" s="1">
        <v>3432730035</v>
      </c>
      <c r="D2428" s="1">
        <v>2491859309</v>
      </c>
      <c r="E2428" s="1">
        <v>799.85</v>
      </c>
      <c r="F2428" s="1" t="s">
        <v>12</v>
      </c>
      <c r="G2428" s="1" t="s">
        <v>12</v>
      </c>
      <c r="H2428" s="1" t="s">
        <v>13</v>
      </c>
      <c r="I2428" s="1" t="s">
        <v>13</v>
      </c>
      <c r="J2428" s="1" t="s">
        <v>14</v>
      </c>
      <c r="K2428" s="1">
        <v>0</v>
      </c>
      <c r="L2428" s="1" t="s">
        <v>15</v>
      </c>
      <c r="M2428" s="1" t="str">
        <f t="shared" si="37"/>
        <v>Consistent</v>
      </c>
      <c r="N2428" s="1" t="str">
        <f>_xlfn.XLOOKUP(H2428, risk_score!A:A, risk_score!B:B, 0)</f>
        <v>Low Risk</v>
      </c>
    </row>
    <row r="2429" spans="1:14">
      <c r="A2429" s="2">
        <v>0.50318287037037035</v>
      </c>
      <c r="B2429" s="3">
        <v>44841</v>
      </c>
      <c r="C2429" s="1">
        <v>3510078932</v>
      </c>
      <c r="D2429" s="1">
        <v>6544532856</v>
      </c>
      <c r="E2429" s="1">
        <v>15810.04</v>
      </c>
      <c r="F2429" s="1" t="s">
        <v>12</v>
      </c>
      <c r="G2429" s="1" t="s">
        <v>12</v>
      </c>
      <c r="H2429" s="1" t="s">
        <v>13</v>
      </c>
      <c r="I2429" s="1" t="s">
        <v>13</v>
      </c>
      <c r="J2429" s="1" t="s">
        <v>22</v>
      </c>
      <c r="K2429" s="1">
        <v>0</v>
      </c>
      <c r="L2429" s="1" t="s">
        <v>19</v>
      </c>
      <c r="M2429" s="1" t="str">
        <f t="shared" si="37"/>
        <v>Consistent</v>
      </c>
      <c r="N2429" s="1" t="str">
        <f>_xlfn.XLOOKUP(H2429, risk_score!A:A, risk_score!B:B, 0)</f>
        <v>Low Risk</v>
      </c>
    </row>
    <row r="2430" spans="1:14">
      <c r="A2430" s="2">
        <v>0.5031944444444445</v>
      </c>
      <c r="B2430" s="3">
        <v>44841</v>
      </c>
      <c r="C2430" s="1">
        <v>1691652384</v>
      </c>
      <c r="D2430" s="1">
        <v>5866835521</v>
      </c>
      <c r="E2430" s="1">
        <v>109847.33</v>
      </c>
      <c r="F2430" s="1" t="s">
        <v>12</v>
      </c>
      <c r="G2430" s="1" t="s">
        <v>12</v>
      </c>
      <c r="H2430" s="1" t="s">
        <v>13</v>
      </c>
      <c r="I2430" s="1" t="s">
        <v>13</v>
      </c>
      <c r="J2430" s="1" t="s">
        <v>20</v>
      </c>
      <c r="K2430" s="1">
        <v>0</v>
      </c>
      <c r="L2430" s="1" t="s">
        <v>58</v>
      </c>
      <c r="M2430" s="1" t="str">
        <f t="shared" si="37"/>
        <v>Consistent</v>
      </c>
      <c r="N2430" s="1" t="str">
        <f>_xlfn.XLOOKUP(H2430, risk_score!A:A, risk_score!B:B, 0)</f>
        <v>Low Risk</v>
      </c>
    </row>
    <row r="2431" spans="1:14">
      <c r="A2431" s="2">
        <v>0.50321759259259258</v>
      </c>
      <c r="B2431" s="3">
        <v>44841</v>
      </c>
      <c r="C2431" s="1">
        <v>3898972734</v>
      </c>
      <c r="D2431" s="1">
        <v>3947868692</v>
      </c>
      <c r="E2431" s="1">
        <v>168.24</v>
      </c>
      <c r="F2431" s="1" t="s">
        <v>12</v>
      </c>
      <c r="G2431" s="1" t="s">
        <v>12</v>
      </c>
      <c r="H2431" s="1" t="s">
        <v>13</v>
      </c>
      <c r="I2431" s="1" t="s">
        <v>13</v>
      </c>
      <c r="J2431" s="1" t="s">
        <v>36</v>
      </c>
      <c r="K2431" s="1">
        <v>0</v>
      </c>
      <c r="L2431" s="1" t="s">
        <v>37</v>
      </c>
      <c r="M2431" s="1" t="str">
        <f t="shared" si="37"/>
        <v>Consistent</v>
      </c>
      <c r="N2431" s="1" t="str">
        <f>_xlfn.XLOOKUP(H2431, risk_score!A:A, risk_score!B:B, 0)</f>
        <v>Low Risk</v>
      </c>
    </row>
    <row r="2432" spans="1:14">
      <c r="A2432" s="2">
        <v>0.50327546296296299</v>
      </c>
      <c r="B2432" s="3">
        <v>44841</v>
      </c>
      <c r="C2432" s="1">
        <v>3790320606</v>
      </c>
      <c r="D2432" s="1">
        <v>6070841449</v>
      </c>
      <c r="E2432" s="1">
        <v>51.38</v>
      </c>
      <c r="F2432" s="1" t="s">
        <v>12</v>
      </c>
      <c r="G2432" s="1" t="s">
        <v>12</v>
      </c>
      <c r="H2432" s="1" t="s">
        <v>13</v>
      </c>
      <c r="I2432" s="1" t="s">
        <v>13</v>
      </c>
      <c r="J2432" s="1" t="s">
        <v>27</v>
      </c>
      <c r="K2432" s="1">
        <v>0</v>
      </c>
      <c r="L2432" s="1" t="s">
        <v>21</v>
      </c>
      <c r="M2432" s="1" t="str">
        <f t="shared" si="37"/>
        <v>Consistent</v>
      </c>
      <c r="N2432" s="1" t="str">
        <f>_xlfn.XLOOKUP(H2432, risk_score!A:A, risk_score!B:B, 0)</f>
        <v>Low Risk</v>
      </c>
    </row>
    <row r="2433" spans="1:14">
      <c r="A2433" s="2">
        <v>0.50327546296296299</v>
      </c>
      <c r="B2433" s="3">
        <v>44841</v>
      </c>
      <c r="C2433" s="1">
        <v>6742623852</v>
      </c>
      <c r="D2433" s="1">
        <v>551907699</v>
      </c>
      <c r="E2433" s="1">
        <v>8952.9</v>
      </c>
      <c r="F2433" s="1" t="s">
        <v>12</v>
      </c>
      <c r="G2433" s="1" t="s">
        <v>12</v>
      </c>
      <c r="H2433" s="1" t="s">
        <v>13</v>
      </c>
      <c r="I2433" s="1" t="s">
        <v>13</v>
      </c>
      <c r="J2433" s="1" t="s">
        <v>20</v>
      </c>
      <c r="K2433" s="1">
        <v>0</v>
      </c>
      <c r="L2433" s="1" t="s">
        <v>38</v>
      </c>
      <c r="M2433" s="1" t="str">
        <f t="shared" si="37"/>
        <v>Consistent</v>
      </c>
      <c r="N2433" s="1" t="str">
        <f>_xlfn.XLOOKUP(H2433, risk_score!A:A, risk_score!B:B, 0)</f>
        <v>Low Risk</v>
      </c>
    </row>
    <row r="2434" spans="1:14">
      <c r="A2434" s="2">
        <v>0.50329861111111107</v>
      </c>
      <c r="B2434" s="3">
        <v>44841</v>
      </c>
      <c r="C2434" s="1">
        <v>6086421020</v>
      </c>
      <c r="D2434" s="1">
        <v>1799978362</v>
      </c>
      <c r="E2434" s="1">
        <v>7730.41</v>
      </c>
      <c r="F2434" s="1" t="s">
        <v>12</v>
      </c>
      <c r="G2434" s="1" t="s">
        <v>12</v>
      </c>
      <c r="H2434" s="1" t="s">
        <v>13</v>
      </c>
      <c r="I2434" s="1" t="s">
        <v>13</v>
      </c>
      <c r="J2434" s="1" t="s">
        <v>25</v>
      </c>
      <c r="K2434" s="1">
        <v>0</v>
      </c>
      <c r="L2434" s="1" t="s">
        <v>19</v>
      </c>
      <c r="M2434" s="1" t="str">
        <f t="shared" si="37"/>
        <v>Consistent</v>
      </c>
      <c r="N2434" s="1" t="str">
        <f>_xlfn.XLOOKUP(H2434, risk_score!A:A, risk_score!B:B, 0)</f>
        <v>Low Risk</v>
      </c>
    </row>
    <row r="2435" spans="1:14">
      <c r="A2435" s="2">
        <v>0.50332175925925926</v>
      </c>
      <c r="B2435" s="3">
        <v>44841</v>
      </c>
      <c r="C2435" s="1">
        <v>3614082527</v>
      </c>
      <c r="D2435" s="1">
        <v>1542761342</v>
      </c>
      <c r="E2435" s="1">
        <v>7317.72</v>
      </c>
      <c r="F2435" s="1" t="s">
        <v>12</v>
      </c>
      <c r="G2435" s="1" t="s">
        <v>12</v>
      </c>
      <c r="H2435" s="1" t="s">
        <v>13</v>
      </c>
      <c r="I2435" s="1" t="s">
        <v>13</v>
      </c>
      <c r="J2435" s="1" t="s">
        <v>20</v>
      </c>
      <c r="K2435" s="1">
        <v>0</v>
      </c>
      <c r="L2435" s="1" t="s">
        <v>19</v>
      </c>
      <c r="M2435" s="1" t="str">
        <f t="shared" ref="M2435:M2498" si="38">IF(F2435=G2435, "Consistent", "Potential Layering")</f>
        <v>Consistent</v>
      </c>
      <c r="N2435" s="1" t="str">
        <f>_xlfn.XLOOKUP(H2435, risk_score!A:A, risk_score!B:B, 0)</f>
        <v>Low Risk</v>
      </c>
    </row>
    <row r="2436" spans="1:14">
      <c r="A2436" s="2">
        <v>0.5033333333333333</v>
      </c>
      <c r="B2436" s="3">
        <v>44841</v>
      </c>
      <c r="C2436" s="1">
        <v>9771467563</v>
      </c>
      <c r="D2436" s="1">
        <v>6077900993</v>
      </c>
      <c r="E2436" s="1">
        <v>2308.0700000000002</v>
      </c>
      <c r="F2436" s="1" t="s">
        <v>12</v>
      </c>
      <c r="G2436" s="1" t="s">
        <v>12</v>
      </c>
      <c r="H2436" s="1" t="s">
        <v>13</v>
      </c>
      <c r="I2436" s="1" t="s">
        <v>13</v>
      </c>
      <c r="J2436" s="1" t="s">
        <v>20</v>
      </c>
      <c r="K2436" s="1">
        <v>0</v>
      </c>
      <c r="L2436" s="1" t="s">
        <v>24</v>
      </c>
      <c r="M2436" s="1" t="str">
        <f t="shared" si="38"/>
        <v>Consistent</v>
      </c>
      <c r="N2436" s="1" t="str">
        <f>_xlfn.XLOOKUP(H2436, risk_score!A:A, risk_score!B:B, 0)</f>
        <v>Low Risk</v>
      </c>
    </row>
    <row r="2437" spans="1:14">
      <c r="A2437" s="2">
        <v>0.50336805555555553</v>
      </c>
      <c r="B2437" s="3">
        <v>44841</v>
      </c>
      <c r="C2437" s="1">
        <v>8952177221</v>
      </c>
      <c r="D2437" s="1">
        <v>3031188286</v>
      </c>
      <c r="E2437" s="1">
        <v>11824.33</v>
      </c>
      <c r="F2437" s="1" t="s">
        <v>12</v>
      </c>
      <c r="G2437" s="1" t="s">
        <v>12</v>
      </c>
      <c r="H2437" s="1" t="s">
        <v>13</v>
      </c>
      <c r="I2437" s="1" t="s">
        <v>13</v>
      </c>
      <c r="J2437" s="1" t="s">
        <v>25</v>
      </c>
      <c r="K2437" s="1">
        <v>0</v>
      </c>
      <c r="L2437" s="1" t="s">
        <v>19</v>
      </c>
      <c r="M2437" s="1" t="str">
        <f t="shared" si="38"/>
        <v>Consistent</v>
      </c>
      <c r="N2437" s="1" t="str">
        <f>_xlfn.XLOOKUP(H2437, risk_score!A:A, risk_score!B:B, 0)</f>
        <v>Low Risk</v>
      </c>
    </row>
    <row r="2438" spans="1:14">
      <c r="A2438" s="2">
        <v>0.50339120370370372</v>
      </c>
      <c r="B2438" s="3">
        <v>44841</v>
      </c>
      <c r="C2438" s="1">
        <v>1378784400</v>
      </c>
      <c r="D2438" s="1">
        <v>7780773895</v>
      </c>
      <c r="E2438" s="1">
        <v>5134.46</v>
      </c>
      <c r="F2438" s="1" t="s">
        <v>12</v>
      </c>
      <c r="G2438" s="1" t="s">
        <v>12</v>
      </c>
      <c r="H2438" s="1" t="s">
        <v>13</v>
      </c>
      <c r="I2438" s="1" t="s">
        <v>13</v>
      </c>
      <c r="J2438" s="1" t="s">
        <v>25</v>
      </c>
      <c r="K2438" s="1">
        <v>0</v>
      </c>
      <c r="L2438" s="1" t="s">
        <v>19</v>
      </c>
      <c r="M2438" s="1" t="str">
        <f t="shared" si="38"/>
        <v>Consistent</v>
      </c>
      <c r="N2438" s="1" t="str">
        <f>_xlfn.XLOOKUP(H2438, risk_score!A:A, risk_score!B:B, 0)</f>
        <v>Low Risk</v>
      </c>
    </row>
    <row r="2439" spans="1:14">
      <c r="A2439" s="2">
        <v>0.50343749999999998</v>
      </c>
      <c r="B2439" s="3">
        <v>44841</v>
      </c>
      <c r="C2439" s="1">
        <v>8987848252</v>
      </c>
      <c r="D2439" s="1">
        <v>6000919396</v>
      </c>
      <c r="E2439" s="1">
        <v>10598.55</v>
      </c>
      <c r="F2439" s="1" t="s">
        <v>12</v>
      </c>
      <c r="G2439" s="1" t="s">
        <v>12</v>
      </c>
      <c r="H2439" s="1" t="s">
        <v>13</v>
      </c>
      <c r="I2439" s="1" t="s">
        <v>13</v>
      </c>
      <c r="J2439" s="1" t="s">
        <v>22</v>
      </c>
      <c r="K2439" s="1">
        <v>0</v>
      </c>
      <c r="L2439" s="1" t="s">
        <v>19</v>
      </c>
      <c r="M2439" s="1" t="str">
        <f t="shared" si="38"/>
        <v>Consistent</v>
      </c>
      <c r="N2439" s="1" t="str">
        <f>_xlfn.XLOOKUP(H2439, risk_score!A:A, risk_score!B:B, 0)</f>
        <v>Low Risk</v>
      </c>
    </row>
    <row r="2440" spans="1:14">
      <c r="A2440" s="2">
        <v>0.50343749999999998</v>
      </c>
      <c r="B2440" s="3">
        <v>44841</v>
      </c>
      <c r="C2440" s="1">
        <v>5982914936</v>
      </c>
      <c r="D2440" s="1">
        <v>1167200543</v>
      </c>
      <c r="E2440" s="1">
        <v>18038.53</v>
      </c>
      <c r="F2440" s="1" t="s">
        <v>12</v>
      </c>
      <c r="G2440" s="1" t="s">
        <v>12</v>
      </c>
      <c r="H2440" s="1" t="s">
        <v>13</v>
      </c>
      <c r="I2440" s="1" t="s">
        <v>13</v>
      </c>
      <c r="J2440" s="1" t="s">
        <v>27</v>
      </c>
      <c r="K2440" s="1">
        <v>0</v>
      </c>
      <c r="L2440" s="1" t="s">
        <v>19</v>
      </c>
      <c r="M2440" s="1" t="str">
        <f t="shared" si="38"/>
        <v>Consistent</v>
      </c>
      <c r="N2440" s="1" t="str">
        <f>_xlfn.XLOOKUP(H2440, risk_score!A:A, risk_score!B:B, 0)</f>
        <v>Low Risk</v>
      </c>
    </row>
    <row r="2441" spans="1:14">
      <c r="A2441" s="2">
        <v>0.50351851851851848</v>
      </c>
      <c r="B2441" s="3">
        <v>44841</v>
      </c>
      <c r="C2441" s="1">
        <v>3709430533</v>
      </c>
      <c r="D2441" s="1">
        <v>192121676</v>
      </c>
      <c r="E2441" s="1">
        <v>5642.4</v>
      </c>
      <c r="F2441" s="1" t="s">
        <v>12</v>
      </c>
      <c r="G2441" s="1" t="s">
        <v>12</v>
      </c>
      <c r="H2441" s="1" t="s">
        <v>13</v>
      </c>
      <c r="I2441" s="1" t="s">
        <v>13</v>
      </c>
      <c r="J2441" s="1" t="s">
        <v>20</v>
      </c>
      <c r="K2441" s="1">
        <v>0</v>
      </c>
      <c r="L2441" s="1" t="s">
        <v>19</v>
      </c>
      <c r="M2441" s="1" t="str">
        <f t="shared" si="38"/>
        <v>Consistent</v>
      </c>
      <c r="N2441" s="1" t="str">
        <f>_xlfn.XLOOKUP(H2441, risk_score!A:A, risk_score!B:B, 0)</f>
        <v>Low Risk</v>
      </c>
    </row>
    <row r="2442" spans="1:14">
      <c r="A2442" s="2">
        <v>0.50353009259259263</v>
      </c>
      <c r="B2442" s="3">
        <v>44841</v>
      </c>
      <c r="C2442" s="1">
        <v>5350575484</v>
      </c>
      <c r="D2442" s="1">
        <v>5630473138</v>
      </c>
      <c r="E2442" s="1">
        <v>2062.62</v>
      </c>
      <c r="F2442" s="1" t="s">
        <v>12</v>
      </c>
      <c r="G2442" s="1" t="s">
        <v>12</v>
      </c>
      <c r="H2442" s="1" t="s">
        <v>13</v>
      </c>
      <c r="I2442" s="1" t="s">
        <v>13</v>
      </c>
      <c r="J2442" s="1" t="s">
        <v>25</v>
      </c>
      <c r="K2442" s="1">
        <v>0</v>
      </c>
      <c r="L2442" s="1" t="s">
        <v>21</v>
      </c>
      <c r="M2442" s="1" t="str">
        <f t="shared" si="38"/>
        <v>Consistent</v>
      </c>
      <c r="N2442" s="1" t="str">
        <f>_xlfn.XLOOKUP(H2442, risk_score!A:A, risk_score!B:B, 0)</f>
        <v>Low Risk</v>
      </c>
    </row>
    <row r="2443" spans="1:14">
      <c r="A2443" s="2">
        <v>0.50354166666666667</v>
      </c>
      <c r="B2443" s="3">
        <v>44841</v>
      </c>
      <c r="C2443" s="1">
        <v>3510078932</v>
      </c>
      <c r="D2443" s="1">
        <v>8841984234</v>
      </c>
      <c r="E2443" s="1">
        <v>8136.01</v>
      </c>
      <c r="F2443" s="1" t="s">
        <v>12</v>
      </c>
      <c r="G2443" s="1" t="s">
        <v>12</v>
      </c>
      <c r="H2443" s="1" t="s">
        <v>13</v>
      </c>
      <c r="I2443" s="1" t="s">
        <v>13</v>
      </c>
      <c r="J2443" s="1" t="s">
        <v>22</v>
      </c>
      <c r="K2443" s="1">
        <v>0</v>
      </c>
      <c r="L2443" s="1" t="s">
        <v>19</v>
      </c>
      <c r="M2443" s="1" t="str">
        <f t="shared" si="38"/>
        <v>Consistent</v>
      </c>
      <c r="N2443" s="1" t="str">
        <f>_xlfn.XLOOKUP(H2443, risk_score!A:A, risk_score!B:B, 0)</f>
        <v>Low Risk</v>
      </c>
    </row>
    <row r="2444" spans="1:14">
      <c r="A2444" s="2">
        <v>0.50369212962962961</v>
      </c>
      <c r="B2444" s="3">
        <v>44841</v>
      </c>
      <c r="C2444" s="1">
        <v>2365007895</v>
      </c>
      <c r="D2444" s="1">
        <v>2812285491</v>
      </c>
      <c r="E2444" s="1">
        <v>13208.64</v>
      </c>
      <c r="F2444" s="1" t="s">
        <v>12</v>
      </c>
      <c r="G2444" s="1" t="s">
        <v>12</v>
      </c>
      <c r="H2444" s="1" t="s">
        <v>13</v>
      </c>
      <c r="I2444" s="1" t="s">
        <v>13</v>
      </c>
      <c r="J2444" s="1" t="s">
        <v>20</v>
      </c>
      <c r="K2444" s="1">
        <v>0</v>
      </c>
      <c r="L2444" s="1" t="s">
        <v>19</v>
      </c>
      <c r="M2444" s="1" t="str">
        <f t="shared" si="38"/>
        <v>Consistent</v>
      </c>
      <c r="N2444" s="1" t="str">
        <f>_xlfn.XLOOKUP(H2444, risk_score!A:A, risk_score!B:B, 0)</f>
        <v>Low Risk</v>
      </c>
    </row>
    <row r="2445" spans="1:14">
      <c r="A2445" s="2">
        <v>0.50372685185185184</v>
      </c>
      <c r="B2445" s="3">
        <v>44841</v>
      </c>
      <c r="C2445" s="1">
        <v>6009565131</v>
      </c>
      <c r="D2445" s="1">
        <v>9477278707</v>
      </c>
      <c r="E2445" s="1">
        <v>2837.82</v>
      </c>
      <c r="F2445" s="1" t="s">
        <v>12</v>
      </c>
      <c r="G2445" s="1" t="s">
        <v>12</v>
      </c>
      <c r="H2445" s="1" t="s">
        <v>13</v>
      </c>
      <c r="I2445" s="1" t="s">
        <v>13</v>
      </c>
      <c r="J2445" s="1" t="s">
        <v>20</v>
      </c>
      <c r="K2445" s="1">
        <v>0</v>
      </c>
      <c r="L2445" s="1" t="s">
        <v>21</v>
      </c>
      <c r="M2445" s="1" t="str">
        <f t="shared" si="38"/>
        <v>Consistent</v>
      </c>
      <c r="N2445" s="1" t="str">
        <f>_xlfn.XLOOKUP(H2445, risk_score!A:A, risk_score!B:B, 0)</f>
        <v>Low Risk</v>
      </c>
    </row>
    <row r="2446" spans="1:14">
      <c r="A2446" s="2">
        <v>0.50376157407407407</v>
      </c>
      <c r="B2446" s="3">
        <v>44841</v>
      </c>
      <c r="C2446" s="1">
        <v>4672757647</v>
      </c>
      <c r="D2446" s="1">
        <v>4771219610</v>
      </c>
      <c r="E2446" s="1">
        <v>8453.32</v>
      </c>
      <c r="F2446" s="1" t="s">
        <v>12</v>
      </c>
      <c r="G2446" s="1" t="s">
        <v>34</v>
      </c>
      <c r="H2446" s="1" t="s">
        <v>13</v>
      </c>
      <c r="I2446" s="1" t="s">
        <v>35</v>
      </c>
      <c r="J2446" s="1" t="s">
        <v>18</v>
      </c>
      <c r="K2446" s="1">
        <v>0</v>
      </c>
      <c r="L2446" s="1" t="s">
        <v>21</v>
      </c>
      <c r="M2446" s="1" t="str">
        <f t="shared" si="38"/>
        <v>Potential Layering</v>
      </c>
      <c r="N2446" s="1" t="str">
        <f>_xlfn.XLOOKUP(H2446, risk_score!A:A, risk_score!B:B, 0)</f>
        <v>Low Risk</v>
      </c>
    </row>
    <row r="2447" spans="1:14">
      <c r="A2447" s="2">
        <v>0.50377314814814811</v>
      </c>
      <c r="B2447" s="3">
        <v>44841</v>
      </c>
      <c r="C2447" s="1">
        <v>182554113</v>
      </c>
      <c r="D2447" s="1">
        <v>1560526680</v>
      </c>
      <c r="E2447" s="1">
        <v>2876.87</v>
      </c>
      <c r="F2447" s="1" t="s">
        <v>12</v>
      </c>
      <c r="G2447" s="1" t="s">
        <v>12</v>
      </c>
      <c r="H2447" s="1" t="s">
        <v>13</v>
      </c>
      <c r="I2447" s="1" t="s">
        <v>13</v>
      </c>
      <c r="J2447" s="1" t="s">
        <v>20</v>
      </c>
      <c r="K2447" s="1">
        <v>0</v>
      </c>
      <c r="L2447" s="1" t="s">
        <v>21</v>
      </c>
      <c r="M2447" s="1" t="str">
        <f t="shared" si="38"/>
        <v>Consistent</v>
      </c>
      <c r="N2447" s="1" t="str">
        <f>_xlfn.XLOOKUP(H2447, risk_score!A:A, risk_score!B:B, 0)</f>
        <v>Low Risk</v>
      </c>
    </row>
    <row r="2448" spans="1:14">
      <c r="A2448" s="2">
        <v>0.50377314814814811</v>
      </c>
      <c r="B2448" s="3">
        <v>44841</v>
      </c>
      <c r="C2448" s="1">
        <v>1862303603</v>
      </c>
      <c r="D2448" s="1">
        <v>4336977506</v>
      </c>
      <c r="E2448" s="1">
        <v>5638.13</v>
      </c>
      <c r="F2448" s="1" t="s">
        <v>12</v>
      </c>
      <c r="G2448" s="1" t="s">
        <v>12</v>
      </c>
      <c r="H2448" s="1" t="s">
        <v>13</v>
      </c>
      <c r="I2448" s="1" t="s">
        <v>13</v>
      </c>
      <c r="J2448" s="1" t="s">
        <v>20</v>
      </c>
      <c r="K2448" s="1">
        <v>0</v>
      </c>
      <c r="L2448" s="1" t="s">
        <v>23</v>
      </c>
      <c r="M2448" s="1" t="str">
        <f t="shared" si="38"/>
        <v>Consistent</v>
      </c>
      <c r="N2448" s="1" t="str">
        <f>_xlfn.XLOOKUP(H2448, risk_score!A:A, risk_score!B:B, 0)</f>
        <v>Low Risk</v>
      </c>
    </row>
    <row r="2449" spans="1:14">
      <c r="A2449" s="2">
        <v>0.50377314814814811</v>
      </c>
      <c r="B2449" s="3">
        <v>44841</v>
      </c>
      <c r="C2449" s="1">
        <v>2173103945</v>
      </c>
      <c r="D2449" s="1">
        <v>6953672776</v>
      </c>
      <c r="E2449" s="1">
        <v>5395.33</v>
      </c>
      <c r="F2449" s="1" t="s">
        <v>12</v>
      </c>
      <c r="G2449" s="1" t="s">
        <v>34</v>
      </c>
      <c r="H2449" s="1" t="s">
        <v>13</v>
      </c>
      <c r="I2449" s="1" t="s">
        <v>35</v>
      </c>
      <c r="J2449" s="1" t="s">
        <v>18</v>
      </c>
      <c r="K2449" s="1">
        <v>0</v>
      </c>
      <c r="L2449" s="1" t="s">
        <v>23</v>
      </c>
      <c r="M2449" s="1" t="str">
        <f t="shared" si="38"/>
        <v>Potential Layering</v>
      </c>
      <c r="N2449" s="1" t="str">
        <f>_xlfn.XLOOKUP(H2449, risk_score!A:A, risk_score!B:B, 0)</f>
        <v>Low Risk</v>
      </c>
    </row>
    <row r="2450" spans="1:14">
      <c r="A2450" s="2">
        <v>0.50378472222222226</v>
      </c>
      <c r="B2450" s="3">
        <v>44841</v>
      </c>
      <c r="C2450" s="1">
        <v>3108793806</v>
      </c>
      <c r="D2450" s="1">
        <v>6520893038</v>
      </c>
      <c r="E2450" s="1">
        <v>921.86</v>
      </c>
      <c r="F2450" s="1" t="s">
        <v>12</v>
      </c>
      <c r="G2450" s="1" t="s">
        <v>12</v>
      </c>
      <c r="H2450" s="1" t="s">
        <v>13</v>
      </c>
      <c r="I2450" s="1" t="s">
        <v>13</v>
      </c>
      <c r="J2450" s="1" t="s">
        <v>14</v>
      </c>
      <c r="K2450" s="1">
        <v>0</v>
      </c>
      <c r="L2450" s="1" t="s">
        <v>15</v>
      </c>
      <c r="M2450" s="1" t="str">
        <f t="shared" si="38"/>
        <v>Consistent</v>
      </c>
      <c r="N2450" s="1" t="str">
        <f>_xlfn.XLOOKUP(H2450, risk_score!A:A, risk_score!B:B, 0)</f>
        <v>Low Risk</v>
      </c>
    </row>
    <row r="2451" spans="1:14">
      <c r="A2451" s="2">
        <v>0.50388888888888894</v>
      </c>
      <c r="B2451" s="3">
        <v>44841</v>
      </c>
      <c r="C2451" s="1">
        <v>3510078932</v>
      </c>
      <c r="D2451" s="1">
        <v>9858029207</v>
      </c>
      <c r="E2451" s="1">
        <v>8713.09</v>
      </c>
      <c r="F2451" s="1" t="s">
        <v>12</v>
      </c>
      <c r="G2451" s="1" t="s">
        <v>42</v>
      </c>
      <c r="H2451" s="1" t="s">
        <v>13</v>
      </c>
      <c r="I2451" s="1" t="s">
        <v>43</v>
      </c>
      <c r="J2451" s="1" t="s">
        <v>18</v>
      </c>
      <c r="K2451" s="1">
        <v>0</v>
      </c>
      <c r="L2451" s="1" t="s">
        <v>19</v>
      </c>
      <c r="M2451" s="1" t="str">
        <f t="shared" si="38"/>
        <v>Potential Layering</v>
      </c>
      <c r="N2451" s="1" t="str">
        <f>_xlfn.XLOOKUP(H2451, risk_score!A:A, risk_score!B:B, 0)</f>
        <v>Low Risk</v>
      </c>
    </row>
    <row r="2452" spans="1:14">
      <c r="A2452" s="2">
        <v>0.50388888888888894</v>
      </c>
      <c r="B2452" s="3">
        <v>44841</v>
      </c>
      <c r="C2452" s="1">
        <v>2698592594</v>
      </c>
      <c r="D2452" s="1">
        <v>3695545812</v>
      </c>
      <c r="E2452" s="1">
        <v>4551.1400000000003</v>
      </c>
      <c r="F2452" s="1" t="s">
        <v>12</v>
      </c>
      <c r="G2452" s="1" t="s">
        <v>12</v>
      </c>
      <c r="H2452" s="1" t="s">
        <v>13</v>
      </c>
      <c r="I2452" s="1" t="s">
        <v>13</v>
      </c>
      <c r="J2452" s="1" t="s">
        <v>22</v>
      </c>
      <c r="K2452" s="1">
        <v>0</v>
      </c>
      <c r="L2452" s="1" t="s">
        <v>23</v>
      </c>
      <c r="M2452" s="1" t="str">
        <f t="shared" si="38"/>
        <v>Consistent</v>
      </c>
      <c r="N2452" s="1" t="str">
        <f>_xlfn.XLOOKUP(H2452, risk_score!A:A, risk_score!B:B, 0)</f>
        <v>Low Risk</v>
      </c>
    </row>
    <row r="2453" spans="1:14">
      <c r="A2453" s="2">
        <v>0.50394675925925925</v>
      </c>
      <c r="B2453" s="3">
        <v>44841</v>
      </c>
      <c r="C2453" s="1">
        <v>9262210763</v>
      </c>
      <c r="D2453" s="1">
        <v>7096475743</v>
      </c>
      <c r="E2453" s="1">
        <v>1180.73</v>
      </c>
      <c r="F2453" s="1" t="s">
        <v>12</v>
      </c>
      <c r="G2453" s="1" t="s">
        <v>12</v>
      </c>
      <c r="H2453" s="1" t="s">
        <v>13</v>
      </c>
      <c r="I2453" s="1" t="s">
        <v>13</v>
      </c>
      <c r="J2453" s="1" t="s">
        <v>14</v>
      </c>
      <c r="K2453" s="1">
        <v>0</v>
      </c>
      <c r="L2453" s="1" t="s">
        <v>15</v>
      </c>
      <c r="M2453" s="1" t="str">
        <f t="shared" si="38"/>
        <v>Consistent</v>
      </c>
      <c r="N2453" s="1" t="str">
        <f>_xlfn.XLOOKUP(H2453, risk_score!A:A, risk_score!B:B, 0)</f>
        <v>Low Risk</v>
      </c>
    </row>
    <row r="2454" spans="1:14">
      <c r="A2454" s="2">
        <v>0.50405092592592593</v>
      </c>
      <c r="B2454" s="3">
        <v>44841</v>
      </c>
      <c r="C2454" s="1">
        <v>3614082527</v>
      </c>
      <c r="D2454" s="1">
        <v>7590986319</v>
      </c>
      <c r="E2454" s="1">
        <v>5457.7</v>
      </c>
      <c r="F2454" s="1" t="s">
        <v>12</v>
      </c>
      <c r="G2454" s="1" t="s">
        <v>29</v>
      </c>
      <c r="H2454" s="1" t="s">
        <v>13</v>
      </c>
      <c r="I2454" s="1" t="s">
        <v>30</v>
      </c>
      <c r="J2454" s="1" t="s">
        <v>18</v>
      </c>
      <c r="K2454" s="1">
        <v>0</v>
      </c>
      <c r="L2454" s="1" t="s">
        <v>19</v>
      </c>
      <c r="M2454" s="1" t="str">
        <f t="shared" si="38"/>
        <v>Potential Layering</v>
      </c>
      <c r="N2454" s="1" t="str">
        <f>_xlfn.XLOOKUP(H2454, risk_score!A:A, risk_score!B:B, 0)</f>
        <v>Low Risk</v>
      </c>
    </row>
    <row r="2455" spans="1:14">
      <c r="A2455" s="2">
        <v>0.50406249999999997</v>
      </c>
      <c r="B2455" s="3">
        <v>44841</v>
      </c>
      <c r="C2455" s="1">
        <v>1547109628</v>
      </c>
      <c r="D2455" s="1">
        <v>6148223906</v>
      </c>
      <c r="E2455" s="1">
        <v>232.4</v>
      </c>
      <c r="F2455" s="1" t="s">
        <v>12</v>
      </c>
      <c r="G2455" s="1" t="s">
        <v>12</v>
      </c>
      <c r="H2455" s="1" t="s">
        <v>13</v>
      </c>
      <c r="I2455" s="1" t="s">
        <v>13</v>
      </c>
      <c r="J2455" s="1" t="s">
        <v>20</v>
      </c>
      <c r="K2455" s="1">
        <v>0</v>
      </c>
      <c r="L2455" s="1" t="s">
        <v>21</v>
      </c>
      <c r="M2455" s="1" t="str">
        <f t="shared" si="38"/>
        <v>Consistent</v>
      </c>
      <c r="N2455" s="1" t="str">
        <f>_xlfn.XLOOKUP(H2455, risk_score!A:A, risk_score!B:B, 0)</f>
        <v>Low Risk</v>
      </c>
    </row>
    <row r="2456" spans="1:14">
      <c r="A2456" s="2">
        <v>0.50408564814814816</v>
      </c>
      <c r="B2456" s="3">
        <v>44841</v>
      </c>
      <c r="C2456" s="1">
        <v>2724243020</v>
      </c>
      <c r="D2456" s="1">
        <v>4293580479</v>
      </c>
      <c r="E2456" s="1">
        <v>4943.45</v>
      </c>
      <c r="F2456" s="1" t="s">
        <v>12</v>
      </c>
      <c r="G2456" s="1" t="s">
        <v>12</v>
      </c>
      <c r="H2456" s="1" t="s">
        <v>13</v>
      </c>
      <c r="I2456" s="1" t="s">
        <v>13</v>
      </c>
      <c r="J2456" s="1" t="s">
        <v>20</v>
      </c>
      <c r="K2456" s="1">
        <v>0</v>
      </c>
      <c r="L2456" s="1" t="s">
        <v>23</v>
      </c>
      <c r="M2456" s="1" t="str">
        <f t="shared" si="38"/>
        <v>Consistent</v>
      </c>
      <c r="N2456" s="1" t="str">
        <f>_xlfn.XLOOKUP(H2456, risk_score!A:A, risk_score!B:B, 0)</f>
        <v>Low Risk</v>
      </c>
    </row>
    <row r="2457" spans="1:14">
      <c r="A2457" s="2">
        <v>0.50413194444444442</v>
      </c>
      <c r="B2457" s="3">
        <v>44841</v>
      </c>
      <c r="C2457" s="1">
        <v>6298761733</v>
      </c>
      <c r="D2457" s="1">
        <v>884333911</v>
      </c>
      <c r="E2457" s="1">
        <v>1082.24</v>
      </c>
      <c r="F2457" s="1" t="s">
        <v>12</v>
      </c>
      <c r="G2457" s="1" t="s">
        <v>12</v>
      </c>
      <c r="H2457" s="1" t="s">
        <v>13</v>
      </c>
      <c r="I2457" s="1" t="s">
        <v>13</v>
      </c>
      <c r="J2457" s="1" t="s">
        <v>25</v>
      </c>
      <c r="K2457" s="1">
        <v>0</v>
      </c>
      <c r="L2457" s="1" t="s">
        <v>21</v>
      </c>
      <c r="M2457" s="1" t="str">
        <f t="shared" si="38"/>
        <v>Consistent</v>
      </c>
      <c r="N2457" s="1" t="str">
        <f>_xlfn.XLOOKUP(H2457, risk_score!A:A, risk_score!B:B, 0)</f>
        <v>Low Risk</v>
      </c>
    </row>
    <row r="2458" spans="1:14">
      <c r="A2458" s="2">
        <v>0.50428240740740737</v>
      </c>
      <c r="B2458" s="3">
        <v>44841</v>
      </c>
      <c r="C2458" s="1">
        <v>2797271466</v>
      </c>
      <c r="D2458" s="1">
        <v>210242051</v>
      </c>
      <c r="E2458" s="1">
        <v>7585.82</v>
      </c>
      <c r="F2458" s="1" t="s">
        <v>12</v>
      </c>
      <c r="G2458" s="1" t="s">
        <v>12</v>
      </c>
      <c r="H2458" s="1" t="s">
        <v>13</v>
      </c>
      <c r="I2458" s="1" t="s">
        <v>13</v>
      </c>
      <c r="J2458" s="1" t="s">
        <v>20</v>
      </c>
      <c r="K2458" s="1">
        <v>0</v>
      </c>
      <c r="L2458" s="1" t="s">
        <v>19</v>
      </c>
      <c r="M2458" s="1" t="str">
        <f t="shared" si="38"/>
        <v>Consistent</v>
      </c>
      <c r="N2458" s="1" t="str">
        <f>_xlfn.XLOOKUP(H2458, risk_score!A:A, risk_score!B:B, 0)</f>
        <v>Low Risk</v>
      </c>
    </row>
    <row r="2459" spans="1:14">
      <c r="A2459" s="2">
        <v>0.50429398148148152</v>
      </c>
      <c r="B2459" s="3">
        <v>44841</v>
      </c>
      <c r="C2459" s="1">
        <v>4572993923</v>
      </c>
      <c r="D2459" s="1">
        <v>6034997194</v>
      </c>
      <c r="E2459" s="1">
        <v>17457.27</v>
      </c>
      <c r="F2459" s="1" t="s">
        <v>34</v>
      </c>
      <c r="G2459" s="1" t="s">
        <v>12</v>
      </c>
      <c r="H2459" s="1" t="s">
        <v>13</v>
      </c>
      <c r="I2459" s="1" t="s">
        <v>13</v>
      </c>
      <c r="J2459" s="1" t="s">
        <v>27</v>
      </c>
      <c r="K2459" s="1">
        <v>0</v>
      </c>
      <c r="L2459" s="1" t="s">
        <v>23</v>
      </c>
      <c r="M2459" s="1" t="str">
        <f t="shared" si="38"/>
        <v>Potential Layering</v>
      </c>
      <c r="N2459" s="1" t="str">
        <f>_xlfn.XLOOKUP(H2459, risk_score!A:A, risk_score!B:B, 0)</f>
        <v>Low Risk</v>
      </c>
    </row>
    <row r="2460" spans="1:14">
      <c r="A2460" s="2">
        <v>0.50430555555555556</v>
      </c>
      <c r="B2460" s="3">
        <v>44841</v>
      </c>
      <c r="C2460" s="1">
        <v>3080648876</v>
      </c>
      <c r="D2460" s="1">
        <v>3033806248</v>
      </c>
      <c r="E2460" s="1">
        <v>720.46</v>
      </c>
      <c r="F2460" s="1" t="s">
        <v>12</v>
      </c>
      <c r="G2460" s="1" t="s">
        <v>12</v>
      </c>
      <c r="H2460" s="1" t="s">
        <v>13</v>
      </c>
      <c r="I2460" s="1" t="s">
        <v>13</v>
      </c>
      <c r="J2460" s="1" t="s">
        <v>14</v>
      </c>
      <c r="K2460" s="1">
        <v>0</v>
      </c>
      <c r="L2460" s="1" t="s">
        <v>15</v>
      </c>
      <c r="M2460" s="1" t="str">
        <f t="shared" si="38"/>
        <v>Consistent</v>
      </c>
      <c r="N2460" s="1" t="str">
        <f>_xlfn.XLOOKUP(H2460, risk_score!A:A, risk_score!B:B, 0)</f>
        <v>Low Risk</v>
      </c>
    </row>
    <row r="2461" spans="1:14">
      <c r="A2461" s="2">
        <v>0.50432870370370375</v>
      </c>
      <c r="B2461" s="3">
        <v>44841</v>
      </c>
      <c r="C2461" s="1">
        <v>3023037899</v>
      </c>
      <c r="D2461" s="1">
        <v>5103043844</v>
      </c>
      <c r="E2461" s="1">
        <v>31667</v>
      </c>
      <c r="F2461" s="1" t="s">
        <v>12</v>
      </c>
      <c r="G2461" s="1" t="s">
        <v>44</v>
      </c>
      <c r="H2461" s="1" t="s">
        <v>13</v>
      </c>
      <c r="I2461" s="1" t="s">
        <v>45</v>
      </c>
      <c r="J2461" s="1" t="s">
        <v>18</v>
      </c>
      <c r="K2461" s="1">
        <v>0</v>
      </c>
      <c r="L2461" s="1" t="s">
        <v>23</v>
      </c>
      <c r="M2461" s="1" t="str">
        <f t="shared" si="38"/>
        <v>Potential Layering</v>
      </c>
      <c r="N2461" s="1" t="str">
        <f>_xlfn.XLOOKUP(H2461, risk_score!A:A, risk_score!B:B, 0)</f>
        <v>Low Risk</v>
      </c>
    </row>
    <row r="2462" spans="1:14">
      <c r="A2462" s="2">
        <v>0.50442129629629628</v>
      </c>
      <c r="B2462" s="3">
        <v>44841</v>
      </c>
      <c r="C2462" s="1">
        <v>4939108392</v>
      </c>
      <c r="D2462" s="1">
        <v>8592277065</v>
      </c>
      <c r="E2462" s="1">
        <v>10083.23</v>
      </c>
      <c r="F2462" s="1" t="s">
        <v>12</v>
      </c>
      <c r="G2462" s="1" t="s">
        <v>12</v>
      </c>
      <c r="H2462" s="1" t="s">
        <v>13</v>
      </c>
      <c r="I2462" s="1" t="s">
        <v>13</v>
      </c>
      <c r="J2462" s="1" t="s">
        <v>22</v>
      </c>
      <c r="K2462" s="1">
        <v>0</v>
      </c>
      <c r="L2462" s="1" t="s">
        <v>24</v>
      </c>
      <c r="M2462" s="1" t="str">
        <f t="shared" si="38"/>
        <v>Consistent</v>
      </c>
      <c r="N2462" s="1" t="str">
        <f>_xlfn.XLOOKUP(H2462, risk_score!A:A, risk_score!B:B, 0)</f>
        <v>Low Risk</v>
      </c>
    </row>
    <row r="2463" spans="1:14">
      <c r="A2463" s="2">
        <v>0.50444444444444447</v>
      </c>
      <c r="B2463" s="3">
        <v>44841</v>
      </c>
      <c r="C2463" s="1">
        <v>4055431970</v>
      </c>
      <c r="D2463" s="1">
        <v>7353974647</v>
      </c>
      <c r="E2463" s="1">
        <v>16647.830000000002</v>
      </c>
      <c r="F2463" s="1" t="s">
        <v>12</v>
      </c>
      <c r="G2463" s="1" t="s">
        <v>29</v>
      </c>
      <c r="H2463" s="1" t="s">
        <v>13</v>
      </c>
      <c r="I2463" s="1" t="s">
        <v>30</v>
      </c>
      <c r="J2463" s="1" t="s">
        <v>18</v>
      </c>
      <c r="K2463" s="1">
        <v>0</v>
      </c>
      <c r="L2463" s="1" t="s">
        <v>21</v>
      </c>
      <c r="M2463" s="1" t="str">
        <f t="shared" si="38"/>
        <v>Potential Layering</v>
      </c>
      <c r="N2463" s="1" t="str">
        <f>_xlfn.XLOOKUP(H2463, risk_score!A:A, risk_score!B:B, 0)</f>
        <v>Low Risk</v>
      </c>
    </row>
    <row r="2464" spans="1:14">
      <c r="A2464" s="2">
        <v>0.50445601851851851</v>
      </c>
      <c r="B2464" s="3">
        <v>44841</v>
      </c>
      <c r="C2464" s="1">
        <v>4925047798</v>
      </c>
      <c r="D2464" s="1">
        <v>4270865741</v>
      </c>
      <c r="E2464" s="1">
        <v>9929.6299999999992</v>
      </c>
      <c r="F2464" s="1" t="s">
        <v>12</v>
      </c>
      <c r="G2464" s="1" t="s">
        <v>12</v>
      </c>
      <c r="H2464" s="1" t="s">
        <v>13</v>
      </c>
      <c r="I2464" s="1" t="s">
        <v>13</v>
      </c>
      <c r="J2464" s="1" t="s">
        <v>22</v>
      </c>
      <c r="K2464" s="1">
        <v>0</v>
      </c>
      <c r="L2464" s="1" t="s">
        <v>23</v>
      </c>
      <c r="M2464" s="1" t="str">
        <f t="shared" si="38"/>
        <v>Consistent</v>
      </c>
      <c r="N2464" s="1" t="str">
        <f>_xlfn.XLOOKUP(H2464, risk_score!A:A, risk_score!B:B, 0)</f>
        <v>Low Risk</v>
      </c>
    </row>
    <row r="2465" spans="1:14">
      <c r="A2465" s="2">
        <v>0.50446759259259255</v>
      </c>
      <c r="B2465" s="3">
        <v>44841</v>
      </c>
      <c r="C2465" s="1">
        <v>2365007895</v>
      </c>
      <c r="D2465" s="1">
        <v>2166082350</v>
      </c>
      <c r="E2465" s="1">
        <v>4757.7700000000004</v>
      </c>
      <c r="F2465" s="1" t="s">
        <v>12</v>
      </c>
      <c r="G2465" s="1" t="s">
        <v>12</v>
      </c>
      <c r="H2465" s="1" t="s">
        <v>13</v>
      </c>
      <c r="I2465" s="1" t="s">
        <v>13</v>
      </c>
      <c r="J2465" s="1" t="s">
        <v>22</v>
      </c>
      <c r="K2465" s="1">
        <v>0</v>
      </c>
      <c r="L2465" s="1" t="s">
        <v>19</v>
      </c>
      <c r="M2465" s="1" t="str">
        <f t="shared" si="38"/>
        <v>Consistent</v>
      </c>
      <c r="N2465" s="1" t="str">
        <f>_xlfn.XLOOKUP(H2465, risk_score!A:A, risk_score!B:B, 0)</f>
        <v>Low Risk</v>
      </c>
    </row>
    <row r="2466" spans="1:14">
      <c r="A2466" s="2">
        <v>0.50450231481481478</v>
      </c>
      <c r="B2466" s="3">
        <v>44841</v>
      </c>
      <c r="C2466" s="1">
        <v>3614082527</v>
      </c>
      <c r="D2466" s="1">
        <v>4917300261</v>
      </c>
      <c r="E2466" s="1">
        <v>6114.97</v>
      </c>
      <c r="F2466" s="1" t="s">
        <v>12</v>
      </c>
      <c r="G2466" s="1" t="s">
        <v>12</v>
      </c>
      <c r="H2466" s="1" t="s">
        <v>13</v>
      </c>
      <c r="I2466" s="1" t="s">
        <v>13</v>
      </c>
      <c r="J2466" s="1" t="s">
        <v>22</v>
      </c>
      <c r="K2466" s="1">
        <v>0</v>
      </c>
      <c r="L2466" s="1" t="s">
        <v>19</v>
      </c>
      <c r="M2466" s="1" t="str">
        <f t="shared" si="38"/>
        <v>Consistent</v>
      </c>
      <c r="N2466" s="1" t="str">
        <f>_xlfn.XLOOKUP(H2466, risk_score!A:A, risk_score!B:B, 0)</f>
        <v>Low Risk</v>
      </c>
    </row>
    <row r="2467" spans="1:14">
      <c r="A2467" s="2">
        <v>0.50450231481481478</v>
      </c>
      <c r="B2467" s="3">
        <v>44841</v>
      </c>
      <c r="C2467" s="1">
        <v>5452849099</v>
      </c>
      <c r="D2467" s="1">
        <v>4336977506</v>
      </c>
      <c r="E2467" s="1">
        <v>8620.89</v>
      </c>
      <c r="F2467" s="1" t="s">
        <v>12</v>
      </c>
      <c r="G2467" s="1" t="s">
        <v>12</v>
      </c>
      <c r="H2467" s="1" t="s">
        <v>13</v>
      </c>
      <c r="I2467" s="1" t="s">
        <v>13</v>
      </c>
      <c r="J2467" s="1" t="s">
        <v>27</v>
      </c>
      <c r="K2467" s="1">
        <v>0</v>
      </c>
      <c r="L2467" s="1" t="s">
        <v>23</v>
      </c>
      <c r="M2467" s="1" t="str">
        <f t="shared" si="38"/>
        <v>Consistent</v>
      </c>
      <c r="N2467" s="1" t="str">
        <f>_xlfn.XLOOKUP(H2467, risk_score!A:A, risk_score!B:B, 0)</f>
        <v>Low Risk</v>
      </c>
    </row>
    <row r="2468" spans="1:14">
      <c r="A2468" s="2">
        <v>0.50450231481481478</v>
      </c>
      <c r="B2468" s="3">
        <v>44841</v>
      </c>
      <c r="C2468" s="1">
        <v>8062985244</v>
      </c>
      <c r="D2468" s="1">
        <v>8290521803</v>
      </c>
      <c r="E2468" s="1">
        <v>8109.47</v>
      </c>
      <c r="F2468" s="1" t="s">
        <v>12</v>
      </c>
      <c r="G2468" s="1" t="s">
        <v>12</v>
      </c>
      <c r="H2468" s="1" t="s">
        <v>13</v>
      </c>
      <c r="I2468" s="1" t="s">
        <v>13</v>
      </c>
      <c r="J2468" s="1" t="s">
        <v>20</v>
      </c>
      <c r="K2468" s="1">
        <v>0</v>
      </c>
      <c r="L2468" s="1" t="s">
        <v>21</v>
      </c>
      <c r="M2468" s="1" t="str">
        <f t="shared" si="38"/>
        <v>Consistent</v>
      </c>
      <c r="N2468" s="1" t="str">
        <f>_xlfn.XLOOKUP(H2468, risk_score!A:A, risk_score!B:B, 0)</f>
        <v>Low Risk</v>
      </c>
    </row>
    <row r="2469" spans="1:14">
      <c r="A2469" s="2">
        <v>0.50452546296296297</v>
      </c>
      <c r="B2469" s="3">
        <v>44841</v>
      </c>
      <c r="C2469" s="1">
        <v>5701484675</v>
      </c>
      <c r="D2469" s="1">
        <v>6305640575</v>
      </c>
      <c r="E2469" s="1">
        <v>1476</v>
      </c>
      <c r="F2469" s="1" t="s">
        <v>12</v>
      </c>
      <c r="G2469" s="1" t="s">
        <v>12</v>
      </c>
      <c r="H2469" s="1" t="s">
        <v>13</v>
      </c>
      <c r="I2469" s="1" t="s">
        <v>13</v>
      </c>
      <c r="J2469" s="1" t="s">
        <v>14</v>
      </c>
      <c r="K2469" s="1">
        <v>0</v>
      </c>
      <c r="L2469" s="1" t="s">
        <v>15</v>
      </c>
      <c r="M2469" s="1" t="str">
        <f t="shared" si="38"/>
        <v>Consistent</v>
      </c>
      <c r="N2469" s="1" t="str">
        <f>_xlfn.XLOOKUP(H2469, risk_score!A:A, risk_score!B:B, 0)</f>
        <v>Low Risk</v>
      </c>
    </row>
    <row r="2470" spans="1:14">
      <c r="A2470" s="2">
        <v>0.50453703703703701</v>
      </c>
      <c r="B2470" s="3">
        <v>44841</v>
      </c>
      <c r="C2470" s="1">
        <v>9579837699</v>
      </c>
      <c r="D2470" s="1">
        <v>2138505015</v>
      </c>
      <c r="E2470" s="1">
        <v>5881.33</v>
      </c>
      <c r="F2470" s="1" t="s">
        <v>12</v>
      </c>
      <c r="G2470" s="1" t="s">
        <v>16</v>
      </c>
      <c r="H2470" s="1" t="s">
        <v>13</v>
      </c>
      <c r="I2470" s="1" t="s">
        <v>17</v>
      </c>
      <c r="J2470" s="1" t="s">
        <v>18</v>
      </c>
      <c r="K2470" s="1">
        <v>0</v>
      </c>
      <c r="L2470" s="1" t="s">
        <v>23</v>
      </c>
      <c r="M2470" s="1" t="str">
        <f t="shared" si="38"/>
        <v>Potential Layering</v>
      </c>
      <c r="N2470" s="1" t="str">
        <f>_xlfn.XLOOKUP(H2470, risk_score!A:A, risk_score!B:B, 0)</f>
        <v>Low Risk</v>
      </c>
    </row>
    <row r="2471" spans="1:14">
      <c r="A2471" s="2">
        <v>0.50453703703703701</v>
      </c>
      <c r="B2471" s="3">
        <v>44841</v>
      </c>
      <c r="C2471" s="1">
        <v>6156834944</v>
      </c>
      <c r="D2471" s="1">
        <v>8678802420</v>
      </c>
      <c r="E2471" s="1">
        <v>21395.599999999999</v>
      </c>
      <c r="F2471" s="1" t="s">
        <v>12</v>
      </c>
      <c r="G2471" s="1" t="s">
        <v>12</v>
      </c>
      <c r="H2471" s="1" t="s">
        <v>13</v>
      </c>
      <c r="I2471" s="1" t="s">
        <v>13</v>
      </c>
      <c r="J2471" s="1" t="s">
        <v>25</v>
      </c>
      <c r="K2471" s="1">
        <v>0</v>
      </c>
      <c r="L2471" s="1" t="s">
        <v>23</v>
      </c>
      <c r="M2471" s="1" t="str">
        <f t="shared" si="38"/>
        <v>Consistent</v>
      </c>
      <c r="N2471" s="1" t="str">
        <f>_xlfn.XLOOKUP(H2471, risk_score!A:A, risk_score!B:B, 0)</f>
        <v>Low Risk</v>
      </c>
    </row>
    <row r="2472" spans="1:14">
      <c r="A2472" s="2">
        <v>0.5046180555555555</v>
      </c>
      <c r="B2472" s="3">
        <v>44841</v>
      </c>
      <c r="C2472" s="1">
        <v>846741040</v>
      </c>
      <c r="D2472" s="1">
        <v>3474800855</v>
      </c>
      <c r="E2472" s="1">
        <v>9308.39</v>
      </c>
      <c r="F2472" s="1" t="s">
        <v>12</v>
      </c>
      <c r="G2472" s="1" t="s">
        <v>12</v>
      </c>
      <c r="H2472" s="1" t="s">
        <v>13</v>
      </c>
      <c r="I2472" s="1" t="s">
        <v>13</v>
      </c>
      <c r="J2472" s="1" t="s">
        <v>27</v>
      </c>
      <c r="K2472" s="1">
        <v>0</v>
      </c>
      <c r="L2472" s="1" t="s">
        <v>24</v>
      </c>
      <c r="M2472" s="1" t="str">
        <f t="shared" si="38"/>
        <v>Consistent</v>
      </c>
      <c r="N2472" s="1" t="str">
        <f>_xlfn.XLOOKUP(H2472, risk_score!A:A, risk_score!B:B, 0)</f>
        <v>Low Risk</v>
      </c>
    </row>
    <row r="2473" spans="1:14">
      <c r="A2473" s="2">
        <v>0.50462962962962965</v>
      </c>
      <c r="B2473" s="3">
        <v>44841</v>
      </c>
      <c r="C2473" s="1">
        <v>7155736136</v>
      </c>
      <c r="D2473" s="1">
        <v>1316458123</v>
      </c>
      <c r="E2473" s="1">
        <v>5736.64</v>
      </c>
      <c r="F2473" s="1" t="s">
        <v>12</v>
      </c>
      <c r="G2473" s="1" t="s">
        <v>34</v>
      </c>
      <c r="H2473" s="1" t="s">
        <v>13</v>
      </c>
      <c r="I2473" s="1" t="s">
        <v>35</v>
      </c>
      <c r="J2473" s="1" t="s">
        <v>18</v>
      </c>
      <c r="K2473" s="1">
        <v>0</v>
      </c>
      <c r="L2473" s="1" t="s">
        <v>23</v>
      </c>
      <c r="M2473" s="1" t="str">
        <f t="shared" si="38"/>
        <v>Potential Layering</v>
      </c>
      <c r="N2473" s="1" t="str">
        <f>_xlfn.XLOOKUP(H2473, risk_score!A:A, risk_score!B:B, 0)</f>
        <v>Low Risk</v>
      </c>
    </row>
    <row r="2474" spans="1:14">
      <c r="A2474" s="2">
        <v>0.50464120370370369</v>
      </c>
      <c r="B2474" s="3">
        <v>44841</v>
      </c>
      <c r="C2474" s="1">
        <v>9835154318</v>
      </c>
      <c r="D2474" s="1">
        <v>8100777870</v>
      </c>
      <c r="E2474" s="1">
        <v>8724.49</v>
      </c>
      <c r="F2474" s="1" t="s">
        <v>12</v>
      </c>
      <c r="G2474" s="1" t="s">
        <v>12</v>
      </c>
      <c r="H2474" s="1" t="s">
        <v>13</v>
      </c>
      <c r="I2474" s="1" t="s">
        <v>13</v>
      </c>
      <c r="J2474" s="1" t="s">
        <v>25</v>
      </c>
      <c r="K2474" s="1">
        <v>0</v>
      </c>
      <c r="L2474" s="1" t="s">
        <v>21</v>
      </c>
      <c r="M2474" s="1" t="str">
        <f t="shared" si="38"/>
        <v>Consistent</v>
      </c>
      <c r="N2474" s="1" t="str">
        <f>_xlfn.XLOOKUP(H2474, risk_score!A:A, risk_score!B:B, 0)</f>
        <v>Low Risk</v>
      </c>
    </row>
    <row r="2475" spans="1:14">
      <c r="A2475" s="2">
        <v>0.50464120370370369</v>
      </c>
      <c r="B2475" s="3">
        <v>44841</v>
      </c>
      <c r="C2475" s="1">
        <v>9208494421</v>
      </c>
      <c r="D2475" s="1">
        <v>2813573977</v>
      </c>
      <c r="E2475" s="1">
        <v>273.91000000000003</v>
      </c>
      <c r="F2475" s="1" t="s">
        <v>12</v>
      </c>
      <c r="G2475" s="1" t="s">
        <v>12</v>
      </c>
      <c r="H2475" s="1" t="s">
        <v>13</v>
      </c>
      <c r="I2475" s="1" t="s">
        <v>13</v>
      </c>
      <c r="J2475" s="1" t="s">
        <v>14</v>
      </c>
      <c r="K2475" s="1">
        <v>0</v>
      </c>
      <c r="L2475" s="1" t="s">
        <v>15</v>
      </c>
      <c r="M2475" s="1" t="str">
        <f t="shared" si="38"/>
        <v>Consistent</v>
      </c>
      <c r="N2475" s="1" t="str">
        <f>_xlfn.XLOOKUP(H2475, risk_score!A:A, risk_score!B:B, 0)</f>
        <v>Low Risk</v>
      </c>
    </row>
    <row r="2476" spans="1:14">
      <c r="A2476" s="2">
        <v>0.50466435185185188</v>
      </c>
      <c r="B2476" s="3">
        <v>44841</v>
      </c>
      <c r="C2476" s="1">
        <v>1378784400</v>
      </c>
      <c r="D2476" s="1">
        <v>8430883282</v>
      </c>
      <c r="E2476" s="1">
        <v>4935.58</v>
      </c>
      <c r="F2476" s="1" t="s">
        <v>12</v>
      </c>
      <c r="G2476" s="1" t="s">
        <v>34</v>
      </c>
      <c r="H2476" s="1" t="s">
        <v>13</v>
      </c>
      <c r="I2476" s="1" t="s">
        <v>35</v>
      </c>
      <c r="J2476" s="1" t="s">
        <v>18</v>
      </c>
      <c r="K2476" s="1">
        <v>0</v>
      </c>
      <c r="L2476" s="1" t="s">
        <v>19</v>
      </c>
      <c r="M2476" s="1" t="str">
        <f t="shared" si="38"/>
        <v>Potential Layering</v>
      </c>
      <c r="N2476" s="1" t="str">
        <f>_xlfn.XLOOKUP(H2476, risk_score!A:A, risk_score!B:B, 0)</f>
        <v>Low Risk</v>
      </c>
    </row>
    <row r="2477" spans="1:14">
      <c r="A2477" s="2">
        <v>0.50471064814814814</v>
      </c>
      <c r="B2477" s="3">
        <v>44841</v>
      </c>
      <c r="C2477" s="1">
        <v>4678874499</v>
      </c>
      <c r="D2477" s="1">
        <v>3220735304</v>
      </c>
      <c r="E2477" s="1">
        <v>9735.4699999999993</v>
      </c>
      <c r="F2477" s="1" t="s">
        <v>12</v>
      </c>
      <c r="G2477" s="1" t="s">
        <v>12</v>
      </c>
      <c r="H2477" s="1" t="s">
        <v>13</v>
      </c>
      <c r="I2477" s="1" t="s">
        <v>13</v>
      </c>
      <c r="J2477" s="1" t="s">
        <v>25</v>
      </c>
      <c r="K2477" s="1">
        <v>0</v>
      </c>
      <c r="L2477" s="1" t="s">
        <v>23</v>
      </c>
      <c r="M2477" s="1" t="str">
        <f t="shared" si="38"/>
        <v>Consistent</v>
      </c>
      <c r="N2477" s="1" t="str">
        <f>_xlfn.XLOOKUP(H2477, risk_score!A:A, risk_score!B:B, 0)</f>
        <v>Low Risk</v>
      </c>
    </row>
    <row r="2478" spans="1:14">
      <c r="A2478" s="2">
        <v>0.50471064814814814</v>
      </c>
      <c r="B2478" s="3">
        <v>44841</v>
      </c>
      <c r="C2478" s="1">
        <v>9261836642</v>
      </c>
      <c r="D2478" s="1">
        <v>7080357663</v>
      </c>
      <c r="E2478" s="1">
        <v>13518.05</v>
      </c>
      <c r="F2478" s="1" t="s">
        <v>12</v>
      </c>
      <c r="G2478" s="1" t="s">
        <v>12</v>
      </c>
      <c r="H2478" s="1" t="s">
        <v>13</v>
      </c>
      <c r="I2478" s="1" t="s">
        <v>13</v>
      </c>
      <c r="J2478" s="1" t="s">
        <v>27</v>
      </c>
      <c r="K2478" s="1">
        <v>0</v>
      </c>
      <c r="L2478" s="1" t="s">
        <v>23</v>
      </c>
      <c r="M2478" s="1" t="str">
        <f t="shared" si="38"/>
        <v>Consistent</v>
      </c>
      <c r="N2478" s="1" t="str">
        <f>_xlfn.XLOOKUP(H2478, risk_score!A:A, risk_score!B:B, 0)</f>
        <v>Low Risk</v>
      </c>
    </row>
    <row r="2479" spans="1:14">
      <c r="A2479" s="2">
        <v>0.50473379629629633</v>
      </c>
      <c r="B2479" s="3">
        <v>44841</v>
      </c>
      <c r="C2479" s="1">
        <v>3656038300</v>
      </c>
      <c r="D2479" s="1">
        <v>9249516491</v>
      </c>
      <c r="E2479" s="1">
        <v>482.38</v>
      </c>
      <c r="F2479" s="1" t="s">
        <v>12</v>
      </c>
      <c r="G2479" s="1" t="s">
        <v>12</v>
      </c>
      <c r="H2479" s="1" t="s">
        <v>13</v>
      </c>
      <c r="I2479" s="1" t="s">
        <v>13</v>
      </c>
      <c r="J2479" s="1" t="s">
        <v>27</v>
      </c>
      <c r="K2479" s="1">
        <v>0</v>
      </c>
      <c r="L2479" s="1" t="s">
        <v>21</v>
      </c>
      <c r="M2479" s="1" t="str">
        <f t="shared" si="38"/>
        <v>Consistent</v>
      </c>
      <c r="N2479" s="1" t="str">
        <f>_xlfn.XLOOKUP(H2479, risk_score!A:A, risk_score!B:B, 0)</f>
        <v>Low Risk</v>
      </c>
    </row>
    <row r="2480" spans="1:14">
      <c r="A2480" s="2">
        <v>0.50479166666666664</v>
      </c>
      <c r="B2480" s="3">
        <v>44841</v>
      </c>
      <c r="C2480" s="1">
        <v>4622747128</v>
      </c>
      <c r="D2480" s="1">
        <v>4293580479</v>
      </c>
      <c r="E2480" s="1">
        <v>8902.15</v>
      </c>
      <c r="F2480" s="1" t="s">
        <v>12</v>
      </c>
      <c r="G2480" s="1" t="s">
        <v>12</v>
      </c>
      <c r="H2480" s="1" t="s">
        <v>13</v>
      </c>
      <c r="I2480" s="1" t="s">
        <v>13</v>
      </c>
      <c r="J2480" s="1" t="s">
        <v>22</v>
      </c>
      <c r="K2480" s="1">
        <v>0</v>
      </c>
      <c r="L2480" s="1" t="s">
        <v>23</v>
      </c>
      <c r="M2480" s="1" t="str">
        <f t="shared" si="38"/>
        <v>Consistent</v>
      </c>
      <c r="N2480" s="1" t="str">
        <f>_xlfn.XLOOKUP(H2480, risk_score!A:A, risk_score!B:B, 0)</f>
        <v>Low Risk</v>
      </c>
    </row>
    <row r="2481" spans="1:14">
      <c r="A2481" s="2">
        <v>0.50480324074074079</v>
      </c>
      <c r="B2481" s="3">
        <v>44841</v>
      </c>
      <c r="C2481" s="1">
        <v>2986696745</v>
      </c>
      <c r="D2481" s="1">
        <v>113798945</v>
      </c>
      <c r="E2481" s="1">
        <v>825.57</v>
      </c>
      <c r="F2481" s="1" t="s">
        <v>12</v>
      </c>
      <c r="G2481" s="1" t="s">
        <v>12</v>
      </c>
      <c r="H2481" s="1" t="s">
        <v>13</v>
      </c>
      <c r="I2481" s="1" t="s">
        <v>13</v>
      </c>
      <c r="J2481" s="1" t="s">
        <v>22</v>
      </c>
      <c r="K2481" s="1">
        <v>0</v>
      </c>
      <c r="L2481" s="1" t="s">
        <v>21</v>
      </c>
      <c r="M2481" s="1" t="str">
        <f t="shared" si="38"/>
        <v>Consistent</v>
      </c>
      <c r="N2481" s="1" t="str">
        <f>_xlfn.XLOOKUP(H2481, risk_score!A:A, risk_score!B:B, 0)</f>
        <v>Low Risk</v>
      </c>
    </row>
    <row r="2482" spans="1:14">
      <c r="A2482" s="2">
        <v>0.50482638888888887</v>
      </c>
      <c r="B2482" s="3">
        <v>44841</v>
      </c>
      <c r="C2482" s="1">
        <v>4167791718</v>
      </c>
      <c r="D2482" s="1">
        <v>7962827825</v>
      </c>
      <c r="E2482" s="1">
        <v>832.61</v>
      </c>
      <c r="F2482" s="1" t="s">
        <v>12</v>
      </c>
      <c r="G2482" s="1" t="s">
        <v>12</v>
      </c>
      <c r="H2482" s="1" t="s">
        <v>13</v>
      </c>
      <c r="I2482" s="1" t="s">
        <v>13</v>
      </c>
      <c r="J2482" s="1" t="s">
        <v>27</v>
      </c>
      <c r="K2482" s="1">
        <v>0</v>
      </c>
      <c r="L2482" s="1" t="s">
        <v>21</v>
      </c>
      <c r="M2482" s="1" t="str">
        <f t="shared" si="38"/>
        <v>Consistent</v>
      </c>
      <c r="N2482" s="1" t="str">
        <f>_xlfn.XLOOKUP(H2482, risk_score!A:A, risk_score!B:B, 0)</f>
        <v>Low Risk</v>
      </c>
    </row>
    <row r="2483" spans="1:14">
      <c r="A2483" s="2">
        <v>0.50483796296296302</v>
      </c>
      <c r="B2483" s="3">
        <v>44841</v>
      </c>
      <c r="C2483" s="1">
        <v>9599009457</v>
      </c>
      <c r="D2483" s="1">
        <v>2048840179</v>
      </c>
      <c r="E2483" s="1">
        <v>5195.8599999999997</v>
      </c>
      <c r="F2483" s="1" t="s">
        <v>12</v>
      </c>
      <c r="G2483" s="1" t="s">
        <v>12</v>
      </c>
      <c r="H2483" s="1" t="s">
        <v>13</v>
      </c>
      <c r="I2483" s="1" t="s">
        <v>13</v>
      </c>
      <c r="J2483" s="1" t="s">
        <v>27</v>
      </c>
      <c r="K2483" s="1">
        <v>0</v>
      </c>
      <c r="L2483" s="1" t="s">
        <v>19</v>
      </c>
      <c r="M2483" s="1" t="str">
        <f t="shared" si="38"/>
        <v>Consistent</v>
      </c>
      <c r="N2483" s="1" t="str">
        <f>_xlfn.XLOOKUP(H2483, risk_score!A:A, risk_score!B:B, 0)</f>
        <v>Low Risk</v>
      </c>
    </row>
    <row r="2484" spans="1:14">
      <c r="A2484" s="2">
        <v>0.50483796296296302</v>
      </c>
      <c r="B2484" s="3">
        <v>44841</v>
      </c>
      <c r="C2484" s="1">
        <v>7669236826</v>
      </c>
      <c r="D2484" s="1">
        <v>185269563</v>
      </c>
      <c r="E2484" s="1">
        <v>5637.44</v>
      </c>
      <c r="F2484" s="1" t="s">
        <v>12</v>
      </c>
      <c r="G2484" s="1" t="s">
        <v>12</v>
      </c>
      <c r="H2484" s="1" t="s">
        <v>13</v>
      </c>
      <c r="I2484" s="1" t="s">
        <v>13</v>
      </c>
      <c r="J2484" s="1" t="s">
        <v>27</v>
      </c>
      <c r="K2484" s="1">
        <v>0</v>
      </c>
      <c r="L2484" s="1" t="s">
        <v>19</v>
      </c>
      <c r="M2484" s="1" t="str">
        <f t="shared" si="38"/>
        <v>Consistent</v>
      </c>
      <c r="N2484" s="1" t="str">
        <f>_xlfn.XLOOKUP(H2484, risk_score!A:A, risk_score!B:B, 0)</f>
        <v>Low Risk</v>
      </c>
    </row>
    <row r="2485" spans="1:14">
      <c r="A2485" s="2">
        <v>0.50488425925925928</v>
      </c>
      <c r="B2485" s="3">
        <v>44841</v>
      </c>
      <c r="C2485" s="1">
        <v>9771467563</v>
      </c>
      <c r="D2485" s="1">
        <v>6077900993</v>
      </c>
      <c r="E2485" s="1">
        <v>1227.6300000000001</v>
      </c>
      <c r="F2485" s="1" t="s">
        <v>12</v>
      </c>
      <c r="G2485" s="1" t="s">
        <v>12</v>
      </c>
      <c r="H2485" s="1" t="s">
        <v>13</v>
      </c>
      <c r="I2485" s="1" t="s">
        <v>13</v>
      </c>
      <c r="J2485" s="1" t="s">
        <v>22</v>
      </c>
      <c r="K2485" s="1">
        <v>0</v>
      </c>
      <c r="L2485" s="1" t="s">
        <v>24</v>
      </c>
      <c r="M2485" s="1" t="str">
        <f t="shared" si="38"/>
        <v>Consistent</v>
      </c>
      <c r="N2485" s="1" t="str">
        <f>_xlfn.XLOOKUP(H2485, risk_score!A:A, risk_score!B:B, 0)</f>
        <v>Low Risk</v>
      </c>
    </row>
    <row r="2486" spans="1:14">
      <c r="A2486" s="2">
        <v>0.50489583333333332</v>
      </c>
      <c r="B2486" s="3">
        <v>44841</v>
      </c>
      <c r="C2486" s="1">
        <v>2133070589</v>
      </c>
      <c r="D2486" s="1">
        <v>1377603863</v>
      </c>
      <c r="E2486" s="1">
        <v>14021.47</v>
      </c>
      <c r="F2486" s="1" t="s">
        <v>12</v>
      </c>
      <c r="G2486" s="1" t="s">
        <v>12</v>
      </c>
      <c r="H2486" s="1" t="s">
        <v>13</v>
      </c>
      <c r="I2486" s="1" t="s">
        <v>13</v>
      </c>
      <c r="J2486" s="1" t="s">
        <v>20</v>
      </c>
      <c r="K2486" s="1">
        <v>0</v>
      </c>
      <c r="L2486" s="1" t="s">
        <v>23</v>
      </c>
      <c r="M2486" s="1" t="str">
        <f t="shared" si="38"/>
        <v>Consistent</v>
      </c>
      <c r="N2486" s="1" t="str">
        <f>_xlfn.XLOOKUP(H2486, risk_score!A:A, risk_score!B:B, 0)</f>
        <v>Low Risk</v>
      </c>
    </row>
    <row r="2487" spans="1:14">
      <c r="A2487" s="2">
        <v>0.50491898148148151</v>
      </c>
      <c r="B2487" s="3">
        <v>44841</v>
      </c>
      <c r="C2487" s="1">
        <v>9975059059</v>
      </c>
      <c r="D2487" s="1">
        <v>7160736915</v>
      </c>
      <c r="E2487" s="1">
        <v>6674.52</v>
      </c>
      <c r="F2487" s="1" t="s">
        <v>12</v>
      </c>
      <c r="G2487" s="1" t="s">
        <v>12</v>
      </c>
      <c r="H2487" s="1" t="s">
        <v>13</v>
      </c>
      <c r="I2487" s="1" t="s">
        <v>13</v>
      </c>
      <c r="J2487" s="1" t="s">
        <v>22</v>
      </c>
      <c r="K2487" s="1">
        <v>0</v>
      </c>
      <c r="L2487" s="1" t="s">
        <v>23</v>
      </c>
      <c r="M2487" s="1" t="str">
        <f t="shared" si="38"/>
        <v>Consistent</v>
      </c>
      <c r="N2487" s="1" t="str">
        <f>_xlfn.XLOOKUP(H2487, risk_score!A:A, risk_score!B:B, 0)</f>
        <v>Low Risk</v>
      </c>
    </row>
    <row r="2488" spans="1:14">
      <c r="A2488" s="2">
        <v>0.50493055555555555</v>
      </c>
      <c r="B2488" s="3">
        <v>44841</v>
      </c>
      <c r="C2488" s="1">
        <v>6867808693</v>
      </c>
      <c r="D2488" s="1">
        <v>4657854880</v>
      </c>
      <c r="E2488" s="1">
        <v>7285.58</v>
      </c>
      <c r="F2488" s="1" t="s">
        <v>12</v>
      </c>
      <c r="G2488" s="1" t="s">
        <v>12</v>
      </c>
      <c r="H2488" s="1" t="s">
        <v>13</v>
      </c>
      <c r="I2488" s="1" t="s">
        <v>13</v>
      </c>
      <c r="J2488" s="1" t="s">
        <v>27</v>
      </c>
      <c r="K2488" s="1">
        <v>0</v>
      </c>
      <c r="L2488" s="1" t="s">
        <v>21</v>
      </c>
      <c r="M2488" s="1" t="str">
        <f t="shared" si="38"/>
        <v>Consistent</v>
      </c>
      <c r="N2488" s="1" t="str">
        <f>_xlfn.XLOOKUP(H2488, risk_score!A:A, risk_score!B:B, 0)</f>
        <v>Low Risk</v>
      </c>
    </row>
    <row r="2489" spans="1:14">
      <c r="A2489" s="2">
        <v>0.50493055555555555</v>
      </c>
      <c r="B2489" s="3">
        <v>44841</v>
      </c>
      <c r="C2489" s="1">
        <v>7217633796</v>
      </c>
      <c r="D2489" s="1">
        <v>8368694306</v>
      </c>
      <c r="E2489" s="1">
        <v>175.45</v>
      </c>
      <c r="F2489" s="1" t="s">
        <v>12</v>
      </c>
      <c r="G2489" s="1" t="s">
        <v>12</v>
      </c>
      <c r="H2489" s="1" t="s">
        <v>13</v>
      </c>
      <c r="I2489" s="1" t="s">
        <v>13</v>
      </c>
      <c r="J2489" s="1" t="s">
        <v>20</v>
      </c>
      <c r="K2489" s="1">
        <v>0</v>
      </c>
      <c r="L2489" s="1" t="s">
        <v>21</v>
      </c>
      <c r="M2489" s="1" t="str">
        <f t="shared" si="38"/>
        <v>Consistent</v>
      </c>
      <c r="N2489" s="1" t="str">
        <f>_xlfn.XLOOKUP(H2489, risk_score!A:A, risk_score!B:B, 0)</f>
        <v>Low Risk</v>
      </c>
    </row>
    <row r="2490" spans="1:14">
      <c r="A2490" s="2">
        <v>0.50497685185185182</v>
      </c>
      <c r="B2490" s="3">
        <v>44841</v>
      </c>
      <c r="C2490" s="1">
        <v>2052847675</v>
      </c>
      <c r="D2490" s="1">
        <v>2254471770</v>
      </c>
      <c r="E2490" s="1">
        <v>1648.09</v>
      </c>
      <c r="F2490" s="1" t="s">
        <v>12</v>
      </c>
      <c r="G2490" s="1" t="s">
        <v>12</v>
      </c>
      <c r="H2490" s="1" t="s">
        <v>13</v>
      </c>
      <c r="I2490" s="1" t="s">
        <v>13</v>
      </c>
      <c r="J2490" s="1" t="s">
        <v>25</v>
      </c>
      <c r="K2490" s="1">
        <v>0</v>
      </c>
      <c r="L2490" s="1" t="s">
        <v>21</v>
      </c>
      <c r="M2490" s="1" t="str">
        <f t="shared" si="38"/>
        <v>Consistent</v>
      </c>
      <c r="N2490" s="1" t="str">
        <f>_xlfn.XLOOKUP(H2490, risk_score!A:A, risk_score!B:B, 0)</f>
        <v>Low Risk</v>
      </c>
    </row>
    <row r="2491" spans="1:14">
      <c r="A2491" s="2">
        <v>0.50503472222222223</v>
      </c>
      <c r="B2491" s="3">
        <v>44841</v>
      </c>
      <c r="C2491" s="1">
        <v>9282040297</v>
      </c>
      <c r="D2491" s="1">
        <v>9850207015</v>
      </c>
      <c r="E2491" s="1">
        <v>93367.86</v>
      </c>
      <c r="F2491" s="1" t="s">
        <v>12</v>
      </c>
      <c r="G2491" s="1" t="s">
        <v>12</v>
      </c>
      <c r="H2491" s="1" t="s">
        <v>13</v>
      </c>
      <c r="I2491" s="1" t="s">
        <v>13</v>
      </c>
      <c r="J2491" s="1" t="s">
        <v>20</v>
      </c>
      <c r="K2491" s="1">
        <v>0</v>
      </c>
      <c r="L2491" s="1" t="s">
        <v>58</v>
      </c>
      <c r="M2491" s="1" t="str">
        <f t="shared" si="38"/>
        <v>Consistent</v>
      </c>
      <c r="N2491" s="1" t="str">
        <f>_xlfn.XLOOKUP(H2491, risk_score!A:A, risk_score!B:B, 0)</f>
        <v>Low Risk</v>
      </c>
    </row>
    <row r="2492" spans="1:14">
      <c r="A2492" s="2">
        <v>0.5050810185185185</v>
      </c>
      <c r="B2492" s="3">
        <v>44841</v>
      </c>
      <c r="C2492" s="1">
        <v>5021785800</v>
      </c>
      <c r="D2492" s="1">
        <v>737679962</v>
      </c>
      <c r="E2492" s="1">
        <v>4555.33</v>
      </c>
      <c r="F2492" s="1" t="s">
        <v>12</v>
      </c>
      <c r="G2492" s="1" t="s">
        <v>12</v>
      </c>
      <c r="H2492" s="1" t="s">
        <v>13</v>
      </c>
      <c r="I2492" s="1" t="s">
        <v>13</v>
      </c>
      <c r="J2492" s="1" t="s">
        <v>27</v>
      </c>
      <c r="K2492" s="1">
        <v>0</v>
      </c>
      <c r="L2492" s="1" t="s">
        <v>19</v>
      </c>
      <c r="M2492" s="1" t="str">
        <f t="shared" si="38"/>
        <v>Consistent</v>
      </c>
      <c r="N2492" s="1" t="str">
        <f>_xlfn.XLOOKUP(H2492, risk_score!A:A, risk_score!B:B, 0)</f>
        <v>Low Risk</v>
      </c>
    </row>
    <row r="2493" spans="1:14">
      <c r="A2493" s="2">
        <v>0.50510416666666669</v>
      </c>
      <c r="B2493" s="3">
        <v>44841</v>
      </c>
      <c r="C2493" s="1">
        <v>8740272572</v>
      </c>
      <c r="D2493" s="1">
        <v>2828854769</v>
      </c>
      <c r="E2493" s="1">
        <v>6041.88</v>
      </c>
      <c r="F2493" s="1" t="s">
        <v>12</v>
      </c>
      <c r="G2493" s="1" t="s">
        <v>12</v>
      </c>
      <c r="H2493" s="1" t="s">
        <v>13</v>
      </c>
      <c r="I2493" s="1" t="s">
        <v>13</v>
      </c>
      <c r="J2493" s="1" t="s">
        <v>20</v>
      </c>
      <c r="K2493" s="1">
        <v>0</v>
      </c>
      <c r="L2493" s="1" t="s">
        <v>24</v>
      </c>
      <c r="M2493" s="1" t="str">
        <f t="shared" si="38"/>
        <v>Consistent</v>
      </c>
      <c r="N2493" s="1" t="str">
        <f>_xlfn.XLOOKUP(H2493, risk_score!A:A, risk_score!B:B, 0)</f>
        <v>Low Risk</v>
      </c>
    </row>
    <row r="2494" spans="1:14">
      <c r="A2494" s="2">
        <v>0.50511574074074073</v>
      </c>
      <c r="B2494" s="3">
        <v>44841</v>
      </c>
      <c r="C2494" s="1">
        <v>799188600</v>
      </c>
      <c r="D2494" s="1">
        <v>286855986</v>
      </c>
      <c r="E2494" s="1">
        <v>28447.05</v>
      </c>
      <c r="F2494" s="1" t="s">
        <v>12</v>
      </c>
      <c r="G2494" s="1" t="s">
        <v>12</v>
      </c>
      <c r="H2494" s="1" t="s">
        <v>13</v>
      </c>
      <c r="I2494" s="1" t="s">
        <v>13</v>
      </c>
      <c r="J2494" s="1" t="s">
        <v>25</v>
      </c>
      <c r="K2494" s="1">
        <v>0</v>
      </c>
      <c r="L2494" s="1" t="s">
        <v>21</v>
      </c>
      <c r="M2494" s="1" t="str">
        <f t="shared" si="38"/>
        <v>Consistent</v>
      </c>
      <c r="N2494" s="1" t="str">
        <f>_xlfn.XLOOKUP(H2494, risk_score!A:A, risk_score!B:B, 0)</f>
        <v>Low Risk</v>
      </c>
    </row>
    <row r="2495" spans="1:14">
      <c r="A2495" s="2">
        <v>0.50515046296296295</v>
      </c>
      <c r="B2495" s="3">
        <v>44841</v>
      </c>
      <c r="C2495" s="1">
        <v>747448835</v>
      </c>
      <c r="D2495" s="1">
        <v>8064916340</v>
      </c>
      <c r="E2495" s="1">
        <v>4884.58</v>
      </c>
      <c r="F2495" s="1" t="s">
        <v>12</v>
      </c>
      <c r="G2495" s="1" t="s">
        <v>12</v>
      </c>
      <c r="H2495" s="1" t="s">
        <v>13</v>
      </c>
      <c r="I2495" s="1" t="s">
        <v>13</v>
      </c>
      <c r="J2495" s="1" t="s">
        <v>25</v>
      </c>
      <c r="K2495" s="1">
        <v>0</v>
      </c>
      <c r="L2495" s="1" t="s">
        <v>21</v>
      </c>
      <c r="M2495" s="1" t="str">
        <f t="shared" si="38"/>
        <v>Consistent</v>
      </c>
      <c r="N2495" s="1" t="str">
        <f>_xlfn.XLOOKUP(H2495, risk_score!A:A, risk_score!B:B, 0)</f>
        <v>Low Risk</v>
      </c>
    </row>
    <row r="2496" spans="1:14">
      <c r="A2496" s="2">
        <v>0.50518518518518518</v>
      </c>
      <c r="B2496" s="3">
        <v>44841</v>
      </c>
      <c r="C2496" s="1">
        <v>2196677893</v>
      </c>
      <c r="D2496" s="1">
        <v>911722658</v>
      </c>
      <c r="E2496" s="1">
        <v>11416.75</v>
      </c>
      <c r="F2496" s="1" t="s">
        <v>34</v>
      </c>
      <c r="G2496" s="1" t="s">
        <v>12</v>
      </c>
      <c r="H2496" s="1" t="s">
        <v>45</v>
      </c>
      <c r="I2496" s="1" t="s">
        <v>13</v>
      </c>
      <c r="J2496" s="1" t="s">
        <v>18</v>
      </c>
      <c r="K2496" s="1">
        <v>0</v>
      </c>
      <c r="L2496" s="1" t="s">
        <v>38</v>
      </c>
      <c r="M2496" s="1" t="str">
        <f t="shared" si="38"/>
        <v>Potential Layering</v>
      </c>
      <c r="N2496" s="1" t="str">
        <f>_xlfn.XLOOKUP(H2496, risk_score!A:A, risk_score!B:B, 0)</f>
        <v>High Risk</v>
      </c>
    </row>
    <row r="2497" spans="1:14">
      <c r="A2497" s="2">
        <v>0.50521990740740741</v>
      </c>
      <c r="B2497" s="3">
        <v>44841</v>
      </c>
      <c r="C2497" s="1">
        <v>2797271466</v>
      </c>
      <c r="D2497" s="1">
        <v>9599693960</v>
      </c>
      <c r="E2497" s="1">
        <v>9699.02</v>
      </c>
      <c r="F2497" s="1" t="s">
        <v>12</v>
      </c>
      <c r="G2497" s="1" t="s">
        <v>12</v>
      </c>
      <c r="H2497" s="1" t="s">
        <v>13</v>
      </c>
      <c r="I2497" s="1" t="s">
        <v>13</v>
      </c>
      <c r="J2497" s="1" t="s">
        <v>20</v>
      </c>
      <c r="K2497" s="1">
        <v>0</v>
      </c>
      <c r="L2497" s="1" t="s">
        <v>19</v>
      </c>
      <c r="M2497" s="1" t="str">
        <f t="shared" si="38"/>
        <v>Consistent</v>
      </c>
      <c r="N2497" s="1" t="str">
        <f>_xlfn.XLOOKUP(H2497, risk_score!A:A, risk_score!B:B, 0)</f>
        <v>Low Risk</v>
      </c>
    </row>
    <row r="2498" spans="1:14">
      <c r="A2498" s="2">
        <v>0.50523148148148145</v>
      </c>
      <c r="B2498" s="3">
        <v>44841</v>
      </c>
      <c r="C2498" s="1">
        <v>3709430533</v>
      </c>
      <c r="D2498" s="1">
        <v>7534701000</v>
      </c>
      <c r="E2498" s="1">
        <v>9161.8700000000008</v>
      </c>
      <c r="F2498" s="1" t="s">
        <v>12</v>
      </c>
      <c r="G2498" s="1" t="s">
        <v>12</v>
      </c>
      <c r="H2498" s="1" t="s">
        <v>13</v>
      </c>
      <c r="I2498" s="1" t="s">
        <v>13</v>
      </c>
      <c r="J2498" s="1" t="s">
        <v>27</v>
      </c>
      <c r="K2498" s="1">
        <v>0</v>
      </c>
      <c r="L2498" s="1" t="s">
        <v>19</v>
      </c>
      <c r="M2498" s="1" t="str">
        <f t="shared" si="38"/>
        <v>Consistent</v>
      </c>
      <c r="N2498" s="1" t="str">
        <f>_xlfn.XLOOKUP(H2498, risk_score!A:A, risk_score!B:B, 0)</f>
        <v>Low Risk</v>
      </c>
    </row>
    <row r="2499" spans="1:14">
      <c r="A2499" s="2">
        <v>0.5052430555555556</v>
      </c>
      <c r="B2499" s="3">
        <v>44841</v>
      </c>
      <c r="C2499" s="1">
        <v>3262760251</v>
      </c>
      <c r="D2499" s="1">
        <v>3695545812</v>
      </c>
      <c r="E2499" s="1">
        <v>20651.87</v>
      </c>
      <c r="F2499" s="1" t="s">
        <v>12</v>
      </c>
      <c r="G2499" s="1" t="s">
        <v>12</v>
      </c>
      <c r="H2499" s="1" t="s">
        <v>13</v>
      </c>
      <c r="I2499" s="1" t="s">
        <v>13</v>
      </c>
      <c r="J2499" s="1" t="s">
        <v>27</v>
      </c>
      <c r="K2499" s="1">
        <v>0</v>
      </c>
      <c r="L2499" s="1" t="s">
        <v>23</v>
      </c>
      <c r="M2499" s="1" t="str">
        <f t="shared" ref="M2499:M2562" si="39">IF(F2499=G2499, "Consistent", "Potential Layering")</f>
        <v>Consistent</v>
      </c>
      <c r="N2499" s="1" t="str">
        <f>_xlfn.XLOOKUP(H2499, risk_score!A:A, risk_score!B:B, 0)</f>
        <v>Low Risk</v>
      </c>
    </row>
    <row r="2500" spans="1:14">
      <c r="A2500" s="2">
        <v>0.50526620370370368</v>
      </c>
      <c r="B2500" s="3">
        <v>44841</v>
      </c>
      <c r="C2500" s="1">
        <v>3614082527</v>
      </c>
      <c r="D2500" s="1">
        <v>7050565101</v>
      </c>
      <c r="E2500" s="1">
        <v>12368.18</v>
      </c>
      <c r="F2500" s="1" t="s">
        <v>12</v>
      </c>
      <c r="G2500" s="1" t="s">
        <v>12</v>
      </c>
      <c r="H2500" s="1" t="s">
        <v>13</v>
      </c>
      <c r="I2500" s="1" t="s">
        <v>13</v>
      </c>
      <c r="J2500" s="1" t="s">
        <v>27</v>
      </c>
      <c r="K2500" s="1">
        <v>0</v>
      </c>
      <c r="L2500" s="1" t="s">
        <v>19</v>
      </c>
      <c r="M2500" s="1" t="str">
        <f t="shared" si="39"/>
        <v>Consistent</v>
      </c>
      <c r="N2500" s="1" t="str">
        <f>_xlfn.XLOOKUP(H2500, risk_score!A:A, risk_score!B:B, 0)</f>
        <v>Low Risk</v>
      </c>
    </row>
    <row r="2501" spans="1:14">
      <c r="A2501" s="2">
        <v>0.50527777777777783</v>
      </c>
      <c r="B2501" s="3">
        <v>44841</v>
      </c>
      <c r="C2501" s="1">
        <v>9334364016</v>
      </c>
      <c r="D2501" s="1">
        <v>7892884492</v>
      </c>
      <c r="E2501" s="1">
        <v>5158.1000000000004</v>
      </c>
      <c r="F2501" s="1" t="s">
        <v>12</v>
      </c>
      <c r="G2501" s="1" t="s">
        <v>32</v>
      </c>
      <c r="H2501" s="1" t="s">
        <v>13</v>
      </c>
      <c r="I2501" s="1" t="s">
        <v>33</v>
      </c>
      <c r="J2501" s="1" t="s">
        <v>18</v>
      </c>
      <c r="K2501" s="1">
        <v>0</v>
      </c>
      <c r="L2501" s="1" t="s">
        <v>23</v>
      </c>
      <c r="M2501" s="1" t="str">
        <f t="shared" si="39"/>
        <v>Potential Layering</v>
      </c>
      <c r="N2501" s="1" t="str">
        <f>_xlfn.XLOOKUP(H2501, risk_score!A:A, risk_score!B:B, 0)</f>
        <v>Low Risk</v>
      </c>
    </row>
    <row r="2502" spans="1:14">
      <c r="A2502" s="2">
        <v>0.50531250000000005</v>
      </c>
      <c r="B2502" s="3">
        <v>44841</v>
      </c>
      <c r="C2502" s="1">
        <v>1701080414</v>
      </c>
      <c r="D2502" s="1">
        <v>6188396334</v>
      </c>
      <c r="E2502" s="1">
        <v>767.22</v>
      </c>
      <c r="F2502" s="1" t="s">
        <v>12</v>
      </c>
      <c r="G2502" s="1" t="s">
        <v>12</v>
      </c>
      <c r="H2502" s="1" t="s">
        <v>13</v>
      </c>
      <c r="I2502" s="1" t="s">
        <v>13</v>
      </c>
      <c r="J2502" s="1" t="s">
        <v>25</v>
      </c>
      <c r="K2502" s="1">
        <v>0</v>
      </c>
      <c r="L2502" s="1" t="s">
        <v>21</v>
      </c>
      <c r="M2502" s="1" t="str">
        <f t="shared" si="39"/>
        <v>Consistent</v>
      </c>
      <c r="N2502" s="1" t="str">
        <f>_xlfn.XLOOKUP(H2502, risk_score!A:A, risk_score!B:B, 0)</f>
        <v>Low Risk</v>
      </c>
    </row>
    <row r="2503" spans="1:14">
      <c r="A2503" s="2">
        <v>0.50534722222222217</v>
      </c>
      <c r="B2503" s="3">
        <v>44841</v>
      </c>
      <c r="C2503" s="1">
        <v>5174329652</v>
      </c>
      <c r="D2503" s="1">
        <v>4669499191</v>
      </c>
      <c r="E2503" s="1">
        <v>4155.08</v>
      </c>
      <c r="F2503" s="1" t="s">
        <v>12</v>
      </c>
      <c r="G2503" s="1" t="s">
        <v>12</v>
      </c>
      <c r="H2503" s="1" t="s">
        <v>13</v>
      </c>
      <c r="I2503" s="1" t="s">
        <v>13</v>
      </c>
      <c r="J2503" s="1" t="s">
        <v>20</v>
      </c>
      <c r="K2503" s="1">
        <v>0</v>
      </c>
      <c r="L2503" s="1" t="s">
        <v>21</v>
      </c>
      <c r="M2503" s="1" t="str">
        <f t="shared" si="39"/>
        <v>Consistent</v>
      </c>
      <c r="N2503" s="1" t="str">
        <f>_xlfn.XLOOKUP(H2503, risk_score!A:A, risk_score!B:B, 0)</f>
        <v>Low Risk</v>
      </c>
    </row>
    <row r="2504" spans="1:14">
      <c r="A2504" s="2">
        <v>0.50535879629629632</v>
      </c>
      <c r="B2504" s="3">
        <v>44841</v>
      </c>
      <c r="C2504" s="1">
        <v>3553120499</v>
      </c>
      <c r="D2504" s="1">
        <v>6565849821</v>
      </c>
      <c r="E2504" s="1">
        <v>334.41</v>
      </c>
      <c r="F2504" s="1" t="s">
        <v>12</v>
      </c>
      <c r="G2504" s="1" t="s">
        <v>12</v>
      </c>
      <c r="H2504" s="1" t="s">
        <v>13</v>
      </c>
      <c r="I2504" s="1" t="s">
        <v>13</v>
      </c>
      <c r="J2504" s="1" t="s">
        <v>36</v>
      </c>
      <c r="K2504" s="1">
        <v>0</v>
      </c>
      <c r="L2504" s="1" t="s">
        <v>37</v>
      </c>
      <c r="M2504" s="1" t="str">
        <f t="shared" si="39"/>
        <v>Consistent</v>
      </c>
      <c r="N2504" s="1" t="str">
        <f>_xlfn.XLOOKUP(H2504, risk_score!A:A, risk_score!B:B, 0)</f>
        <v>Low Risk</v>
      </c>
    </row>
    <row r="2505" spans="1:14">
      <c r="A2505" s="2">
        <v>0.505462962962963</v>
      </c>
      <c r="B2505" s="3">
        <v>44841</v>
      </c>
      <c r="C2505" s="1">
        <v>7669236826</v>
      </c>
      <c r="D2505" s="1">
        <v>7074900925</v>
      </c>
      <c r="E2505" s="1">
        <v>5990.52</v>
      </c>
      <c r="F2505" s="1" t="s">
        <v>12</v>
      </c>
      <c r="G2505" s="1" t="s">
        <v>12</v>
      </c>
      <c r="H2505" s="1" t="s">
        <v>13</v>
      </c>
      <c r="I2505" s="1" t="s">
        <v>13</v>
      </c>
      <c r="J2505" s="1" t="s">
        <v>20</v>
      </c>
      <c r="K2505" s="1">
        <v>0</v>
      </c>
      <c r="L2505" s="1" t="s">
        <v>19</v>
      </c>
      <c r="M2505" s="1" t="str">
        <f t="shared" si="39"/>
        <v>Consistent</v>
      </c>
      <c r="N2505" s="1" t="str">
        <f>_xlfn.XLOOKUP(H2505, risk_score!A:A, risk_score!B:B, 0)</f>
        <v>Low Risk</v>
      </c>
    </row>
    <row r="2506" spans="1:14">
      <c r="A2506" s="2">
        <v>0.50550925925925927</v>
      </c>
      <c r="B2506" s="3">
        <v>44841</v>
      </c>
      <c r="C2506" s="1">
        <v>9734083970</v>
      </c>
      <c r="D2506" s="1">
        <v>7577540230</v>
      </c>
      <c r="E2506" s="1">
        <v>7254.49</v>
      </c>
      <c r="F2506" s="1" t="s">
        <v>12</v>
      </c>
      <c r="G2506" s="1" t="s">
        <v>12</v>
      </c>
      <c r="H2506" s="1" t="s">
        <v>13</v>
      </c>
      <c r="I2506" s="1" t="s">
        <v>13</v>
      </c>
      <c r="J2506" s="1" t="s">
        <v>25</v>
      </c>
      <c r="K2506" s="1">
        <v>0</v>
      </c>
      <c r="L2506" s="1" t="s">
        <v>19</v>
      </c>
      <c r="M2506" s="1" t="str">
        <f t="shared" si="39"/>
        <v>Consistent</v>
      </c>
      <c r="N2506" s="1" t="str">
        <f>_xlfn.XLOOKUP(H2506, risk_score!A:A, risk_score!B:B, 0)</f>
        <v>Low Risk</v>
      </c>
    </row>
    <row r="2507" spans="1:14">
      <c r="A2507" s="2">
        <v>0.50552083333333331</v>
      </c>
      <c r="B2507" s="3">
        <v>44841</v>
      </c>
      <c r="C2507" s="1">
        <v>556697153</v>
      </c>
      <c r="D2507" s="1">
        <v>7732762685</v>
      </c>
      <c r="E2507" s="1">
        <v>1638.98</v>
      </c>
      <c r="F2507" s="1" t="s">
        <v>12</v>
      </c>
      <c r="G2507" s="1" t="s">
        <v>12</v>
      </c>
      <c r="H2507" s="1" t="s">
        <v>13</v>
      </c>
      <c r="I2507" s="1" t="s">
        <v>13</v>
      </c>
      <c r="J2507" s="1" t="s">
        <v>14</v>
      </c>
      <c r="K2507" s="1">
        <v>0</v>
      </c>
      <c r="L2507" s="1" t="s">
        <v>15</v>
      </c>
      <c r="M2507" s="1" t="str">
        <f t="shared" si="39"/>
        <v>Consistent</v>
      </c>
      <c r="N2507" s="1" t="str">
        <f>_xlfn.XLOOKUP(H2507, risk_score!A:A, risk_score!B:B, 0)</f>
        <v>Low Risk</v>
      </c>
    </row>
    <row r="2508" spans="1:14">
      <c r="A2508" s="2">
        <v>0.50556712962962957</v>
      </c>
      <c r="B2508" s="3">
        <v>44841</v>
      </c>
      <c r="C2508" s="1">
        <v>8789318813</v>
      </c>
      <c r="D2508" s="1">
        <v>4873913778</v>
      </c>
      <c r="E2508" s="1">
        <v>2194.19</v>
      </c>
      <c r="F2508" s="1" t="s">
        <v>12</v>
      </c>
      <c r="G2508" s="1" t="s">
        <v>12</v>
      </c>
      <c r="H2508" s="1" t="s">
        <v>13</v>
      </c>
      <c r="I2508" s="1" t="s">
        <v>13</v>
      </c>
      <c r="J2508" s="1" t="s">
        <v>20</v>
      </c>
      <c r="K2508" s="1">
        <v>0</v>
      </c>
      <c r="L2508" s="1" t="s">
        <v>21</v>
      </c>
      <c r="M2508" s="1" t="str">
        <f t="shared" si="39"/>
        <v>Consistent</v>
      </c>
      <c r="N2508" s="1" t="str">
        <f>_xlfn.XLOOKUP(H2508, risk_score!A:A, risk_score!B:B, 0)</f>
        <v>Low Risk</v>
      </c>
    </row>
    <row r="2509" spans="1:14">
      <c r="A2509" s="2">
        <v>0.50556712962962957</v>
      </c>
      <c r="B2509" s="3">
        <v>44841</v>
      </c>
      <c r="C2509" s="1">
        <v>9599009457</v>
      </c>
      <c r="D2509" s="1">
        <v>7106391404</v>
      </c>
      <c r="E2509" s="1">
        <v>9945.27</v>
      </c>
      <c r="F2509" s="1" t="s">
        <v>12</v>
      </c>
      <c r="G2509" s="1" t="s">
        <v>51</v>
      </c>
      <c r="H2509" s="1" t="s">
        <v>13</v>
      </c>
      <c r="I2509" s="1" t="s">
        <v>52</v>
      </c>
      <c r="J2509" s="1" t="s">
        <v>18</v>
      </c>
      <c r="K2509" s="1">
        <v>0</v>
      </c>
      <c r="L2509" s="1" t="s">
        <v>19</v>
      </c>
      <c r="M2509" s="1" t="str">
        <f t="shared" si="39"/>
        <v>Potential Layering</v>
      </c>
      <c r="N2509" s="1" t="str">
        <f>_xlfn.XLOOKUP(H2509, risk_score!A:A, risk_score!B:B, 0)</f>
        <v>Low Risk</v>
      </c>
    </row>
    <row r="2510" spans="1:14">
      <c r="A2510" s="2">
        <v>0.50557870370370372</v>
      </c>
      <c r="B2510" s="3">
        <v>44841</v>
      </c>
      <c r="C2510" s="1">
        <v>5607688477</v>
      </c>
      <c r="D2510" s="1">
        <v>5858369125</v>
      </c>
      <c r="E2510" s="1">
        <v>9210.7999999999993</v>
      </c>
      <c r="F2510" s="1" t="s">
        <v>12</v>
      </c>
      <c r="G2510" s="1" t="s">
        <v>12</v>
      </c>
      <c r="H2510" s="1" t="s">
        <v>13</v>
      </c>
      <c r="I2510" s="1" t="s">
        <v>13</v>
      </c>
      <c r="J2510" s="1" t="s">
        <v>22</v>
      </c>
      <c r="K2510" s="1">
        <v>0</v>
      </c>
      <c r="L2510" s="1" t="s">
        <v>23</v>
      </c>
      <c r="M2510" s="1" t="str">
        <f t="shared" si="39"/>
        <v>Consistent</v>
      </c>
      <c r="N2510" s="1" t="str">
        <f>_xlfn.XLOOKUP(H2510, risk_score!A:A, risk_score!B:B, 0)</f>
        <v>Low Risk</v>
      </c>
    </row>
    <row r="2511" spans="1:14">
      <c r="A2511" s="2">
        <v>0.50563657407407403</v>
      </c>
      <c r="B2511" s="3">
        <v>44841</v>
      </c>
      <c r="C2511" s="1">
        <v>34725151</v>
      </c>
      <c r="D2511" s="1">
        <v>3147078798</v>
      </c>
      <c r="E2511" s="1">
        <v>231.01</v>
      </c>
      <c r="F2511" s="1" t="s">
        <v>12</v>
      </c>
      <c r="G2511" s="1" t="s">
        <v>12</v>
      </c>
      <c r="H2511" s="1" t="s">
        <v>13</v>
      </c>
      <c r="I2511" s="1" t="s">
        <v>13</v>
      </c>
      <c r="J2511" s="1" t="s">
        <v>36</v>
      </c>
      <c r="K2511" s="1">
        <v>0</v>
      </c>
      <c r="L2511" s="1" t="s">
        <v>37</v>
      </c>
      <c r="M2511" s="1" t="str">
        <f t="shared" si="39"/>
        <v>Consistent</v>
      </c>
      <c r="N2511" s="1" t="str">
        <f>_xlfn.XLOOKUP(H2511, risk_score!A:A, risk_score!B:B, 0)</f>
        <v>Low Risk</v>
      </c>
    </row>
    <row r="2512" spans="1:14">
      <c r="A2512" s="2">
        <v>0.50564814814814818</v>
      </c>
      <c r="B2512" s="3">
        <v>44841</v>
      </c>
      <c r="C2512" s="1">
        <v>8952177221</v>
      </c>
      <c r="D2512" s="1">
        <v>4447848214</v>
      </c>
      <c r="E2512" s="1">
        <v>8054.2</v>
      </c>
      <c r="F2512" s="1" t="s">
        <v>12</v>
      </c>
      <c r="G2512" s="1" t="s">
        <v>12</v>
      </c>
      <c r="H2512" s="1" t="s">
        <v>13</v>
      </c>
      <c r="I2512" s="1" t="s">
        <v>13</v>
      </c>
      <c r="J2512" s="1" t="s">
        <v>25</v>
      </c>
      <c r="K2512" s="1">
        <v>0</v>
      </c>
      <c r="L2512" s="1" t="s">
        <v>19</v>
      </c>
      <c r="M2512" s="1" t="str">
        <f t="shared" si="39"/>
        <v>Consistent</v>
      </c>
      <c r="N2512" s="1" t="str">
        <f>_xlfn.XLOOKUP(H2512, risk_score!A:A, risk_score!B:B, 0)</f>
        <v>Low Risk</v>
      </c>
    </row>
    <row r="2513" spans="1:14">
      <c r="A2513" s="2">
        <v>0.50568287037037041</v>
      </c>
      <c r="B2513" s="3">
        <v>44841</v>
      </c>
      <c r="C2513" s="1">
        <v>1043391543</v>
      </c>
      <c r="D2513" s="1">
        <v>429790152</v>
      </c>
      <c r="E2513" s="1">
        <v>288.01</v>
      </c>
      <c r="F2513" s="1" t="s">
        <v>12</v>
      </c>
      <c r="G2513" s="1" t="s">
        <v>12</v>
      </c>
      <c r="H2513" s="1" t="s">
        <v>13</v>
      </c>
      <c r="I2513" s="1" t="s">
        <v>13</v>
      </c>
      <c r="J2513" s="1" t="s">
        <v>20</v>
      </c>
      <c r="K2513" s="1">
        <v>0</v>
      </c>
      <c r="L2513" s="1" t="s">
        <v>21</v>
      </c>
      <c r="M2513" s="1" t="str">
        <f t="shared" si="39"/>
        <v>Consistent</v>
      </c>
      <c r="N2513" s="1" t="str">
        <f>_xlfn.XLOOKUP(H2513, risk_score!A:A, risk_score!B:B, 0)</f>
        <v>Low Risk</v>
      </c>
    </row>
    <row r="2514" spans="1:14">
      <c r="A2514" s="2">
        <v>0.50568287037037041</v>
      </c>
      <c r="B2514" s="3">
        <v>44841</v>
      </c>
      <c r="C2514" s="1">
        <v>1781823044</v>
      </c>
      <c r="D2514" s="1">
        <v>2959021633</v>
      </c>
      <c r="E2514" s="1">
        <v>10295.52</v>
      </c>
      <c r="F2514" s="1" t="s">
        <v>12</v>
      </c>
      <c r="G2514" s="1" t="s">
        <v>12</v>
      </c>
      <c r="H2514" s="1" t="s">
        <v>13</v>
      </c>
      <c r="I2514" s="1" t="s">
        <v>13</v>
      </c>
      <c r="J2514" s="1" t="s">
        <v>25</v>
      </c>
      <c r="K2514" s="1">
        <v>0</v>
      </c>
      <c r="L2514" s="1" t="s">
        <v>21</v>
      </c>
      <c r="M2514" s="1" t="str">
        <f t="shared" si="39"/>
        <v>Consistent</v>
      </c>
      <c r="N2514" s="1" t="str">
        <f>_xlfn.XLOOKUP(H2514, risk_score!A:A, risk_score!B:B, 0)</f>
        <v>Low Risk</v>
      </c>
    </row>
    <row r="2515" spans="1:14">
      <c r="A2515" s="2">
        <v>0.50575231481481486</v>
      </c>
      <c r="B2515" s="3">
        <v>44841</v>
      </c>
      <c r="C2515" s="1">
        <v>7570613743</v>
      </c>
      <c r="D2515" s="1">
        <v>2958361606</v>
      </c>
      <c r="E2515" s="1">
        <v>1879.64</v>
      </c>
      <c r="F2515" s="1" t="s">
        <v>12</v>
      </c>
      <c r="G2515" s="1" t="s">
        <v>12</v>
      </c>
      <c r="H2515" s="1" t="s">
        <v>13</v>
      </c>
      <c r="I2515" s="1" t="s">
        <v>13</v>
      </c>
      <c r="J2515" s="1" t="s">
        <v>27</v>
      </c>
      <c r="K2515" s="1">
        <v>0</v>
      </c>
      <c r="L2515" s="1" t="s">
        <v>21</v>
      </c>
      <c r="M2515" s="1" t="str">
        <f t="shared" si="39"/>
        <v>Consistent</v>
      </c>
      <c r="N2515" s="1" t="str">
        <f>_xlfn.XLOOKUP(H2515, risk_score!A:A, risk_score!B:B, 0)</f>
        <v>Low Risk</v>
      </c>
    </row>
    <row r="2516" spans="1:14">
      <c r="A2516" s="2">
        <v>0.5057638888888889</v>
      </c>
      <c r="B2516" s="3">
        <v>44841</v>
      </c>
      <c r="C2516" s="1">
        <v>1125567105</v>
      </c>
      <c r="D2516" s="1">
        <v>5359004631</v>
      </c>
      <c r="E2516" s="1">
        <v>78.72</v>
      </c>
      <c r="F2516" s="1" t="s">
        <v>12</v>
      </c>
      <c r="G2516" s="1" t="s">
        <v>12</v>
      </c>
      <c r="H2516" s="1" t="s">
        <v>13</v>
      </c>
      <c r="I2516" s="1" t="s">
        <v>13</v>
      </c>
      <c r="J2516" s="1" t="s">
        <v>36</v>
      </c>
      <c r="K2516" s="1">
        <v>0</v>
      </c>
      <c r="L2516" s="1" t="s">
        <v>37</v>
      </c>
      <c r="M2516" s="1" t="str">
        <f t="shared" si="39"/>
        <v>Consistent</v>
      </c>
      <c r="N2516" s="1" t="str">
        <f>_xlfn.XLOOKUP(H2516, risk_score!A:A, risk_score!B:B, 0)</f>
        <v>Low Risk</v>
      </c>
    </row>
    <row r="2517" spans="1:14">
      <c r="A2517" s="2">
        <v>0.50577546296296294</v>
      </c>
      <c r="B2517" s="3">
        <v>44841</v>
      </c>
      <c r="C2517" s="1">
        <v>9534729015</v>
      </c>
      <c r="D2517" s="1">
        <v>8950761727</v>
      </c>
      <c r="E2517" s="1">
        <v>6877.12</v>
      </c>
      <c r="F2517" s="1" t="s">
        <v>12</v>
      </c>
      <c r="G2517" s="1" t="s">
        <v>12</v>
      </c>
      <c r="H2517" s="1" t="s">
        <v>13</v>
      </c>
      <c r="I2517" s="1" t="s">
        <v>13</v>
      </c>
      <c r="J2517" s="1" t="s">
        <v>20</v>
      </c>
      <c r="K2517" s="1">
        <v>0</v>
      </c>
      <c r="L2517" s="1" t="s">
        <v>19</v>
      </c>
      <c r="M2517" s="1" t="str">
        <f t="shared" si="39"/>
        <v>Consistent</v>
      </c>
      <c r="N2517" s="1" t="str">
        <f>_xlfn.XLOOKUP(H2517, risk_score!A:A, risk_score!B:B, 0)</f>
        <v>Low Risk</v>
      </c>
    </row>
    <row r="2518" spans="1:14">
      <c r="A2518" s="2">
        <v>0.50578703703703709</v>
      </c>
      <c r="B2518" s="3">
        <v>44841</v>
      </c>
      <c r="C2518" s="1">
        <v>1220646142</v>
      </c>
      <c r="D2518" s="1">
        <v>8172080174</v>
      </c>
      <c r="E2518" s="1">
        <v>7737.64</v>
      </c>
      <c r="F2518" s="1" t="s">
        <v>28</v>
      </c>
      <c r="G2518" s="1" t="s">
        <v>12</v>
      </c>
      <c r="H2518" s="1" t="s">
        <v>57</v>
      </c>
      <c r="I2518" s="1" t="s">
        <v>13</v>
      </c>
      <c r="J2518" s="1" t="s">
        <v>18</v>
      </c>
      <c r="K2518" s="1">
        <v>0</v>
      </c>
      <c r="L2518" s="1" t="s">
        <v>23</v>
      </c>
      <c r="M2518" s="1" t="str">
        <f t="shared" si="39"/>
        <v>Potential Layering</v>
      </c>
      <c r="N2518" s="1" t="str">
        <f>_xlfn.XLOOKUP(H2518, risk_score!A:A, risk_score!B:B, 0)</f>
        <v>High Risk</v>
      </c>
    </row>
    <row r="2519" spans="1:14">
      <c r="A2519" s="2">
        <v>0.50579861111111113</v>
      </c>
      <c r="B2519" s="3">
        <v>44841</v>
      </c>
      <c r="C2519" s="1">
        <v>3567089560</v>
      </c>
      <c r="D2519" s="1">
        <v>4547973270</v>
      </c>
      <c r="E2519" s="1">
        <v>6528.26</v>
      </c>
      <c r="F2519" s="1" t="s">
        <v>12</v>
      </c>
      <c r="G2519" s="1" t="s">
        <v>29</v>
      </c>
      <c r="H2519" s="1" t="s">
        <v>13</v>
      </c>
      <c r="I2519" s="1" t="s">
        <v>48</v>
      </c>
      <c r="J2519" s="1" t="s">
        <v>18</v>
      </c>
      <c r="K2519" s="1">
        <v>0</v>
      </c>
      <c r="L2519" s="1" t="s">
        <v>38</v>
      </c>
      <c r="M2519" s="1" t="str">
        <f t="shared" si="39"/>
        <v>Potential Layering</v>
      </c>
      <c r="N2519" s="1" t="str">
        <f>_xlfn.XLOOKUP(H2519, risk_score!A:A, risk_score!B:B, 0)</f>
        <v>Low Risk</v>
      </c>
    </row>
    <row r="2520" spans="1:14">
      <c r="A2520" s="2">
        <v>0.50585648148148143</v>
      </c>
      <c r="B2520" s="3">
        <v>44841</v>
      </c>
      <c r="C2520" s="1">
        <v>7155736136</v>
      </c>
      <c r="D2520" s="1">
        <v>1316458123</v>
      </c>
      <c r="E2520" s="1">
        <v>5712.75</v>
      </c>
      <c r="F2520" s="1" t="s">
        <v>12</v>
      </c>
      <c r="G2520" s="1" t="s">
        <v>34</v>
      </c>
      <c r="H2520" s="1" t="s">
        <v>13</v>
      </c>
      <c r="I2520" s="1" t="s">
        <v>35</v>
      </c>
      <c r="J2520" s="1" t="s">
        <v>18</v>
      </c>
      <c r="K2520" s="1">
        <v>0</v>
      </c>
      <c r="L2520" s="1" t="s">
        <v>23</v>
      </c>
      <c r="M2520" s="1" t="str">
        <f t="shared" si="39"/>
        <v>Potential Layering</v>
      </c>
      <c r="N2520" s="1" t="str">
        <f>_xlfn.XLOOKUP(H2520, risk_score!A:A, risk_score!B:B, 0)</f>
        <v>Low Risk</v>
      </c>
    </row>
    <row r="2521" spans="1:14">
      <c r="A2521" s="2">
        <v>0.50587962962962962</v>
      </c>
      <c r="B2521" s="3">
        <v>44841</v>
      </c>
      <c r="C2521" s="1">
        <v>2318934240</v>
      </c>
      <c r="D2521" s="1">
        <v>9019995600</v>
      </c>
      <c r="E2521" s="1">
        <v>2126.83</v>
      </c>
      <c r="F2521" s="1" t="s">
        <v>12</v>
      </c>
      <c r="G2521" s="1" t="s">
        <v>12</v>
      </c>
      <c r="H2521" s="1" t="s">
        <v>13</v>
      </c>
      <c r="I2521" s="1" t="s">
        <v>13</v>
      </c>
      <c r="J2521" s="1" t="s">
        <v>20</v>
      </c>
      <c r="K2521" s="1">
        <v>0</v>
      </c>
      <c r="L2521" s="1" t="s">
        <v>21</v>
      </c>
      <c r="M2521" s="1" t="str">
        <f t="shared" si="39"/>
        <v>Consistent</v>
      </c>
      <c r="N2521" s="1" t="str">
        <f>_xlfn.XLOOKUP(H2521, risk_score!A:A, risk_score!B:B, 0)</f>
        <v>Low Risk</v>
      </c>
    </row>
    <row r="2522" spans="1:14">
      <c r="A2522" s="2">
        <v>0.50587962962962962</v>
      </c>
      <c r="B2522" s="3">
        <v>44841</v>
      </c>
      <c r="C2522" s="1">
        <v>9893340528</v>
      </c>
      <c r="D2522" s="1">
        <v>5628674969</v>
      </c>
      <c r="E2522" s="1">
        <v>6598.91</v>
      </c>
      <c r="F2522" s="1" t="s">
        <v>12</v>
      </c>
      <c r="G2522" s="1" t="s">
        <v>12</v>
      </c>
      <c r="H2522" s="1" t="s">
        <v>13</v>
      </c>
      <c r="I2522" s="1" t="s">
        <v>13</v>
      </c>
      <c r="J2522" s="1" t="s">
        <v>22</v>
      </c>
      <c r="K2522" s="1">
        <v>0</v>
      </c>
      <c r="L2522" s="1" t="s">
        <v>23</v>
      </c>
      <c r="M2522" s="1" t="str">
        <f t="shared" si="39"/>
        <v>Consistent</v>
      </c>
      <c r="N2522" s="1" t="str">
        <f>_xlfn.XLOOKUP(H2522, risk_score!A:A, risk_score!B:B, 0)</f>
        <v>Low Risk</v>
      </c>
    </row>
    <row r="2523" spans="1:14">
      <c r="A2523" s="2">
        <v>0.50590277777777781</v>
      </c>
      <c r="B2523" s="3">
        <v>44841</v>
      </c>
      <c r="C2523" s="1">
        <v>2612483529</v>
      </c>
      <c r="D2523" s="1">
        <v>4336977506</v>
      </c>
      <c r="E2523" s="1">
        <v>21587.98</v>
      </c>
      <c r="F2523" s="1" t="s">
        <v>12</v>
      </c>
      <c r="G2523" s="1" t="s">
        <v>12</v>
      </c>
      <c r="H2523" s="1" t="s">
        <v>13</v>
      </c>
      <c r="I2523" s="1" t="s">
        <v>13</v>
      </c>
      <c r="J2523" s="1" t="s">
        <v>25</v>
      </c>
      <c r="K2523" s="1">
        <v>0</v>
      </c>
      <c r="L2523" s="1" t="s">
        <v>23</v>
      </c>
      <c r="M2523" s="1" t="str">
        <f t="shared" si="39"/>
        <v>Consistent</v>
      </c>
      <c r="N2523" s="1" t="str">
        <f>_xlfn.XLOOKUP(H2523, risk_score!A:A, risk_score!B:B, 0)</f>
        <v>Low Risk</v>
      </c>
    </row>
    <row r="2524" spans="1:14">
      <c r="A2524" s="2">
        <v>0.50592592592592589</v>
      </c>
      <c r="B2524" s="3">
        <v>44841</v>
      </c>
      <c r="C2524" s="1">
        <v>5982914936</v>
      </c>
      <c r="D2524" s="1">
        <v>4409725873</v>
      </c>
      <c r="E2524" s="1">
        <v>8340.26</v>
      </c>
      <c r="F2524" s="1" t="s">
        <v>12</v>
      </c>
      <c r="G2524" s="1" t="s">
        <v>12</v>
      </c>
      <c r="H2524" s="1" t="s">
        <v>13</v>
      </c>
      <c r="I2524" s="1" t="s">
        <v>13</v>
      </c>
      <c r="J2524" s="1" t="s">
        <v>27</v>
      </c>
      <c r="K2524" s="1">
        <v>0</v>
      </c>
      <c r="L2524" s="1" t="s">
        <v>19</v>
      </c>
      <c r="M2524" s="1" t="str">
        <f t="shared" si="39"/>
        <v>Consistent</v>
      </c>
      <c r="N2524" s="1" t="str">
        <f>_xlfn.XLOOKUP(H2524, risk_score!A:A, risk_score!B:B, 0)</f>
        <v>Low Risk</v>
      </c>
    </row>
    <row r="2525" spans="1:14">
      <c r="A2525" s="2">
        <v>0.50593750000000004</v>
      </c>
      <c r="B2525" s="3">
        <v>44841</v>
      </c>
      <c r="C2525" s="1">
        <v>8950910537</v>
      </c>
      <c r="D2525" s="1">
        <v>4649664002</v>
      </c>
      <c r="E2525" s="1">
        <v>310.73</v>
      </c>
      <c r="F2525" s="1" t="s">
        <v>12</v>
      </c>
      <c r="G2525" s="1" t="s">
        <v>12</v>
      </c>
      <c r="H2525" s="1" t="s">
        <v>13</v>
      </c>
      <c r="I2525" s="1" t="s">
        <v>13</v>
      </c>
      <c r="J2525" s="1" t="s">
        <v>27</v>
      </c>
      <c r="K2525" s="1">
        <v>0</v>
      </c>
      <c r="L2525" s="1" t="s">
        <v>21</v>
      </c>
      <c r="M2525" s="1" t="str">
        <f t="shared" si="39"/>
        <v>Consistent</v>
      </c>
      <c r="N2525" s="1" t="str">
        <f>_xlfn.XLOOKUP(H2525, risk_score!A:A, risk_score!B:B, 0)</f>
        <v>Low Risk</v>
      </c>
    </row>
    <row r="2526" spans="1:14">
      <c r="A2526" s="2">
        <v>0.50594907407407408</v>
      </c>
      <c r="B2526" s="3">
        <v>44841</v>
      </c>
      <c r="C2526" s="1">
        <v>7034893039</v>
      </c>
      <c r="D2526" s="1">
        <v>8503142785</v>
      </c>
      <c r="E2526" s="1">
        <v>2312.96</v>
      </c>
      <c r="F2526" s="1" t="s">
        <v>12</v>
      </c>
      <c r="G2526" s="1" t="s">
        <v>12</v>
      </c>
      <c r="H2526" s="1" t="s">
        <v>13</v>
      </c>
      <c r="I2526" s="1" t="s">
        <v>13</v>
      </c>
      <c r="J2526" s="1" t="s">
        <v>27</v>
      </c>
      <c r="K2526" s="1">
        <v>0</v>
      </c>
      <c r="L2526" s="1" t="s">
        <v>21</v>
      </c>
      <c r="M2526" s="1" t="str">
        <f t="shared" si="39"/>
        <v>Consistent</v>
      </c>
      <c r="N2526" s="1" t="str">
        <f>_xlfn.XLOOKUP(H2526, risk_score!A:A, risk_score!B:B, 0)</f>
        <v>Low Risk</v>
      </c>
    </row>
    <row r="2527" spans="1:14">
      <c r="A2527" s="2">
        <v>0.50596064814814812</v>
      </c>
      <c r="B2527" s="3">
        <v>44841</v>
      </c>
      <c r="C2527" s="1">
        <v>5550354567</v>
      </c>
      <c r="D2527" s="1">
        <v>6953672776</v>
      </c>
      <c r="E2527" s="1">
        <v>7785.78</v>
      </c>
      <c r="F2527" s="1" t="s">
        <v>42</v>
      </c>
      <c r="G2527" s="1" t="s">
        <v>34</v>
      </c>
      <c r="H2527" s="1" t="s">
        <v>43</v>
      </c>
      <c r="I2527" s="1" t="s">
        <v>35</v>
      </c>
      <c r="J2527" s="1" t="s">
        <v>18</v>
      </c>
      <c r="K2527" s="1">
        <v>0</v>
      </c>
      <c r="L2527" s="1" t="s">
        <v>23</v>
      </c>
      <c r="M2527" s="1" t="str">
        <f t="shared" si="39"/>
        <v>Potential Layering</v>
      </c>
      <c r="N2527" s="1" t="str">
        <f>_xlfn.XLOOKUP(H2527, risk_score!A:A, risk_score!B:B, 0)</f>
        <v>High Risk</v>
      </c>
    </row>
    <row r="2528" spans="1:14">
      <c r="A2528" s="2">
        <v>0.50603009259259257</v>
      </c>
      <c r="B2528" s="3">
        <v>44841</v>
      </c>
      <c r="C2528" s="1">
        <v>7750136239</v>
      </c>
      <c r="D2528" s="1">
        <v>4348841083</v>
      </c>
      <c r="E2528" s="1">
        <v>612.41</v>
      </c>
      <c r="F2528" s="1" t="s">
        <v>12</v>
      </c>
      <c r="G2528" s="1" t="s">
        <v>12</v>
      </c>
      <c r="H2528" s="1" t="s">
        <v>13</v>
      </c>
      <c r="I2528" s="1" t="s">
        <v>13</v>
      </c>
      <c r="J2528" s="1" t="s">
        <v>20</v>
      </c>
      <c r="K2528" s="1">
        <v>0</v>
      </c>
      <c r="L2528" s="1" t="s">
        <v>21</v>
      </c>
      <c r="M2528" s="1" t="str">
        <f t="shared" si="39"/>
        <v>Consistent</v>
      </c>
      <c r="N2528" s="1" t="str">
        <f>_xlfn.XLOOKUP(H2528, risk_score!A:A, risk_score!B:B, 0)</f>
        <v>Low Risk</v>
      </c>
    </row>
    <row r="2529" spans="1:14">
      <c r="A2529" s="2">
        <v>0.50605324074074076</v>
      </c>
      <c r="B2529" s="3">
        <v>44841</v>
      </c>
      <c r="C2529" s="1">
        <v>9705974722</v>
      </c>
      <c r="D2529" s="1">
        <v>5929086146</v>
      </c>
      <c r="E2529" s="1">
        <v>1765.18</v>
      </c>
      <c r="F2529" s="1" t="s">
        <v>12</v>
      </c>
      <c r="G2529" s="1" t="s">
        <v>12</v>
      </c>
      <c r="H2529" s="1" t="s">
        <v>13</v>
      </c>
      <c r="I2529" s="1" t="s">
        <v>13</v>
      </c>
      <c r="J2529" s="1" t="s">
        <v>25</v>
      </c>
      <c r="K2529" s="1">
        <v>0</v>
      </c>
      <c r="L2529" s="1" t="s">
        <v>21</v>
      </c>
      <c r="M2529" s="1" t="str">
        <f t="shared" si="39"/>
        <v>Consistent</v>
      </c>
      <c r="N2529" s="1" t="str">
        <f>_xlfn.XLOOKUP(H2529, risk_score!A:A, risk_score!B:B, 0)</f>
        <v>Low Risk</v>
      </c>
    </row>
    <row r="2530" spans="1:14">
      <c r="A2530" s="2">
        <v>0.50607638888888884</v>
      </c>
      <c r="B2530" s="3">
        <v>44841</v>
      </c>
      <c r="C2530" s="1">
        <v>6541552727</v>
      </c>
      <c r="D2530" s="1">
        <v>8678069851</v>
      </c>
      <c r="E2530" s="1">
        <v>4718.41</v>
      </c>
      <c r="F2530" s="1" t="s">
        <v>51</v>
      </c>
      <c r="G2530" s="1" t="s">
        <v>12</v>
      </c>
      <c r="H2530" s="1" t="s">
        <v>13</v>
      </c>
      <c r="I2530" s="1" t="s">
        <v>13</v>
      </c>
      <c r="J2530" s="1" t="s">
        <v>20</v>
      </c>
      <c r="K2530" s="1">
        <v>0</v>
      </c>
      <c r="L2530" s="1" t="s">
        <v>19</v>
      </c>
      <c r="M2530" s="1" t="str">
        <f t="shared" si="39"/>
        <v>Potential Layering</v>
      </c>
      <c r="N2530" s="1" t="str">
        <f>_xlfn.XLOOKUP(H2530, risk_score!A:A, risk_score!B:B, 0)</f>
        <v>Low Risk</v>
      </c>
    </row>
    <row r="2531" spans="1:14">
      <c r="A2531" s="2">
        <v>0.50607638888888884</v>
      </c>
      <c r="B2531" s="3">
        <v>44841</v>
      </c>
      <c r="C2531" s="1">
        <v>3709430533</v>
      </c>
      <c r="D2531" s="1">
        <v>7534701000</v>
      </c>
      <c r="E2531" s="1">
        <v>9049.0499999999993</v>
      </c>
      <c r="F2531" s="1" t="s">
        <v>12</v>
      </c>
      <c r="G2531" s="1" t="s">
        <v>12</v>
      </c>
      <c r="H2531" s="1" t="s">
        <v>13</v>
      </c>
      <c r="I2531" s="1" t="s">
        <v>13</v>
      </c>
      <c r="J2531" s="1" t="s">
        <v>22</v>
      </c>
      <c r="K2531" s="1">
        <v>0</v>
      </c>
      <c r="L2531" s="1" t="s">
        <v>19</v>
      </c>
      <c r="M2531" s="1" t="str">
        <f t="shared" si="39"/>
        <v>Consistent</v>
      </c>
      <c r="N2531" s="1" t="str">
        <f>_xlfn.XLOOKUP(H2531, risk_score!A:A, risk_score!B:B, 0)</f>
        <v>Low Risk</v>
      </c>
    </row>
    <row r="2532" spans="1:14">
      <c r="A2532" s="2">
        <v>0.50614583333333329</v>
      </c>
      <c r="B2532" s="3">
        <v>44841</v>
      </c>
      <c r="C2532" s="1">
        <v>2766513361</v>
      </c>
      <c r="D2532" s="1">
        <v>7449377244</v>
      </c>
      <c r="E2532" s="1">
        <v>438.4</v>
      </c>
      <c r="F2532" s="1" t="s">
        <v>12</v>
      </c>
      <c r="G2532" s="1" t="s">
        <v>12</v>
      </c>
      <c r="H2532" s="1" t="s">
        <v>13</v>
      </c>
      <c r="I2532" s="1" t="s">
        <v>13</v>
      </c>
      <c r="J2532" s="1" t="s">
        <v>27</v>
      </c>
      <c r="K2532" s="1">
        <v>0</v>
      </c>
      <c r="L2532" s="1" t="s">
        <v>21</v>
      </c>
      <c r="M2532" s="1" t="str">
        <f t="shared" si="39"/>
        <v>Consistent</v>
      </c>
      <c r="N2532" s="1" t="str">
        <f>_xlfn.XLOOKUP(H2532, risk_score!A:A, risk_score!B:B, 0)</f>
        <v>Low Risk</v>
      </c>
    </row>
    <row r="2533" spans="1:14">
      <c r="A2533" s="2">
        <v>0.50614583333333329</v>
      </c>
      <c r="B2533" s="3">
        <v>44841</v>
      </c>
      <c r="C2533" s="1">
        <v>7814060053</v>
      </c>
      <c r="D2533" s="1">
        <v>6444220418</v>
      </c>
      <c r="E2533" s="1">
        <v>9595.89</v>
      </c>
      <c r="F2533" s="1" t="s">
        <v>12</v>
      </c>
      <c r="G2533" s="1" t="s">
        <v>12</v>
      </c>
      <c r="H2533" s="1" t="s">
        <v>13</v>
      </c>
      <c r="I2533" s="1" t="s">
        <v>13</v>
      </c>
      <c r="J2533" s="1" t="s">
        <v>20</v>
      </c>
      <c r="K2533" s="1">
        <v>0</v>
      </c>
      <c r="L2533" s="1" t="s">
        <v>23</v>
      </c>
      <c r="M2533" s="1" t="str">
        <f t="shared" si="39"/>
        <v>Consistent</v>
      </c>
      <c r="N2533" s="1" t="str">
        <f>_xlfn.XLOOKUP(H2533, risk_score!A:A, risk_score!B:B, 0)</f>
        <v>Low Risk</v>
      </c>
    </row>
    <row r="2534" spans="1:14">
      <c r="A2534" s="2">
        <v>0.50615740740740744</v>
      </c>
      <c r="B2534" s="3">
        <v>44841</v>
      </c>
      <c r="C2534" s="1">
        <v>3614082527</v>
      </c>
      <c r="D2534" s="1">
        <v>1542761342</v>
      </c>
      <c r="E2534" s="1">
        <v>7351.14</v>
      </c>
      <c r="F2534" s="1" t="s">
        <v>12</v>
      </c>
      <c r="G2534" s="1" t="s">
        <v>12</v>
      </c>
      <c r="H2534" s="1" t="s">
        <v>13</v>
      </c>
      <c r="I2534" s="1" t="s">
        <v>13</v>
      </c>
      <c r="J2534" s="1" t="s">
        <v>25</v>
      </c>
      <c r="K2534" s="1">
        <v>0</v>
      </c>
      <c r="L2534" s="1" t="s">
        <v>19</v>
      </c>
      <c r="M2534" s="1" t="str">
        <f t="shared" si="39"/>
        <v>Consistent</v>
      </c>
      <c r="N2534" s="1" t="str">
        <f>_xlfn.XLOOKUP(H2534, risk_score!A:A, risk_score!B:B, 0)</f>
        <v>Low Risk</v>
      </c>
    </row>
    <row r="2535" spans="1:14">
      <c r="A2535" s="2">
        <v>0.50616898148148148</v>
      </c>
      <c r="B2535" s="3">
        <v>44841</v>
      </c>
      <c r="C2535" s="1">
        <v>2365007895</v>
      </c>
      <c r="D2535" s="1">
        <v>3353965610</v>
      </c>
      <c r="E2535" s="1">
        <v>7153.88</v>
      </c>
      <c r="F2535" s="1" t="s">
        <v>12</v>
      </c>
      <c r="G2535" s="1" t="s">
        <v>12</v>
      </c>
      <c r="H2535" s="1" t="s">
        <v>13</v>
      </c>
      <c r="I2535" s="1" t="s">
        <v>13</v>
      </c>
      <c r="J2535" s="1" t="s">
        <v>20</v>
      </c>
      <c r="K2535" s="1">
        <v>0</v>
      </c>
      <c r="L2535" s="1" t="s">
        <v>19</v>
      </c>
      <c r="M2535" s="1" t="str">
        <f t="shared" si="39"/>
        <v>Consistent</v>
      </c>
      <c r="N2535" s="1" t="str">
        <f>_xlfn.XLOOKUP(H2535, risk_score!A:A, risk_score!B:B, 0)</f>
        <v>Low Risk</v>
      </c>
    </row>
    <row r="2536" spans="1:14">
      <c r="A2536" s="2">
        <v>0.50618055555555552</v>
      </c>
      <c r="B2536" s="3">
        <v>44841</v>
      </c>
      <c r="C2536" s="1">
        <v>4758294964</v>
      </c>
      <c r="D2536" s="1">
        <v>8172080174</v>
      </c>
      <c r="E2536" s="1">
        <v>21033.41</v>
      </c>
      <c r="F2536" s="1" t="s">
        <v>12</v>
      </c>
      <c r="G2536" s="1" t="s">
        <v>12</v>
      </c>
      <c r="H2536" s="1" t="s">
        <v>13</v>
      </c>
      <c r="I2536" s="1" t="s">
        <v>13</v>
      </c>
      <c r="J2536" s="1" t="s">
        <v>27</v>
      </c>
      <c r="K2536" s="1">
        <v>0</v>
      </c>
      <c r="L2536" s="1" t="s">
        <v>23</v>
      </c>
      <c r="M2536" s="1" t="str">
        <f t="shared" si="39"/>
        <v>Consistent</v>
      </c>
      <c r="N2536" s="1" t="str">
        <f>_xlfn.XLOOKUP(H2536, risk_score!A:A, risk_score!B:B, 0)</f>
        <v>Low Risk</v>
      </c>
    </row>
    <row r="2537" spans="1:14">
      <c r="A2537" s="2">
        <v>0.50619212962962967</v>
      </c>
      <c r="B2537" s="3">
        <v>44841</v>
      </c>
      <c r="C2537" s="1">
        <v>7111052072</v>
      </c>
      <c r="D2537" s="1">
        <v>7802904807</v>
      </c>
      <c r="E2537" s="1">
        <v>504.87</v>
      </c>
      <c r="F2537" s="1" t="s">
        <v>12</v>
      </c>
      <c r="G2537" s="1" t="s">
        <v>12</v>
      </c>
      <c r="H2537" s="1" t="s">
        <v>13</v>
      </c>
      <c r="I2537" s="1" t="s">
        <v>13</v>
      </c>
      <c r="J2537" s="1" t="s">
        <v>22</v>
      </c>
      <c r="K2537" s="1">
        <v>0</v>
      </c>
      <c r="L2537" s="1" t="s">
        <v>21</v>
      </c>
      <c r="M2537" s="1" t="str">
        <f t="shared" si="39"/>
        <v>Consistent</v>
      </c>
      <c r="N2537" s="1" t="str">
        <f>_xlfn.XLOOKUP(H2537, risk_score!A:A, risk_score!B:B, 0)</f>
        <v>Low Risk</v>
      </c>
    </row>
    <row r="2538" spans="1:14">
      <c r="A2538" s="2">
        <v>0.50619212962962967</v>
      </c>
      <c r="B2538" s="3">
        <v>44841</v>
      </c>
      <c r="C2538" s="1">
        <v>166274508</v>
      </c>
      <c r="D2538" s="1">
        <v>3704337866</v>
      </c>
      <c r="E2538" s="1">
        <v>548.86</v>
      </c>
      <c r="F2538" s="1" t="s">
        <v>12</v>
      </c>
      <c r="G2538" s="1" t="s">
        <v>12</v>
      </c>
      <c r="H2538" s="1" t="s">
        <v>13</v>
      </c>
      <c r="I2538" s="1" t="s">
        <v>13</v>
      </c>
      <c r="J2538" s="1" t="s">
        <v>25</v>
      </c>
      <c r="K2538" s="1">
        <v>0</v>
      </c>
      <c r="L2538" s="1" t="s">
        <v>21</v>
      </c>
      <c r="M2538" s="1" t="str">
        <f t="shared" si="39"/>
        <v>Consistent</v>
      </c>
      <c r="N2538" s="1" t="str">
        <f>_xlfn.XLOOKUP(H2538, risk_score!A:A, risk_score!B:B, 0)</f>
        <v>Low Risk</v>
      </c>
    </row>
    <row r="2539" spans="1:14">
      <c r="A2539" s="2">
        <v>0.50623842592592594</v>
      </c>
      <c r="B2539" s="3">
        <v>44841</v>
      </c>
      <c r="C2539" s="1">
        <v>7108762206</v>
      </c>
      <c r="D2539" s="1">
        <v>7441497212</v>
      </c>
      <c r="E2539" s="1">
        <v>3771.01</v>
      </c>
      <c r="F2539" s="1" t="s">
        <v>12</v>
      </c>
      <c r="G2539" s="1" t="s">
        <v>12</v>
      </c>
      <c r="H2539" s="1" t="s">
        <v>13</v>
      </c>
      <c r="I2539" s="1" t="s">
        <v>13</v>
      </c>
      <c r="J2539" s="1" t="s">
        <v>14</v>
      </c>
      <c r="K2539" s="1">
        <v>0</v>
      </c>
      <c r="L2539" s="1" t="s">
        <v>15</v>
      </c>
      <c r="M2539" s="1" t="str">
        <f t="shared" si="39"/>
        <v>Consistent</v>
      </c>
      <c r="N2539" s="1" t="str">
        <f>_xlfn.XLOOKUP(H2539, risk_score!A:A, risk_score!B:B, 0)</f>
        <v>Low Risk</v>
      </c>
    </row>
    <row r="2540" spans="1:14">
      <c r="A2540" s="2">
        <v>0.50624999999999998</v>
      </c>
      <c r="B2540" s="3">
        <v>44841</v>
      </c>
      <c r="C2540" s="1">
        <v>5762423612</v>
      </c>
      <c r="D2540" s="1">
        <v>9066231296</v>
      </c>
      <c r="E2540" s="1">
        <v>77.19</v>
      </c>
      <c r="F2540" s="1" t="s">
        <v>12</v>
      </c>
      <c r="G2540" s="1" t="s">
        <v>12</v>
      </c>
      <c r="H2540" s="1" t="s">
        <v>13</v>
      </c>
      <c r="I2540" s="1" t="s">
        <v>13</v>
      </c>
      <c r="J2540" s="1" t="s">
        <v>36</v>
      </c>
      <c r="K2540" s="1">
        <v>0</v>
      </c>
      <c r="L2540" s="1" t="s">
        <v>37</v>
      </c>
      <c r="M2540" s="1" t="str">
        <f t="shared" si="39"/>
        <v>Consistent</v>
      </c>
      <c r="N2540" s="1" t="str">
        <f>_xlfn.XLOOKUP(H2540, risk_score!A:A, risk_score!B:B, 0)</f>
        <v>Low Risk</v>
      </c>
    </row>
    <row r="2541" spans="1:14">
      <c r="A2541" s="2">
        <v>0.50626157407407413</v>
      </c>
      <c r="B2541" s="3">
        <v>44841</v>
      </c>
      <c r="C2541" s="1">
        <v>3614082527</v>
      </c>
      <c r="D2541" s="1">
        <v>3099235880</v>
      </c>
      <c r="E2541" s="1">
        <v>8967.85</v>
      </c>
      <c r="F2541" s="1" t="s">
        <v>12</v>
      </c>
      <c r="G2541" s="1" t="s">
        <v>12</v>
      </c>
      <c r="H2541" s="1" t="s">
        <v>13</v>
      </c>
      <c r="I2541" s="1" t="s">
        <v>13</v>
      </c>
      <c r="J2541" s="1" t="s">
        <v>27</v>
      </c>
      <c r="K2541" s="1">
        <v>0</v>
      </c>
      <c r="L2541" s="1" t="s">
        <v>19</v>
      </c>
      <c r="M2541" s="1" t="str">
        <f t="shared" si="39"/>
        <v>Consistent</v>
      </c>
      <c r="N2541" s="1" t="str">
        <f>_xlfn.XLOOKUP(H2541, risk_score!A:A, risk_score!B:B, 0)</f>
        <v>Low Risk</v>
      </c>
    </row>
    <row r="2542" spans="1:14">
      <c r="A2542" s="2">
        <v>0.50626157407407413</v>
      </c>
      <c r="B2542" s="3">
        <v>44841</v>
      </c>
      <c r="C2542" s="1">
        <v>4121324384</v>
      </c>
      <c r="D2542" s="1">
        <v>9281561360</v>
      </c>
      <c r="E2542" s="1">
        <v>22084.81</v>
      </c>
      <c r="F2542" s="1" t="s">
        <v>29</v>
      </c>
      <c r="G2542" s="1" t="s">
        <v>12</v>
      </c>
      <c r="H2542" s="1" t="s">
        <v>30</v>
      </c>
      <c r="I2542" s="1" t="s">
        <v>13</v>
      </c>
      <c r="J2542" s="1" t="s">
        <v>18</v>
      </c>
      <c r="K2542" s="1">
        <v>0</v>
      </c>
      <c r="L2542" s="1" t="s">
        <v>19</v>
      </c>
      <c r="M2542" s="1" t="str">
        <f t="shared" si="39"/>
        <v>Potential Layering</v>
      </c>
      <c r="N2542" s="1" t="str">
        <f>_xlfn.XLOOKUP(H2542, risk_score!A:A, risk_score!B:B, 0)</f>
        <v>Low Risk</v>
      </c>
    </row>
    <row r="2543" spans="1:14">
      <c r="A2543" s="2">
        <v>0.50627314814814817</v>
      </c>
      <c r="B2543" s="3">
        <v>44841</v>
      </c>
      <c r="C2543" s="1">
        <v>3549895554</v>
      </c>
      <c r="D2543" s="1">
        <v>297460494</v>
      </c>
      <c r="E2543" s="1">
        <v>73226.52</v>
      </c>
      <c r="F2543" s="1" t="s">
        <v>12</v>
      </c>
      <c r="G2543" s="1" t="s">
        <v>12</v>
      </c>
      <c r="H2543" s="1" t="s">
        <v>13</v>
      </c>
      <c r="I2543" s="1" t="s">
        <v>13</v>
      </c>
      <c r="J2543" s="1" t="s">
        <v>27</v>
      </c>
      <c r="K2543" s="1">
        <v>0</v>
      </c>
      <c r="L2543" s="1" t="s">
        <v>49</v>
      </c>
      <c r="M2543" s="1" t="str">
        <f t="shared" si="39"/>
        <v>Consistent</v>
      </c>
      <c r="N2543" s="1" t="str">
        <f>_xlfn.XLOOKUP(H2543, risk_score!A:A, risk_score!B:B, 0)</f>
        <v>Low Risk</v>
      </c>
    </row>
    <row r="2544" spans="1:14">
      <c r="A2544" s="2">
        <v>0.50628472222222221</v>
      </c>
      <c r="B2544" s="3">
        <v>44841</v>
      </c>
      <c r="C2544" s="1">
        <v>8987848252</v>
      </c>
      <c r="D2544" s="1">
        <v>4344045246</v>
      </c>
      <c r="E2544" s="1">
        <v>10011.35</v>
      </c>
      <c r="F2544" s="1" t="s">
        <v>12</v>
      </c>
      <c r="G2544" s="1" t="s">
        <v>46</v>
      </c>
      <c r="H2544" s="1" t="s">
        <v>13</v>
      </c>
      <c r="I2544" s="1" t="s">
        <v>47</v>
      </c>
      <c r="J2544" s="1" t="s">
        <v>18</v>
      </c>
      <c r="K2544" s="1">
        <v>0</v>
      </c>
      <c r="L2544" s="1" t="s">
        <v>19</v>
      </c>
      <c r="M2544" s="1" t="str">
        <f t="shared" si="39"/>
        <v>Potential Layering</v>
      </c>
      <c r="N2544" s="1" t="str">
        <f>_xlfn.XLOOKUP(H2544, risk_score!A:A, risk_score!B:B, 0)</f>
        <v>Low Risk</v>
      </c>
    </row>
    <row r="2545" spans="1:14">
      <c r="A2545" s="2">
        <v>0.50628472222222221</v>
      </c>
      <c r="B2545" s="3">
        <v>44841</v>
      </c>
      <c r="C2545" s="1">
        <v>1490260385</v>
      </c>
      <c r="D2545" s="1">
        <v>1377603863</v>
      </c>
      <c r="E2545" s="1">
        <v>7359.65</v>
      </c>
      <c r="F2545" s="1" t="s">
        <v>12</v>
      </c>
      <c r="G2545" s="1" t="s">
        <v>12</v>
      </c>
      <c r="H2545" s="1" t="s">
        <v>13</v>
      </c>
      <c r="I2545" s="1" t="s">
        <v>13</v>
      </c>
      <c r="J2545" s="1" t="s">
        <v>20</v>
      </c>
      <c r="K2545" s="1">
        <v>0</v>
      </c>
      <c r="L2545" s="1" t="s">
        <v>23</v>
      </c>
      <c r="M2545" s="1" t="str">
        <f t="shared" si="39"/>
        <v>Consistent</v>
      </c>
      <c r="N2545" s="1" t="str">
        <f>_xlfn.XLOOKUP(H2545, risk_score!A:A, risk_score!B:B, 0)</f>
        <v>Low Risk</v>
      </c>
    </row>
    <row r="2546" spans="1:14">
      <c r="A2546" s="2">
        <v>0.50633101851851847</v>
      </c>
      <c r="B2546" s="3">
        <v>44841</v>
      </c>
      <c r="C2546" s="1">
        <v>2199795388</v>
      </c>
      <c r="D2546" s="1">
        <v>1377603863</v>
      </c>
      <c r="E2546" s="1">
        <v>9426.74</v>
      </c>
      <c r="F2546" s="1" t="s">
        <v>12</v>
      </c>
      <c r="G2546" s="1" t="s">
        <v>12</v>
      </c>
      <c r="H2546" s="1" t="s">
        <v>13</v>
      </c>
      <c r="I2546" s="1" t="s">
        <v>13</v>
      </c>
      <c r="J2546" s="1" t="s">
        <v>27</v>
      </c>
      <c r="K2546" s="1">
        <v>0</v>
      </c>
      <c r="L2546" s="1" t="s">
        <v>23</v>
      </c>
      <c r="M2546" s="1" t="str">
        <f t="shared" si="39"/>
        <v>Consistent</v>
      </c>
      <c r="N2546" s="1" t="str">
        <f>_xlfn.XLOOKUP(H2546, risk_score!A:A, risk_score!B:B, 0)</f>
        <v>Low Risk</v>
      </c>
    </row>
    <row r="2547" spans="1:14">
      <c r="A2547" s="2">
        <v>0.50633101851851847</v>
      </c>
      <c r="B2547" s="3">
        <v>44841</v>
      </c>
      <c r="C2547" s="1">
        <v>8543292650</v>
      </c>
      <c r="D2547" s="1">
        <v>1706802986</v>
      </c>
      <c r="E2547" s="1">
        <v>801.06</v>
      </c>
      <c r="F2547" s="1" t="s">
        <v>12</v>
      </c>
      <c r="G2547" s="1" t="s">
        <v>12</v>
      </c>
      <c r="H2547" s="1" t="s">
        <v>13</v>
      </c>
      <c r="I2547" s="1" t="s">
        <v>13</v>
      </c>
      <c r="J2547" s="1" t="s">
        <v>20</v>
      </c>
      <c r="K2547" s="1">
        <v>0</v>
      </c>
      <c r="L2547" s="1" t="s">
        <v>21</v>
      </c>
      <c r="M2547" s="1" t="str">
        <f t="shared" si="39"/>
        <v>Consistent</v>
      </c>
      <c r="N2547" s="1" t="str">
        <f>_xlfn.XLOOKUP(H2547, risk_score!A:A, risk_score!B:B, 0)</f>
        <v>Low Risk</v>
      </c>
    </row>
    <row r="2548" spans="1:14">
      <c r="A2548" s="2">
        <v>0.5063657407407407</v>
      </c>
      <c r="B2548" s="3">
        <v>44841</v>
      </c>
      <c r="C2548" s="1">
        <v>2654356017</v>
      </c>
      <c r="D2548" s="1">
        <v>2326178660</v>
      </c>
      <c r="E2548" s="1">
        <v>895.81</v>
      </c>
      <c r="F2548" s="1" t="s">
        <v>12</v>
      </c>
      <c r="G2548" s="1" t="s">
        <v>12</v>
      </c>
      <c r="H2548" s="1" t="s">
        <v>13</v>
      </c>
      <c r="I2548" s="1" t="s">
        <v>13</v>
      </c>
      <c r="J2548" s="1" t="s">
        <v>22</v>
      </c>
      <c r="K2548" s="1">
        <v>0</v>
      </c>
      <c r="L2548" s="1" t="s">
        <v>21</v>
      </c>
      <c r="M2548" s="1" t="str">
        <f t="shared" si="39"/>
        <v>Consistent</v>
      </c>
      <c r="N2548" s="1" t="str">
        <f>_xlfn.XLOOKUP(H2548, risk_score!A:A, risk_score!B:B, 0)</f>
        <v>Low Risk</v>
      </c>
    </row>
    <row r="2549" spans="1:14">
      <c r="A2549" s="2">
        <v>0.50642361111111112</v>
      </c>
      <c r="B2549" s="3">
        <v>44841</v>
      </c>
      <c r="C2549" s="1">
        <v>1509536110</v>
      </c>
      <c r="D2549" s="1">
        <v>4972286009</v>
      </c>
      <c r="E2549" s="1">
        <v>225.23</v>
      </c>
      <c r="F2549" s="1" t="s">
        <v>12</v>
      </c>
      <c r="G2549" s="1" t="s">
        <v>12</v>
      </c>
      <c r="H2549" s="1" t="s">
        <v>13</v>
      </c>
      <c r="I2549" s="1" t="s">
        <v>13</v>
      </c>
      <c r="J2549" s="1" t="s">
        <v>36</v>
      </c>
      <c r="K2549" s="1">
        <v>0</v>
      </c>
      <c r="L2549" s="1" t="s">
        <v>37</v>
      </c>
      <c r="M2549" s="1" t="str">
        <f t="shared" si="39"/>
        <v>Consistent</v>
      </c>
      <c r="N2549" s="1" t="str">
        <f>_xlfn.XLOOKUP(H2549, risk_score!A:A, risk_score!B:B, 0)</f>
        <v>Low Risk</v>
      </c>
    </row>
    <row r="2550" spans="1:14">
      <c r="A2550" s="2">
        <v>0.5064467592592593</v>
      </c>
      <c r="B2550" s="3">
        <v>44841</v>
      </c>
      <c r="C2550" s="1">
        <v>6607787314</v>
      </c>
      <c r="D2550" s="1">
        <v>7420366566</v>
      </c>
      <c r="E2550" s="1">
        <v>1137.3</v>
      </c>
      <c r="F2550" s="1" t="s">
        <v>12</v>
      </c>
      <c r="G2550" s="1" t="s">
        <v>12</v>
      </c>
      <c r="H2550" s="1" t="s">
        <v>13</v>
      </c>
      <c r="I2550" s="1" t="s">
        <v>13</v>
      </c>
      <c r="J2550" s="1" t="s">
        <v>27</v>
      </c>
      <c r="K2550" s="1">
        <v>0</v>
      </c>
      <c r="L2550" s="1" t="s">
        <v>21</v>
      </c>
      <c r="M2550" s="1" t="str">
        <f t="shared" si="39"/>
        <v>Consistent</v>
      </c>
      <c r="N2550" s="1" t="str">
        <f>_xlfn.XLOOKUP(H2550, risk_score!A:A, risk_score!B:B, 0)</f>
        <v>Low Risk</v>
      </c>
    </row>
    <row r="2551" spans="1:14">
      <c r="A2551" s="2">
        <v>0.50653935185185184</v>
      </c>
      <c r="B2551" s="3">
        <v>44841</v>
      </c>
      <c r="C2551" s="1">
        <v>4358383639</v>
      </c>
      <c r="D2551" s="1">
        <v>6953672776</v>
      </c>
      <c r="E2551" s="1">
        <v>7621.27</v>
      </c>
      <c r="F2551" s="1" t="s">
        <v>12</v>
      </c>
      <c r="G2551" s="1" t="s">
        <v>34</v>
      </c>
      <c r="H2551" s="1" t="s">
        <v>13</v>
      </c>
      <c r="I2551" s="1" t="s">
        <v>35</v>
      </c>
      <c r="J2551" s="1" t="s">
        <v>18</v>
      </c>
      <c r="K2551" s="1">
        <v>0</v>
      </c>
      <c r="L2551" s="1" t="s">
        <v>23</v>
      </c>
      <c r="M2551" s="1" t="str">
        <f t="shared" si="39"/>
        <v>Potential Layering</v>
      </c>
      <c r="N2551" s="1" t="str">
        <f>_xlfn.XLOOKUP(H2551, risk_score!A:A, risk_score!B:B, 0)</f>
        <v>Low Risk</v>
      </c>
    </row>
    <row r="2552" spans="1:14">
      <c r="A2552" s="2">
        <v>0.50655092592592588</v>
      </c>
      <c r="B2552" s="3">
        <v>44841</v>
      </c>
      <c r="C2552" s="1">
        <v>3206452805</v>
      </c>
      <c r="D2552" s="1">
        <v>7095013899</v>
      </c>
      <c r="E2552" s="1">
        <v>115.55</v>
      </c>
      <c r="F2552" s="1" t="s">
        <v>12</v>
      </c>
      <c r="G2552" s="1" t="s">
        <v>12</v>
      </c>
      <c r="H2552" s="1" t="s">
        <v>13</v>
      </c>
      <c r="I2552" s="1" t="s">
        <v>13</v>
      </c>
      <c r="J2552" s="1" t="s">
        <v>27</v>
      </c>
      <c r="K2552" s="1">
        <v>0</v>
      </c>
      <c r="L2552" s="1" t="s">
        <v>21</v>
      </c>
      <c r="M2552" s="1" t="str">
        <f t="shared" si="39"/>
        <v>Consistent</v>
      </c>
      <c r="N2552" s="1" t="str">
        <f>_xlfn.XLOOKUP(H2552, risk_score!A:A, risk_score!B:B, 0)</f>
        <v>Low Risk</v>
      </c>
    </row>
    <row r="2553" spans="1:14">
      <c r="A2553" s="2">
        <v>0.50656250000000003</v>
      </c>
      <c r="B2553" s="3">
        <v>44841</v>
      </c>
      <c r="C2553" s="1">
        <v>6176860709</v>
      </c>
      <c r="D2553" s="1">
        <v>6310998580</v>
      </c>
      <c r="E2553" s="1">
        <v>2660.04</v>
      </c>
      <c r="F2553" s="1" t="s">
        <v>12</v>
      </c>
      <c r="G2553" s="1" t="s">
        <v>12</v>
      </c>
      <c r="H2553" s="1" t="s">
        <v>13</v>
      </c>
      <c r="I2553" s="1" t="s">
        <v>13</v>
      </c>
      <c r="J2553" s="1" t="s">
        <v>20</v>
      </c>
      <c r="K2553" s="1">
        <v>0</v>
      </c>
      <c r="L2553" s="1" t="s">
        <v>21</v>
      </c>
      <c r="M2553" s="1" t="str">
        <f t="shared" si="39"/>
        <v>Consistent</v>
      </c>
      <c r="N2553" s="1" t="str">
        <f>_xlfn.XLOOKUP(H2553, risk_score!A:A, risk_score!B:B, 0)</f>
        <v>Low Risk</v>
      </c>
    </row>
    <row r="2554" spans="1:14">
      <c r="A2554" s="2">
        <v>0.50657407407407407</v>
      </c>
      <c r="B2554" s="3">
        <v>44841</v>
      </c>
      <c r="C2554" s="1">
        <v>3613219601</v>
      </c>
      <c r="D2554" s="1">
        <v>3220735304</v>
      </c>
      <c r="E2554" s="1">
        <v>17559.98</v>
      </c>
      <c r="F2554" s="1" t="s">
        <v>12</v>
      </c>
      <c r="G2554" s="1" t="s">
        <v>12</v>
      </c>
      <c r="H2554" s="1" t="s">
        <v>13</v>
      </c>
      <c r="I2554" s="1" t="s">
        <v>13</v>
      </c>
      <c r="J2554" s="1" t="s">
        <v>20</v>
      </c>
      <c r="K2554" s="1">
        <v>0</v>
      </c>
      <c r="L2554" s="1" t="s">
        <v>23</v>
      </c>
      <c r="M2554" s="1" t="str">
        <f t="shared" si="39"/>
        <v>Consistent</v>
      </c>
      <c r="N2554" s="1" t="str">
        <f>_xlfn.XLOOKUP(H2554, risk_score!A:A, risk_score!B:B, 0)</f>
        <v>Low Risk</v>
      </c>
    </row>
    <row r="2555" spans="1:14">
      <c r="A2555" s="2">
        <v>0.5065856481481481</v>
      </c>
      <c r="B2555" s="3">
        <v>44841</v>
      </c>
      <c r="C2555" s="1">
        <v>1411365155</v>
      </c>
      <c r="D2555" s="1">
        <v>8342645228</v>
      </c>
      <c r="E2555" s="1">
        <v>4476.6000000000004</v>
      </c>
      <c r="F2555" s="1" t="s">
        <v>12</v>
      </c>
      <c r="G2555" s="1" t="s">
        <v>12</v>
      </c>
      <c r="H2555" s="1" t="s">
        <v>13</v>
      </c>
      <c r="I2555" s="1" t="s">
        <v>13</v>
      </c>
      <c r="J2555" s="1" t="s">
        <v>20</v>
      </c>
      <c r="K2555" s="1">
        <v>0</v>
      </c>
      <c r="L2555" s="1" t="s">
        <v>21</v>
      </c>
      <c r="M2555" s="1" t="str">
        <f t="shared" si="39"/>
        <v>Consistent</v>
      </c>
      <c r="N2555" s="1" t="str">
        <f>_xlfn.XLOOKUP(H2555, risk_score!A:A, risk_score!B:B, 0)</f>
        <v>Low Risk</v>
      </c>
    </row>
    <row r="2556" spans="1:14">
      <c r="A2556" s="2">
        <v>0.50668981481481479</v>
      </c>
      <c r="B2556" s="3">
        <v>44841</v>
      </c>
      <c r="C2556" s="1">
        <v>6082137562</v>
      </c>
      <c r="D2556" s="1">
        <v>4639888494</v>
      </c>
      <c r="E2556" s="1">
        <v>1650.37</v>
      </c>
      <c r="F2556" s="1" t="s">
        <v>12</v>
      </c>
      <c r="G2556" s="1" t="s">
        <v>12</v>
      </c>
      <c r="H2556" s="1" t="s">
        <v>13</v>
      </c>
      <c r="I2556" s="1" t="s">
        <v>13</v>
      </c>
      <c r="J2556" s="1" t="s">
        <v>25</v>
      </c>
      <c r="K2556" s="1">
        <v>0</v>
      </c>
      <c r="L2556" s="1" t="s">
        <v>21</v>
      </c>
      <c r="M2556" s="1" t="str">
        <f t="shared" si="39"/>
        <v>Consistent</v>
      </c>
      <c r="N2556" s="1" t="str">
        <f>_xlfn.XLOOKUP(H2556, risk_score!A:A, risk_score!B:B, 0)</f>
        <v>Low Risk</v>
      </c>
    </row>
    <row r="2557" spans="1:14">
      <c r="A2557" s="2">
        <v>0.50671296296296298</v>
      </c>
      <c r="B2557" s="3">
        <v>44841</v>
      </c>
      <c r="C2557" s="1">
        <v>1541722856</v>
      </c>
      <c r="D2557" s="1">
        <v>9353466862</v>
      </c>
      <c r="E2557" s="1">
        <v>2570.9</v>
      </c>
      <c r="F2557" s="1" t="s">
        <v>12</v>
      </c>
      <c r="G2557" s="1" t="s">
        <v>12</v>
      </c>
      <c r="H2557" s="1" t="s">
        <v>13</v>
      </c>
      <c r="I2557" s="1" t="s">
        <v>13</v>
      </c>
      <c r="J2557" s="1" t="s">
        <v>14</v>
      </c>
      <c r="K2557" s="1">
        <v>0</v>
      </c>
      <c r="L2557" s="1" t="s">
        <v>15</v>
      </c>
      <c r="M2557" s="1" t="str">
        <f t="shared" si="39"/>
        <v>Consistent</v>
      </c>
      <c r="N2557" s="1" t="str">
        <f>_xlfn.XLOOKUP(H2557, risk_score!A:A, risk_score!B:B, 0)</f>
        <v>Low Risk</v>
      </c>
    </row>
    <row r="2558" spans="1:14">
      <c r="A2558" s="2">
        <v>0.50672453703703701</v>
      </c>
      <c r="B2558" s="3">
        <v>44841</v>
      </c>
      <c r="C2558" s="1">
        <v>1378784400</v>
      </c>
      <c r="D2558" s="1">
        <v>5224271258</v>
      </c>
      <c r="E2558" s="1">
        <v>16976.04</v>
      </c>
      <c r="F2558" s="1" t="s">
        <v>12</v>
      </c>
      <c r="G2558" s="1" t="s">
        <v>12</v>
      </c>
      <c r="H2558" s="1" t="s">
        <v>13</v>
      </c>
      <c r="I2558" s="1" t="s">
        <v>13</v>
      </c>
      <c r="J2558" s="1" t="s">
        <v>20</v>
      </c>
      <c r="K2558" s="1">
        <v>0</v>
      </c>
      <c r="L2558" s="1" t="s">
        <v>19</v>
      </c>
      <c r="M2558" s="1" t="str">
        <f t="shared" si="39"/>
        <v>Consistent</v>
      </c>
      <c r="N2558" s="1" t="str">
        <f>_xlfn.XLOOKUP(H2558, risk_score!A:A, risk_score!B:B, 0)</f>
        <v>Low Risk</v>
      </c>
    </row>
    <row r="2559" spans="1:14">
      <c r="A2559" s="2">
        <v>0.50672453703703701</v>
      </c>
      <c r="B2559" s="3">
        <v>44841</v>
      </c>
      <c r="C2559" s="1">
        <v>5571652530</v>
      </c>
      <c r="D2559" s="1">
        <v>5466123934</v>
      </c>
      <c r="E2559" s="1">
        <v>5672.85</v>
      </c>
      <c r="F2559" s="1" t="s">
        <v>12</v>
      </c>
      <c r="G2559" s="1" t="s">
        <v>12</v>
      </c>
      <c r="H2559" s="1" t="s">
        <v>13</v>
      </c>
      <c r="I2559" s="1" t="s">
        <v>13</v>
      </c>
      <c r="J2559" s="1" t="s">
        <v>27</v>
      </c>
      <c r="K2559" s="1">
        <v>0</v>
      </c>
      <c r="L2559" s="1" t="s">
        <v>23</v>
      </c>
      <c r="M2559" s="1" t="str">
        <f t="shared" si="39"/>
        <v>Consistent</v>
      </c>
      <c r="N2559" s="1" t="str">
        <f>_xlfn.XLOOKUP(H2559, risk_score!A:A, risk_score!B:B, 0)</f>
        <v>Low Risk</v>
      </c>
    </row>
    <row r="2560" spans="1:14">
      <c r="A2560" s="2">
        <v>0.50678240740740743</v>
      </c>
      <c r="B2560" s="3">
        <v>44841</v>
      </c>
      <c r="C2560" s="1">
        <v>8222885629</v>
      </c>
      <c r="D2560" s="1">
        <v>6286566139</v>
      </c>
      <c r="E2560" s="1">
        <v>52.28</v>
      </c>
      <c r="F2560" s="1" t="s">
        <v>12</v>
      </c>
      <c r="G2560" s="1" t="s">
        <v>12</v>
      </c>
      <c r="H2560" s="1" t="s">
        <v>13</v>
      </c>
      <c r="I2560" s="1" t="s">
        <v>13</v>
      </c>
      <c r="J2560" s="1" t="s">
        <v>25</v>
      </c>
      <c r="K2560" s="1">
        <v>0</v>
      </c>
      <c r="L2560" s="1" t="s">
        <v>21</v>
      </c>
      <c r="M2560" s="1" t="str">
        <f t="shared" si="39"/>
        <v>Consistent</v>
      </c>
      <c r="N2560" s="1" t="str">
        <f>_xlfn.XLOOKUP(H2560, risk_score!A:A, risk_score!B:B, 0)</f>
        <v>Low Risk</v>
      </c>
    </row>
    <row r="2561" spans="1:14">
      <c r="A2561" s="2">
        <v>0.50688657407407411</v>
      </c>
      <c r="B2561" s="3">
        <v>44841</v>
      </c>
      <c r="C2561" s="1">
        <v>3709430533</v>
      </c>
      <c r="D2561" s="1">
        <v>2002969578</v>
      </c>
      <c r="E2561" s="1">
        <v>6360.1</v>
      </c>
      <c r="F2561" s="1" t="s">
        <v>12</v>
      </c>
      <c r="G2561" s="1" t="s">
        <v>12</v>
      </c>
      <c r="H2561" s="1" t="s">
        <v>13</v>
      </c>
      <c r="I2561" s="1" t="s">
        <v>13</v>
      </c>
      <c r="J2561" s="1" t="s">
        <v>20</v>
      </c>
      <c r="K2561" s="1">
        <v>0</v>
      </c>
      <c r="L2561" s="1" t="s">
        <v>19</v>
      </c>
      <c r="M2561" s="1" t="str">
        <f t="shared" si="39"/>
        <v>Consistent</v>
      </c>
      <c r="N2561" s="1" t="str">
        <f>_xlfn.XLOOKUP(H2561, risk_score!A:A, risk_score!B:B, 0)</f>
        <v>Low Risk</v>
      </c>
    </row>
    <row r="2562" spans="1:14">
      <c r="A2562" s="2">
        <v>0.50703703703703706</v>
      </c>
      <c r="B2562" s="3">
        <v>44841</v>
      </c>
      <c r="C2562" s="1">
        <v>817212435</v>
      </c>
      <c r="D2562" s="1">
        <v>1811761608</v>
      </c>
      <c r="E2562" s="1">
        <v>1077.6099999999999</v>
      </c>
      <c r="F2562" s="1" t="s">
        <v>12</v>
      </c>
      <c r="G2562" s="1" t="s">
        <v>12</v>
      </c>
      <c r="H2562" s="1" t="s">
        <v>13</v>
      </c>
      <c r="I2562" s="1" t="s">
        <v>13</v>
      </c>
      <c r="J2562" s="1" t="s">
        <v>22</v>
      </c>
      <c r="K2562" s="1">
        <v>0</v>
      </c>
      <c r="L2562" s="1" t="s">
        <v>21</v>
      </c>
      <c r="M2562" s="1" t="str">
        <f t="shared" si="39"/>
        <v>Consistent</v>
      </c>
      <c r="N2562" s="1" t="str">
        <f>_xlfn.XLOOKUP(H2562, risk_score!A:A, risk_score!B:B, 0)</f>
        <v>Low Risk</v>
      </c>
    </row>
    <row r="2563" spans="1:14">
      <c r="A2563" s="2">
        <v>0.5070486111111111</v>
      </c>
      <c r="B2563" s="3">
        <v>44841</v>
      </c>
      <c r="C2563" s="1">
        <v>1982710669</v>
      </c>
      <c r="D2563" s="1">
        <v>2138505015</v>
      </c>
      <c r="E2563" s="1">
        <v>7121.93</v>
      </c>
      <c r="F2563" s="1" t="s">
        <v>12</v>
      </c>
      <c r="G2563" s="1" t="s">
        <v>16</v>
      </c>
      <c r="H2563" s="1" t="s">
        <v>13</v>
      </c>
      <c r="I2563" s="1" t="s">
        <v>17</v>
      </c>
      <c r="J2563" s="1" t="s">
        <v>18</v>
      </c>
      <c r="K2563" s="1">
        <v>0</v>
      </c>
      <c r="L2563" s="1" t="s">
        <v>23</v>
      </c>
      <c r="M2563" s="1" t="str">
        <f t="shared" ref="M2563:M2626" si="40">IF(F2563=G2563, "Consistent", "Potential Layering")</f>
        <v>Potential Layering</v>
      </c>
      <c r="N2563" s="1" t="str">
        <f>_xlfn.XLOOKUP(H2563, risk_score!A:A, risk_score!B:B, 0)</f>
        <v>Low Risk</v>
      </c>
    </row>
    <row r="2564" spans="1:14">
      <c r="A2564" s="2">
        <v>0.50706018518518514</v>
      </c>
      <c r="B2564" s="3">
        <v>44841</v>
      </c>
      <c r="C2564" s="1">
        <v>9490679180</v>
      </c>
      <c r="D2564" s="1">
        <v>5103043844</v>
      </c>
      <c r="E2564" s="1">
        <v>6656.76</v>
      </c>
      <c r="F2564" s="1" t="s">
        <v>12</v>
      </c>
      <c r="G2564" s="1" t="s">
        <v>44</v>
      </c>
      <c r="H2564" s="1" t="s">
        <v>13</v>
      </c>
      <c r="I2564" s="1" t="s">
        <v>45</v>
      </c>
      <c r="J2564" s="1" t="s">
        <v>18</v>
      </c>
      <c r="K2564" s="1">
        <v>0</v>
      </c>
      <c r="L2564" s="1" t="s">
        <v>23</v>
      </c>
      <c r="M2564" s="1" t="str">
        <f t="shared" si="40"/>
        <v>Potential Layering</v>
      </c>
      <c r="N2564" s="1" t="str">
        <f>_xlfn.XLOOKUP(H2564, risk_score!A:A, risk_score!B:B, 0)</f>
        <v>Low Risk</v>
      </c>
    </row>
    <row r="2565" spans="1:14">
      <c r="A2565" s="2">
        <v>0.50706018518518514</v>
      </c>
      <c r="B2565" s="3">
        <v>44841</v>
      </c>
      <c r="C2565" s="1">
        <v>2527100295</v>
      </c>
      <c r="D2565" s="1">
        <v>8375121355</v>
      </c>
      <c r="E2565" s="1">
        <v>1584.41</v>
      </c>
      <c r="F2565" s="1" t="s">
        <v>12</v>
      </c>
      <c r="G2565" s="1" t="s">
        <v>12</v>
      </c>
      <c r="H2565" s="1" t="s">
        <v>13</v>
      </c>
      <c r="I2565" s="1" t="s">
        <v>13</v>
      </c>
      <c r="J2565" s="1" t="s">
        <v>27</v>
      </c>
      <c r="K2565" s="1">
        <v>0</v>
      </c>
      <c r="L2565" s="1" t="s">
        <v>21</v>
      </c>
      <c r="M2565" s="1" t="str">
        <f t="shared" si="40"/>
        <v>Consistent</v>
      </c>
      <c r="N2565" s="1" t="str">
        <f>_xlfn.XLOOKUP(H2565, risk_score!A:A, risk_score!B:B, 0)</f>
        <v>Low Risk</v>
      </c>
    </row>
    <row r="2566" spans="1:14">
      <c r="A2566" s="2">
        <v>0.50708333333333333</v>
      </c>
      <c r="B2566" s="3">
        <v>44841</v>
      </c>
      <c r="C2566" s="1">
        <v>6431038386</v>
      </c>
      <c r="D2566" s="1">
        <v>4336977506</v>
      </c>
      <c r="E2566" s="1">
        <v>12672.94</v>
      </c>
      <c r="F2566" s="1" t="s">
        <v>12</v>
      </c>
      <c r="G2566" s="1" t="s">
        <v>12</v>
      </c>
      <c r="H2566" s="1" t="s">
        <v>13</v>
      </c>
      <c r="I2566" s="1" t="s">
        <v>13</v>
      </c>
      <c r="J2566" s="1" t="s">
        <v>27</v>
      </c>
      <c r="K2566" s="1">
        <v>0</v>
      </c>
      <c r="L2566" s="1" t="s">
        <v>23</v>
      </c>
      <c r="M2566" s="1" t="str">
        <f t="shared" si="40"/>
        <v>Consistent</v>
      </c>
      <c r="N2566" s="1" t="str">
        <f>_xlfn.XLOOKUP(H2566, risk_score!A:A, risk_score!B:B, 0)</f>
        <v>Low Risk</v>
      </c>
    </row>
    <row r="2567" spans="1:14">
      <c r="A2567" s="2">
        <v>0.50708333333333333</v>
      </c>
      <c r="B2567" s="3">
        <v>44841</v>
      </c>
      <c r="C2567" s="1">
        <v>5102544036</v>
      </c>
      <c r="D2567" s="1">
        <v>5109623450</v>
      </c>
      <c r="E2567" s="1">
        <v>6893.58</v>
      </c>
      <c r="F2567" s="1" t="s">
        <v>12</v>
      </c>
      <c r="G2567" s="1" t="s">
        <v>12</v>
      </c>
      <c r="H2567" s="1" t="s">
        <v>13</v>
      </c>
      <c r="I2567" s="1" t="s">
        <v>13</v>
      </c>
      <c r="J2567" s="1" t="s">
        <v>20</v>
      </c>
      <c r="K2567" s="1">
        <v>0</v>
      </c>
      <c r="L2567" s="1" t="s">
        <v>23</v>
      </c>
      <c r="M2567" s="1" t="str">
        <f t="shared" si="40"/>
        <v>Consistent</v>
      </c>
      <c r="N2567" s="1" t="str">
        <f>_xlfn.XLOOKUP(H2567, risk_score!A:A, risk_score!B:B, 0)</f>
        <v>Low Risk</v>
      </c>
    </row>
    <row r="2568" spans="1:14">
      <c r="A2568" s="2">
        <v>0.50711805555555556</v>
      </c>
      <c r="B2568" s="3">
        <v>44841</v>
      </c>
      <c r="C2568" s="1">
        <v>4227185318</v>
      </c>
      <c r="D2568" s="1">
        <v>8894839430</v>
      </c>
      <c r="E2568" s="1">
        <v>346.72</v>
      </c>
      <c r="F2568" s="1" t="s">
        <v>12</v>
      </c>
      <c r="G2568" s="1" t="s">
        <v>12</v>
      </c>
      <c r="H2568" s="1" t="s">
        <v>13</v>
      </c>
      <c r="I2568" s="1" t="s">
        <v>13</v>
      </c>
      <c r="J2568" s="1" t="s">
        <v>22</v>
      </c>
      <c r="K2568" s="1">
        <v>0</v>
      </c>
      <c r="L2568" s="1" t="s">
        <v>21</v>
      </c>
      <c r="M2568" s="1" t="str">
        <f t="shared" si="40"/>
        <v>Consistent</v>
      </c>
      <c r="N2568" s="1" t="str">
        <f>_xlfn.XLOOKUP(H2568, risk_score!A:A, risk_score!B:B, 0)</f>
        <v>Low Risk</v>
      </c>
    </row>
    <row r="2569" spans="1:14">
      <c r="A2569" s="2">
        <v>0.50722222222222224</v>
      </c>
      <c r="B2569" s="3">
        <v>44841</v>
      </c>
      <c r="C2569" s="1">
        <v>7669236826</v>
      </c>
      <c r="D2569" s="1">
        <v>3794172311</v>
      </c>
      <c r="E2569" s="1">
        <v>6985.6</v>
      </c>
      <c r="F2569" s="1" t="s">
        <v>12</v>
      </c>
      <c r="G2569" s="1" t="s">
        <v>12</v>
      </c>
      <c r="H2569" s="1" t="s">
        <v>13</v>
      </c>
      <c r="I2569" s="1" t="s">
        <v>13</v>
      </c>
      <c r="J2569" s="1" t="s">
        <v>22</v>
      </c>
      <c r="K2569" s="1">
        <v>0</v>
      </c>
      <c r="L2569" s="1" t="s">
        <v>19</v>
      </c>
      <c r="M2569" s="1" t="str">
        <f t="shared" si="40"/>
        <v>Consistent</v>
      </c>
      <c r="N2569" s="1" t="str">
        <f>_xlfn.XLOOKUP(H2569, risk_score!A:A, risk_score!B:B, 0)</f>
        <v>Low Risk</v>
      </c>
    </row>
    <row r="2570" spans="1:14">
      <c r="A2570" s="2">
        <v>0.50724537037037032</v>
      </c>
      <c r="B2570" s="3">
        <v>44841</v>
      </c>
      <c r="C2570" s="1">
        <v>1497614989</v>
      </c>
      <c r="D2570" s="1">
        <v>8824436599</v>
      </c>
      <c r="E2570" s="1">
        <v>3713.43</v>
      </c>
      <c r="F2570" s="1" t="s">
        <v>12</v>
      </c>
      <c r="G2570" s="1" t="s">
        <v>12</v>
      </c>
      <c r="H2570" s="1" t="s">
        <v>13</v>
      </c>
      <c r="I2570" s="1" t="s">
        <v>13</v>
      </c>
      <c r="J2570" s="1" t="s">
        <v>27</v>
      </c>
      <c r="K2570" s="1">
        <v>0</v>
      </c>
      <c r="L2570" s="1" t="s">
        <v>21</v>
      </c>
      <c r="M2570" s="1" t="str">
        <f t="shared" si="40"/>
        <v>Consistent</v>
      </c>
      <c r="N2570" s="1" t="str">
        <f>_xlfn.XLOOKUP(H2570, risk_score!A:A, risk_score!B:B, 0)</f>
        <v>Low Risk</v>
      </c>
    </row>
    <row r="2571" spans="1:14">
      <c r="A2571" s="2">
        <v>0.50724537037037032</v>
      </c>
      <c r="B2571" s="3">
        <v>44841</v>
      </c>
      <c r="C2571" s="1">
        <v>6716795265</v>
      </c>
      <c r="D2571" s="1">
        <v>2394671007</v>
      </c>
      <c r="E2571" s="1">
        <v>2147.23</v>
      </c>
      <c r="F2571" s="1" t="s">
        <v>12</v>
      </c>
      <c r="G2571" s="1" t="s">
        <v>39</v>
      </c>
      <c r="H2571" s="1" t="s">
        <v>13</v>
      </c>
      <c r="I2571" s="1" t="s">
        <v>40</v>
      </c>
      <c r="J2571" s="1" t="s">
        <v>18</v>
      </c>
      <c r="K2571" s="1">
        <v>0</v>
      </c>
      <c r="L2571" s="1" t="s">
        <v>21</v>
      </c>
      <c r="M2571" s="1" t="str">
        <f t="shared" si="40"/>
        <v>Potential Layering</v>
      </c>
      <c r="N2571" s="1" t="str">
        <f>_xlfn.XLOOKUP(H2571, risk_score!A:A, risk_score!B:B, 0)</f>
        <v>Low Risk</v>
      </c>
    </row>
    <row r="2572" spans="1:14">
      <c r="A2572" s="2">
        <v>0.50728009259259255</v>
      </c>
      <c r="B2572" s="3">
        <v>44841</v>
      </c>
      <c r="C2572" s="1">
        <v>9577602835</v>
      </c>
      <c r="D2572" s="1">
        <v>8681810638</v>
      </c>
      <c r="E2572" s="1">
        <v>1158.32</v>
      </c>
      <c r="F2572" s="1" t="s">
        <v>12</v>
      </c>
      <c r="G2572" s="1" t="s">
        <v>12</v>
      </c>
      <c r="H2572" s="1" t="s">
        <v>13</v>
      </c>
      <c r="I2572" s="1" t="s">
        <v>13</v>
      </c>
      <c r="J2572" s="1" t="s">
        <v>27</v>
      </c>
      <c r="K2572" s="1">
        <v>0</v>
      </c>
      <c r="L2572" s="1" t="s">
        <v>21</v>
      </c>
      <c r="M2572" s="1" t="str">
        <f t="shared" si="40"/>
        <v>Consistent</v>
      </c>
      <c r="N2572" s="1" t="str">
        <f>_xlfn.XLOOKUP(H2572, risk_score!A:A, risk_score!B:B, 0)</f>
        <v>Low Risk</v>
      </c>
    </row>
    <row r="2573" spans="1:14">
      <c r="A2573" s="2">
        <v>0.5072916666666667</v>
      </c>
      <c r="B2573" s="3">
        <v>44841</v>
      </c>
      <c r="C2573" s="1">
        <v>4223708607</v>
      </c>
      <c r="D2573" s="1">
        <v>6444220418</v>
      </c>
      <c r="E2573" s="1">
        <v>10539.84</v>
      </c>
      <c r="F2573" s="1" t="s">
        <v>12</v>
      </c>
      <c r="G2573" s="1" t="s">
        <v>12</v>
      </c>
      <c r="H2573" s="1" t="s">
        <v>13</v>
      </c>
      <c r="I2573" s="1" t="s">
        <v>13</v>
      </c>
      <c r="J2573" s="1" t="s">
        <v>22</v>
      </c>
      <c r="K2573" s="1">
        <v>0</v>
      </c>
      <c r="L2573" s="1" t="s">
        <v>23</v>
      </c>
      <c r="M2573" s="1" t="str">
        <f t="shared" si="40"/>
        <v>Consistent</v>
      </c>
      <c r="N2573" s="1" t="str">
        <f>_xlfn.XLOOKUP(H2573, risk_score!A:A, risk_score!B:B, 0)</f>
        <v>Low Risk</v>
      </c>
    </row>
    <row r="2574" spans="1:14">
      <c r="A2574" s="2">
        <v>0.50730324074074074</v>
      </c>
      <c r="B2574" s="3">
        <v>44841</v>
      </c>
      <c r="C2574" s="1">
        <v>4636490823</v>
      </c>
      <c r="D2574" s="1">
        <v>6302621943</v>
      </c>
      <c r="E2574" s="1">
        <v>932.53</v>
      </c>
      <c r="F2574" s="1" t="s">
        <v>12</v>
      </c>
      <c r="G2574" s="1" t="s">
        <v>12</v>
      </c>
      <c r="H2574" s="1" t="s">
        <v>13</v>
      </c>
      <c r="I2574" s="1" t="s">
        <v>13</v>
      </c>
      <c r="J2574" s="1" t="s">
        <v>25</v>
      </c>
      <c r="K2574" s="1">
        <v>0</v>
      </c>
      <c r="L2574" s="1" t="s">
        <v>21</v>
      </c>
      <c r="M2574" s="1" t="str">
        <f t="shared" si="40"/>
        <v>Consistent</v>
      </c>
      <c r="N2574" s="1" t="str">
        <f>_xlfn.XLOOKUP(H2574, risk_score!A:A, risk_score!B:B, 0)</f>
        <v>Low Risk</v>
      </c>
    </row>
    <row r="2575" spans="1:14">
      <c r="A2575" s="2">
        <v>0.507349537037037</v>
      </c>
      <c r="B2575" s="3">
        <v>44841</v>
      </c>
      <c r="C2575" s="1">
        <v>3709430533</v>
      </c>
      <c r="D2575" s="1">
        <v>1421203789</v>
      </c>
      <c r="E2575" s="1">
        <v>7971.47</v>
      </c>
      <c r="F2575" s="1" t="s">
        <v>12</v>
      </c>
      <c r="G2575" s="1" t="s">
        <v>12</v>
      </c>
      <c r="H2575" s="1" t="s">
        <v>13</v>
      </c>
      <c r="I2575" s="1" t="s">
        <v>13</v>
      </c>
      <c r="J2575" s="1" t="s">
        <v>27</v>
      </c>
      <c r="K2575" s="1">
        <v>0</v>
      </c>
      <c r="L2575" s="1" t="s">
        <v>19</v>
      </c>
      <c r="M2575" s="1" t="str">
        <f t="shared" si="40"/>
        <v>Consistent</v>
      </c>
      <c r="N2575" s="1" t="str">
        <f>_xlfn.XLOOKUP(H2575, risk_score!A:A, risk_score!B:B, 0)</f>
        <v>Low Risk</v>
      </c>
    </row>
    <row r="2576" spans="1:14">
      <c r="A2576" s="2">
        <v>0.50737268518518519</v>
      </c>
      <c r="B2576" s="3">
        <v>44841</v>
      </c>
      <c r="C2576" s="1">
        <v>2259167854</v>
      </c>
      <c r="D2576" s="1">
        <v>2560701510</v>
      </c>
      <c r="E2576" s="1">
        <v>496.73</v>
      </c>
      <c r="F2576" s="1" t="s">
        <v>12</v>
      </c>
      <c r="G2576" s="1" t="s">
        <v>12</v>
      </c>
      <c r="H2576" s="1" t="s">
        <v>13</v>
      </c>
      <c r="I2576" s="1" t="s">
        <v>13</v>
      </c>
      <c r="J2576" s="1" t="s">
        <v>14</v>
      </c>
      <c r="K2576" s="1">
        <v>0</v>
      </c>
      <c r="L2576" s="1" t="s">
        <v>15</v>
      </c>
      <c r="M2576" s="1" t="str">
        <f t="shared" si="40"/>
        <v>Consistent</v>
      </c>
      <c r="N2576" s="1" t="str">
        <f>_xlfn.XLOOKUP(H2576, risk_score!A:A, risk_score!B:B, 0)</f>
        <v>Low Risk</v>
      </c>
    </row>
    <row r="2577" spans="1:14">
      <c r="A2577" s="2">
        <v>0.50739583333333338</v>
      </c>
      <c r="B2577" s="3">
        <v>44841</v>
      </c>
      <c r="C2577" s="1">
        <v>3109776919</v>
      </c>
      <c r="D2577" s="1">
        <v>5858369125</v>
      </c>
      <c r="E2577" s="1">
        <v>4489.32</v>
      </c>
      <c r="F2577" s="1" t="s">
        <v>12</v>
      </c>
      <c r="G2577" s="1" t="s">
        <v>12</v>
      </c>
      <c r="H2577" s="1" t="s">
        <v>13</v>
      </c>
      <c r="I2577" s="1" t="s">
        <v>13</v>
      </c>
      <c r="J2577" s="1" t="s">
        <v>22</v>
      </c>
      <c r="K2577" s="1">
        <v>0</v>
      </c>
      <c r="L2577" s="1" t="s">
        <v>23</v>
      </c>
      <c r="M2577" s="1" t="str">
        <f t="shared" si="40"/>
        <v>Consistent</v>
      </c>
      <c r="N2577" s="1" t="str">
        <f>_xlfn.XLOOKUP(H2577, risk_score!A:A, risk_score!B:B, 0)</f>
        <v>Low Risk</v>
      </c>
    </row>
    <row r="2578" spans="1:14">
      <c r="A2578" s="2">
        <v>0.50741898148148146</v>
      </c>
      <c r="B2578" s="3">
        <v>44841</v>
      </c>
      <c r="C2578" s="1">
        <v>8235808958</v>
      </c>
      <c r="D2578" s="1">
        <v>3788972985</v>
      </c>
      <c r="E2578" s="1">
        <v>256.19</v>
      </c>
      <c r="F2578" s="1" t="s">
        <v>12</v>
      </c>
      <c r="G2578" s="1" t="s">
        <v>12</v>
      </c>
      <c r="H2578" s="1" t="s">
        <v>13</v>
      </c>
      <c r="I2578" s="1" t="s">
        <v>13</v>
      </c>
      <c r="J2578" s="1" t="s">
        <v>25</v>
      </c>
      <c r="K2578" s="1">
        <v>0</v>
      </c>
      <c r="L2578" s="1" t="s">
        <v>21</v>
      </c>
      <c r="M2578" s="1" t="str">
        <f t="shared" si="40"/>
        <v>Consistent</v>
      </c>
      <c r="N2578" s="1" t="str">
        <f>_xlfn.XLOOKUP(H2578, risk_score!A:A, risk_score!B:B, 0)</f>
        <v>Low Risk</v>
      </c>
    </row>
    <row r="2579" spans="1:14">
      <c r="A2579" s="2">
        <v>0.50741898148148146</v>
      </c>
      <c r="B2579" s="3">
        <v>44841</v>
      </c>
      <c r="C2579" s="1">
        <v>5508348233</v>
      </c>
      <c r="D2579" s="1">
        <v>6647888917</v>
      </c>
      <c r="E2579" s="1">
        <v>5585.37</v>
      </c>
      <c r="F2579" s="1" t="s">
        <v>12</v>
      </c>
      <c r="G2579" s="1" t="s">
        <v>12</v>
      </c>
      <c r="H2579" s="1" t="s">
        <v>13</v>
      </c>
      <c r="I2579" s="1" t="s">
        <v>13</v>
      </c>
      <c r="J2579" s="1" t="s">
        <v>27</v>
      </c>
      <c r="K2579" s="1">
        <v>0</v>
      </c>
      <c r="L2579" s="1" t="s">
        <v>24</v>
      </c>
      <c r="M2579" s="1" t="str">
        <f t="shared" si="40"/>
        <v>Consistent</v>
      </c>
      <c r="N2579" s="1" t="str">
        <f>_xlfn.XLOOKUP(H2579, risk_score!A:A, risk_score!B:B, 0)</f>
        <v>Low Risk</v>
      </c>
    </row>
    <row r="2580" spans="1:14">
      <c r="A2580" s="2">
        <v>0.50743055555555561</v>
      </c>
      <c r="B2580" s="3">
        <v>44841</v>
      </c>
      <c r="C2580" s="1">
        <v>3688525533</v>
      </c>
      <c r="D2580" s="1">
        <v>8678802420</v>
      </c>
      <c r="E2580" s="1">
        <v>22176.97</v>
      </c>
      <c r="F2580" s="1" t="s">
        <v>12</v>
      </c>
      <c r="G2580" s="1" t="s">
        <v>12</v>
      </c>
      <c r="H2580" s="1" t="s">
        <v>13</v>
      </c>
      <c r="I2580" s="1" t="s">
        <v>13</v>
      </c>
      <c r="J2580" s="1" t="s">
        <v>20</v>
      </c>
      <c r="K2580" s="1">
        <v>0</v>
      </c>
      <c r="L2580" s="1" t="s">
        <v>23</v>
      </c>
      <c r="M2580" s="1" t="str">
        <f t="shared" si="40"/>
        <v>Consistent</v>
      </c>
      <c r="N2580" s="1" t="str">
        <f>_xlfn.XLOOKUP(H2580, risk_score!A:A, risk_score!B:B, 0)</f>
        <v>Low Risk</v>
      </c>
    </row>
    <row r="2581" spans="1:14">
      <c r="A2581" s="2">
        <v>0.50749999999999995</v>
      </c>
      <c r="B2581" s="3">
        <v>44841</v>
      </c>
      <c r="C2581" s="1">
        <v>4223708607</v>
      </c>
      <c r="D2581" s="1">
        <v>6444220418</v>
      </c>
      <c r="E2581" s="1">
        <v>10417.44</v>
      </c>
      <c r="F2581" s="1" t="s">
        <v>12</v>
      </c>
      <c r="G2581" s="1" t="s">
        <v>12</v>
      </c>
      <c r="H2581" s="1" t="s">
        <v>13</v>
      </c>
      <c r="I2581" s="1" t="s">
        <v>13</v>
      </c>
      <c r="J2581" s="1" t="s">
        <v>25</v>
      </c>
      <c r="K2581" s="1">
        <v>0</v>
      </c>
      <c r="L2581" s="1" t="s">
        <v>23</v>
      </c>
      <c r="M2581" s="1" t="str">
        <f t="shared" si="40"/>
        <v>Consistent</v>
      </c>
      <c r="N2581" s="1" t="str">
        <f>_xlfn.XLOOKUP(H2581, risk_score!A:A, risk_score!B:B, 0)</f>
        <v>Low Risk</v>
      </c>
    </row>
    <row r="2582" spans="1:14">
      <c r="A2582" s="2">
        <v>0.50752314814814814</v>
      </c>
      <c r="B2582" s="3">
        <v>44841</v>
      </c>
      <c r="C2582" s="1">
        <v>3559909418</v>
      </c>
      <c r="D2582" s="1">
        <v>3107050889</v>
      </c>
      <c r="E2582" s="1">
        <v>4922.93</v>
      </c>
      <c r="F2582" s="1" t="s">
        <v>12</v>
      </c>
      <c r="G2582" s="1" t="s">
        <v>12</v>
      </c>
      <c r="H2582" s="1" t="s">
        <v>13</v>
      </c>
      <c r="I2582" s="1" t="s">
        <v>13</v>
      </c>
      <c r="J2582" s="1" t="s">
        <v>22</v>
      </c>
      <c r="K2582" s="1">
        <v>0</v>
      </c>
      <c r="L2582" s="1" t="s">
        <v>21</v>
      </c>
      <c r="M2582" s="1" t="str">
        <f t="shared" si="40"/>
        <v>Consistent</v>
      </c>
      <c r="N2582" s="1" t="str">
        <f>_xlfn.XLOOKUP(H2582, risk_score!A:A, risk_score!B:B, 0)</f>
        <v>Low Risk</v>
      </c>
    </row>
    <row r="2583" spans="1:14">
      <c r="A2583" s="2">
        <v>0.50754629629629633</v>
      </c>
      <c r="B2583" s="3">
        <v>44841</v>
      </c>
      <c r="C2583" s="1">
        <v>105185176</v>
      </c>
      <c r="D2583" s="1">
        <v>7717401164</v>
      </c>
      <c r="E2583" s="1">
        <v>6996.78</v>
      </c>
      <c r="F2583" s="1" t="s">
        <v>12</v>
      </c>
      <c r="G2583" s="1" t="s">
        <v>12</v>
      </c>
      <c r="H2583" s="1" t="s">
        <v>13</v>
      </c>
      <c r="I2583" s="1" t="s">
        <v>13</v>
      </c>
      <c r="J2583" s="1" t="s">
        <v>25</v>
      </c>
      <c r="K2583" s="1">
        <v>0</v>
      </c>
      <c r="L2583" s="1" t="s">
        <v>21</v>
      </c>
      <c r="M2583" s="1" t="str">
        <f t="shared" si="40"/>
        <v>Consistent</v>
      </c>
      <c r="N2583" s="1" t="str">
        <f>_xlfn.XLOOKUP(H2583, risk_score!A:A, risk_score!B:B, 0)</f>
        <v>Low Risk</v>
      </c>
    </row>
    <row r="2584" spans="1:14">
      <c r="A2584" s="2">
        <v>0.50755787037037037</v>
      </c>
      <c r="B2584" s="3">
        <v>44841</v>
      </c>
      <c r="C2584" s="1">
        <v>2054223834</v>
      </c>
      <c r="D2584" s="1">
        <v>6034997194</v>
      </c>
      <c r="E2584" s="1">
        <v>5064.01</v>
      </c>
      <c r="F2584" s="1" t="s">
        <v>12</v>
      </c>
      <c r="G2584" s="1" t="s">
        <v>12</v>
      </c>
      <c r="H2584" s="1" t="s">
        <v>13</v>
      </c>
      <c r="I2584" s="1" t="s">
        <v>13</v>
      </c>
      <c r="J2584" s="1" t="s">
        <v>20</v>
      </c>
      <c r="K2584" s="1">
        <v>0</v>
      </c>
      <c r="L2584" s="1" t="s">
        <v>23</v>
      </c>
      <c r="M2584" s="1" t="str">
        <f t="shared" si="40"/>
        <v>Consistent</v>
      </c>
      <c r="N2584" s="1" t="str">
        <f>_xlfn.XLOOKUP(H2584, risk_score!A:A, risk_score!B:B, 0)</f>
        <v>Low Risk</v>
      </c>
    </row>
    <row r="2585" spans="1:14">
      <c r="A2585" s="2">
        <v>0.50755787037037037</v>
      </c>
      <c r="B2585" s="3">
        <v>44841</v>
      </c>
      <c r="C2585" s="1">
        <v>7669236826</v>
      </c>
      <c r="D2585" s="1">
        <v>7074900925</v>
      </c>
      <c r="E2585" s="1">
        <v>6021.61</v>
      </c>
      <c r="F2585" s="1" t="s">
        <v>12</v>
      </c>
      <c r="G2585" s="1" t="s">
        <v>12</v>
      </c>
      <c r="H2585" s="1" t="s">
        <v>13</v>
      </c>
      <c r="I2585" s="1" t="s">
        <v>13</v>
      </c>
      <c r="J2585" s="1" t="s">
        <v>25</v>
      </c>
      <c r="K2585" s="1">
        <v>0</v>
      </c>
      <c r="L2585" s="1" t="s">
        <v>19</v>
      </c>
      <c r="M2585" s="1" t="str">
        <f t="shared" si="40"/>
        <v>Consistent</v>
      </c>
      <c r="N2585" s="1" t="str">
        <f>_xlfn.XLOOKUP(H2585, risk_score!A:A, risk_score!B:B, 0)</f>
        <v>Low Risk</v>
      </c>
    </row>
    <row r="2586" spans="1:14">
      <c r="A2586" s="2">
        <v>0.50755787037037037</v>
      </c>
      <c r="B2586" s="3">
        <v>44841</v>
      </c>
      <c r="C2586" s="1">
        <v>2584559390</v>
      </c>
      <c r="D2586" s="1">
        <v>3066321263</v>
      </c>
      <c r="E2586" s="1">
        <v>18411.75</v>
      </c>
      <c r="F2586" s="1" t="s">
        <v>12</v>
      </c>
      <c r="G2586" s="1" t="s">
        <v>12</v>
      </c>
      <c r="H2586" s="1" t="s">
        <v>13</v>
      </c>
      <c r="I2586" s="1" t="s">
        <v>13</v>
      </c>
      <c r="J2586" s="1" t="s">
        <v>22</v>
      </c>
      <c r="K2586" s="1">
        <v>0</v>
      </c>
      <c r="L2586" s="1" t="s">
        <v>23</v>
      </c>
      <c r="M2586" s="1" t="str">
        <f t="shared" si="40"/>
        <v>Consistent</v>
      </c>
      <c r="N2586" s="1" t="str">
        <f>_xlfn.XLOOKUP(H2586, risk_score!A:A, risk_score!B:B, 0)</f>
        <v>Low Risk</v>
      </c>
    </row>
    <row r="2587" spans="1:14">
      <c r="A2587" s="2">
        <v>0.50760416666666663</v>
      </c>
      <c r="B2587" s="3">
        <v>44841</v>
      </c>
      <c r="C2587" s="1">
        <v>6086421020</v>
      </c>
      <c r="D2587" s="1">
        <v>7141835964</v>
      </c>
      <c r="E2587" s="1">
        <v>8078.15</v>
      </c>
      <c r="F2587" s="1" t="s">
        <v>12</v>
      </c>
      <c r="G2587" s="1" t="s">
        <v>12</v>
      </c>
      <c r="H2587" s="1" t="s">
        <v>13</v>
      </c>
      <c r="I2587" s="1" t="s">
        <v>13</v>
      </c>
      <c r="J2587" s="1" t="s">
        <v>25</v>
      </c>
      <c r="K2587" s="1">
        <v>0</v>
      </c>
      <c r="L2587" s="1" t="s">
        <v>19</v>
      </c>
      <c r="M2587" s="1" t="str">
        <f t="shared" si="40"/>
        <v>Consistent</v>
      </c>
      <c r="N2587" s="1" t="str">
        <f>_xlfn.XLOOKUP(H2587, risk_score!A:A, risk_score!B:B, 0)</f>
        <v>Low Risk</v>
      </c>
    </row>
    <row r="2588" spans="1:14">
      <c r="A2588" s="2">
        <v>0.50760416666666663</v>
      </c>
      <c r="B2588" s="3">
        <v>44841</v>
      </c>
      <c r="C2588" s="1">
        <v>4978397216</v>
      </c>
      <c r="D2588" s="1">
        <v>8930559737</v>
      </c>
      <c r="E2588" s="1">
        <v>7251.59</v>
      </c>
      <c r="F2588" s="1" t="s">
        <v>12</v>
      </c>
      <c r="G2588" s="1" t="s">
        <v>12</v>
      </c>
      <c r="H2588" s="1" t="s">
        <v>13</v>
      </c>
      <c r="I2588" s="1" t="s">
        <v>13</v>
      </c>
      <c r="J2588" s="1" t="s">
        <v>27</v>
      </c>
      <c r="K2588" s="1">
        <v>0</v>
      </c>
      <c r="L2588" s="1" t="s">
        <v>21</v>
      </c>
      <c r="M2588" s="1" t="str">
        <f t="shared" si="40"/>
        <v>Consistent</v>
      </c>
      <c r="N2588" s="1" t="str">
        <f>_xlfn.XLOOKUP(H2588, risk_score!A:A, risk_score!B:B, 0)</f>
        <v>Low Risk</v>
      </c>
    </row>
    <row r="2589" spans="1:14">
      <c r="A2589" s="2">
        <v>0.50761574074074078</v>
      </c>
      <c r="B2589" s="3">
        <v>44841</v>
      </c>
      <c r="C2589" s="1">
        <v>8207246869</v>
      </c>
      <c r="D2589" s="1">
        <v>5628674969</v>
      </c>
      <c r="E2589" s="1">
        <v>6992.71</v>
      </c>
      <c r="F2589" s="1" t="s">
        <v>12</v>
      </c>
      <c r="G2589" s="1" t="s">
        <v>12</v>
      </c>
      <c r="H2589" s="1" t="s">
        <v>13</v>
      </c>
      <c r="I2589" s="1" t="s">
        <v>13</v>
      </c>
      <c r="J2589" s="1" t="s">
        <v>25</v>
      </c>
      <c r="K2589" s="1">
        <v>0</v>
      </c>
      <c r="L2589" s="1" t="s">
        <v>23</v>
      </c>
      <c r="M2589" s="1" t="str">
        <f t="shared" si="40"/>
        <v>Consistent</v>
      </c>
      <c r="N2589" s="1" t="str">
        <f>_xlfn.XLOOKUP(H2589, risk_score!A:A, risk_score!B:B, 0)</f>
        <v>Low Risk</v>
      </c>
    </row>
    <row r="2590" spans="1:14">
      <c r="A2590" s="2">
        <v>0.50763888888888886</v>
      </c>
      <c r="B2590" s="3">
        <v>44841</v>
      </c>
      <c r="C2590" s="1">
        <v>299782338</v>
      </c>
      <c r="D2590" s="1">
        <v>7742203807</v>
      </c>
      <c r="E2590" s="1">
        <v>326.41000000000003</v>
      </c>
      <c r="F2590" s="1" t="s">
        <v>12</v>
      </c>
      <c r="G2590" s="1" t="s">
        <v>12</v>
      </c>
      <c r="H2590" s="1" t="s">
        <v>13</v>
      </c>
      <c r="I2590" s="1" t="s">
        <v>13</v>
      </c>
      <c r="J2590" s="1" t="s">
        <v>22</v>
      </c>
      <c r="K2590" s="1">
        <v>0</v>
      </c>
      <c r="L2590" s="1" t="s">
        <v>21</v>
      </c>
      <c r="M2590" s="1" t="str">
        <f t="shared" si="40"/>
        <v>Consistent</v>
      </c>
      <c r="N2590" s="1" t="str">
        <f>_xlfn.XLOOKUP(H2590, risk_score!A:A, risk_score!B:B, 0)</f>
        <v>Low Risk</v>
      </c>
    </row>
    <row r="2591" spans="1:14">
      <c r="A2591" s="2">
        <v>0.50768518518518524</v>
      </c>
      <c r="B2591" s="3">
        <v>44841</v>
      </c>
      <c r="C2591" s="1">
        <v>2047410771</v>
      </c>
      <c r="D2591" s="1">
        <v>6646502650</v>
      </c>
      <c r="E2591" s="1">
        <v>8056.52</v>
      </c>
      <c r="F2591" s="1" t="s">
        <v>12</v>
      </c>
      <c r="G2591" s="1" t="s">
        <v>29</v>
      </c>
      <c r="H2591" s="1" t="s">
        <v>13</v>
      </c>
      <c r="I2591" s="1" t="s">
        <v>31</v>
      </c>
      <c r="J2591" s="1" t="s">
        <v>18</v>
      </c>
      <c r="K2591" s="1">
        <v>0</v>
      </c>
      <c r="L2591" s="1" t="s">
        <v>23</v>
      </c>
      <c r="M2591" s="1" t="str">
        <f t="shared" si="40"/>
        <v>Potential Layering</v>
      </c>
      <c r="N2591" s="1" t="str">
        <f>_xlfn.XLOOKUP(H2591, risk_score!A:A, risk_score!B:B, 0)</f>
        <v>Low Risk</v>
      </c>
    </row>
    <row r="2592" spans="1:14">
      <c r="A2592" s="2">
        <v>0.50769675925925928</v>
      </c>
      <c r="B2592" s="3">
        <v>44841</v>
      </c>
      <c r="C2592" s="1">
        <v>4117755003</v>
      </c>
      <c r="D2592" s="1">
        <v>6646502650</v>
      </c>
      <c r="E2592" s="1">
        <v>8591.01</v>
      </c>
      <c r="F2592" s="1" t="s">
        <v>26</v>
      </c>
      <c r="G2592" s="1" t="s">
        <v>29</v>
      </c>
      <c r="H2592" s="1" t="s">
        <v>13</v>
      </c>
      <c r="I2592" s="1" t="s">
        <v>31</v>
      </c>
      <c r="J2592" s="1" t="s">
        <v>18</v>
      </c>
      <c r="K2592" s="1">
        <v>0</v>
      </c>
      <c r="L2592" s="1" t="s">
        <v>23</v>
      </c>
      <c r="M2592" s="1" t="str">
        <f t="shared" si="40"/>
        <v>Potential Layering</v>
      </c>
      <c r="N2592" s="1" t="str">
        <f>_xlfn.XLOOKUP(H2592, risk_score!A:A, risk_score!B:B, 0)</f>
        <v>Low Risk</v>
      </c>
    </row>
    <row r="2593" spans="1:14">
      <c r="A2593" s="2">
        <v>0.50777777777777777</v>
      </c>
      <c r="B2593" s="3">
        <v>44841</v>
      </c>
      <c r="C2593" s="1">
        <v>5599249157</v>
      </c>
      <c r="D2593" s="1">
        <v>5904802925</v>
      </c>
      <c r="E2593" s="1">
        <v>695.72</v>
      </c>
      <c r="F2593" s="1" t="s">
        <v>12</v>
      </c>
      <c r="G2593" s="1" t="s">
        <v>12</v>
      </c>
      <c r="H2593" s="1" t="s">
        <v>13</v>
      </c>
      <c r="I2593" s="1" t="s">
        <v>13</v>
      </c>
      <c r="J2593" s="1" t="s">
        <v>25</v>
      </c>
      <c r="K2593" s="1">
        <v>0</v>
      </c>
      <c r="L2593" s="1" t="s">
        <v>21</v>
      </c>
      <c r="M2593" s="1" t="str">
        <f t="shared" si="40"/>
        <v>Consistent</v>
      </c>
      <c r="N2593" s="1" t="str">
        <f>_xlfn.XLOOKUP(H2593, risk_score!A:A, risk_score!B:B, 0)</f>
        <v>Low Risk</v>
      </c>
    </row>
    <row r="2594" spans="1:14">
      <c r="A2594" s="2">
        <v>0.50777777777777777</v>
      </c>
      <c r="B2594" s="3">
        <v>44841</v>
      </c>
      <c r="C2594" s="1">
        <v>9081133856</v>
      </c>
      <c r="D2594" s="1">
        <v>6444220418</v>
      </c>
      <c r="E2594" s="1">
        <v>9396.2900000000009</v>
      </c>
      <c r="F2594" s="1" t="s">
        <v>12</v>
      </c>
      <c r="G2594" s="1" t="s">
        <v>12</v>
      </c>
      <c r="H2594" s="1" t="s">
        <v>13</v>
      </c>
      <c r="I2594" s="1" t="s">
        <v>13</v>
      </c>
      <c r="J2594" s="1" t="s">
        <v>20</v>
      </c>
      <c r="K2594" s="1">
        <v>0</v>
      </c>
      <c r="L2594" s="1" t="s">
        <v>23</v>
      </c>
      <c r="M2594" s="1" t="str">
        <f t="shared" si="40"/>
        <v>Consistent</v>
      </c>
      <c r="N2594" s="1" t="str">
        <f>_xlfn.XLOOKUP(H2594, risk_score!A:A, risk_score!B:B, 0)</f>
        <v>Low Risk</v>
      </c>
    </row>
    <row r="2595" spans="1:14">
      <c r="A2595" s="2">
        <v>0.50778935185185181</v>
      </c>
      <c r="B2595" s="3">
        <v>44841</v>
      </c>
      <c r="C2595" s="1">
        <v>9575204551</v>
      </c>
      <c r="D2595" s="1">
        <v>7345303997</v>
      </c>
      <c r="E2595" s="1">
        <v>410.99</v>
      </c>
      <c r="F2595" s="1" t="s">
        <v>12</v>
      </c>
      <c r="G2595" s="1" t="s">
        <v>12</v>
      </c>
      <c r="H2595" s="1" t="s">
        <v>13</v>
      </c>
      <c r="I2595" s="1" t="s">
        <v>13</v>
      </c>
      <c r="J2595" s="1" t="s">
        <v>27</v>
      </c>
      <c r="K2595" s="1">
        <v>0</v>
      </c>
      <c r="L2595" s="1" t="s">
        <v>21</v>
      </c>
      <c r="M2595" s="1" t="str">
        <f t="shared" si="40"/>
        <v>Consistent</v>
      </c>
      <c r="N2595" s="1" t="str">
        <f>_xlfn.XLOOKUP(H2595, risk_score!A:A, risk_score!B:B, 0)</f>
        <v>Low Risk</v>
      </c>
    </row>
    <row r="2596" spans="1:14">
      <c r="A2596" s="2">
        <v>0.50783564814814819</v>
      </c>
      <c r="B2596" s="3">
        <v>44841</v>
      </c>
      <c r="C2596" s="1">
        <v>5790471849</v>
      </c>
      <c r="D2596" s="1">
        <v>378335393</v>
      </c>
      <c r="E2596" s="1">
        <v>2169.89</v>
      </c>
      <c r="F2596" s="1" t="s">
        <v>12</v>
      </c>
      <c r="G2596" s="1" t="s">
        <v>12</v>
      </c>
      <c r="H2596" s="1" t="s">
        <v>13</v>
      </c>
      <c r="I2596" s="1" t="s">
        <v>13</v>
      </c>
      <c r="J2596" s="1" t="s">
        <v>27</v>
      </c>
      <c r="K2596" s="1">
        <v>0</v>
      </c>
      <c r="L2596" s="1" t="s">
        <v>38</v>
      </c>
      <c r="M2596" s="1" t="str">
        <f t="shared" si="40"/>
        <v>Consistent</v>
      </c>
      <c r="N2596" s="1" t="str">
        <f>_xlfn.XLOOKUP(H2596, risk_score!A:A, risk_score!B:B, 0)</f>
        <v>Low Risk</v>
      </c>
    </row>
    <row r="2597" spans="1:14">
      <c r="A2597" s="2">
        <v>0.50783564814814819</v>
      </c>
      <c r="B2597" s="3">
        <v>44841</v>
      </c>
      <c r="C2597" s="1">
        <v>2365007895</v>
      </c>
      <c r="D2597" s="1">
        <v>3606979593</v>
      </c>
      <c r="E2597" s="1">
        <v>5055.66</v>
      </c>
      <c r="F2597" s="1" t="s">
        <v>12</v>
      </c>
      <c r="G2597" s="1" t="s">
        <v>12</v>
      </c>
      <c r="H2597" s="1" t="s">
        <v>13</v>
      </c>
      <c r="I2597" s="1" t="s">
        <v>13</v>
      </c>
      <c r="J2597" s="1" t="s">
        <v>20</v>
      </c>
      <c r="K2597" s="1">
        <v>0</v>
      </c>
      <c r="L2597" s="1" t="s">
        <v>19</v>
      </c>
      <c r="M2597" s="1" t="str">
        <f t="shared" si="40"/>
        <v>Consistent</v>
      </c>
      <c r="N2597" s="1" t="str">
        <f>_xlfn.XLOOKUP(H2597, risk_score!A:A, risk_score!B:B, 0)</f>
        <v>Low Risk</v>
      </c>
    </row>
    <row r="2598" spans="1:14">
      <c r="A2598" s="2">
        <v>0.50788194444444446</v>
      </c>
      <c r="B2598" s="3">
        <v>44841</v>
      </c>
      <c r="C2598" s="1">
        <v>5218904199</v>
      </c>
      <c r="D2598" s="1">
        <v>6646502650</v>
      </c>
      <c r="E2598" s="1">
        <v>6637.91</v>
      </c>
      <c r="F2598" s="1" t="s">
        <v>12</v>
      </c>
      <c r="G2598" s="1" t="s">
        <v>29</v>
      </c>
      <c r="H2598" s="1" t="s">
        <v>13</v>
      </c>
      <c r="I2598" s="1" t="s">
        <v>31</v>
      </c>
      <c r="J2598" s="1" t="s">
        <v>18</v>
      </c>
      <c r="K2598" s="1">
        <v>0</v>
      </c>
      <c r="L2598" s="1" t="s">
        <v>23</v>
      </c>
      <c r="M2598" s="1" t="str">
        <f t="shared" si="40"/>
        <v>Potential Layering</v>
      </c>
      <c r="N2598" s="1" t="str">
        <f>_xlfn.XLOOKUP(H2598, risk_score!A:A, risk_score!B:B, 0)</f>
        <v>Low Risk</v>
      </c>
    </row>
    <row r="2599" spans="1:14">
      <c r="A2599" s="2">
        <v>0.50790509259259264</v>
      </c>
      <c r="B2599" s="3">
        <v>44841</v>
      </c>
      <c r="C2599" s="1">
        <v>3580636597</v>
      </c>
      <c r="D2599" s="1">
        <v>5103043844</v>
      </c>
      <c r="E2599" s="1">
        <v>7524.92</v>
      </c>
      <c r="F2599" s="1" t="s">
        <v>12</v>
      </c>
      <c r="G2599" s="1" t="s">
        <v>44</v>
      </c>
      <c r="H2599" s="1" t="s">
        <v>13</v>
      </c>
      <c r="I2599" s="1" t="s">
        <v>45</v>
      </c>
      <c r="J2599" s="1" t="s">
        <v>18</v>
      </c>
      <c r="K2599" s="1">
        <v>0</v>
      </c>
      <c r="L2599" s="1" t="s">
        <v>23</v>
      </c>
      <c r="M2599" s="1" t="str">
        <f t="shared" si="40"/>
        <v>Potential Layering</v>
      </c>
      <c r="N2599" s="1" t="str">
        <f>_xlfn.XLOOKUP(H2599, risk_score!A:A, risk_score!B:B, 0)</f>
        <v>Low Risk</v>
      </c>
    </row>
    <row r="2600" spans="1:14">
      <c r="A2600" s="2">
        <v>0.50791666666666668</v>
      </c>
      <c r="B2600" s="3">
        <v>44841</v>
      </c>
      <c r="C2600" s="1">
        <v>6904668523</v>
      </c>
      <c r="D2600" s="1">
        <v>3540529623</v>
      </c>
      <c r="E2600" s="1">
        <v>9282.2199999999993</v>
      </c>
      <c r="F2600" s="1" t="s">
        <v>12</v>
      </c>
      <c r="G2600" s="1" t="s">
        <v>12</v>
      </c>
      <c r="H2600" s="1" t="s">
        <v>13</v>
      </c>
      <c r="I2600" s="1" t="s">
        <v>13</v>
      </c>
      <c r="J2600" s="1" t="s">
        <v>20</v>
      </c>
      <c r="K2600" s="1">
        <v>0</v>
      </c>
      <c r="L2600" s="1" t="s">
        <v>19</v>
      </c>
      <c r="M2600" s="1" t="str">
        <f t="shared" si="40"/>
        <v>Consistent</v>
      </c>
      <c r="N2600" s="1" t="str">
        <f>_xlfn.XLOOKUP(H2600, risk_score!A:A, risk_score!B:B, 0)</f>
        <v>Low Risk</v>
      </c>
    </row>
    <row r="2601" spans="1:14">
      <c r="A2601" s="2">
        <v>0.50792824074074072</v>
      </c>
      <c r="B2601" s="3">
        <v>44841</v>
      </c>
      <c r="C2601" s="1">
        <v>6340026575</v>
      </c>
      <c r="D2601" s="1">
        <v>5920472050</v>
      </c>
      <c r="E2601" s="1">
        <v>11.75</v>
      </c>
      <c r="F2601" s="1" t="s">
        <v>12</v>
      </c>
      <c r="G2601" s="1" t="s">
        <v>12</v>
      </c>
      <c r="H2601" s="1" t="s">
        <v>13</v>
      </c>
      <c r="I2601" s="1" t="s">
        <v>13</v>
      </c>
      <c r="J2601" s="1" t="s">
        <v>36</v>
      </c>
      <c r="K2601" s="1">
        <v>0</v>
      </c>
      <c r="L2601" s="1" t="s">
        <v>37</v>
      </c>
      <c r="M2601" s="1" t="str">
        <f t="shared" si="40"/>
        <v>Consistent</v>
      </c>
      <c r="N2601" s="1" t="str">
        <f>_xlfn.XLOOKUP(H2601, risk_score!A:A, risk_score!B:B, 0)</f>
        <v>Low Risk</v>
      </c>
    </row>
    <row r="2602" spans="1:14">
      <c r="A2602" s="2">
        <v>0.50795138888888891</v>
      </c>
      <c r="B2602" s="3">
        <v>44841</v>
      </c>
      <c r="C2602" s="1">
        <v>4182571887</v>
      </c>
      <c r="D2602" s="1">
        <v>797997850</v>
      </c>
      <c r="E2602" s="1">
        <v>2964.32</v>
      </c>
      <c r="F2602" s="1" t="s">
        <v>12</v>
      </c>
      <c r="G2602" s="1" t="s">
        <v>12</v>
      </c>
      <c r="H2602" s="1" t="s">
        <v>13</v>
      </c>
      <c r="I2602" s="1" t="s">
        <v>13</v>
      </c>
      <c r="J2602" s="1" t="s">
        <v>20</v>
      </c>
      <c r="K2602" s="1">
        <v>0</v>
      </c>
      <c r="L2602" s="1" t="s">
        <v>21</v>
      </c>
      <c r="M2602" s="1" t="str">
        <f t="shared" si="40"/>
        <v>Consistent</v>
      </c>
      <c r="N2602" s="1" t="str">
        <f>_xlfn.XLOOKUP(H2602, risk_score!A:A, risk_score!B:B, 0)</f>
        <v>Low Risk</v>
      </c>
    </row>
    <row r="2603" spans="1:14">
      <c r="A2603" s="2">
        <v>0.50796296296296295</v>
      </c>
      <c r="B2603" s="3">
        <v>44841</v>
      </c>
      <c r="C2603" s="1">
        <v>1858089957</v>
      </c>
      <c r="D2603" s="1">
        <v>6470081575</v>
      </c>
      <c r="E2603" s="1">
        <v>125.25</v>
      </c>
      <c r="F2603" s="1" t="s">
        <v>12</v>
      </c>
      <c r="G2603" s="1" t="s">
        <v>12</v>
      </c>
      <c r="H2603" s="1" t="s">
        <v>13</v>
      </c>
      <c r="I2603" s="1" t="s">
        <v>13</v>
      </c>
      <c r="J2603" s="1" t="s">
        <v>36</v>
      </c>
      <c r="K2603" s="1">
        <v>0</v>
      </c>
      <c r="L2603" s="1" t="s">
        <v>37</v>
      </c>
      <c r="M2603" s="1" t="str">
        <f t="shared" si="40"/>
        <v>Consistent</v>
      </c>
      <c r="N2603" s="1" t="str">
        <f>_xlfn.XLOOKUP(H2603, risk_score!A:A, risk_score!B:B, 0)</f>
        <v>Low Risk</v>
      </c>
    </row>
    <row r="2604" spans="1:14">
      <c r="A2604" s="2">
        <v>0.50800925925925922</v>
      </c>
      <c r="B2604" s="3">
        <v>44841</v>
      </c>
      <c r="C2604" s="1">
        <v>151323243</v>
      </c>
      <c r="D2604" s="1">
        <v>5703240025</v>
      </c>
      <c r="E2604" s="1">
        <v>2952.25</v>
      </c>
      <c r="F2604" s="1" t="s">
        <v>12</v>
      </c>
      <c r="G2604" s="1" t="s">
        <v>12</v>
      </c>
      <c r="H2604" s="1" t="s">
        <v>13</v>
      </c>
      <c r="I2604" s="1" t="s">
        <v>13</v>
      </c>
      <c r="J2604" s="1" t="s">
        <v>20</v>
      </c>
      <c r="K2604" s="1">
        <v>0</v>
      </c>
      <c r="L2604" s="1" t="s">
        <v>24</v>
      </c>
      <c r="M2604" s="1" t="str">
        <f t="shared" si="40"/>
        <v>Consistent</v>
      </c>
      <c r="N2604" s="1" t="str">
        <f>_xlfn.XLOOKUP(H2604, risk_score!A:A, risk_score!B:B, 0)</f>
        <v>Low Risk</v>
      </c>
    </row>
    <row r="2605" spans="1:14">
      <c r="A2605" s="2">
        <v>0.5080324074074074</v>
      </c>
      <c r="B2605" s="3">
        <v>44841</v>
      </c>
      <c r="C2605" s="1">
        <v>7096762618</v>
      </c>
      <c r="D2605" s="1">
        <v>5628674969</v>
      </c>
      <c r="E2605" s="1">
        <v>5133.87</v>
      </c>
      <c r="F2605" s="1" t="s">
        <v>12</v>
      </c>
      <c r="G2605" s="1" t="s">
        <v>12</v>
      </c>
      <c r="H2605" s="1" t="s">
        <v>13</v>
      </c>
      <c r="I2605" s="1" t="s">
        <v>13</v>
      </c>
      <c r="J2605" s="1" t="s">
        <v>25</v>
      </c>
      <c r="K2605" s="1">
        <v>0</v>
      </c>
      <c r="L2605" s="1" t="s">
        <v>23</v>
      </c>
      <c r="M2605" s="1" t="str">
        <f t="shared" si="40"/>
        <v>Consistent</v>
      </c>
      <c r="N2605" s="1" t="str">
        <f>_xlfn.XLOOKUP(H2605, risk_score!A:A, risk_score!B:B, 0)</f>
        <v>Low Risk</v>
      </c>
    </row>
    <row r="2606" spans="1:14">
      <c r="A2606" s="2">
        <v>0.50804398148148144</v>
      </c>
      <c r="B2606" s="3">
        <v>44841</v>
      </c>
      <c r="C2606" s="1">
        <v>8456279067</v>
      </c>
      <c r="D2606" s="1">
        <v>3889335486</v>
      </c>
      <c r="E2606" s="1">
        <v>14704.1</v>
      </c>
      <c r="F2606" s="1" t="s">
        <v>12</v>
      </c>
      <c r="G2606" s="1" t="s">
        <v>12</v>
      </c>
      <c r="H2606" s="1" t="s">
        <v>13</v>
      </c>
      <c r="I2606" s="1" t="s">
        <v>13</v>
      </c>
      <c r="J2606" s="1" t="s">
        <v>25</v>
      </c>
      <c r="K2606" s="1">
        <v>0</v>
      </c>
      <c r="L2606" s="1" t="s">
        <v>19</v>
      </c>
      <c r="M2606" s="1" t="str">
        <f t="shared" si="40"/>
        <v>Consistent</v>
      </c>
      <c r="N2606" s="1" t="str">
        <f>_xlfn.XLOOKUP(H2606, risk_score!A:A, risk_score!B:B, 0)</f>
        <v>Low Risk</v>
      </c>
    </row>
    <row r="2607" spans="1:14">
      <c r="A2607" s="2">
        <v>0.50806712962962963</v>
      </c>
      <c r="B2607" s="3">
        <v>44841</v>
      </c>
      <c r="C2607" s="1">
        <v>151158173</v>
      </c>
      <c r="D2607" s="1">
        <v>1493436023</v>
      </c>
      <c r="E2607" s="1">
        <v>21440.21</v>
      </c>
      <c r="F2607" s="1" t="s">
        <v>12</v>
      </c>
      <c r="G2607" s="1" t="s">
        <v>12</v>
      </c>
      <c r="H2607" s="1" t="s">
        <v>13</v>
      </c>
      <c r="I2607" s="1" t="s">
        <v>13</v>
      </c>
      <c r="J2607" s="1" t="s">
        <v>27</v>
      </c>
      <c r="K2607" s="1">
        <v>0</v>
      </c>
      <c r="L2607" s="1" t="s">
        <v>23</v>
      </c>
      <c r="M2607" s="1" t="str">
        <f t="shared" si="40"/>
        <v>Consistent</v>
      </c>
      <c r="N2607" s="1" t="str">
        <f>_xlfn.XLOOKUP(H2607, risk_score!A:A, risk_score!B:B, 0)</f>
        <v>Low Risk</v>
      </c>
    </row>
    <row r="2608" spans="1:14">
      <c r="A2608" s="2">
        <v>0.50809027777777782</v>
      </c>
      <c r="B2608" s="3">
        <v>44841</v>
      </c>
      <c r="C2608" s="1">
        <v>8548056122</v>
      </c>
      <c r="D2608" s="1">
        <v>2125903586</v>
      </c>
      <c r="E2608" s="1">
        <v>591.26</v>
      </c>
      <c r="F2608" s="1" t="s">
        <v>12</v>
      </c>
      <c r="G2608" s="1" t="s">
        <v>12</v>
      </c>
      <c r="H2608" s="1" t="s">
        <v>13</v>
      </c>
      <c r="I2608" s="1" t="s">
        <v>13</v>
      </c>
      <c r="J2608" s="1" t="s">
        <v>20</v>
      </c>
      <c r="K2608" s="1">
        <v>0</v>
      </c>
      <c r="L2608" s="1" t="s">
        <v>21</v>
      </c>
      <c r="M2608" s="1" t="str">
        <f t="shared" si="40"/>
        <v>Consistent</v>
      </c>
      <c r="N2608" s="1" t="str">
        <f>_xlfn.XLOOKUP(H2608, risk_score!A:A, risk_score!B:B, 0)</f>
        <v>Low Risk</v>
      </c>
    </row>
    <row r="2609" spans="1:14">
      <c r="A2609" s="2">
        <v>0.50810185185185186</v>
      </c>
      <c r="B2609" s="3">
        <v>44841</v>
      </c>
      <c r="C2609" s="1">
        <v>8456279067</v>
      </c>
      <c r="D2609" s="1">
        <v>8374633169</v>
      </c>
      <c r="E2609" s="1">
        <v>17332.36</v>
      </c>
      <c r="F2609" s="1" t="s">
        <v>12</v>
      </c>
      <c r="G2609" s="1" t="s">
        <v>12</v>
      </c>
      <c r="H2609" s="1" t="s">
        <v>13</v>
      </c>
      <c r="I2609" s="1" t="s">
        <v>13</v>
      </c>
      <c r="J2609" s="1" t="s">
        <v>20</v>
      </c>
      <c r="K2609" s="1">
        <v>0</v>
      </c>
      <c r="L2609" s="1" t="s">
        <v>19</v>
      </c>
      <c r="M2609" s="1" t="str">
        <f t="shared" si="40"/>
        <v>Consistent</v>
      </c>
      <c r="N2609" s="1" t="str">
        <f>_xlfn.XLOOKUP(H2609, risk_score!A:A, risk_score!B:B, 0)</f>
        <v>Low Risk</v>
      </c>
    </row>
    <row r="2610" spans="1:14">
      <c r="A2610" s="2">
        <v>0.50814814814814813</v>
      </c>
      <c r="B2610" s="3">
        <v>44841</v>
      </c>
      <c r="C2610" s="1">
        <v>9534729015</v>
      </c>
      <c r="D2610" s="1">
        <v>4787209426</v>
      </c>
      <c r="E2610" s="1">
        <v>12001.48</v>
      </c>
      <c r="F2610" s="1" t="s">
        <v>12</v>
      </c>
      <c r="G2610" s="1" t="s">
        <v>12</v>
      </c>
      <c r="H2610" s="1" t="s">
        <v>13</v>
      </c>
      <c r="I2610" s="1" t="s">
        <v>13</v>
      </c>
      <c r="J2610" s="1" t="s">
        <v>27</v>
      </c>
      <c r="K2610" s="1">
        <v>0</v>
      </c>
      <c r="L2610" s="1" t="s">
        <v>19</v>
      </c>
      <c r="M2610" s="1" t="str">
        <f t="shared" si="40"/>
        <v>Consistent</v>
      </c>
      <c r="N2610" s="1" t="str">
        <f>_xlfn.XLOOKUP(H2610, risk_score!A:A, risk_score!B:B, 0)</f>
        <v>Low Risk</v>
      </c>
    </row>
    <row r="2611" spans="1:14">
      <c r="A2611" s="2">
        <v>0.50814814814814813</v>
      </c>
      <c r="B2611" s="3">
        <v>44841</v>
      </c>
      <c r="C2611" s="1">
        <v>4512671582</v>
      </c>
      <c r="D2611" s="1">
        <v>4538008036</v>
      </c>
      <c r="E2611" s="1">
        <v>10866.87</v>
      </c>
      <c r="F2611" s="1" t="s">
        <v>12</v>
      </c>
      <c r="G2611" s="1" t="s">
        <v>12</v>
      </c>
      <c r="H2611" s="1" t="s">
        <v>13</v>
      </c>
      <c r="I2611" s="1" t="s">
        <v>13</v>
      </c>
      <c r="J2611" s="1" t="s">
        <v>22</v>
      </c>
      <c r="K2611" s="1">
        <v>0</v>
      </c>
      <c r="L2611" s="1" t="s">
        <v>24</v>
      </c>
      <c r="M2611" s="1" t="str">
        <f t="shared" si="40"/>
        <v>Consistent</v>
      </c>
      <c r="N2611" s="1" t="str">
        <f>_xlfn.XLOOKUP(H2611, risk_score!A:A, risk_score!B:B, 0)</f>
        <v>Low Risk</v>
      </c>
    </row>
    <row r="2612" spans="1:14">
      <c r="A2612" s="2">
        <v>0.50817129629629632</v>
      </c>
      <c r="B2612" s="3">
        <v>44841</v>
      </c>
      <c r="C2612" s="1">
        <v>7204657487</v>
      </c>
      <c r="D2612" s="1">
        <v>3275026821</v>
      </c>
      <c r="E2612" s="1">
        <v>18930.54</v>
      </c>
      <c r="F2612" s="1" t="s">
        <v>12</v>
      </c>
      <c r="G2612" s="1" t="s">
        <v>12</v>
      </c>
      <c r="H2612" s="1" t="s">
        <v>13</v>
      </c>
      <c r="I2612" s="1" t="s">
        <v>13</v>
      </c>
      <c r="J2612" s="1" t="s">
        <v>22</v>
      </c>
      <c r="K2612" s="1">
        <v>0</v>
      </c>
      <c r="L2612" s="1" t="s">
        <v>21</v>
      </c>
      <c r="M2612" s="1" t="str">
        <f t="shared" si="40"/>
        <v>Consistent</v>
      </c>
      <c r="N2612" s="1" t="str">
        <f>_xlfn.XLOOKUP(H2612, risk_score!A:A, risk_score!B:B, 0)</f>
        <v>Low Risk</v>
      </c>
    </row>
    <row r="2613" spans="1:14">
      <c r="A2613" s="2">
        <v>0.50821759259259258</v>
      </c>
      <c r="B2613" s="3">
        <v>44841</v>
      </c>
      <c r="C2613" s="1">
        <v>9995637068</v>
      </c>
      <c r="D2613" s="1">
        <v>5050358107</v>
      </c>
      <c r="E2613" s="1">
        <v>4623.5200000000004</v>
      </c>
      <c r="F2613" s="1" t="s">
        <v>12</v>
      </c>
      <c r="G2613" s="1" t="s">
        <v>12</v>
      </c>
      <c r="H2613" s="1" t="s">
        <v>13</v>
      </c>
      <c r="I2613" s="1" t="s">
        <v>13</v>
      </c>
      <c r="J2613" s="1" t="s">
        <v>25</v>
      </c>
      <c r="K2613" s="1">
        <v>0</v>
      </c>
      <c r="L2613" s="1" t="s">
        <v>21</v>
      </c>
      <c r="M2613" s="1" t="str">
        <f t="shared" si="40"/>
        <v>Consistent</v>
      </c>
      <c r="N2613" s="1" t="str">
        <f>_xlfn.XLOOKUP(H2613, risk_score!A:A, risk_score!B:B, 0)</f>
        <v>Low Risk</v>
      </c>
    </row>
    <row r="2614" spans="1:14">
      <c r="A2614" s="2">
        <v>0.50821759259259258</v>
      </c>
      <c r="B2614" s="3">
        <v>44841</v>
      </c>
      <c r="C2614" s="1">
        <v>406694508</v>
      </c>
      <c r="D2614" s="1">
        <v>4852591739</v>
      </c>
      <c r="E2614" s="1">
        <v>5965.67</v>
      </c>
      <c r="F2614" s="1" t="s">
        <v>12</v>
      </c>
      <c r="G2614" s="1" t="s">
        <v>12</v>
      </c>
      <c r="H2614" s="1" t="s">
        <v>13</v>
      </c>
      <c r="I2614" s="1" t="s">
        <v>13</v>
      </c>
      <c r="J2614" s="1" t="s">
        <v>22</v>
      </c>
      <c r="K2614" s="1">
        <v>0</v>
      </c>
      <c r="L2614" s="1" t="s">
        <v>21</v>
      </c>
      <c r="M2614" s="1" t="str">
        <f t="shared" si="40"/>
        <v>Consistent</v>
      </c>
      <c r="N2614" s="1" t="str">
        <f>_xlfn.XLOOKUP(H2614, risk_score!A:A, risk_score!B:B, 0)</f>
        <v>Low Risk</v>
      </c>
    </row>
    <row r="2615" spans="1:14">
      <c r="A2615" s="2">
        <v>0.50825231481481481</v>
      </c>
      <c r="B2615" s="3">
        <v>44841</v>
      </c>
      <c r="C2615" s="1">
        <v>8893411850</v>
      </c>
      <c r="D2615" s="1">
        <v>9377382377</v>
      </c>
      <c r="E2615" s="1">
        <v>292.10000000000002</v>
      </c>
      <c r="F2615" s="1" t="s">
        <v>12</v>
      </c>
      <c r="G2615" s="1" t="s">
        <v>12</v>
      </c>
      <c r="H2615" s="1" t="s">
        <v>13</v>
      </c>
      <c r="I2615" s="1" t="s">
        <v>13</v>
      </c>
      <c r="J2615" s="1" t="s">
        <v>25</v>
      </c>
      <c r="K2615" s="1">
        <v>0</v>
      </c>
      <c r="L2615" s="1" t="s">
        <v>21</v>
      </c>
      <c r="M2615" s="1" t="str">
        <f t="shared" si="40"/>
        <v>Consistent</v>
      </c>
      <c r="N2615" s="1" t="str">
        <f>_xlfn.XLOOKUP(H2615, risk_score!A:A, risk_score!B:B, 0)</f>
        <v>Low Risk</v>
      </c>
    </row>
    <row r="2616" spans="1:14">
      <c r="A2616" s="2">
        <v>0.508275462962963</v>
      </c>
      <c r="B2616" s="3">
        <v>44841</v>
      </c>
      <c r="C2616" s="1">
        <v>423981011</v>
      </c>
      <c r="D2616" s="1">
        <v>5266807955</v>
      </c>
      <c r="E2616" s="1">
        <v>5820.28</v>
      </c>
      <c r="F2616" s="1" t="s">
        <v>12</v>
      </c>
      <c r="G2616" s="1" t="s">
        <v>12</v>
      </c>
      <c r="H2616" s="1" t="s">
        <v>13</v>
      </c>
      <c r="I2616" s="1" t="s">
        <v>13</v>
      </c>
      <c r="J2616" s="1" t="s">
        <v>20</v>
      </c>
      <c r="K2616" s="1">
        <v>0</v>
      </c>
      <c r="L2616" s="1" t="s">
        <v>21</v>
      </c>
      <c r="M2616" s="1" t="str">
        <f t="shared" si="40"/>
        <v>Consistent</v>
      </c>
      <c r="N2616" s="1" t="str">
        <f>_xlfn.XLOOKUP(H2616, risk_score!A:A, risk_score!B:B, 0)</f>
        <v>Low Risk</v>
      </c>
    </row>
    <row r="2617" spans="1:14">
      <c r="A2617" s="2">
        <v>0.50828703703703704</v>
      </c>
      <c r="B2617" s="3">
        <v>44841</v>
      </c>
      <c r="C2617" s="1">
        <v>9103091955</v>
      </c>
      <c r="D2617" s="1">
        <v>6178486333</v>
      </c>
      <c r="E2617" s="1">
        <v>795.79</v>
      </c>
      <c r="F2617" s="1" t="s">
        <v>12</v>
      </c>
      <c r="G2617" s="1" t="s">
        <v>12</v>
      </c>
      <c r="H2617" s="1" t="s">
        <v>13</v>
      </c>
      <c r="I2617" s="1" t="s">
        <v>13</v>
      </c>
      <c r="J2617" s="1" t="s">
        <v>22</v>
      </c>
      <c r="K2617" s="1">
        <v>0</v>
      </c>
      <c r="L2617" s="1" t="s">
        <v>21</v>
      </c>
      <c r="M2617" s="1" t="str">
        <f t="shared" si="40"/>
        <v>Consistent</v>
      </c>
      <c r="N2617" s="1" t="str">
        <f>_xlfn.XLOOKUP(H2617, risk_score!A:A, risk_score!B:B, 0)</f>
        <v>Low Risk</v>
      </c>
    </row>
    <row r="2618" spans="1:14">
      <c r="A2618" s="2">
        <v>0.50829861111111108</v>
      </c>
      <c r="B2618" s="3">
        <v>44841</v>
      </c>
      <c r="C2618" s="1">
        <v>7902870954</v>
      </c>
      <c r="D2618" s="1">
        <v>6195314229</v>
      </c>
      <c r="E2618" s="1">
        <v>96.75</v>
      </c>
      <c r="F2618" s="1" t="s">
        <v>12</v>
      </c>
      <c r="G2618" s="1" t="s">
        <v>12</v>
      </c>
      <c r="H2618" s="1" t="s">
        <v>13</v>
      </c>
      <c r="I2618" s="1" t="s">
        <v>13</v>
      </c>
      <c r="J2618" s="1" t="s">
        <v>22</v>
      </c>
      <c r="K2618" s="1">
        <v>0</v>
      </c>
      <c r="L2618" s="1" t="s">
        <v>21</v>
      </c>
      <c r="M2618" s="1" t="str">
        <f t="shared" si="40"/>
        <v>Consistent</v>
      </c>
      <c r="N2618" s="1" t="str">
        <f>_xlfn.XLOOKUP(H2618, risk_score!A:A, risk_score!B:B, 0)</f>
        <v>Low Risk</v>
      </c>
    </row>
    <row r="2619" spans="1:14">
      <c r="A2619" s="2">
        <v>0.50832175925925926</v>
      </c>
      <c r="B2619" s="3">
        <v>44841</v>
      </c>
      <c r="C2619" s="1">
        <v>1682971748</v>
      </c>
      <c r="D2619" s="1">
        <v>5860465098</v>
      </c>
      <c r="E2619" s="1">
        <v>21409.95</v>
      </c>
      <c r="F2619" s="1" t="s">
        <v>12</v>
      </c>
      <c r="G2619" s="1" t="s">
        <v>12</v>
      </c>
      <c r="H2619" s="1" t="s">
        <v>13</v>
      </c>
      <c r="I2619" s="1" t="s">
        <v>13</v>
      </c>
      <c r="J2619" s="1" t="s">
        <v>20</v>
      </c>
      <c r="K2619" s="1">
        <v>0</v>
      </c>
      <c r="L2619" s="1" t="s">
        <v>21</v>
      </c>
      <c r="M2619" s="1" t="str">
        <f t="shared" si="40"/>
        <v>Consistent</v>
      </c>
      <c r="N2619" s="1" t="str">
        <f>_xlfn.XLOOKUP(H2619, risk_score!A:A, risk_score!B:B, 0)</f>
        <v>Low Risk</v>
      </c>
    </row>
    <row r="2620" spans="1:14">
      <c r="A2620" s="2">
        <v>0.5083333333333333</v>
      </c>
      <c r="B2620" s="3">
        <v>44841</v>
      </c>
      <c r="C2620" s="1">
        <v>1490260385</v>
      </c>
      <c r="D2620" s="1">
        <v>1377603863</v>
      </c>
      <c r="E2620" s="1">
        <v>7453.69</v>
      </c>
      <c r="F2620" s="1" t="s">
        <v>12</v>
      </c>
      <c r="G2620" s="1" t="s">
        <v>12</v>
      </c>
      <c r="H2620" s="1" t="s">
        <v>13</v>
      </c>
      <c r="I2620" s="1" t="s">
        <v>13</v>
      </c>
      <c r="J2620" s="1" t="s">
        <v>22</v>
      </c>
      <c r="K2620" s="1">
        <v>0</v>
      </c>
      <c r="L2620" s="1" t="s">
        <v>23</v>
      </c>
      <c r="M2620" s="1" t="str">
        <f t="shared" si="40"/>
        <v>Consistent</v>
      </c>
      <c r="N2620" s="1" t="str">
        <f>_xlfn.XLOOKUP(H2620, risk_score!A:A, risk_score!B:B, 0)</f>
        <v>Low Risk</v>
      </c>
    </row>
    <row r="2621" spans="1:14">
      <c r="A2621" s="2">
        <v>0.50835648148148149</v>
      </c>
      <c r="B2621" s="3">
        <v>44841</v>
      </c>
      <c r="C2621" s="1">
        <v>8278374434</v>
      </c>
      <c r="D2621" s="1">
        <v>469404472</v>
      </c>
      <c r="E2621" s="1">
        <v>366.26</v>
      </c>
      <c r="F2621" s="1" t="s">
        <v>12</v>
      </c>
      <c r="G2621" s="1" t="s">
        <v>12</v>
      </c>
      <c r="H2621" s="1" t="s">
        <v>13</v>
      </c>
      <c r="I2621" s="1" t="s">
        <v>13</v>
      </c>
      <c r="J2621" s="1" t="s">
        <v>22</v>
      </c>
      <c r="K2621" s="1">
        <v>0</v>
      </c>
      <c r="L2621" s="1" t="s">
        <v>21</v>
      </c>
      <c r="M2621" s="1" t="str">
        <f t="shared" si="40"/>
        <v>Consistent</v>
      </c>
      <c r="N2621" s="1" t="str">
        <f>_xlfn.XLOOKUP(H2621, risk_score!A:A, risk_score!B:B, 0)</f>
        <v>Low Risk</v>
      </c>
    </row>
    <row r="2622" spans="1:14">
      <c r="A2622" s="2">
        <v>0.50837962962962968</v>
      </c>
      <c r="B2622" s="3">
        <v>44841</v>
      </c>
      <c r="C2622" s="1">
        <v>6057444675</v>
      </c>
      <c r="D2622" s="1">
        <v>517441754</v>
      </c>
      <c r="E2622" s="1">
        <v>7043.43</v>
      </c>
      <c r="F2622" s="1" t="s">
        <v>12</v>
      </c>
      <c r="G2622" s="1" t="s">
        <v>12</v>
      </c>
      <c r="H2622" s="1" t="s">
        <v>13</v>
      </c>
      <c r="I2622" s="1" t="s">
        <v>13</v>
      </c>
      <c r="J2622" s="1" t="s">
        <v>25</v>
      </c>
      <c r="K2622" s="1">
        <v>0</v>
      </c>
      <c r="L2622" s="1" t="s">
        <v>19</v>
      </c>
      <c r="M2622" s="1" t="str">
        <f t="shared" si="40"/>
        <v>Consistent</v>
      </c>
      <c r="N2622" s="1" t="str">
        <f>_xlfn.XLOOKUP(H2622, risk_score!A:A, risk_score!B:B, 0)</f>
        <v>Low Risk</v>
      </c>
    </row>
    <row r="2623" spans="1:14">
      <c r="A2623" s="2">
        <v>0.50837962962962968</v>
      </c>
      <c r="B2623" s="3">
        <v>44841</v>
      </c>
      <c r="C2623" s="1">
        <v>6116657264</v>
      </c>
      <c r="D2623" s="1">
        <v>224176497</v>
      </c>
      <c r="E2623" s="1">
        <v>4600.1099999999997</v>
      </c>
      <c r="F2623" s="1" t="s">
        <v>12</v>
      </c>
      <c r="G2623" s="1" t="s">
        <v>12</v>
      </c>
      <c r="H2623" s="1" t="s">
        <v>13</v>
      </c>
      <c r="I2623" s="1" t="s">
        <v>13</v>
      </c>
      <c r="J2623" s="1" t="s">
        <v>20</v>
      </c>
      <c r="K2623" s="1">
        <v>0</v>
      </c>
      <c r="L2623" s="1" t="s">
        <v>19</v>
      </c>
      <c r="M2623" s="1" t="str">
        <f t="shared" si="40"/>
        <v>Consistent</v>
      </c>
      <c r="N2623" s="1" t="str">
        <f>_xlfn.XLOOKUP(H2623, risk_score!A:A, risk_score!B:B, 0)</f>
        <v>Low Risk</v>
      </c>
    </row>
    <row r="2624" spans="1:14">
      <c r="A2624" s="2">
        <v>0.50846064814814818</v>
      </c>
      <c r="B2624" s="3">
        <v>44841</v>
      </c>
      <c r="C2624" s="1">
        <v>5872512221</v>
      </c>
      <c r="D2624" s="1">
        <v>5255062394</v>
      </c>
      <c r="E2624" s="1">
        <v>247.92</v>
      </c>
      <c r="F2624" s="1" t="s">
        <v>12</v>
      </c>
      <c r="G2624" s="1" t="s">
        <v>12</v>
      </c>
      <c r="H2624" s="1" t="s">
        <v>13</v>
      </c>
      <c r="I2624" s="1" t="s">
        <v>13</v>
      </c>
      <c r="J2624" s="1" t="s">
        <v>27</v>
      </c>
      <c r="K2624" s="1">
        <v>0</v>
      </c>
      <c r="L2624" s="1" t="s">
        <v>21</v>
      </c>
      <c r="M2624" s="1" t="str">
        <f t="shared" si="40"/>
        <v>Consistent</v>
      </c>
      <c r="N2624" s="1" t="str">
        <f>_xlfn.XLOOKUP(H2624, risk_score!A:A, risk_score!B:B, 0)</f>
        <v>Low Risk</v>
      </c>
    </row>
    <row r="2625" spans="1:14">
      <c r="A2625" s="2">
        <v>0.5084953703703704</v>
      </c>
      <c r="B2625" s="3">
        <v>44841</v>
      </c>
      <c r="C2625" s="1">
        <v>1915450576</v>
      </c>
      <c r="D2625" s="1">
        <v>1020934931</v>
      </c>
      <c r="E2625" s="1">
        <v>5231.1400000000003</v>
      </c>
      <c r="F2625" s="1" t="s">
        <v>12</v>
      </c>
      <c r="G2625" s="1" t="s">
        <v>12</v>
      </c>
      <c r="H2625" s="1" t="s">
        <v>13</v>
      </c>
      <c r="I2625" s="1" t="s">
        <v>13</v>
      </c>
      <c r="J2625" s="1" t="s">
        <v>20</v>
      </c>
      <c r="K2625" s="1">
        <v>0</v>
      </c>
      <c r="L2625" s="1" t="s">
        <v>19</v>
      </c>
      <c r="M2625" s="1" t="str">
        <f t="shared" si="40"/>
        <v>Consistent</v>
      </c>
      <c r="N2625" s="1" t="str">
        <f>_xlfn.XLOOKUP(H2625, risk_score!A:A, risk_score!B:B, 0)</f>
        <v>Low Risk</v>
      </c>
    </row>
    <row r="2626" spans="1:14">
      <c r="A2626" s="2">
        <v>0.5084953703703704</v>
      </c>
      <c r="B2626" s="3">
        <v>44841</v>
      </c>
      <c r="C2626" s="1">
        <v>6185087731</v>
      </c>
      <c r="D2626" s="1">
        <v>8531285273</v>
      </c>
      <c r="E2626" s="1">
        <v>3342.95</v>
      </c>
      <c r="F2626" s="1" t="s">
        <v>12</v>
      </c>
      <c r="G2626" s="1" t="s">
        <v>12</v>
      </c>
      <c r="H2626" s="1" t="s">
        <v>13</v>
      </c>
      <c r="I2626" s="1" t="s">
        <v>13</v>
      </c>
      <c r="J2626" s="1" t="s">
        <v>20</v>
      </c>
      <c r="K2626" s="1">
        <v>0</v>
      </c>
      <c r="L2626" s="1" t="s">
        <v>21</v>
      </c>
      <c r="M2626" s="1" t="str">
        <f t="shared" si="40"/>
        <v>Consistent</v>
      </c>
      <c r="N2626" s="1" t="str">
        <f>_xlfn.XLOOKUP(H2626, risk_score!A:A, risk_score!B:B, 0)</f>
        <v>Low Risk</v>
      </c>
    </row>
    <row r="2627" spans="1:14">
      <c r="A2627" s="2">
        <v>0.50850694444444444</v>
      </c>
      <c r="B2627" s="3">
        <v>44841</v>
      </c>
      <c r="C2627" s="1">
        <v>9043015924</v>
      </c>
      <c r="D2627" s="1">
        <v>6660096827</v>
      </c>
      <c r="E2627" s="1">
        <v>2031.32</v>
      </c>
      <c r="F2627" s="1" t="s">
        <v>12</v>
      </c>
      <c r="G2627" s="1" t="s">
        <v>12</v>
      </c>
      <c r="H2627" s="1" t="s">
        <v>13</v>
      </c>
      <c r="I2627" s="1" t="s">
        <v>13</v>
      </c>
      <c r="J2627" s="1" t="s">
        <v>14</v>
      </c>
      <c r="K2627" s="1">
        <v>0</v>
      </c>
      <c r="L2627" s="1" t="s">
        <v>15</v>
      </c>
      <c r="M2627" s="1" t="str">
        <f t="shared" ref="M2627:M2690" si="41">IF(F2627=G2627, "Consistent", "Potential Layering")</f>
        <v>Consistent</v>
      </c>
      <c r="N2627" s="1" t="str">
        <f>_xlfn.XLOOKUP(H2627, risk_score!A:A, risk_score!B:B, 0)</f>
        <v>Low Risk</v>
      </c>
    </row>
    <row r="2628" spans="1:14">
      <c r="A2628" s="2">
        <v>0.50850694444444444</v>
      </c>
      <c r="B2628" s="3">
        <v>44841</v>
      </c>
      <c r="C2628" s="1">
        <v>8248826949</v>
      </c>
      <c r="D2628" s="1">
        <v>6855935396</v>
      </c>
      <c r="E2628" s="1">
        <v>7062.45</v>
      </c>
      <c r="F2628" s="1" t="s">
        <v>12</v>
      </c>
      <c r="G2628" s="1" t="s">
        <v>12</v>
      </c>
      <c r="H2628" s="1" t="s">
        <v>13</v>
      </c>
      <c r="I2628" s="1" t="s">
        <v>13</v>
      </c>
      <c r="J2628" s="1" t="s">
        <v>25</v>
      </c>
      <c r="K2628" s="1">
        <v>0</v>
      </c>
      <c r="L2628" s="1" t="s">
        <v>23</v>
      </c>
      <c r="M2628" s="1" t="str">
        <f t="shared" si="41"/>
        <v>Consistent</v>
      </c>
      <c r="N2628" s="1" t="str">
        <f>_xlfn.XLOOKUP(H2628, risk_score!A:A, risk_score!B:B, 0)</f>
        <v>Low Risk</v>
      </c>
    </row>
    <row r="2629" spans="1:14">
      <c r="A2629" s="2">
        <v>0.50851851851851848</v>
      </c>
      <c r="B2629" s="3">
        <v>44841</v>
      </c>
      <c r="C2629" s="1">
        <v>4383746166</v>
      </c>
      <c r="D2629" s="1">
        <v>379920258</v>
      </c>
      <c r="E2629" s="1">
        <v>2737.23</v>
      </c>
      <c r="F2629" s="1" t="s">
        <v>12</v>
      </c>
      <c r="G2629" s="1" t="s">
        <v>12</v>
      </c>
      <c r="H2629" s="1" t="s">
        <v>13</v>
      </c>
      <c r="I2629" s="1" t="s">
        <v>13</v>
      </c>
      <c r="J2629" s="1" t="s">
        <v>20</v>
      </c>
      <c r="K2629" s="1">
        <v>0</v>
      </c>
      <c r="L2629" s="1" t="s">
        <v>21</v>
      </c>
      <c r="M2629" s="1" t="str">
        <f t="shared" si="41"/>
        <v>Consistent</v>
      </c>
      <c r="N2629" s="1" t="str">
        <f>_xlfn.XLOOKUP(H2629, risk_score!A:A, risk_score!B:B, 0)</f>
        <v>Low Risk</v>
      </c>
    </row>
    <row r="2630" spans="1:14">
      <c r="A2630" s="2">
        <v>0.50858796296296294</v>
      </c>
      <c r="B2630" s="3">
        <v>44841</v>
      </c>
      <c r="C2630" s="1">
        <v>6115631534</v>
      </c>
      <c r="D2630" s="1">
        <v>5498937793</v>
      </c>
      <c r="E2630" s="1">
        <v>757.89</v>
      </c>
      <c r="F2630" s="1" t="s">
        <v>12</v>
      </c>
      <c r="G2630" s="1" t="s">
        <v>12</v>
      </c>
      <c r="H2630" s="1" t="s">
        <v>13</v>
      </c>
      <c r="I2630" s="1" t="s">
        <v>13</v>
      </c>
      <c r="J2630" s="1" t="s">
        <v>20</v>
      </c>
      <c r="K2630" s="1">
        <v>0</v>
      </c>
      <c r="L2630" s="1" t="s">
        <v>21</v>
      </c>
      <c r="M2630" s="1" t="str">
        <f t="shared" si="41"/>
        <v>Consistent</v>
      </c>
      <c r="N2630" s="1" t="str">
        <f>_xlfn.XLOOKUP(H2630, risk_score!A:A, risk_score!B:B, 0)</f>
        <v>Low Risk</v>
      </c>
    </row>
    <row r="2631" spans="1:14">
      <c r="A2631" s="2">
        <v>0.50862268518518516</v>
      </c>
      <c r="B2631" s="3">
        <v>44841</v>
      </c>
      <c r="C2631" s="1">
        <v>6116657264</v>
      </c>
      <c r="D2631" s="1">
        <v>7249249682</v>
      </c>
      <c r="E2631" s="1">
        <v>5741.65</v>
      </c>
      <c r="F2631" s="1" t="s">
        <v>12</v>
      </c>
      <c r="G2631" s="1" t="s">
        <v>12</v>
      </c>
      <c r="H2631" s="1" t="s">
        <v>13</v>
      </c>
      <c r="I2631" s="1" t="s">
        <v>13</v>
      </c>
      <c r="J2631" s="1" t="s">
        <v>25</v>
      </c>
      <c r="K2631" s="1">
        <v>0</v>
      </c>
      <c r="L2631" s="1" t="s">
        <v>19</v>
      </c>
      <c r="M2631" s="1" t="str">
        <f t="shared" si="41"/>
        <v>Consistent</v>
      </c>
      <c r="N2631" s="1" t="str">
        <f>_xlfn.XLOOKUP(H2631, risk_score!A:A, risk_score!B:B, 0)</f>
        <v>Low Risk</v>
      </c>
    </row>
    <row r="2632" spans="1:14">
      <c r="A2632" s="2">
        <v>0.50864583333333335</v>
      </c>
      <c r="B2632" s="3">
        <v>44841</v>
      </c>
      <c r="C2632" s="1">
        <v>8659965885</v>
      </c>
      <c r="D2632" s="1">
        <v>6273014681</v>
      </c>
      <c r="E2632" s="1">
        <v>2921.01</v>
      </c>
      <c r="F2632" s="1" t="s">
        <v>12</v>
      </c>
      <c r="G2632" s="1" t="s">
        <v>12</v>
      </c>
      <c r="H2632" s="1" t="s">
        <v>13</v>
      </c>
      <c r="I2632" s="1" t="s">
        <v>13</v>
      </c>
      <c r="J2632" s="1" t="s">
        <v>14</v>
      </c>
      <c r="K2632" s="1">
        <v>0</v>
      </c>
      <c r="L2632" s="1" t="s">
        <v>15</v>
      </c>
      <c r="M2632" s="1" t="str">
        <f t="shared" si="41"/>
        <v>Consistent</v>
      </c>
      <c r="N2632" s="1" t="str">
        <f>_xlfn.XLOOKUP(H2632, risk_score!A:A, risk_score!B:B, 0)</f>
        <v>Low Risk</v>
      </c>
    </row>
    <row r="2633" spans="1:14">
      <c r="A2633" s="2">
        <v>0.50865740740740739</v>
      </c>
      <c r="B2633" s="3">
        <v>44841</v>
      </c>
      <c r="C2633" s="1">
        <v>9216862356</v>
      </c>
      <c r="D2633" s="1">
        <v>8586388395</v>
      </c>
      <c r="E2633" s="1">
        <v>12971.85</v>
      </c>
      <c r="F2633" s="1" t="s">
        <v>29</v>
      </c>
      <c r="G2633" s="1" t="s">
        <v>12</v>
      </c>
      <c r="H2633" s="1" t="s">
        <v>13</v>
      </c>
      <c r="I2633" s="1" t="s">
        <v>13</v>
      </c>
      <c r="J2633" s="1" t="s">
        <v>25</v>
      </c>
      <c r="K2633" s="1">
        <v>0</v>
      </c>
      <c r="L2633" s="1" t="s">
        <v>21</v>
      </c>
      <c r="M2633" s="1" t="str">
        <f t="shared" si="41"/>
        <v>Potential Layering</v>
      </c>
      <c r="N2633" s="1" t="str">
        <f>_xlfn.XLOOKUP(H2633, risk_score!A:A, risk_score!B:B, 0)</f>
        <v>Low Risk</v>
      </c>
    </row>
    <row r="2634" spans="1:14">
      <c r="A2634" s="2">
        <v>0.50866898148148143</v>
      </c>
      <c r="B2634" s="3">
        <v>44841</v>
      </c>
      <c r="C2634" s="1">
        <v>2294025022</v>
      </c>
      <c r="D2634" s="1">
        <v>5858369125</v>
      </c>
      <c r="E2634" s="1">
        <v>8706.86</v>
      </c>
      <c r="F2634" s="1" t="s">
        <v>12</v>
      </c>
      <c r="G2634" s="1" t="s">
        <v>12</v>
      </c>
      <c r="H2634" s="1" t="s">
        <v>13</v>
      </c>
      <c r="I2634" s="1" t="s">
        <v>13</v>
      </c>
      <c r="J2634" s="1" t="s">
        <v>27</v>
      </c>
      <c r="K2634" s="1">
        <v>0</v>
      </c>
      <c r="L2634" s="1" t="s">
        <v>23</v>
      </c>
      <c r="M2634" s="1" t="str">
        <f t="shared" si="41"/>
        <v>Consistent</v>
      </c>
      <c r="N2634" s="1" t="str">
        <f>_xlfn.XLOOKUP(H2634, risk_score!A:A, risk_score!B:B, 0)</f>
        <v>Low Risk</v>
      </c>
    </row>
    <row r="2635" spans="1:14">
      <c r="A2635" s="2">
        <v>0.50868055555555558</v>
      </c>
      <c r="B2635" s="3">
        <v>44841</v>
      </c>
      <c r="C2635" s="1">
        <v>944098747</v>
      </c>
      <c r="D2635" s="1">
        <v>1193564264</v>
      </c>
      <c r="E2635" s="1">
        <v>15010.59</v>
      </c>
      <c r="F2635" s="1" t="s">
        <v>12</v>
      </c>
      <c r="G2635" s="1" t="s">
        <v>12</v>
      </c>
      <c r="H2635" s="1" t="s">
        <v>13</v>
      </c>
      <c r="I2635" s="1" t="s">
        <v>13</v>
      </c>
      <c r="J2635" s="1" t="s">
        <v>22</v>
      </c>
      <c r="K2635" s="1">
        <v>0</v>
      </c>
      <c r="L2635" s="1" t="s">
        <v>21</v>
      </c>
      <c r="M2635" s="1" t="str">
        <f t="shared" si="41"/>
        <v>Consistent</v>
      </c>
      <c r="N2635" s="1" t="str">
        <f>_xlfn.XLOOKUP(H2635, risk_score!A:A, risk_score!B:B, 0)</f>
        <v>Low Risk</v>
      </c>
    </row>
    <row r="2636" spans="1:14">
      <c r="A2636" s="2">
        <v>0.50869212962962962</v>
      </c>
      <c r="B2636" s="3">
        <v>44841</v>
      </c>
      <c r="C2636" s="1">
        <v>9941194188</v>
      </c>
      <c r="D2636" s="1">
        <v>8518184956</v>
      </c>
      <c r="E2636" s="1">
        <v>20763.5</v>
      </c>
      <c r="F2636" s="1" t="s">
        <v>12</v>
      </c>
      <c r="G2636" s="1" t="s">
        <v>12</v>
      </c>
      <c r="H2636" s="1" t="s">
        <v>13</v>
      </c>
      <c r="I2636" s="1" t="s">
        <v>13</v>
      </c>
      <c r="J2636" s="1" t="s">
        <v>27</v>
      </c>
      <c r="K2636" s="1">
        <v>0</v>
      </c>
      <c r="L2636" s="1" t="s">
        <v>23</v>
      </c>
      <c r="M2636" s="1" t="str">
        <f t="shared" si="41"/>
        <v>Consistent</v>
      </c>
      <c r="N2636" s="1" t="str">
        <f>_xlfn.XLOOKUP(H2636, risk_score!A:A, risk_score!B:B, 0)</f>
        <v>Low Risk</v>
      </c>
    </row>
    <row r="2637" spans="1:14">
      <c r="A2637" s="2">
        <v>0.50872685185185185</v>
      </c>
      <c r="B2637" s="3">
        <v>44841</v>
      </c>
      <c r="C2637" s="1">
        <v>6630578269</v>
      </c>
      <c r="D2637" s="1">
        <v>5504235715</v>
      </c>
      <c r="E2637" s="1">
        <v>2026.85</v>
      </c>
      <c r="F2637" s="1" t="s">
        <v>12</v>
      </c>
      <c r="G2637" s="1" t="s">
        <v>51</v>
      </c>
      <c r="H2637" s="1" t="s">
        <v>13</v>
      </c>
      <c r="I2637" s="1" t="s">
        <v>52</v>
      </c>
      <c r="J2637" s="1" t="s">
        <v>18</v>
      </c>
      <c r="K2637" s="1">
        <v>0</v>
      </c>
      <c r="L2637" s="1" t="s">
        <v>21</v>
      </c>
      <c r="M2637" s="1" t="str">
        <f t="shared" si="41"/>
        <v>Potential Layering</v>
      </c>
      <c r="N2637" s="1" t="str">
        <f>_xlfn.XLOOKUP(H2637, risk_score!A:A, risk_score!B:B, 0)</f>
        <v>Low Risk</v>
      </c>
    </row>
    <row r="2638" spans="1:14">
      <c r="A2638" s="2">
        <v>0.50876157407407407</v>
      </c>
      <c r="B2638" s="3">
        <v>44841</v>
      </c>
      <c r="C2638" s="1">
        <v>8768198399</v>
      </c>
      <c r="D2638" s="1">
        <v>9105769228</v>
      </c>
      <c r="E2638" s="1">
        <v>13272.61</v>
      </c>
      <c r="F2638" s="1" t="s">
        <v>12</v>
      </c>
      <c r="G2638" s="1" t="s">
        <v>12</v>
      </c>
      <c r="H2638" s="1" t="s">
        <v>13</v>
      </c>
      <c r="I2638" s="1" t="s">
        <v>13</v>
      </c>
      <c r="J2638" s="1" t="s">
        <v>20</v>
      </c>
      <c r="K2638" s="1">
        <v>0</v>
      </c>
      <c r="L2638" s="1" t="s">
        <v>23</v>
      </c>
      <c r="M2638" s="1" t="str">
        <f t="shared" si="41"/>
        <v>Consistent</v>
      </c>
      <c r="N2638" s="1" t="str">
        <f>_xlfn.XLOOKUP(H2638, risk_score!A:A, risk_score!B:B, 0)</f>
        <v>Low Risk</v>
      </c>
    </row>
    <row r="2639" spans="1:14">
      <c r="A2639" s="2">
        <v>0.50878472222222226</v>
      </c>
      <c r="B2639" s="3">
        <v>44841</v>
      </c>
      <c r="C2639" s="1">
        <v>8456279067</v>
      </c>
      <c r="D2639" s="1">
        <v>8572828015</v>
      </c>
      <c r="E2639" s="1">
        <v>5612.67</v>
      </c>
      <c r="F2639" s="1" t="s">
        <v>12</v>
      </c>
      <c r="G2639" s="1" t="s">
        <v>12</v>
      </c>
      <c r="H2639" s="1" t="s">
        <v>13</v>
      </c>
      <c r="I2639" s="1" t="s">
        <v>13</v>
      </c>
      <c r="J2639" s="1" t="s">
        <v>25</v>
      </c>
      <c r="K2639" s="1">
        <v>0</v>
      </c>
      <c r="L2639" s="1" t="s">
        <v>19</v>
      </c>
      <c r="M2639" s="1" t="str">
        <f t="shared" si="41"/>
        <v>Consistent</v>
      </c>
      <c r="N2639" s="1" t="str">
        <f>_xlfn.XLOOKUP(H2639, risk_score!A:A, risk_score!B:B, 0)</f>
        <v>Low Risk</v>
      </c>
    </row>
    <row r="2640" spans="1:14">
      <c r="A2640" s="2">
        <v>0.5087962962962963</v>
      </c>
      <c r="B2640" s="3">
        <v>44841</v>
      </c>
      <c r="C2640" s="1">
        <v>237682274</v>
      </c>
      <c r="D2640" s="1">
        <v>5109623450</v>
      </c>
      <c r="E2640" s="1">
        <v>7098.65</v>
      </c>
      <c r="F2640" s="1" t="s">
        <v>12</v>
      </c>
      <c r="G2640" s="1" t="s">
        <v>12</v>
      </c>
      <c r="H2640" s="1" t="s">
        <v>13</v>
      </c>
      <c r="I2640" s="1" t="s">
        <v>13</v>
      </c>
      <c r="J2640" s="1" t="s">
        <v>25</v>
      </c>
      <c r="K2640" s="1">
        <v>0</v>
      </c>
      <c r="L2640" s="1" t="s">
        <v>23</v>
      </c>
      <c r="M2640" s="1" t="str">
        <f t="shared" si="41"/>
        <v>Consistent</v>
      </c>
      <c r="N2640" s="1" t="str">
        <f>_xlfn.XLOOKUP(H2640, risk_score!A:A, risk_score!B:B, 0)</f>
        <v>Low Risk</v>
      </c>
    </row>
    <row r="2641" spans="1:14">
      <c r="A2641" s="2">
        <v>0.5087962962962963</v>
      </c>
      <c r="B2641" s="3">
        <v>44841</v>
      </c>
      <c r="C2641" s="1">
        <v>6150161668</v>
      </c>
      <c r="D2641" s="1">
        <v>7520228028</v>
      </c>
      <c r="E2641" s="1">
        <v>6147.76</v>
      </c>
      <c r="F2641" s="1" t="s">
        <v>12</v>
      </c>
      <c r="G2641" s="1" t="s">
        <v>12</v>
      </c>
      <c r="H2641" s="1" t="s">
        <v>13</v>
      </c>
      <c r="I2641" s="1" t="s">
        <v>13</v>
      </c>
      <c r="J2641" s="1" t="s">
        <v>22</v>
      </c>
      <c r="K2641" s="1">
        <v>0</v>
      </c>
      <c r="L2641" s="1" t="s">
        <v>21</v>
      </c>
      <c r="M2641" s="1" t="str">
        <f t="shared" si="41"/>
        <v>Consistent</v>
      </c>
      <c r="N2641" s="1" t="str">
        <f>_xlfn.XLOOKUP(H2641, risk_score!A:A, risk_score!B:B, 0)</f>
        <v>Low Risk</v>
      </c>
    </row>
    <row r="2642" spans="1:14">
      <c r="A2642" s="2">
        <v>0.50880787037037034</v>
      </c>
      <c r="B2642" s="3">
        <v>44841</v>
      </c>
      <c r="C2642" s="1">
        <v>1378784400</v>
      </c>
      <c r="D2642" s="1">
        <v>2773607558</v>
      </c>
      <c r="E2642" s="1">
        <v>6897.03</v>
      </c>
      <c r="F2642" s="1" t="s">
        <v>12</v>
      </c>
      <c r="G2642" s="1" t="s">
        <v>12</v>
      </c>
      <c r="H2642" s="1" t="s">
        <v>13</v>
      </c>
      <c r="I2642" s="1" t="s">
        <v>13</v>
      </c>
      <c r="J2642" s="1" t="s">
        <v>25</v>
      </c>
      <c r="K2642" s="1">
        <v>0</v>
      </c>
      <c r="L2642" s="1" t="s">
        <v>19</v>
      </c>
      <c r="M2642" s="1" t="str">
        <f t="shared" si="41"/>
        <v>Consistent</v>
      </c>
      <c r="N2642" s="1" t="str">
        <f>_xlfn.XLOOKUP(H2642, risk_score!A:A, risk_score!B:B, 0)</f>
        <v>Low Risk</v>
      </c>
    </row>
    <row r="2643" spans="1:14">
      <c r="A2643" s="2">
        <v>0.50894675925925925</v>
      </c>
      <c r="B2643" s="3">
        <v>44841</v>
      </c>
      <c r="C2643" s="1">
        <v>154398482</v>
      </c>
      <c r="D2643" s="1">
        <v>8673917867</v>
      </c>
      <c r="E2643" s="1">
        <v>5021.04</v>
      </c>
      <c r="F2643" s="1" t="s">
        <v>12</v>
      </c>
      <c r="G2643" s="1" t="s">
        <v>12</v>
      </c>
      <c r="H2643" s="1" t="s">
        <v>13</v>
      </c>
      <c r="I2643" s="1" t="s">
        <v>13</v>
      </c>
      <c r="J2643" s="1" t="s">
        <v>25</v>
      </c>
      <c r="K2643" s="1">
        <v>0</v>
      </c>
      <c r="L2643" s="1" t="s">
        <v>23</v>
      </c>
      <c r="M2643" s="1" t="str">
        <f t="shared" si="41"/>
        <v>Consistent</v>
      </c>
      <c r="N2643" s="1" t="str">
        <f>_xlfn.XLOOKUP(H2643, risk_score!A:A, risk_score!B:B, 0)</f>
        <v>Low Risk</v>
      </c>
    </row>
    <row r="2644" spans="1:14">
      <c r="A2644" s="2">
        <v>0.50896990740740744</v>
      </c>
      <c r="B2644" s="3">
        <v>44841</v>
      </c>
      <c r="C2644" s="1">
        <v>6116657264</v>
      </c>
      <c r="D2644" s="1">
        <v>7249249682</v>
      </c>
      <c r="E2644" s="1">
        <v>5714.69</v>
      </c>
      <c r="F2644" s="1" t="s">
        <v>12</v>
      </c>
      <c r="G2644" s="1" t="s">
        <v>12</v>
      </c>
      <c r="H2644" s="1" t="s">
        <v>13</v>
      </c>
      <c r="I2644" s="1" t="s">
        <v>13</v>
      </c>
      <c r="J2644" s="1" t="s">
        <v>22</v>
      </c>
      <c r="K2644" s="1">
        <v>0</v>
      </c>
      <c r="L2644" s="1" t="s">
        <v>19</v>
      </c>
      <c r="M2644" s="1" t="str">
        <f t="shared" si="41"/>
        <v>Consistent</v>
      </c>
      <c r="N2644" s="1" t="str">
        <f>_xlfn.XLOOKUP(H2644, risk_score!A:A, risk_score!B:B, 0)</f>
        <v>Low Risk</v>
      </c>
    </row>
    <row r="2645" spans="1:14">
      <c r="A2645" s="2">
        <v>0.50898148148148148</v>
      </c>
      <c r="B2645" s="3">
        <v>44841</v>
      </c>
      <c r="C2645" s="1">
        <v>6904668523</v>
      </c>
      <c r="D2645" s="1">
        <v>3087234008</v>
      </c>
      <c r="E2645" s="1">
        <v>5053.74</v>
      </c>
      <c r="F2645" s="1" t="s">
        <v>12</v>
      </c>
      <c r="G2645" s="1" t="s">
        <v>12</v>
      </c>
      <c r="H2645" s="1" t="s">
        <v>13</v>
      </c>
      <c r="I2645" s="1" t="s">
        <v>13</v>
      </c>
      <c r="J2645" s="1" t="s">
        <v>25</v>
      </c>
      <c r="K2645" s="1">
        <v>0</v>
      </c>
      <c r="L2645" s="1" t="s">
        <v>19</v>
      </c>
      <c r="M2645" s="1" t="str">
        <f t="shared" si="41"/>
        <v>Consistent</v>
      </c>
      <c r="N2645" s="1" t="str">
        <f>_xlfn.XLOOKUP(H2645, risk_score!A:A, risk_score!B:B, 0)</f>
        <v>Low Risk</v>
      </c>
    </row>
    <row r="2646" spans="1:14">
      <c r="A2646" s="2">
        <v>0.50899305555555552</v>
      </c>
      <c r="B2646" s="3">
        <v>44841</v>
      </c>
      <c r="C2646" s="1">
        <v>7669236826</v>
      </c>
      <c r="D2646" s="1">
        <v>2595978516</v>
      </c>
      <c r="E2646" s="1">
        <v>9620.7800000000007</v>
      </c>
      <c r="F2646" s="1" t="s">
        <v>12</v>
      </c>
      <c r="G2646" s="1" t="s">
        <v>12</v>
      </c>
      <c r="H2646" s="1" t="s">
        <v>13</v>
      </c>
      <c r="I2646" s="1" t="s">
        <v>13</v>
      </c>
      <c r="J2646" s="1" t="s">
        <v>22</v>
      </c>
      <c r="K2646" s="1">
        <v>0</v>
      </c>
      <c r="L2646" s="1" t="s">
        <v>19</v>
      </c>
      <c r="M2646" s="1" t="str">
        <f t="shared" si="41"/>
        <v>Consistent</v>
      </c>
      <c r="N2646" s="1" t="str">
        <f>_xlfn.XLOOKUP(H2646, risk_score!A:A, risk_score!B:B, 0)</f>
        <v>Low Risk</v>
      </c>
    </row>
    <row r="2647" spans="1:14">
      <c r="A2647" s="2">
        <v>0.50901620370370371</v>
      </c>
      <c r="B2647" s="3">
        <v>44841</v>
      </c>
      <c r="C2647" s="1">
        <v>9734083970</v>
      </c>
      <c r="D2647" s="1">
        <v>7577540230</v>
      </c>
      <c r="E2647" s="1">
        <v>7287.02</v>
      </c>
      <c r="F2647" s="1" t="s">
        <v>12</v>
      </c>
      <c r="G2647" s="1" t="s">
        <v>12</v>
      </c>
      <c r="H2647" s="1" t="s">
        <v>13</v>
      </c>
      <c r="I2647" s="1" t="s">
        <v>13</v>
      </c>
      <c r="J2647" s="1" t="s">
        <v>25</v>
      </c>
      <c r="K2647" s="1">
        <v>0</v>
      </c>
      <c r="L2647" s="1" t="s">
        <v>19</v>
      </c>
      <c r="M2647" s="1" t="str">
        <f t="shared" si="41"/>
        <v>Consistent</v>
      </c>
      <c r="N2647" s="1" t="str">
        <f>_xlfn.XLOOKUP(H2647, risk_score!A:A, risk_score!B:B, 0)</f>
        <v>Low Risk</v>
      </c>
    </row>
    <row r="2648" spans="1:14">
      <c r="A2648" s="2">
        <v>0.50902777777777775</v>
      </c>
      <c r="B2648" s="3">
        <v>44841</v>
      </c>
      <c r="C2648" s="1">
        <v>9599009457</v>
      </c>
      <c r="D2648" s="1">
        <v>8402697545</v>
      </c>
      <c r="E2648" s="1">
        <v>13027.05</v>
      </c>
      <c r="F2648" s="1" t="s">
        <v>12</v>
      </c>
      <c r="G2648" s="1" t="s">
        <v>12</v>
      </c>
      <c r="H2648" s="1" t="s">
        <v>13</v>
      </c>
      <c r="I2648" s="1" t="s">
        <v>13</v>
      </c>
      <c r="J2648" s="1" t="s">
        <v>22</v>
      </c>
      <c r="K2648" s="1">
        <v>0</v>
      </c>
      <c r="L2648" s="1" t="s">
        <v>19</v>
      </c>
      <c r="M2648" s="1" t="str">
        <f t="shared" si="41"/>
        <v>Consistent</v>
      </c>
      <c r="N2648" s="1" t="str">
        <f>_xlfn.XLOOKUP(H2648, risk_score!A:A, risk_score!B:B, 0)</f>
        <v>Low Risk</v>
      </c>
    </row>
    <row r="2649" spans="1:14">
      <c r="A2649" s="2">
        <v>0.50907407407407412</v>
      </c>
      <c r="B2649" s="3">
        <v>44841</v>
      </c>
      <c r="C2649" s="1">
        <v>3260527541</v>
      </c>
      <c r="D2649" s="1">
        <v>3467030170</v>
      </c>
      <c r="E2649" s="1">
        <v>4028.22</v>
      </c>
      <c r="F2649" s="1" t="s">
        <v>12</v>
      </c>
      <c r="G2649" s="1" t="s">
        <v>12</v>
      </c>
      <c r="H2649" s="1" t="s">
        <v>13</v>
      </c>
      <c r="I2649" s="1" t="s">
        <v>13</v>
      </c>
      <c r="J2649" s="1" t="s">
        <v>27</v>
      </c>
      <c r="K2649" s="1">
        <v>0</v>
      </c>
      <c r="L2649" s="1" t="s">
        <v>21</v>
      </c>
      <c r="M2649" s="1" t="str">
        <f t="shared" si="41"/>
        <v>Consistent</v>
      </c>
      <c r="N2649" s="1" t="str">
        <f>_xlfn.XLOOKUP(H2649, risk_score!A:A, risk_score!B:B, 0)</f>
        <v>Low Risk</v>
      </c>
    </row>
    <row r="2650" spans="1:14">
      <c r="A2650" s="2">
        <v>0.50918981481481485</v>
      </c>
      <c r="B2650" s="3">
        <v>44841</v>
      </c>
      <c r="C2650" s="1">
        <v>9180934204</v>
      </c>
      <c r="D2650" s="1">
        <v>6855935396</v>
      </c>
      <c r="E2650" s="1">
        <v>8796.42</v>
      </c>
      <c r="F2650" s="1" t="s">
        <v>12</v>
      </c>
      <c r="G2650" s="1" t="s">
        <v>12</v>
      </c>
      <c r="H2650" s="1" t="s">
        <v>13</v>
      </c>
      <c r="I2650" s="1" t="s">
        <v>13</v>
      </c>
      <c r="J2650" s="1" t="s">
        <v>25</v>
      </c>
      <c r="K2650" s="1">
        <v>0</v>
      </c>
      <c r="L2650" s="1" t="s">
        <v>23</v>
      </c>
      <c r="M2650" s="1" t="str">
        <f t="shared" si="41"/>
        <v>Consistent</v>
      </c>
      <c r="N2650" s="1" t="str">
        <f>_xlfn.XLOOKUP(H2650, risk_score!A:A, risk_score!B:B, 0)</f>
        <v>Low Risk</v>
      </c>
    </row>
    <row r="2651" spans="1:14">
      <c r="A2651" s="2">
        <v>0.50923611111111111</v>
      </c>
      <c r="B2651" s="3">
        <v>44841</v>
      </c>
      <c r="C2651" s="1">
        <v>2573051257</v>
      </c>
      <c r="D2651" s="1">
        <v>5277960020</v>
      </c>
      <c r="E2651" s="1">
        <v>5907.06</v>
      </c>
      <c r="F2651" s="1" t="s">
        <v>12</v>
      </c>
      <c r="G2651" s="1" t="s">
        <v>12</v>
      </c>
      <c r="H2651" s="1" t="s">
        <v>13</v>
      </c>
      <c r="I2651" s="1" t="s">
        <v>13</v>
      </c>
      <c r="J2651" s="1" t="s">
        <v>27</v>
      </c>
      <c r="K2651" s="1">
        <v>0</v>
      </c>
      <c r="L2651" s="1" t="s">
        <v>21</v>
      </c>
      <c r="M2651" s="1" t="str">
        <f t="shared" si="41"/>
        <v>Consistent</v>
      </c>
      <c r="N2651" s="1" t="str">
        <f>_xlfn.XLOOKUP(H2651, risk_score!A:A, risk_score!B:B, 0)</f>
        <v>Low Risk</v>
      </c>
    </row>
    <row r="2652" spans="1:14">
      <c r="A2652" s="2">
        <v>0.5092592592592593</v>
      </c>
      <c r="B2652" s="3">
        <v>44841</v>
      </c>
      <c r="C2652" s="1">
        <v>668478072</v>
      </c>
      <c r="D2652" s="1">
        <v>1032937558</v>
      </c>
      <c r="E2652" s="1">
        <v>21867.61</v>
      </c>
      <c r="F2652" s="1" t="s">
        <v>12</v>
      </c>
      <c r="G2652" s="1" t="s">
        <v>16</v>
      </c>
      <c r="H2652" s="1" t="s">
        <v>13</v>
      </c>
      <c r="I2652" s="1" t="s">
        <v>13</v>
      </c>
      <c r="J2652" s="1" t="s">
        <v>25</v>
      </c>
      <c r="K2652" s="1">
        <v>0</v>
      </c>
      <c r="L2652" s="1" t="s">
        <v>21</v>
      </c>
      <c r="M2652" s="1" t="str">
        <f t="shared" si="41"/>
        <v>Potential Layering</v>
      </c>
      <c r="N2652" s="1" t="str">
        <f>_xlfn.XLOOKUP(H2652, risk_score!A:A, risk_score!B:B, 0)</f>
        <v>Low Risk</v>
      </c>
    </row>
    <row r="2653" spans="1:14">
      <c r="A2653" s="2">
        <v>0.5092592592592593</v>
      </c>
      <c r="B2653" s="3">
        <v>44841</v>
      </c>
      <c r="C2653" s="1">
        <v>2797271466</v>
      </c>
      <c r="D2653" s="1">
        <v>4525312913</v>
      </c>
      <c r="E2653" s="1">
        <v>12880.04</v>
      </c>
      <c r="F2653" s="1" t="s">
        <v>12</v>
      </c>
      <c r="G2653" s="1" t="s">
        <v>12</v>
      </c>
      <c r="H2653" s="1" t="s">
        <v>13</v>
      </c>
      <c r="I2653" s="1" t="s">
        <v>13</v>
      </c>
      <c r="J2653" s="1" t="s">
        <v>20</v>
      </c>
      <c r="K2653" s="1">
        <v>0</v>
      </c>
      <c r="L2653" s="1" t="s">
        <v>19</v>
      </c>
      <c r="M2653" s="1" t="str">
        <f t="shared" si="41"/>
        <v>Consistent</v>
      </c>
      <c r="N2653" s="1" t="str">
        <f>_xlfn.XLOOKUP(H2653, risk_score!A:A, risk_score!B:B, 0)</f>
        <v>Low Risk</v>
      </c>
    </row>
    <row r="2654" spans="1:14">
      <c r="A2654" s="2">
        <v>0.50931712962962961</v>
      </c>
      <c r="B2654" s="3">
        <v>44841</v>
      </c>
      <c r="C2654" s="1">
        <v>3310157274</v>
      </c>
      <c r="D2654" s="1">
        <v>2413756718</v>
      </c>
      <c r="E2654" s="1">
        <v>1720.21</v>
      </c>
      <c r="F2654" s="1" t="s">
        <v>12</v>
      </c>
      <c r="G2654" s="1" t="s">
        <v>12</v>
      </c>
      <c r="H2654" s="1" t="s">
        <v>13</v>
      </c>
      <c r="I2654" s="1" t="s">
        <v>13</v>
      </c>
      <c r="J2654" s="1" t="s">
        <v>27</v>
      </c>
      <c r="K2654" s="1">
        <v>0</v>
      </c>
      <c r="L2654" s="1" t="s">
        <v>21</v>
      </c>
      <c r="M2654" s="1" t="str">
        <f t="shared" si="41"/>
        <v>Consistent</v>
      </c>
      <c r="N2654" s="1" t="str">
        <f>_xlfn.XLOOKUP(H2654, risk_score!A:A, risk_score!B:B, 0)</f>
        <v>Low Risk</v>
      </c>
    </row>
    <row r="2655" spans="1:14">
      <c r="A2655" s="2">
        <v>0.50936342592592587</v>
      </c>
      <c r="B2655" s="3">
        <v>44841</v>
      </c>
      <c r="C2655" s="1">
        <v>6200832720</v>
      </c>
      <c r="D2655" s="1">
        <v>3548585281</v>
      </c>
      <c r="E2655" s="1">
        <v>4202.1899999999996</v>
      </c>
      <c r="F2655" s="1" t="s">
        <v>12</v>
      </c>
      <c r="G2655" s="1" t="s">
        <v>12</v>
      </c>
      <c r="H2655" s="1" t="s">
        <v>13</v>
      </c>
      <c r="I2655" s="1" t="s">
        <v>13</v>
      </c>
      <c r="J2655" s="1" t="s">
        <v>25</v>
      </c>
      <c r="K2655" s="1">
        <v>0</v>
      </c>
      <c r="L2655" s="1" t="s">
        <v>24</v>
      </c>
      <c r="M2655" s="1" t="str">
        <f t="shared" si="41"/>
        <v>Consistent</v>
      </c>
      <c r="N2655" s="1" t="str">
        <f>_xlfn.XLOOKUP(H2655, risk_score!A:A, risk_score!B:B, 0)</f>
        <v>Low Risk</v>
      </c>
    </row>
    <row r="2656" spans="1:14">
      <c r="A2656" s="2">
        <v>0.50943287037037033</v>
      </c>
      <c r="B2656" s="3">
        <v>44841</v>
      </c>
      <c r="C2656" s="1">
        <v>6904668523</v>
      </c>
      <c r="D2656" s="1">
        <v>545403361</v>
      </c>
      <c r="E2656" s="1">
        <v>5894.82</v>
      </c>
      <c r="F2656" s="1" t="s">
        <v>12</v>
      </c>
      <c r="G2656" s="1" t="s">
        <v>12</v>
      </c>
      <c r="H2656" s="1" t="s">
        <v>13</v>
      </c>
      <c r="I2656" s="1" t="s">
        <v>13</v>
      </c>
      <c r="J2656" s="1" t="s">
        <v>20</v>
      </c>
      <c r="K2656" s="1">
        <v>0</v>
      </c>
      <c r="L2656" s="1" t="s">
        <v>19</v>
      </c>
      <c r="M2656" s="1" t="str">
        <f t="shared" si="41"/>
        <v>Consistent</v>
      </c>
      <c r="N2656" s="1" t="str">
        <f>_xlfn.XLOOKUP(H2656, risk_score!A:A, risk_score!B:B, 0)</f>
        <v>Low Risk</v>
      </c>
    </row>
    <row r="2657" spans="1:14">
      <c r="A2657" s="2">
        <v>0.50945601851851852</v>
      </c>
      <c r="B2657" s="3">
        <v>44841</v>
      </c>
      <c r="C2657" s="1">
        <v>3083446905</v>
      </c>
      <c r="D2657" s="1">
        <v>9061868080</v>
      </c>
      <c r="E2657" s="1">
        <v>952.06</v>
      </c>
      <c r="F2657" s="1" t="s">
        <v>12</v>
      </c>
      <c r="G2657" s="1" t="s">
        <v>12</v>
      </c>
      <c r="H2657" s="1" t="s">
        <v>13</v>
      </c>
      <c r="I2657" s="1" t="s">
        <v>13</v>
      </c>
      <c r="J2657" s="1" t="s">
        <v>25</v>
      </c>
      <c r="K2657" s="1">
        <v>0</v>
      </c>
      <c r="L2657" s="1" t="s">
        <v>21</v>
      </c>
      <c r="M2657" s="1" t="str">
        <f t="shared" si="41"/>
        <v>Consistent</v>
      </c>
      <c r="N2657" s="1" t="str">
        <f>_xlfn.XLOOKUP(H2657, risk_score!A:A, risk_score!B:B, 0)</f>
        <v>Low Risk</v>
      </c>
    </row>
    <row r="2658" spans="1:14">
      <c r="A2658" s="2">
        <v>0.50947916666666671</v>
      </c>
      <c r="B2658" s="3">
        <v>44841</v>
      </c>
      <c r="C2658" s="1">
        <v>5849368337</v>
      </c>
      <c r="D2658" s="1">
        <v>4621382259</v>
      </c>
      <c r="E2658" s="1">
        <v>2428.11</v>
      </c>
      <c r="F2658" s="1" t="s">
        <v>12</v>
      </c>
      <c r="G2658" s="1" t="s">
        <v>12</v>
      </c>
      <c r="H2658" s="1" t="s">
        <v>13</v>
      </c>
      <c r="I2658" s="1" t="s">
        <v>13</v>
      </c>
      <c r="J2658" s="1" t="s">
        <v>27</v>
      </c>
      <c r="K2658" s="1">
        <v>0</v>
      </c>
      <c r="L2658" s="1" t="s">
        <v>21</v>
      </c>
      <c r="M2658" s="1" t="str">
        <f t="shared" si="41"/>
        <v>Consistent</v>
      </c>
      <c r="N2658" s="1" t="str">
        <f>_xlfn.XLOOKUP(H2658, risk_score!A:A, risk_score!B:B, 0)</f>
        <v>Low Risk</v>
      </c>
    </row>
    <row r="2659" spans="1:14">
      <c r="A2659" s="2">
        <v>0.50951388888888893</v>
      </c>
      <c r="B2659" s="3">
        <v>44841</v>
      </c>
      <c r="C2659" s="1">
        <v>7551204703</v>
      </c>
      <c r="D2659" s="1">
        <v>1684586461</v>
      </c>
      <c r="E2659" s="1">
        <v>615.65</v>
      </c>
      <c r="F2659" s="1" t="s">
        <v>12</v>
      </c>
      <c r="G2659" s="1" t="s">
        <v>12</v>
      </c>
      <c r="H2659" s="1" t="s">
        <v>13</v>
      </c>
      <c r="I2659" s="1" t="s">
        <v>13</v>
      </c>
      <c r="J2659" s="1" t="s">
        <v>20</v>
      </c>
      <c r="K2659" s="1">
        <v>0</v>
      </c>
      <c r="L2659" s="1" t="s">
        <v>21</v>
      </c>
      <c r="M2659" s="1" t="str">
        <f t="shared" si="41"/>
        <v>Consistent</v>
      </c>
      <c r="N2659" s="1" t="str">
        <f>_xlfn.XLOOKUP(H2659, risk_score!A:A, risk_score!B:B, 0)</f>
        <v>Low Risk</v>
      </c>
    </row>
    <row r="2660" spans="1:14">
      <c r="A2660" s="2">
        <v>0.5095601851851852</v>
      </c>
      <c r="B2660" s="3">
        <v>44841</v>
      </c>
      <c r="C2660" s="1">
        <v>4121324384</v>
      </c>
      <c r="D2660" s="1">
        <v>114960068</v>
      </c>
      <c r="E2660" s="1">
        <v>8547.67</v>
      </c>
      <c r="F2660" s="1" t="s">
        <v>29</v>
      </c>
      <c r="G2660" s="1" t="s">
        <v>16</v>
      </c>
      <c r="H2660" s="1" t="s">
        <v>30</v>
      </c>
      <c r="I2660" s="1" t="s">
        <v>17</v>
      </c>
      <c r="J2660" s="1" t="s">
        <v>18</v>
      </c>
      <c r="K2660" s="1">
        <v>0</v>
      </c>
      <c r="L2660" s="1" t="s">
        <v>19</v>
      </c>
      <c r="M2660" s="1" t="str">
        <f t="shared" si="41"/>
        <v>Potential Layering</v>
      </c>
      <c r="N2660" s="1" t="str">
        <f>_xlfn.XLOOKUP(H2660, risk_score!A:A, risk_score!B:B, 0)</f>
        <v>Low Risk</v>
      </c>
    </row>
    <row r="2661" spans="1:14">
      <c r="A2661" s="2">
        <v>0.5095601851851852</v>
      </c>
      <c r="B2661" s="3">
        <v>44841</v>
      </c>
      <c r="C2661" s="1">
        <v>6849686539</v>
      </c>
      <c r="D2661" s="1">
        <v>231028956</v>
      </c>
      <c r="E2661" s="1">
        <v>1356.98</v>
      </c>
      <c r="F2661" s="1" t="s">
        <v>12</v>
      </c>
      <c r="G2661" s="1" t="s">
        <v>12</v>
      </c>
      <c r="H2661" s="1" t="s">
        <v>13</v>
      </c>
      <c r="I2661" s="1" t="s">
        <v>13</v>
      </c>
      <c r="J2661" s="1" t="s">
        <v>20</v>
      </c>
      <c r="K2661" s="1">
        <v>0</v>
      </c>
      <c r="L2661" s="1" t="s">
        <v>38</v>
      </c>
      <c r="M2661" s="1" t="str">
        <f t="shared" si="41"/>
        <v>Consistent</v>
      </c>
      <c r="N2661" s="1" t="str">
        <f>_xlfn.XLOOKUP(H2661, risk_score!A:A, risk_score!B:B, 0)</f>
        <v>Low Risk</v>
      </c>
    </row>
    <row r="2662" spans="1:14">
      <c r="A2662" s="2">
        <v>0.50957175925925924</v>
      </c>
      <c r="B2662" s="3">
        <v>44841</v>
      </c>
      <c r="C2662" s="1">
        <v>6972141333</v>
      </c>
      <c r="D2662" s="1">
        <v>6165326376</v>
      </c>
      <c r="E2662" s="1">
        <v>3329.77</v>
      </c>
      <c r="F2662" s="1" t="s">
        <v>12</v>
      </c>
      <c r="G2662" s="1" t="s">
        <v>12</v>
      </c>
      <c r="H2662" s="1" t="s">
        <v>13</v>
      </c>
      <c r="I2662" s="1" t="s">
        <v>13</v>
      </c>
      <c r="J2662" s="1" t="s">
        <v>22</v>
      </c>
      <c r="K2662" s="1">
        <v>0</v>
      </c>
      <c r="L2662" s="1" t="s">
        <v>21</v>
      </c>
      <c r="M2662" s="1" t="str">
        <f t="shared" si="41"/>
        <v>Consistent</v>
      </c>
      <c r="N2662" s="1" t="str">
        <f>_xlfn.XLOOKUP(H2662, risk_score!A:A, risk_score!B:B, 0)</f>
        <v>Low Risk</v>
      </c>
    </row>
    <row r="2663" spans="1:14">
      <c r="A2663" s="2">
        <v>0.50958333333333339</v>
      </c>
      <c r="B2663" s="3">
        <v>44841</v>
      </c>
      <c r="C2663" s="1">
        <v>9365735467</v>
      </c>
      <c r="D2663" s="1">
        <v>9105769228</v>
      </c>
      <c r="E2663" s="1">
        <v>18855.46</v>
      </c>
      <c r="F2663" s="1" t="s">
        <v>12</v>
      </c>
      <c r="G2663" s="1" t="s">
        <v>12</v>
      </c>
      <c r="H2663" s="1" t="s">
        <v>13</v>
      </c>
      <c r="I2663" s="1" t="s">
        <v>13</v>
      </c>
      <c r="J2663" s="1" t="s">
        <v>27</v>
      </c>
      <c r="K2663" s="1">
        <v>0</v>
      </c>
      <c r="L2663" s="1" t="s">
        <v>23</v>
      </c>
      <c r="M2663" s="1" t="str">
        <f t="shared" si="41"/>
        <v>Consistent</v>
      </c>
      <c r="N2663" s="1" t="str">
        <f>_xlfn.XLOOKUP(H2663, risk_score!A:A, risk_score!B:B, 0)</f>
        <v>Low Risk</v>
      </c>
    </row>
    <row r="2664" spans="1:14">
      <c r="A2664" s="2">
        <v>0.50958333333333339</v>
      </c>
      <c r="B2664" s="3">
        <v>44841</v>
      </c>
      <c r="C2664" s="1">
        <v>432518499</v>
      </c>
      <c r="D2664" s="1">
        <v>5600344315</v>
      </c>
      <c r="E2664" s="1">
        <v>13099.14</v>
      </c>
      <c r="F2664" s="1" t="s">
        <v>12</v>
      </c>
      <c r="G2664" s="1" t="s">
        <v>12</v>
      </c>
      <c r="H2664" s="1" t="s">
        <v>13</v>
      </c>
      <c r="I2664" s="1" t="s">
        <v>13</v>
      </c>
      <c r="J2664" s="1" t="s">
        <v>25</v>
      </c>
      <c r="K2664" s="1">
        <v>0</v>
      </c>
      <c r="L2664" s="1" t="s">
        <v>21</v>
      </c>
      <c r="M2664" s="1" t="str">
        <f t="shared" si="41"/>
        <v>Consistent</v>
      </c>
      <c r="N2664" s="1" t="str">
        <f>_xlfn.XLOOKUP(H2664, risk_score!A:A, risk_score!B:B, 0)</f>
        <v>Low Risk</v>
      </c>
    </row>
    <row r="2665" spans="1:14">
      <c r="A2665" s="2">
        <v>0.50958333333333339</v>
      </c>
      <c r="B2665" s="3">
        <v>44841</v>
      </c>
      <c r="C2665" s="1">
        <v>6358841235</v>
      </c>
      <c r="D2665" s="1">
        <v>9707028392</v>
      </c>
      <c r="E2665" s="1">
        <v>2227.9</v>
      </c>
      <c r="F2665" s="1" t="s">
        <v>12</v>
      </c>
      <c r="G2665" s="1" t="s">
        <v>12</v>
      </c>
      <c r="H2665" s="1" t="s">
        <v>13</v>
      </c>
      <c r="I2665" s="1" t="s">
        <v>13</v>
      </c>
      <c r="J2665" s="1" t="s">
        <v>25</v>
      </c>
      <c r="K2665" s="1">
        <v>0</v>
      </c>
      <c r="L2665" s="1" t="s">
        <v>58</v>
      </c>
      <c r="M2665" s="1" t="str">
        <f t="shared" si="41"/>
        <v>Consistent</v>
      </c>
      <c r="N2665" s="1" t="str">
        <f>_xlfn.XLOOKUP(H2665, risk_score!A:A, risk_score!B:B, 0)</f>
        <v>Low Risk</v>
      </c>
    </row>
    <row r="2666" spans="1:14">
      <c r="A2666" s="2">
        <v>0.50959490740740743</v>
      </c>
      <c r="B2666" s="3">
        <v>44841</v>
      </c>
      <c r="C2666" s="1">
        <v>8350272799</v>
      </c>
      <c r="D2666" s="1">
        <v>1569626108</v>
      </c>
      <c r="E2666" s="1">
        <v>1561.27</v>
      </c>
      <c r="F2666" s="1" t="s">
        <v>12</v>
      </c>
      <c r="G2666" s="1" t="s">
        <v>12</v>
      </c>
      <c r="H2666" s="1" t="s">
        <v>13</v>
      </c>
      <c r="I2666" s="1" t="s">
        <v>13</v>
      </c>
      <c r="J2666" s="1" t="s">
        <v>20</v>
      </c>
      <c r="K2666" s="1">
        <v>0</v>
      </c>
      <c r="L2666" s="1" t="s">
        <v>21</v>
      </c>
      <c r="M2666" s="1" t="str">
        <f t="shared" si="41"/>
        <v>Consistent</v>
      </c>
      <c r="N2666" s="1" t="str">
        <f>_xlfn.XLOOKUP(H2666, risk_score!A:A, risk_score!B:B, 0)</f>
        <v>Low Risk</v>
      </c>
    </row>
    <row r="2667" spans="1:14">
      <c r="A2667" s="2">
        <v>0.50960648148148147</v>
      </c>
      <c r="B2667" s="3">
        <v>44841</v>
      </c>
      <c r="C2667" s="1">
        <v>8219564239</v>
      </c>
      <c r="D2667" s="1">
        <v>7008876594</v>
      </c>
      <c r="E2667" s="1">
        <v>1456.4</v>
      </c>
      <c r="F2667" s="1" t="s">
        <v>12</v>
      </c>
      <c r="G2667" s="1" t="s">
        <v>12</v>
      </c>
      <c r="H2667" s="1" t="s">
        <v>13</v>
      </c>
      <c r="I2667" s="1" t="s">
        <v>13</v>
      </c>
      <c r="J2667" s="1" t="s">
        <v>27</v>
      </c>
      <c r="K2667" s="1">
        <v>0</v>
      </c>
      <c r="L2667" s="1" t="s">
        <v>21</v>
      </c>
      <c r="M2667" s="1" t="str">
        <f t="shared" si="41"/>
        <v>Consistent</v>
      </c>
      <c r="N2667" s="1" t="str">
        <f>_xlfn.XLOOKUP(H2667, risk_score!A:A, risk_score!B:B, 0)</f>
        <v>Low Risk</v>
      </c>
    </row>
    <row r="2668" spans="1:14">
      <c r="A2668" s="2">
        <v>0.50965277777777773</v>
      </c>
      <c r="B2668" s="3">
        <v>44841</v>
      </c>
      <c r="C2668" s="1">
        <v>8925130468</v>
      </c>
      <c r="D2668" s="1">
        <v>3079818547</v>
      </c>
      <c r="E2668" s="1">
        <v>12740.35</v>
      </c>
      <c r="F2668" s="1" t="s">
        <v>12</v>
      </c>
      <c r="G2668" s="1" t="s">
        <v>12</v>
      </c>
      <c r="H2668" s="1" t="s">
        <v>13</v>
      </c>
      <c r="I2668" s="1" t="s">
        <v>13</v>
      </c>
      <c r="J2668" s="1" t="s">
        <v>25</v>
      </c>
      <c r="K2668" s="1">
        <v>0</v>
      </c>
      <c r="L2668" s="1" t="s">
        <v>23</v>
      </c>
      <c r="M2668" s="1" t="str">
        <f t="shared" si="41"/>
        <v>Consistent</v>
      </c>
      <c r="N2668" s="1" t="str">
        <f>_xlfn.XLOOKUP(H2668, risk_score!A:A, risk_score!B:B, 0)</f>
        <v>Low Risk</v>
      </c>
    </row>
    <row r="2669" spans="1:14">
      <c r="A2669" s="2">
        <v>0.50965277777777773</v>
      </c>
      <c r="B2669" s="3">
        <v>44841</v>
      </c>
      <c r="C2669" s="1">
        <v>6697923469</v>
      </c>
      <c r="D2669" s="1">
        <v>8920016144</v>
      </c>
      <c r="E2669" s="1">
        <v>4131.16</v>
      </c>
      <c r="F2669" s="1" t="s">
        <v>12</v>
      </c>
      <c r="G2669" s="1" t="s">
        <v>12</v>
      </c>
      <c r="H2669" s="1" t="s">
        <v>13</v>
      </c>
      <c r="I2669" s="1" t="s">
        <v>13</v>
      </c>
      <c r="J2669" s="1" t="s">
        <v>20</v>
      </c>
      <c r="K2669" s="1">
        <v>0</v>
      </c>
      <c r="L2669" s="1" t="s">
        <v>21</v>
      </c>
      <c r="M2669" s="1" t="str">
        <f t="shared" si="41"/>
        <v>Consistent</v>
      </c>
      <c r="N2669" s="1" t="str">
        <f>_xlfn.XLOOKUP(H2669, risk_score!A:A, risk_score!B:B, 0)</f>
        <v>Low Risk</v>
      </c>
    </row>
    <row r="2670" spans="1:14">
      <c r="A2670" s="2">
        <v>0.50968749999999996</v>
      </c>
      <c r="B2670" s="3">
        <v>44841</v>
      </c>
      <c r="C2670" s="1">
        <v>3616692801</v>
      </c>
      <c r="D2670" s="1">
        <v>5220830087</v>
      </c>
      <c r="E2670" s="1">
        <v>73.290000000000006</v>
      </c>
      <c r="F2670" s="1" t="s">
        <v>12</v>
      </c>
      <c r="G2670" s="1" t="s">
        <v>12</v>
      </c>
      <c r="H2670" s="1" t="s">
        <v>13</v>
      </c>
      <c r="I2670" s="1" t="s">
        <v>13</v>
      </c>
      <c r="J2670" s="1" t="s">
        <v>36</v>
      </c>
      <c r="K2670" s="1">
        <v>0</v>
      </c>
      <c r="L2670" s="1" t="s">
        <v>37</v>
      </c>
      <c r="M2670" s="1" t="str">
        <f t="shared" si="41"/>
        <v>Consistent</v>
      </c>
      <c r="N2670" s="1" t="str">
        <f>_xlfn.XLOOKUP(H2670, risk_score!A:A, risk_score!B:B, 0)</f>
        <v>Low Risk</v>
      </c>
    </row>
    <row r="2671" spans="1:14">
      <c r="A2671" s="2">
        <v>0.50971064814814815</v>
      </c>
      <c r="B2671" s="3">
        <v>44841</v>
      </c>
      <c r="C2671" s="1">
        <v>5772390897</v>
      </c>
      <c r="D2671" s="1">
        <v>7364594931</v>
      </c>
      <c r="E2671" s="1">
        <v>1524.37</v>
      </c>
      <c r="F2671" s="1" t="s">
        <v>12</v>
      </c>
      <c r="G2671" s="1" t="s">
        <v>12</v>
      </c>
      <c r="H2671" s="1" t="s">
        <v>13</v>
      </c>
      <c r="I2671" s="1" t="s">
        <v>13</v>
      </c>
      <c r="J2671" s="1" t="s">
        <v>22</v>
      </c>
      <c r="K2671" s="1">
        <v>0</v>
      </c>
      <c r="L2671" s="1" t="s">
        <v>21</v>
      </c>
      <c r="M2671" s="1" t="str">
        <f t="shared" si="41"/>
        <v>Consistent</v>
      </c>
      <c r="N2671" s="1" t="str">
        <f>_xlfn.XLOOKUP(H2671, risk_score!A:A, risk_score!B:B, 0)</f>
        <v>Low Risk</v>
      </c>
    </row>
    <row r="2672" spans="1:14">
      <c r="A2672" s="2">
        <v>0.50973379629629634</v>
      </c>
      <c r="B2672" s="3">
        <v>44841</v>
      </c>
      <c r="C2672" s="1">
        <v>7660060571</v>
      </c>
      <c r="D2672" s="1">
        <v>5553149941</v>
      </c>
      <c r="E2672" s="1">
        <v>1372.27</v>
      </c>
      <c r="F2672" s="1" t="s">
        <v>12</v>
      </c>
      <c r="G2672" s="1" t="s">
        <v>12</v>
      </c>
      <c r="H2672" s="1" t="s">
        <v>13</v>
      </c>
      <c r="I2672" s="1" t="s">
        <v>13</v>
      </c>
      <c r="J2672" s="1" t="s">
        <v>27</v>
      </c>
      <c r="K2672" s="1">
        <v>0</v>
      </c>
      <c r="L2672" s="1" t="s">
        <v>21</v>
      </c>
      <c r="M2672" s="1" t="str">
        <f t="shared" si="41"/>
        <v>Consistent</v>
      </c>
      <c r="N2672" s="1" t="str">
        <f>_xlfn.XLOOKUP(H2672, risk_score!A:A, risk_score!B:B, 0)</f>
        <v>Low Risk</v>
      </c>
    </row>
    <row r="2673" spans="1:14">
      <c r="A2673" s="2">
        <v>0.50974537037037038</v>
      </c>
      <c r="B2673" s="3">
        <v>44841</v>
      </c>
      <c r="C2673" s="1">
        <v>8535654929</v>
      </c>
      <c r="D2673" s="1">
        <v>1292432858</v>
      </c>
      <c r="E2673" s="1">
        <v>724.33</v>
      </c>
      <c r="F2673" s="1" t="s">
        <v>12</v>
      </c>
      <c r="G2673" s="1" t="s">
        <v>12</v>
      </c>
      <c r="H2673" s="1" t="s">
        <v>13</v>
      </c>
      <c r="I2673" s="1" t="s">
        <v>13</v>
      </c>
      <c r="J2673" s="1" t="s">
        <v>14</v>
      </c>
      <c r="K2673" s="1">
        <v>0</v>
      </c>
      <c r="L2673" s="1" t="s">
        <v>15</v>
      </c>
      <c r="M2673" s="1" t="str">
        <f t="shared" si="41"/>
        <v>Consistent</v>
      </c>
      <c r="N2673" s="1" t="str">
        <f>_xlfn.XLOOKUP(H2673, risk_score!A:A, risk_score!B:B, 0)</f>
        <v>Low Risk</v>
      </c>
    </row>
    <row r="2674" spans="1:14">
      <c r="A2674" s="2">
        <v>0.50979166666666664</v>
      </c>
      <c r="B2674" s="3">
        <v>44841</v>
      </c>
      <c r="C2674" s="1">
        <v>5141181153</v>
      </c>
      <c r="D2674" s="1">
        <v>9207253495</v>
      </c>
      <c r="E2674" s="1">
        <v>787.66</v>
      </c>
      <c r="F2674" s="1" t="s">
        <v>12</v>
      </c>
      <c r="G2674" s="1" t="s">
        <v>12</v>
      </c>
      <c r="H2674" s="1" t="s">
        <v>13</v>
      </c>
      <c r="I2674" s="1" t="s">
        <v>13</v>
      </c>
      <c r="J2674" s="1" t="s">
        <v>14</v>
      </c>
      <c r="K2674" s="1">
        <v>0</v>
      </c>
      <c r="L2674" s="1" t="s">
        <v>15</v>
      </c>
      <c r="M2674" s="1" t="str">
        <f t="shared" si="41"/>
        <v>Consistent</v>
      </c>
      <c r="N2674" s="1" t="str">
        <f>_xlfn.XLOOKUP(H2674, risk_score!A:A, risk_score!B:B, 0)</f>
        <v>Low Risk</v>
      </c>
    </row>
    <row r="2675" spans="1:14">
      <c r="A2675" s="2">
        <v>0.50980324074074079</v>
      </c>
      <c r="B2675" s="3">
        <v>44841</v>
      </c>
      <c r="C2675" s="1">
        <v>2797271466</v>
      </c>
      <c r="D2675" s="1">
        <v>1492744665</v>
      </c>
      <c r="E2675" s="1">
        <v>5942.87</v>
      </c>
      <c r="F2675" s="1" t="s">
        <v>12</v>
      </c>
      <c r="G2675" s="1" t="s">
        <v>12</v>
      </c>
      <c r="H2675" s="1" t="s">
        <v>13</v>
      </c>
      <c r="I2675" s="1" t="s">
        <v>13</v>
      </c>
      <c r="J2675" s="1" t="s">
        <v>20</v>
      </c>
      <c r="K2675" s="1">
        <v>0</v>
      </c>
      <c r="L2675" s="1" t="s">
        <v>19</v>
      </c>
      <c r="M2675" s="1" t="str">
        <f t="shared" si="41"/>
        <v>Consistent</v>
      </c>
      <c r="N2675" s="1" t="str">
        <f>_xlfn.XLOOKUP(H2675, risk_score!A:A, risk_score!B:B, 0)</f>
        <v>Low Risk</v>
      </c>
    </row>
    <row r="2676" spans="1:14">
      <c r="A2676" s="2">
        <v>0.50987268518518514</v>
      </c>
      <c r="B2676" s="3">
        <v>44841</v>
      </c>
      <c r="C2676" s="1">
        <v>1908249712</v>
      </c>
      <c r="D2676" s="1">
        <v>4088637962</v>
      </c>
      <c r="E2676" s="1">
        <v>3978.5</v>
      </c>
      <c r="F2676" s="1" t="s">
        <v>12</v>
      </c>
      <c r="G2676" s="1" t="s">
        <v>12</v>
      </c>
      <c r="H2676" s="1" t="s">
        <v>13</v>
      </c>
      <c r="I2676" s="1" t="s">
        <v>13</v>
      </c>
      <c r="J2676" s="1" t="s">
        <v>20</v>
      </c>
      <c r="K2676" s="1">
        <v>0</v>
      </c>
      <c r="L2676" s="1" t="s">
        <v>21</v>
      </c>
      <c r="M2676" s="1" t="str">
        <f t="shared" si="41"/>
        <v>Consistent</v>
      </c>
      <c r="N2676" s="1" t="str">
        <f>_xlfn.XLOOKUP(H2676, risk_score!A:A, risk_score!B:B, 0)</f>
        <v>Low Risk</v>
      </c>
    </row>
    <row r="2677" spans="1:14">
      <c r="A2677" s="2">
        <v>0.50987268518518514</v>
      </c>
      <c r="B2677" s="3">
        <v>44841</v>
      </c>
      <c r="C2677" s="1">
        <v>4164568754</v>
      </c>
      <c r="D2677" s="1">
        <v>6953672776</v>
      </c>
      <c r="E2677" s="1">
        <v>32233.200000000001</v>
      </c>
      <c r="F2677" s="1" t="s">
        <v>12</v>
      </c>
      <c r="G2677" s="1" t="s">
        <v>34</v>
      </c>
      <c r="H2677" s="1" t="s">
        <v>13</v>
      </c>
      <c r="I2677" s="1" t="s">
        <v>35</v>
      </c>
      <c r="J2677" s="1" t="s">
        <v>18</v>
      </c>
      <c r="K2677" s="1">
        <v>0</v>
      </c>
      <c r="L2677" s="1" t="s">
        <v>23</v>
      </c>
      <c r="M2677" s="1" t="str">
        <f t="shared" si="41"/>
        <v>Potential Layering</v>
      </c>
      <c r="N2677" s="1" t="str">
        <f>_xlfn.XLOOKUP(H2677, risk_score!A:A, risk_score!B:B, 0)</f>
        <v>Low Risk</v>
      </c>
    </row>
    <row r="2678" spans="1:14">
      <c r="A2678" s="2">
        <v>0.50991898148148151</v>
      </c>
      <c r="B2678" s="3">
        <v>44841</v>
      </c>
      <c r="C2678" s="1">
        <v>7758268667</v>
      </c>
      <c r="D2678" s="1">
        <v>5402206630</v>
      </c>
      <c r="E2678" s="1">
        <v>6164.33</v>
      </c>
      <c r="F2678" s="1" t="s">
        <v>12</v>
      </c>
      <c r="G2678" s="1" t="s">
        <v>12</v>
      </c>
      <c r="H2678" s="1" t="s">
        <v>13</v>
      </c>
      <c r="I2678" s="1" t="s">
        <v>13</v>
      </c>
      <c r="J2678" s="1" t="s">
        <v>22</v>
      </c>
      <c r="K2678" s="1">
        <v>0</v>
      </c>
      <c r="L2678" s="1" t="s">
        <v>19</v>
      </c>
      <c r="M2678" s="1" t="str">
        <f t="shared" si="41"/>
        <v>Consistent</v>
      </c>
      <c r="N2678" s="1" t="str">
        <f>_xlfn.XLOOKUP(H2678, risk_score!A:A, risk_score!B:B, 0)</f>
        <v>Low Risk</v>
      </c>
    </row>
    <row r="2679" spans="1:14">
      <c r="A2679" s="2">
        <v>0.50996527777777778</v>
      </c>
      <c r="B2679" s="3">
        <v>44841</v>
      </c>
      <c r="C2679" s="1">
        <v>5338301445</v>
      </c>
      <c r="D2679" s="1">
        <v>1599151567</v>
      </c>
      <c r="E2679" s="1">
        <v>4276.2</v>
      </c>
      <c r="F2679" s="1" t="s">
        <v>12</v>
      </c>
      <c r="G2679" s="1" t="s">
        <v>12</v>
      </c>
      <c r="H2679" s="1" t="s">
        <v>13</v>
      </c>
      <c r="I2679" s="1" t="s">
        <v>13</v>
      </c>
      <c r="J2679" s="1" t="s">
        <v>25</v>
      </c>
      <c r="K2679" s="1">
        <v>0</v>
      </c>
      <c r="L2679" s="1" t="s">
        <v>21</v>
      </c>
      <c r="M2679" s="1" t="str">
        <f t="shared" si="41"/>
        <v>Consistent</v>
      </c>
      <c r="N2679" s="1" t="str">
        <f>_xlfn.XLOOKUP(H2679, risk_score!A:A, risk_score!B:B, 0)</f>
        <v>Low Risk</v>
      </c>
    </row>
    <row r="2680" spans="1:14">
      <c r="A2680" s="2">
        <v>0.51001157407407405</v>
      </c>
      <c r="B2680" s="3">
        <v>44841</v>
      </c>
      <c r="C2680" s="1">
        <v>6904668523</v>
      </c>
      <c r="D2680" s="1">
        <v>545403361</v>
      </c>
      <c r="E2680" s="1">
        <v>5884.16</v>
      </c>
      <c r="F2680" s="1" t="s">
        <v>12</v>
      </c>
      <c r="G2680" s="1" t="s">
        <v>12</v>
      </c>
      <c r="H2680" s="1" t="s">
        <v>13</v>
      </c>
      <c r="I2680" s="1" t="s">
        <v>13</v>
      </c>
      <c r="J2680" s="1" t="s">
        <v>25</v>
      </c>
      <c r="K2680" s="1">
        <v>0</v>
      </c>
      <c r="L2680" s="1" t="s">
        <v>19</v>
      </c>
      <c r="M2680" s="1" t="str">
        <f t="shared" si="41"/>
        <v>Consistent</v>
      </c>
      <c r="N2680" s="1" t="str">
        <f>_xlfn.XLOOKUP(H2680, risk_score!A:A, risk_score!B:B, 0)</f>
        <v>Low Risk</v>
      </c>
    </row>
    <row r="2681" spans="1:14">
      <c r="A2681" s="2">
        <v>0.5100231481481482</v>
      </c>
      <c r="B2681" s="3">
        <v>44841</v>
      </c>
      <c r="C2681" s="1">
        <v>4218654393</v>
      </c>
      <c r="D2681" s="1">
        <v>3237052601</v>
      </c>
      <c r="E2681" s="1">
        <v>419.2</v>
      </c>
      <c r="F2681" s="1" t="s">
        <v>12</v>
      </c>
      <c r="G2681" s="1" t="s">
        <v>12</v>
      </c>
      <c r="H2681" s="1" t="s">
        <v>13</v>
      </c>
      <c r="I2681" s="1" t="s">
        <v>13</v>
      </c>
      <c r="J2681" s="1" t="s">
        <v>25</v>
      </c>
      <c r="K2681" s="1">
        <v>0</v>
      </c>
      <c r="L2681" s="1" t="s">
        <v>21</v>
      </c>
      <c r="M2681" s="1" t="str">
        <f t="shared" si="41"/>
        <v>Consistent</v>
      </c>
      <c r="N2681" s="1" t="str">
        <f>_xlfn.XLOOKUP(H2681, risk_score!A:A, risk_score!B:B, 0)</f>
        <v>Low Risk</v>
      </c>
    </row>
    <row r="2682" spans="1:14">
      <c r="A2682" s="2">
        <v>0.51018518518518519</v>
      </c>
      <c r="B2682" s="3">
        <v>44841</v>
      </c>
      <c r="C2682" s="1">
        <v>6959751971</v>
      </c>
      <c r="D2682" s="1">
        <v>9027966097</v>
      </c>
      <c r="E2682" s="1">
        <v>4277.4799999999996</v>
      </c>
      <c r="F2682" s="1" t="s">
        <v>12</v>
      </c>
      <c r="G2682" s="1" t="s">
        <v>12</v>
      </c>
      <c r="H2682" s="1" t="s">
        <v>13</v>
      </c>
      <c r="I2682" s="1" t="s">
        <v>13</v>
      </c>
      <c r="J2682" s="1" t="s">
        <v>25</v>
      </c>
      <c r="K2682" s="1">
        <v>0</v>
      </c>
      <c r="L2682" s="1" t="s">
        <v>21</v>
      </c>
      <c r="M2682" s="1" t="str">
        <f t="shared" si="41"/>
        <v>Consistent</v>
      </c>
      <c r="N2682" s="1" t="str">
        <f>_xlfn.XLOOKUP(H2682, risk_score!A:A, risk_score!B:B, 0)</f>
        <v>Low Risk</v>
      </c>
    </row>
    <row r="2683" spans="1:14">
      <c r="A2683" s="2">
        <v>0.51018518518518519</v>
      </c>
      <c r="B2683" s="3">
        <v>44841</v>
      </c>
      <c r="C2683" s="1">
        <v>2369116599</v>
      </c>
      <c r="D2683" s="1">
        <v>4173195094</v>
      </c>
      <c r="E2683" s="1">
        <v>16378.76</v>
      </c>
      <c r="F2683" s="1" t="s">
        <v>12</v>
      </c>
      <c r="G2683" s="1" t="s">
        <v>12</v>
      </c>
      <c r="H2683" s="1" t="s">
        <v>13</v>
      </c>
      <c r="I2683" s="1" t="s">
        <v>13</v>
      </c>
      <c r="J2683" s="1" t="s">
        <v>27</v>
      </c>
      <c r="K2683" s="1">
        <v>0</v>
      </c>
      <c r="L2683" s="1" t="s">
        <v>23</v>
      </c>
      <c r="M2683" s="1" t="str">
        <f t="shared" si="41"/>
        <v>Consistent</v>
      </c>
      <c r="N2683" s="1" t="str">
        <f>_xlfn.XLOOKUP(H2683, risk_score!A:A, risk_score!B:B, 0)</f>
        <v>Low Risk</v>
      </c>
    </row>
    <row r="2684" spans="1:14">
      <c r="A2684" s="2">
        <v>0.51026620370370368</v>
      </c>
      <c r="B2684" s="3">
        <v>44841</v>
      </c>
      <c r="C2684" s="1">
        <v>6266999813</v>
      </c>
      <c r="D2684" s="1">
        <v>2587600007</v>
      </c>
      <c r="E2684" s="1">
        <v>11430.8</v>
      </c>
      <c r="F2684" s="1" t="s">
        <v>12</v>
      </c>
      <c r="G2684" s="1" t="s">
        <v>12</v>
      </c>
      <c r="H2684" s="1" t="s">
        <v>13</v>
      </c>
      <c r="I2684" s="1" t="s">
        <v>13</v>
      </c>
      <c r="J2684" s="1" t="s">
        <v>27</v>
      </c>
      <c r="K2684" s="1">
        <v>0</v>
      </c>
      <c r="L2684" s="1" t="s">
        <v>21</v>
      </c>
      <c r="M2684" s="1" t="str">
        <f t="shared" si="41"/>
        <v>Consistent</v>
      </c>
      <c r="N2684" s="1" t="str">
        <f>_xlfn.XLOOKUP(H2684, risk_score!A:A, risk_score!B:B, 0)</f>
        <v>Low Risk</v>
      </c>
    </row>
    <row r="2685" spans="1:14">
      <c r="A2685" s="2">
        <v>0.51027777777777783</v>
      </c>
      <c r="B2685" s="3">
        <v>44841</v>
      </c>
      <c r="C2685" s="1">
        <v>3614082527</v>
      </c>
      <c r="D2685" s="1">
        <v>2483418869</v>
      </c>
      <c r="E2685" s="1">
        <v>7543.49</v>
      </c>
      <c r="F2685" s="1" t="s">
        <v>12</v>
      </c>
      <c r="G2685" s="1" t="s">
        <v>12</v>
      </c>
      <c r="H2685" s="1" t="s">
        <v>13</v>
      </c>
      <c r="I2685" s="1" t="s">
        <v>13</v>
      </c>
      <c r="J2685" s="1" t="s">
        <v>25</v>
      </c>
      <c r="K2685" s="1">
        <v>0</v>
      </c>
      <c r="L2685" s="1" t="s">
        <v>19</v>
      </c>
      <c r="M2685" s="1" t="str">
        <f t="shared" si="41"/>
        <v>Consistent</v>
      </c>
      <c r="N2685" s="1" t="str">
        <f>_xlfn.XLOOKUP(H2685, risk_score!A:A, risk_score!B:B, 0)</f>
        <v>Low Risk</v>
      </c>
    </row>
    <row r="2686" spans="1:14">
      <c r="A2686" s="2">
        <v>0.51027777777777783</v>
      </c>
      <c r="B2686" s="3">
        <v>44841</v>
      </c>
      <c r="C2686" s="1">
        <v>5995299665</v>
      </c>
      <c r="D2686" s="1">
        <v>1465487567</v>
      </c>
      <c r="E2686" s="1">
        <v>11954.43</v>
      </c>
      <c r="F2686" s="1" t="s">
        <v>12</v>
      </c>
      <c r="G2686" s="1" t="s">
        <v>12</v>
      </c>
      <c r="H2686" s="1" t="s">
        <v>13</v>
      </c>
      <c r="I2686" s="1" t="s">
        <v>13</v>
      </c>
      <c r="J2686" s="1" t="s">
        <v>22</v>
      </c>
      <c r="K2686" s="1">
        <v>0</v>
      </c>
      <c r="L2686" s="1" t="s">
        <v>23</v>
      </c>
      <c r="M2686" s="1" t="str">
        <f t="shared" si="41"/>
        <v>Consistent</v>
      </c>
      <c r="N2686" s="1" t="str">
        <f>_xlfn.XLOOKUP(H2686, risk_score!A:A, risk_score!B:B, 0)</f>
        <v>Low Risk</v>
      </c>
    </row>
    <row r="2687" spans="1:14">
      <c r="A2687" s="2">
        <v>0.51027777777777783</v>
      </c>
      <c r="B2687" s="3">
        <v>44841</v>
      </c>
      <c r="C2687" s="1">
        <v>7323084173</v>
      </c>
      <c r="D2687" s="1">
        <v>7080357663</v>
      </c>
      <c r="E2687" s="1">
        <v>18203.560000000001</v>
      </c>
      <c r="F2687" s="1" t="s">
        <v>12</v>
      </c>
      <c r="G2687" s="1" t="s">
        <v>12</v>
      </c>
      <c r="H2687" s="1" t="s">
        <v>13</v>
      </c>
      <c r="I2687" s="1" t="s">
        <v>13</v>
      </c>
      <c r="J2687" s="1" t="s">
        <v>27</v>
      </c>
      <c r="K2687" s="1">
        <v>0</v>
      </c>
      <c r="L2687" s="1" t="s">
        <v>23</v>
      </c>
      <c r="M2687" s="1" t="str">
        <f t="shared" si="41"/>
        <v>Consistent</v>
      </c>
      <c r="N2687" s="1" t="str">
        <f>_xlfn.XLOOKUP(H2687, risk_score!A:A, risk_score!B:B, 0)</f>
        <v>Low Risk</v>
      </c>
    </row>
    <row r="2688" spans="1:14">
      <c r="A2688" s="2">
        <v>0.5103240740740741</v>
      </c>
      <c r="B2688" s="3">
        <v>44841</v>
      </c>
      <c r="C2688" s="1">
        <v>6116657264</v>
      </c>
      <c r="D2688" s="1">
        <v>1509953998</v>
      </c>
      <c r="E2688" s="1">
        <v>7808.66</v>
      </c>
      <c r="F2688" s="1" t="s">
        <v>12</v>
      </c>
      <c r="G2688" s="1" t="s">
        <v>12</v>
      </c>
      <c r="H2688" s="1" t="s">
        <v>13</v>
      </c>
      <c r="I2688" s="1" t="s">
        <v>13</v>
      </c>
      <c r="J2688" s="1" t="s">
        <v>20</v>
      </c>
      <c r="K2688" s="1">
        <v>0</v>
      </c>
      <c r="L2688" s="1" t="s">
        <v>19</v>
      </c>
      <c r="M2688" s="1" t="str">
        <f t="shared" si="41"/>
        <v>Consistent</v>
      </c>
      <c r="N2688" s="1" t="str">
        <f>_xlfn.XLOOKUP(H2688, risk_score!A:A, risk_score!B:B, 0)</f>
        <v>Low Risk</v>
      </c>
    </row>
    <row r="2689" spans="1:14">
      <c r="A2689" s="2">
        <v>0.5103240740740741</v>
      </c>
      <c r="B2689" s="3">
        <v>44841</v>
      </c>
      <c r="C2689" s="1">
        <v>7143010173</v>
      </c>
      <c r="D2689" s="1">
        <v>1493436023</v>
      </c>
      <c r="E2689" s="1">
        <v>5246.41</v>
      </c>
      <c r="F2689" s="1" t="s">
        <v>29</v>
      </c>
      <c r="G2689" s="1" t="s">
        <v>12</v>
      </c>
      <c r="H2689" s="1" t="s">
        <v>35</v>
      </c>
      <c r="I2689" s="1" t="s">
        <v>13</v>
      </c>
      <c r="J2689" s="1" t="s">
        <v>18</v>
      </c>
      <c r="K2689" s="1">
        <v>0</v>
      </c>
      <c r="L2689" s="1" t="s">
        <v>23</v>
      </c>
      <c r="M2689" s="1" t="str">
        <f t="shared" si="41"/>
        <v>Potential Layering</v>
      </c>
      <c r="N2689" s="1" t="str">
        <f>_xlfn.XLOOKUP(H2689, risk_score!A:A, risk_score!B:B, 0)</f>
        <v>High Risk</v>
      </c>
    </row>
    <row r="2690" spans="1:14">
      <c r="A2690" s="2">
        <v>0.5103240740740741</v>
      </c>
      <c r="B2690" s="3">
        <v>44841</v>
      </c>
      <c r="C2690" s="1">
        <v>5802257583</v>
      </c>
      <c r="D2690" s="1">
        <v>5466123934</v>
      </c>
      <c r="E2690" s="1">
        <v>7644.39</v>
      </c>
      <c r="F2690" s="1" t="s">
        <v>12</v>
      </c>
      <c r="G2690" s="1" t="s">
        <v>12</v>
      </c>
      <c r="H2690" s="1" t="s">
        <v>13</v>
      </c>
      <c r="I2690" s="1" t="s">
        <v>13</v>
      </c>
      <c r="J2690" s="1" t="s">
        <v>27</v>
      </c>
      <c r="K2690" s="1">
        <v>0</v>
      </c>
      <c r="L2690" s="1" t="s">
        <v>23</v>
      </c>
      <c r="M2690" s="1" t="str">
        <f t="shared" si="41"/>
        <v>Consistent</v>
      </c>
      <c r="N2690" s="1" t="str">
        <f>_xlfn.XLOOKUP(H2690, risk_score!A:A, risk_score!B:B, 0)</f>
        <v>Low Risk</v>
      </c>
    </row>
    <row r="2691" spans="1:14">
      <c r="A2691" s="2">
        <v>0.51033564814814814</v>
      </c>
      <c r="B2691" s="3">
        <v>44841</v>
      </c>
      <c r="C2691" s="1">
        <v>5706877708</v>
      </c>
      <c r="D2691" s="1">
        <v>7892884492</v>
      </c>
      <c r="E2691" s="1">
        <v>9184.01</v>
      </c>
      <c r="F2691" s="1" t="s">
        <v>12</v>
      </c>
      <c r="G2691" s="1" t="s">
        <v>32</v>
      </c>
      <c r="H2691" s="1" t="s">
        <v>13</v>
      </c>
      <c r="I2691" s="1" t="s">
        <v>33</v>
      </c>
      <c r="J2691" s="1" t="s">
        <v>18</v>
      </c>
      <c r="K2691" s="1">
        <v>0</v>
      </c>
      <c r="L2691" s="1" t="s">
        <v>23</v>
      </c>
      <c r="M2691" s="1" t="str">
        <f t="shared" ref="M2691:M2754" si="42">IF(F2691=G2691, "Consistent", "Potential Layering")</f>
        <v>Potential Layering</v>
      </c>
      <c r="N2691" s="1" t="str">
        <f>_xlfn.XLOOKUP(H2691, risk_score!A:A, risk_score!B:B, 0)</f>
        <v>Low Risk</v>
      </c>
    </row>
    <row r="2692" spans="1:14">
      <c r="A2692" s="2">
        <v>0.51034722222222217</v>
      </c>
      <c r="B2692" s="3">
        <v>44841</v>
      </c>
      <c r="C2692" s="1">
        <v>7136156272</v>
      </c>
      <c r="D2692" s="1">
        <v>5267880115</v>
      </c>
      <c r="E2692" s="1">
        <v>171.52</v>
      </c>
      <c r="F2692" s="1" t="s">
        <v>12</v>
      </c>
      <c r="G2692" s="1" t="s">
        <v>12</v>
      </c>
      <c r="H2692" s="1" t="s">
        <v>13</v>
      </c>
      <c r="I2692" s="1" t="s">
        <v>13</v>
      </c>
      <c r="J2692" s="1" t="s">
        <v>25</v>
      </c>
      <c r="K2692" s="1">
        <v>0</v>
      </c>
      <c r="L2692" s="1" t="s">
        <v>21</v>
      </c>
      <c r="M2692" s="1" t="str">
        <f t="shared" si="42"/>
        <v>Consistent</v>
      </c>
      <c r="N2692" s="1" t="str">
        <f>_xlfn.XLOOKUP(H2692, risk_score!A:A, risk_score!B:B, 0)</f>
        <v>Low Risk</v>
      </c>
    </row>
    <row r="2693" spans="1:14">
      <c r="A2693" s="2">
        <v>0.51035879629629632</v>
      </c>
      <c r="B2693" s="3">
        <v>44841</v>
      </c>
      <c r="C2693" s="1">
        <v>1651824870</v>
      </c>
      <c r="D2693" s="1">
        <v>3368473085</v>
      </c>
      <c r="E2693" s="1">
        <v>1773.36</v>
      </c>
      <c r="F2693" s="1" t="s">
        <v>12</v>
      </c>
      <c r="G2693" s="1" t="s">
        <v>12</v>
      </c>
      <c r="H2693" s="1" t="s">
        <v>13</v>
      </c>
      <c r="I2693" s="1" t="s">
        <v>13</v>
      </c>
      <c r="J2693" s="1" t="s">
        <v>27</v>
      </c>
      <c r="K2693" s="1">
        <v>0</v>
      </c>
      <c r="L2693" s="1" t="s">
        <v>21</v>
      </c>
      <c r="M2693" s="1" t="str">
        <f t="shared" si="42"/>
        <v>Consistent</v>
      </c>
      <c r="N2693" s="1" t="str">
        <f>_xlfn.XLOOKUP(H2693, risk_score!A:A, risk_score!B:B, 0)</f>
        <v>Low Risk</v>
      </c>
    </row>
    <row r="2694" spans="1:14">
      <c r="A2694" s="2">
        <v>0.51041666666666663</v>
      </c>
      <c r="B2694" s="3">
        <v>44841</v>
      </c>
      <c r="C2694" s="1">
        <v>4035848345</v>
      </c>
      <c r="D2694" s="1">
        <v>3174825918</v>
      </c>
      <c r="E2694" s="1">
        <v>4972.13</v>
      </c>
      <c r="F2694" s="1" t="s">
        <v>12</v>
      </c>
      <c r="G2694" s="1" t="s">
        <v>12</v>
      </c>
      <c r="H2694" s="1" t="s">
        <v>13</v>
      </c>
      <c r="I2694" s="1" t="s">
        <v>13</v>
      </c>
      <c r="J2694" s="1" t="s">
        <v>22</v>
      </c>
      <c r="K2694" s="1">
        <v>0</v>
      </c>
      <c r="L2694" s="1" t="s">
        <v>21</v>
      </c>
      <c r="M2694" s="1" t="str">
        <f t="shared" si="42"/>
        <v>Consistent</v>
      </c>
      <c r="N2694" s="1" t="str">
        <f>_xlfn.XLOOKUP(H2694, risk_score!A:A, risk_score!B:B, 0)</f>
        <v>Low Risk</v>
      </c>
    </row>
    <row r="2695" spans="1:14">
      <c r="A2695" s="2">
        <v>0.51046296296296301</v>
      </c>
      <c r="B2695" s="3">
        <v>44841</v>
      </c>
      <c r="C2695" s="1">
        <v>8434457868</v>
      </c>
      <c r="D2695" s="1">
        <v>7372885823</v>
      </c>
      <c r="E2695" s="1">
        <v>393.68</v>
      </c>
      <c r="F2695" s="1" t="s">
        <v>12</v>
      </c>
      <c r="G2695" s="1" t="s">
        <v>51</v>
      </c>
      <c r="H2695" s="1" t="s">
        <v>13</v>
      </c>
      <c r="I2695" s="1" t="s">
        <v>13</v>
      </c>
      <c r="J2695" s="1" t="s">
        <v>27</v>
      </c>
      <c r="K2695" s="1">
        <v>0</v>
      </c>
      <c r="L2695" s="1" t="s">
        <v>21</v>
      </c>
      <c r="M2695" s="1" t="str">
        <f t="shared" si="42"/>
        <v>Potential Layering</v>
      </c>
      <c r="N2695" s="1" t="str">
        <f>_xlfn.XLOOKUP(H2695, risk_score!A:A, risk_score!B:B, 0)</f>
        <v>Low Risk</v>
      </c>
    </row>
    <row r="2696" spans="1:14">
      <c r="A2696" s="2">
        <v>0.51046296296296301</v>
      </c>
      <c r="B2696" s="3">
        <v>44841</v>
      </c>
      <c r="C2696" s="1">
        <v>479462521</v>
      </c>
      <c r="D2696" s="1">
        <v>4699004325</v>
      </c>
      <c r="E2696" s="1">
        <v>611.95000000000005</v>
      </c>
      <c r="F2696" s="1" t="s">
        <v>12</v>
      </c>
      <c r="G2696" s="1" t="s">
        <v>12</v>
      </c>
      <c r="H2696" s="1" t="s">
        <v>13</v>
      </c>
      <c r="I2696" s="1" t="s">
        <v>13</v>
      </c>
      <c r="J2696" s="1" t="s">
        <v>27</v>
      </c>
      <c r="K2696" s="1">
        <v>0</v>
      </c>
      <c r="L2696" s="1" t="s">
        <v>21</v>
      </c>
      <c r="M2696" s="1" t="str">
        <f t="shared" si="42"/>
        <v>Consistent</v>
      </c>
      <c r="N2696" s="1" t="str">
        <f>_xlfn.XLOOKUP(H2696, risk_score!A:A, risk_score!B:B, 0)</f>
        <v>Low Risk</v>
      </c>
    </row>
    <row r="2697" spans="1:14">
      <c r="A2697" s="2">
        <v>0.51047453703703705</v>
      </c>
      <c r="B2697" s="3">
        <v>44841</v>
      </c>
      <c r="C2697" s="1">
        <v>6741147793</v>
      </c>
      <c r="D2697" s="1">
        <v>4711358038</v>
      </c>
      <c r="E2697" s="1">
        <v>1159.6199999999999</v>
      </c>
      <c r="F2697" s="1" t="s">
        <v>12</v>
      </c>
      <c r="G2697" s="1" t="s">
        <v>12</v>
      </c>
      <c r="H2697" s="1" t="s">
        <v>13</v>
      </c>
      <c r="I2697" s="1" t="s">
        <v>13</v>
      </c>
      <c r="J2697" s="1" t="s">
        <v>22</v>
      </c>
      <c r="K2697" s="1">
        <v>0</v>
      </c>
      <c r="L2697" s="1" t="s">
        <v>21</v>
      </c>
      <c r="M2697" s="1" t="str">
        <f t="shared" si="42"/>
        <v>Consistent</v>
      </c>
      <c r="N2697" s="1" t="str">
        <f>_xlfn.XLOOKUP(H2697, risk_score!A:A, risk_score!B:B, 0)</f>
        <v>Low Risk</v>
      </c>
    </row>
    <row r="2698" spans="1:14">
      <c r="A2698" s="2">
        <v>0.51050925925925927</v>
      </c>
      <c r="B2698" s="3">
        <v>44841</v>
      </c>
      <c r="C2698" s="1">
        <v>1900227002</v>
      </c>
      <c r="D2698" s="1">
        <v>3015237774</v>
      </c>
      <c r="E2698" s="1">
        <v>967.97</v>
      </c>
      <c r="F2698" s="1" t="s">
        <v>12</v>
      </c>
      <c r="G2698" s="1" t="s">
        <v>12</v>
      </c>
      <c r="H2698" s="1" t="s">
        <v>13</v>
      </c>
      <c r="I2698" s="1" t="s">
        <v>13</v>
      </c>
      <c r="J2698" s="1" t="s">
        <v>14</v>
      </c>
      <c r="K2698" s="1">
        <v>0</v>
      </c>
      <c r="L2698" s="1" t="s">
        <v>15</v>
      </c>
      <c r="M2698" s="1" t="str">
        <f t="shared" si="42"/>
        <v>Consistent</v>
      </c>
      <c r="N2698" s="1" t="str">
        <f>_xlfn.XLOOKUP(H2698, risk_score!A:A, risk_score!B:B, 0)</f>
        <v>Low Risk</v>
      </c>
    </row>
    <row r="2699" spans="1:14">
      <c r="A2699" s="2">
        <v>0.51059027777777777</v>
      </c>
      <c r="B2699" s="3">
        <v>44841</v>
      </c>
      <c r="C2699" s="1">
        <v>8916668286</v>
      </c>
      <c r="D2699" s="1">
        <v>3583588029</v>
      </c>
      <c r="E2699" s="1">
        <v>2418.87</v>
      </c>
      <c r="F2699" s="1" t="s">
        <v>12</v>
      </c>
      <c r="G2699" s="1" t="s">
        <v>12</v>
      </c>
      <c r="H2699" s="1" t="s">
        <v>13</v>
      </c>
      <c r="I2699" s="1" t="s">
        <v>13</v>
      </c>
      <c r="J2699" s="1" t="s">
        <v>25</v>
      </c>
      <c r="K2699" s="1">
        <v>0</v>
      </c>
      <c r="L2699" s="1" t="s">
        <v>21</v>
      </c>
      <c r="M2699" s="1" t="str">
        <f t="shared" si="42"/>
        <v>Consistent</v>
      </c>
      <c r="N2699" s="1" t="str">
        <f>_xlfn.XLOOKUP(H2699, risk_score!A:A, risk_score!B:B, 0)</f>
        <v>Low Risk</v>
      </c>
    </row>
    <row r="2700" spans="1:14">
      <c r="A2700" s="2">
        <v>0.51060185185185181</v>
      </c>
      <c r="B2700" s="3">
        <v>44841</v>
      </c>
      <c r="C2700" s="1">
        <v>9312861244</v>
      </c>
      <c r="D2700" s="1">
        <v>409707192</v>
      </c>
      <c r="E2700" s="1">
        <v>24102.95</v>
      </c>
      <c r="F2700" s="1" t="s">
        <v>12</v>
      </c>
      <c r="G2700" s="1" t="s">
        <v>12</v>
      </c>
      <c r="H2700" s="1" t="s">
        <v>13</v>
      </c>
      <c r="I2700" s="1" t="s">
        <v>13</v>
      </c>
      <c r="J2700" s="1" t="s">
        <v>25</v>
      </c>
      <c r="K2700" s="1">
        <v>0</v>
      </c>
      <c r="L2700" s="1" t="s">
        <v>23</v>
      </c>
      <c r="M2700" s="1" t="str">
        <f t="shared" si="42"/>
        <v>Consistent</v>
      </c>
      <c r="N2700" s="1" t="str">
        <f>_xlfn.XLOOKUP(H2700, risk_score!A:A, risk_score!B:B, 0)</f>
        <v>Low Risk</v>
      </c>
    </row>
    <row r="2701" spans="1:14">
      <c r="A2701" s="2">
        <v>0.51063657407407403</v>
      </c>
      <c r="B2701" s="3">
        <v>44841</v>
      </c>
      <c r="C2701" s="1">
        <v>3213805967</v>
      </c>
      <c r="D2701" s="1">
        <v>9600420220</v>
      </c>
      <c r="E2701" s="1">
        <v>14166.37</v>
      </c>
      <c r="F2701" s="1" t="s">
        <v>12</v>
      </c>
      <c r="G2701" s="1" t="s">
        <v>12</v>
      </c>
      <c r="H2701" s="1" t="s">
        <v>13</v>
      </c>
      <c r="I2701" s="1" t="s">
        <v>13</v>
      </c>
      <c r="J2701" s="1" t="s">
        <v>20</v>
      </c>
      <c r="K2701" s="1">
        <v>0</v>
      </c>
      <c r="L2701" s="1" t="s">
        <v>23</v>
      </c>
      <c r="M2701" s="1" t="str">
        <f t="shared" si="42"/>
        <v>Consistent</v>
      </c>
      <c r="N2701" s="1" t="str">
        <f>_xlfn.XLOOKUP(H2701, risk_score!A:A, risk_score!B:B, 0)</f>
        <v>Low Risk</v>
      </c>
    </row>
    <row r="2702" spans="1:14">
      <c r="A2702" s="2">
        <v>0.51065972222222222</v>
      </c>
      <c r="B2702" s="3">
        <v>44841</v>
      </c>
      <c r="C2702" s="1">
        <v>9165074186</v>
      </c>
      <c r="D2702" s="1">
        <v>3695545812</v>
      </c>
      <c r="E2702" s="1">
        <v>7366.05</v>
      </c>
      <c r="F2702" s="1" t="s">
        <v>12</v>
      </c>
      <c r="G2702" s="1" t="s">
        <v>12</v>
      </c>
      <c r="H2702" s="1" t="s">
        <v>13</v>
      </c>
      <c r="I2702" s="1" t="s">
        <v>13</v>
      </c>
      <c r="J2702" s="1" t="s">
        <v>27</v>
      </c>
      <c r="K2702" s="1">
        <v>0</v>
      </c>
      <c r="L2702" s="1" t="s">
        <v>23</v>
      </c>
      <c r="M2702" s="1" t="str">
        <f t="shared" si="42"/>
        <v>Consistent</v>
      </c>
      <c r="N2702" s="1" t="str">
        <f>_xlfn.XLOOKUP(H2702, risk_score!A:A, risk_score!B:B, 0)</f>
        <v>Low Risk</v>
      </c>
    </row>
    <row r="2703" spans="1:14">
      <c r="A2703" s="2">
        <v>0.51067129629629626</v>
      </c>
      <c r="B2703" s="3">
        <v>44841</v>
      </c>
      <c r="C2703" s="1">
        <v>5607688477</v>
      </c>
      <c r="D2703" s="1">
        <v>5858369125</v>
      </c>
      <c r="E2703" s="1">
        <v>9234.51</v>
      </c>
      <c r="F2703" s="1" t="s">
        <v>12</v>
      </c>
      <c r="G2703" s="1" t="s">
        <v>12</v>
      </c>
      <c r="H2703" s="1" t="s">
        <v>13</v>
      </c>
      <c r="I2703" s="1" t="s">
        <v>13</v>
      </c>
      <c r="J2703" s="1" t="s">
        <v>27</v>
      </c>
      <c r="K2703" s="1">
        <v>0</v>
      </c>
      <c r="L2703" s="1" t="s">
        <v>23</v>
      </c>
      <c r="M2703" s="1" t="str">
        <f t="shared" si="42"/>
        <v>Consistent</v>
      </c>
      <c r="N2703" s="1" t="str">
        <f>_xlfn.XLOOKUP(H2703, risk_score!A:A, risk_score!B:B, 0)</f>
        <v>Low Risk</v>
      </c>
    </row>
    <row r="2704" spans="1:14">
      <c r="A2704" s="2">
        <v>0.51074074074074072</v>
      </c>
      <c r="B2704" s="3">
        <v>44841</v>
      </c>
      <c r="C2704" s="1">
        <v>4121324384</v>
      </c>
      <c r="D2704" s="1">
        <v>7840880332</v>
      </c>
      <c r="E2704" s="1">
        <v>4438.45</v>
      </c>
      <c r="F2704" s="1" t="s">
        <v>29</v>
      </c>
      <c r="G2704" s="1" t="s">
        <v>12</v>
      </c>
      <c r="H2704" s="1" t="s">
        <v>30</v>
      </c>
      <c r="I2704" s="1" t="s">
        <v>13</v>
      </c>
      <c r="J2704" s="1" t="s">
        <v>18</v>
      </c>
      <c r="K2704" s="1">
        <v>0</v>
      </c>
      <c r="L2704" s="1" t="s">
        <v>19</v>
      </c>
      <c r="M2704" s="1" t="str">
        <f t="shared" si="42"/>
        <v>Potential Layering</v>
      </c>
      <c r="N2704" s="1" t="str">
        <f>_xlfn.XLOOKUP(H2704, risk_score!A:A, risk_score!B:B, 0)</f>
        <v>Low Risk</v>
      </c>
    </row>
    <row r="2705" spans="1:14">
      <c r="A2705" s="2">
        <v>0.51074074074074072</v>
      </c>
      <c r="B2705" s="3">
        <v>44841</v>
      </c>
      <c r="C2705" s="1">
        <v>6976962403</v>
      </c>
      <c r="D2705" s="1">
        <v>5612472848</v>
      </c>
      <c r="E2705" s="1">
        <v>3417.17</v>
      </c>
      <c r="F2705" s="1" t="s">
        <v>12</v>
      </c>
      <c r="G2705" s="1" t="s">
        <v>12</v>
      </c>
      <c r="H2705" s="1" t="s">
        <v>13</v>
      </c>
      <c r="I2705" s="1" t="s">
        <v>13</v>
      </c>
      <c r="J2705" s="1" t="s">
        <v>25</v>
      </c>
      <c r="K2705" s="1">
        <v>0</v>
      </c>
      <c r="L2705" s="1" t="s">
        <v>21</v>
      </c>
      <c r="M2705" s="1" t="str">
        <f t="shared" si="42"/>
        <v>Consistent</v>
      </c>
      <c r="N2705" s="1" t="str">
        <f>_xlfn.XLOOKUP(H2705, risk_score!A:A, risk_score!B:B, 0)</f>
        <v>Low Risk</v>
      </c>
    </row>
    <row r="2706" spans="1:14">
      <c r="A2706" s="2">
        <v>0.51077546296296295</v>
      </c>
      <c r="B2706" s="3">
        <v>44841</v>
      </c>
      <c r="C2706" s="1">
        <v>3120847079</v>
      </c>
      <c r="D2706" s="1">
        <v>5200800781</v>
      </c>
      <c r="E2706" s="1">
        <v>78.36</v>
      </c>
      <c r="F2706" s="1" t="s">
        <v>12</v>
      </c>
      <c r="G2706" s="1" t="s">
        <v>12</v>
      </c>
      <c r="H2706" s="1" t="s">
        <v>13</v>
      </c>
      <c r="I2706" s="1" t="s">
        <v>13</v>
      </c>
      <c r="J2706" s="1" t="s">
        <v>36</v>
      </c>
      <c r="K2706" s="1">
        <v>0</v>
      </c>
      <c r="L2706" s="1" t="s">
        <v>37</v>
      </c>
      <c r="M2706" s="1" t="str">
        <f t="shared" si="42"/>
        <v>Consistent</v>
      </c>
      <c r="N2706" s="1" t="str">
        <f>_xlfn.XLOOKUP(H2706, risk_score!A:A, risk_score!B:B, 0)</f>
        <v>Low Risk</v>
      </c>
    </row>
    <row r="2707" spans="1:14">
      <c r="A2707" s="2">
        <v>0.51077546296296295</v>
      </c>
      <c r="B2707" s="3">
        <v>44841</v>
      </c>
      <c r="C2707" s="1">
        <v>9959847753</v>
      </c>
      <c r="D2707" s="1">
        <v>6981031835</v>
      </c>
      <c r="E2707" s="1">
        <v>411.23</v>
      </c>
      <c r="F2707" s="1" t="s">
        <v>12</v>
      </c>
      <c r="G2707" s="1" t="s">
        <v>12</v>
      </c>
      <c r="H2707" s="1" t="s">
        <v>13</v>
      </c>
      <c r="I2707" s="1" t="s">
        <v>13</v>
      </c>
      <c r="J2707" s="1" t="s">
        <v>20</v>
      </c>
      <c r="K2707" s="1">
        <v>0</v>
      </c>
      <c r="L2707" s="1" t="s">
        <v>21</v>
      </c>
      <c r="M2707" s="1" t="str">
        <f t="shared" si="42"/>
        <v>Consistent</v>
      </c>
      <c r="N2707" s="1" t="str">
        <f>_xlfn.XLOOKUP(H2707, risk_score!A:A, risk_score!B:B, 0)</f>
        <v>Low Risk</v>
      </c>
    </row>
    <row r="2708" spans="1:14">
      <c r="A2708" s="2">
        <v>0.51081018518518517</v>
      </c>
      <c r="B2708" s="3">
        <v>44841</v>
      </c>
      <c r="C2708" s="1">
        <v>1048480600</v>
      </c>
      <c r="D2708" s="1">
        <v>6754102153</v>
      </c>
      <c r="E2708" s="1">
        <v>19568.05</v>
      </c>
      <c r="F2708" s="1" t="s">
        <v>12</v>
      </c>
      <c r="G2708" s="1" t="s">
        <v>12</v>
      </c>
      <c r="H2708" s="1" t="s">
        <v>13</v>
      </c>
      <c r="I2708" s="1" t="s">
        <v>13</v>
      </c>
      <c r="J2708" s="1" t="s">
        <v>27</v>
      </c>
      <c r="K2708" s="1">
        <v>0</v>
      </c>
      <c r="L2708" s="1" t="s">
        <v>21</v>
      </c>
      <c r="M2708" s="1" t="str">
        <f t="shared" si="42"/>
        <v>Consistent</v>
      </c>
      <c r="N2708" s="1" t="str">
        <f>_xlfn.XLOOKUP(H2708, risk_score!A:A, risk_score!B:B, 0)</f>
        <v>Low Risk</v>
      </c>
    </row>
    <row r="2709" spans="1:14">
      <c r="A2709" s="2">
        <v>0.51085648148148144</v>
      </c>
      <c r="B2709" s="3">
        <v>44841</v>
      </c>
      <c r="C2709" s="1">
        <v>5552304606</v>
      </c>
      <c r="D2709" s="1">
        <v>989974158</v>
      </c>
      <c r="E2709" s="1">
        <v>5662.76</v>
      </c>
      <c r="F2709" s="1" t="s">
        <v>12</v>
      </c>
      <c r="G2709" s="1" t="s">
        <v>12</v>
      </c>
      <c r="H2709" s="1" t="s">
        <v>13</v>
      </c>
      <c r="I2709" s="1" t="s">
        <v>13</v>
      </c>
      <c r="J2709" s="1" t="s">
        <v>25</v>
      </c>
      <c r="K2709" s="1">
        <v>0</v>
      </c>
      <c r="L2709" s="1" t="s">
        <v>21</v>
      </c>
      <c r="M2709" s="1" t="str">
        <f t="shared" si="42"/>
        <v>Consistent</v>
      </c>
      <c r="N2709" s="1" t="str">
        <f>_xlfn.XLOOKUP(H2709, risk_score!A:A, risk_score!B:B, 0)</f>
        <v>Low Risk</v>
      </c>
    </row>
    <row r="2710" spans="1:14">
      <c r="A2710" s="2">
        <v>0.51085648148148144</v>
      </c>
      <c r="B2710" s="3">
        <v>44841</v>
      </c>
      <c r="C2710" s="1">
        <v>9671814521</v>
      </c>
      <c r="D2710" s="1">
        <v>6468964531</v>
      </c>
      <c r="E2710" s="1">
        <v>1017.63</v>
      </c>
      <c r="F2710" s="1" t="s">
        <v>12</v>
      </c>
      <c r="G2710" s="1" t="s">
        <v>12</v>
      </c>
      <c r="H2710" s="1" t="s">
        <v>13</v>
      </c>
      <c r="I2710" s="1" t="s">
        <v>13</v>
      </c>
      <c r="J2710" s="1" t="s">
        <v>27</v>
      </c>
      <c r="K2710" s="1">
        <v>0</v>
      </c>
      <c r="L2710" s="1" t="s">
        <v>21</v>
      </c>
      <c r="M2710" s="1" t="str">
        <f t="shared" si="42"/>
        <v>Consistent</v>
      </c>
      <c r="N2710" s="1" t="str">
        <f>_xlfn.XLOOKUP(H2710, risk_score!A:A, risk_score!B:B, 0)</f>
        <v>Low Risk</v>
      </c>
    </row>
    <row r="2711" spans="1:14">
      <c r="A2711" s="2">
        <v>0.51090277777777782</v>
      </c>
      <c r="B2711" s="3">
        <v>44841</v>
      </c>
      <c r="C2711" s="1">
        <v>6106138674</v>
      </c>
      <c r="D2711" s="1">
        <v>3220735304</v>
      </c>
      <c r="E2711" s="1">
        <v>11724.52</v>
      </c>
      <c r="F2711" s="1" t="s">
        <v>12</v>
      </c>
      <c r="G2711" s="1" t="s">
        <v>12</v>
      </c>
      <c r="H2711" s="1" t="s">
        <v>13</v>
      </c>
      <c r="I2711" s="1" t="s">
        <v>13</v>
      </c>
      <c r="J2711" s="1" t="s">
        <v>27</v>
      </c>
      <c r="K2711" s="1">
        <v>0</v>
      </c>
      <c r="L2711" s="1" t="s">
        <v>23</v>
      </c>
      <c r="M2711" s="1" t="str">
        <f t="shared" si="42"/>
        <v>Consistent</v>
      </c>
      <c r="N2711" s="1" t="str">
        <f>_xlfn.XLOOKUP(H2711, risk_score!A:A, risk_score!B:B, 0)</f>
        <v>Low Risk</v>
      </c>
    </row>
    <row r="2712" spans="1:14">
      <c r="A2712" s="2">
        <v>0.51092592592592589</v>
      </c>
      <c r="B2712" s="3">
        <v>44841</v>
      </c>
      <c r="C2712" s="1">
        <v>2572808199</v>
      </c>
      <c r="D2712" s="1">
        <v>7523223921</v>
      </c>
      <c r="E2712" s="1">
        <v>668.74</v>
      </c>
      <c r="F2712" s="1" t="s">
        <v>12</v>
      </c>
      <c r="G2712" s="1" t="s">
        <v>12</v>
      </c>
      <c r="H2712" s="1" t="s">
        <v>13</v>
      </c>
      <c r="I2712" s="1" t="s">
        <v>13</v>
      </c>
      <c r="J2712" s="1" t="s">
        <v>25</v>
      </c>
      <c r="K2712" s="1">
        <v>0</v>
      </c>
      <c r="L2712" s="1" t="s">
        <v>21</v>
      </c>
      <c r="M2712" s="1" t="str">
        <f t="shared" si="42"/>
        <v>Consistent</v>
      </c>
      <c r="N2712" s="1" t="str">
        <f>_xlfn.XLOOKUP(H2712, risk_score!A:A, risk_score!B:B, 0)</f>
        <v>Low Risk</v>
      </c>
    </row>
    <row r="2713" spans="1:14">
      <c r="A2713" s="2">
        <v>0.51096064814814812</v>
      </c>
      <c r="B2713" s="3">
        <v>44841</v>
      </c>
      <c r="C2713" s="1">
        <v>6904668523</v>
      </c>
      <c r="D2713" s="1">
        <v>545403361</v>
      </c>
      <c r="E2713" s="1">
        <v>5920.67</v>
      </c>
      <c r="F2713" s="1" t="s">
        <v>12</v>
      </c>
      <c r="G2713" s="1" t="s">
        <v>12</v>
      </c>
      <c r="H2713" s="1" t="s">
        <v>13</v>
      </c>
      <c r="I2713" s="1" t="s">
        <v>13</v>
      </c>
      <c r="J2713" s="1" t="s">
        <v>20</v>
      </c>
      <c r="K2713" s="1">
        <v>0</v>
      </c>
      <c r="L2713" s="1" t="s">
        <v>19</v>
      </c>
      <c r="M2713" s="1" t="str">
        <f t="shared" si="42"/>
        <v>Consistent</v>
      </c>
      <c r="N2713" s="1" t="str">
        <f>_xlfn.XLOOKUP(H2713, risk_score!A:A, risk_score!B:B, 0)</f>
        <v>Low Risk</v>
      </c>
    </row>
    <row r="2714" spans="1:14">
      <c r="A2714" s="2">
        <v>0.51099537037037035</v>
      </c>
      <c r="B2714" s="3">
        <v>44841</v>
      </c>
      <c r="C2714" s="1">
        <v>8494878354</v>
      </c>
      <c r="D2714" s="1">
        <v>3695545812</v>
      </c>
      <c r="E2714" s="1">
        <v>5579.61</v>
      </c>
      <c r="F2714" s="1" t="s">
        <v>12</v>
      </c>
      <c r="G2714" s="1" t="s">
        <v>12</v>
      </c>
      <c r="H2714" s="1" t="s">
        <v>13</v>
      </c>
      <c r="I2714" s="1" t="s">
        <v>13</v>
      </c>
      <c r="J2714" s="1" t="s">
        <v>25</v>
      </c>
      <c r="K2714" s="1">
        <v>0</v>
      </c>
      <c r="L2714" s="1" t="s">
        <v>23</v>
      </c>
      <c r="M2714" s="1" t="str">
        <f t="shared" si="42"/>
        <v>Consistent</v>
      </c>
      <c r="N2714" s="1" t="str">
        <f>_xlfn.XLOOKUP(H2714, risk_score!A:A, risk_score!B:B, 0)</f>
        <v>Low Risk</v>
      </c>
    </row>
    <row r="2715" spans="1:14">
      <c r="A2715" s="2">
        <v>0.51105324074074077</v>
      </c>
      <c r="B2715" s="3">
        <v>44841</v>
      </c>
      <c r="C2715" s="1">
        <v>6057444675</v>
      </c>
      <c r="D2715" s="1">
        <v>9018284593</v>
      </c>
      <c r="E2715" s="1">
        <v>5693.56</v>
      </c>
      <c r="F2715" s="1" t="s">
        <v>12</v>
      </c>
      <c r="G2715" s="1" t="s">
        <v>12</v>
      </c>
      <c r="H2715" s="1" t="s">
        <v>13</v>
      </c>
      <c r="I2715" s="1" t="s">
        <v>13</v>
      </c>
      <c r="J2715" s="1" t="s">
        <v>22</v>
      </c>
      <c r="K2715" s="1">
        <v>0</v>
      </c>
      <c r="L2715" s="1" t="s">
        <v>19</v>
      </c>
      <c r="M2715" s="1" t="str">
        <f t="shared" si="42"/>
        <v>Consistent</v>
      </c>
      <c r="N2715" s="1" t="str">
        <f>_xlfn.XLOOKUP(H2715, risk_score!A:A, risk_score!B:B, 0)</f>
        <v>Low Risk</v>
      </c>
    </row>
    <row r="2716" spans="1:14">
      <c r="A2716" s="2">
        <v>0.51105324074074077</v>
      </c>
      <c r="B2716" s="3">
        <v>44841</v>
      </c>
      <c r="C2716" s="1">
        <v>9488300612</v>
      </c>
      <c r="D2716" s="1">
        <v>8776474286</v>
      </c>
      <c r="E2716" s="1">
        <v>7584.21</v>
      </c>
      <c r="F2716" s="1" t="s">
        <v>12</v>
      </c>
      <c r="G2716" s="1" t="s">
        <v>12</v>
      </c>
      <c r="H2716" s="1" t="s">
        <v>13</v>
      </c>
      <c r="I2716" s="1" t="s">
        <v>13</v>
      </c>
      <c r="J2716" s="1" t="s">
        <v>27</v>
      </c>
      <c r="K2716" s="1">
        <v>0</v>
      </c>
      <c r="L2716" s="1" t="s">
        <v>49</v>
      </c>
      <c r="M2716" s="1" t="str">
        <f t="shared" si="42"/>
        <v>Consistent</v>
      </c>
      <c r="N2716" s="1" t="str">
        <f>_xlfn.XLOOKUP(H2716, risk_score!A:A, risk_score!B:B, 0)</f>
        <v>Low Risk</v>
      </c>
    </row>
    <row r="2717" spans="1:14">
      <c r="A2717" s="2">
        <v>0.51108796296296299</v>
      </c>
      <c r="B2717" s="3">
        <v>44841</v>
      </c>
      <c r="C2717" s="1">
        <v>1151481341</v>
      </c>
      <c r="D2717" s="1">
        <v>7024120025</v>
      </c>
      <c r="E2717" s="1">
        <v>800.97</v>
      </c>
      <c r="F2717" s="1" t="s">
        <v>12</v>
      </c>
      <c r="G2717" s="1" t="s">
        <v>12</v>
      </c>
      <c r="H2717" s="1" t="s">
        <v>13</v>
      </c>
      <c r="I2717" s="1" t="s">
        <v>13</v>
      </c>
      <c r="J2717" s="1" t="s">
        <v>27</v>
      </c>
      <c r="K2717" s="1">
        <v>0</v>
      </c>
      <c r="L2717" s="1" t="s">
        <v>21</v>
      </c>
      <c r="M2717" s="1" t="str">
        <f t="shared" si="42"/>
        <v>Consistent</v>
      </c>
      <c r="N2717" s="1" t="str">
        <f>_xlfn.XLOOKUP(H2717, risk_score!A:A, risk_score!B:B, 0)</f>
        <v>Low Risk</v>
      </c>
    </row>
    <row r="2718" spans="1:14">
      <c r="A2718" s="2">
        <v>0.51112268518518522</v>
      </c>
      <c r="B2718" s="3">
        <v>44841</v>
      </c>
      <c r="C2718" s="1">
        <v>6697419125</v>
      </c>
      <c r="D2718" s="1">
        <v>5466123934</v>
      </c>
      <c r="E2718" s="1">
        <v>7677.41</v>
      </c>
      <c r="F2718" s="1" t="s">
        <v>12</v>
      </c>
      <c r="G2718" s="1" t="s">
        <v>12</v>
      </c>
      <c r="H2718" s="1" t="s">
        <v>13</v>
      </c>
      <c r="I2718" s="1" t="s">
        <v>13</v>
      </c>
      <c r="J2718" s="1" t="s">
        <v>27</v>
      </c>
      <c r="K2718" s="1">
        <v>0</v>
      </c>
      <c r="L2718" s="1" t="s">
        <v>23</v>
      </c>
      <c r="M2718" s="1" t="str">
        <f t="shared" si="42"/>
        <v>Consistent</v>
      </c>
      <c r="N2718" s="1" t="str">
        <f>_xlfn.XLOOKUP(H2718, risk_score!A:A, risk_score!B:B, 0)</f>
        <v>Low Risk</v>
      </c>
    </row>
    <row r="2719" spans="1:14">
      <c r="A2719" s="2">
        <v>0.5111458333333333</v>
      </c>
      <c r="B2719" s="3">
        <v>44841</v>
      </c>
      <c r="C2719" s="1">
        <v>4659909437</v>
      </c>
      <c r="D2719" s="1">
        <v>1465487567</v>
      </c>
      <c r="E2719" s="1">
        <v>10710.16</v>
      </c>
      <c r="F2719" s="1" t="s">
        <v>12</v>
      </c>
      <c r="G2719" s="1" t="s">
        <v>12</v>
      </c>
      <c r="H2719" s="1" t="s">
        <v>13</v>
      </c>
      <c r="I2719" s="1" t="s">
        <v>13</v>
      </c>
      <c r="J2719" s="1" t="s">
        <v>27</v>
      </c>
      <c r="K2719" s="1">
        <v>0</v>
      </c>
      <c r="L2719" s="1" t="s">
        <v>23</v>
      </c>
      <c r="M2719" s="1" t="str">
        <f t="shared" si="42"/>
        <v>Consistent</v>
      </c>
      <c r="N2719" s="1" t="str">
        <f>_xlfn.XLOOKUP(H2719, risk_score!A:A, risk_score!B:B, 0)</f>
        <v>Low Risk</v>
      </c>
    </row>
    <row r="2720" spans="1:14">
      <c r="A2720" s="2">
        <v>0.5111458333333333</v>
      </c>
      <c r="B2720" s="3">
        <v>44841</v>
      </c>
      <c r="C2720" s="1">
        <v>9474817546</v>
      </c>
      <c r="D2720" s="1">
        <v>1493436023</v>
      </c>
      <c r="E2720" s="1">
        <v>33245.949999999997</v>
      </c>
      <c r="F2720" s="1" t="s">
        <v>12</v>
      </c>
      <c r="G2720" s="1" t="s">
        <v>12</v>
      </c>
      <c r="H2720" s="1" t="s">
        <v>13</v>
      </c>
      <c r="I2720" s="1" t="s">
        <v>13</v>
      </c>
      <c r="J2720" s="1" t="s">
        <v>22</v>
      </c>
      <c r="K2720" s="1">
        <v>0</v>
      </c>
      <c r="L2720" s="1" t="s">
        <v>23</v>
      </c>
      <c r="M2720" s="1" t="str">
        <f t="shared" si="42"/>
        <v>Consistent</v>
      </c>
      <c r="N2720" s="1" t="str">
        <f>_xlfn.XLOOKUP(H2720, risk_score!A:A, risk_score!B:B, 0)</f>
        <v>Low Risk</v>
      </c>
    </row>
    <row r="2721" spans="1:14">
      <c r="A2721" s="2">
        <v>0.51115740740740745</v>
      </c>
      <c r="B2721" s="3">
        <v>44841</v>
      </c>
      <c r="C2721" s="1">
        <v>4016309620</v>
      </c>
      <c r="D2721" s="1">
        <v>3664486901</v>
      </c>
      <c r="E2721" s="1">
        <v>3222.73</v>
      </c>
      <c r="F2721" s="1" t="s">
        <v>46</v>
      </c>
      <c r="G2721" s="1" t="s">
        <v>12</v>
      </c>
      <c r="H2721" s="1" t="s">
        <v>13</v>
      </c>
      <c r="I2721" s="1" t="s">
        <v>13</v>
      </c>
      <c r="J2721" s="1" t="s">
        <v>20</v>
      </c>
      <c r="K2721" s="1">
        <v>0</v>
      </c>
      <c r="L2721" s="1" t="s">
        <v>21</v>
      </c>
      <c r="M2721" s="1" t="str">
        <f t="shared" si="42"/>
        <v>Potential Layering</v>
      </c>
      <c r="N2721" s="1" t="str">
        <f>_xlfn.XLOOKUP(H2721, risk_score!A:A, risk_score!B:B, 0)</f>
        <v>Low Risk</v>
      </c>
    </row>
    <row r="2722" spans="1:14">
      <c r="A2722" s="2">
        <v>0.51118055555555553</v>
      </c>
      <c r="B2722" s="3">
        <v>44841</v>
      </c>
      <c r="C2722" s="1">
        <v>3614082527</v>
      </c>
      <c r="D2722" s="1">
        <v>3099235880</v>
      </c>
      <c r="E2722" s="1">
        <v>8913.67</v>
      </c>
      <c r="F2722" s="1" t="s">
        <v>12</v>
      </c>
      <c r="G2722" s="1" t="s">
        <v>12</v>
      </c>
      <c r="H2722" s="1" t="s">
        <v>13</v>
      </c>
      <c r="I2722" s="1" t="s">
        <v>13</v>
      </c>
      <c r="J2722" s="1" t="s">
        <v>20</v>
      </c>
      <c r="K2722" s="1">
        <v>0</v>
      </c>
      <c r="L2722" s="1" t="s">
        <v>19</v>
      </c>
      <c r="M2722" s="1" t="str">
        <f t="shared" si="42"/>
        <v>Consistent</v>
      </c>
      <c r="N2722" s="1" t="str">
        <f>_xlfn.XLOOKUP(H2722, risk_score!A:A, risk_score!B:B, 0)</f>
        <v>Low Risk</v>
      </c>
    </row>
    <row r="2723" spans="1:14">
      <c r="A2723" s="2">
        <v>0.51118055555555553</v>
      </c>
      <c r="B2723" s="3">
        <v>44841</v>
      </c>
      <c r="C2723" s="1">
        <v>9765674836</v>
      </c>
      <c r="D2723" s="1">
        <v>5930634382</v>
      </c>
      <c r="E2723" s="1">
        <v>1361.41</v>
      </c>
      <c r="F2723" s="1" t="s">
        <v>12</v>
      </c>
      <c r="G2723" s="1" t="s">
        <v>12</v>
      </c>
      <c r="H2723" s="1" t="s">
        <v>13</v>
      </c>
      <c r="I2723" s="1" t="s">
        <v>13</v>
      </c>
      <c r="J2723" s="1" t="s">
        <v>25</v>
      </c>
      <c r="K2723" s="1">
        <v>0</v>
      </c>
      <c r="L2723" s="1" t="s">
        <v>21</v>
      </c>
      <c r="M2723" s="1" t="str">
        <f t="shared" si="42"/>
        <v>Consistent</v>
      </c>
      <c r="N2723" s="1" t="str">
        <f>_xlfn.XLOOKUP(H2723, risk_score!A:A, risk_score!B:B, 0)</f>
        <v>Low Risk</v>
      </c>
    </row>
    <row r="2724" spans="1:14">
      <c r="A2724" s="2">
        <v>0.51118055555555553</v>
      </c>
      <c r="B2724" s="3">
        <v>44841</v>
      </c>
      <c r="C2724" s="1">
        <v>1144527098</v>
      </c>
      <c r="D2724" s="1">
        <v>1573801432</v>
      </c>
      <c r="E2724" s="1">
        <v>1003.82</v>
      </c>
      <c r="F2724" s="1" t="s">
        <v>12</v>
      </c>
      <c r="G2724" s="1" t="s">
        <v>12</v>
      </c>
      <c r="H2724" s="1" t="s">
        <v>13</v>
      </c>
      <c r="I2724" s="1" t="s">
        <v>13</v>
      </c>
      <c r="J2724" s="1" t="s">
        <v>27</v>
      </c>
      <c r="K2724" s="1">
        <v>0</v>
      </c>
      <c r="L2724" s="1" t="s">
        <v>21</v>
      </c>
      <c r="M2724" s="1" t="str">
        <f t="shared" si="42"/>
        <v>Consistent</v>
      </c>
      <c r="N2724" s="1" t="str">
        <f>_xlfn.XLOOKUP(H2724, risk_score!A:A, risk_score!B:B, 0)</f>
        <v>Low Risk</v>
      </c>
    </row>
    <row r="2725" spans="1:14">
      <c r="A2725" s="2">
        <v>0.51118055555555553</v>
      </c>
      <c r="B2725" s="3">
        <v>44841</v>
      </c>
      <c r="C2725" s="1">
        <v>4062313426</v>
      </c>
      <c r="D2725" s="1">
        <v>5645906625</v>
      </c>
      <c r="E2725" s="1">
        <v>15528.63</v>
      </c>
      <c r="F2725" s="1" t="s">
        <v>12</v>
      </c>
      <c r="G2725" s="1" t="s">
        <v>12</v>
      </c>
      <c r="H2725" s="1" t="s">
        <v>13</v>
      </c>
      <c r="I2725" s="1" t="s">
        <v>13</v>
      </c>
      <c r="J2725" s="1" t="s">
        <v>27</v>
      </c>
      <c r="K2725" s="1">
        <v>0</v>
      </c>
      <c r="L2725" s="1" t="s">
        <v>21</v>
      </c>
      <c r="M2725" s="1" t="str">
        <f t="shared" si="42"/>
        <v>Consistent</v>
      </c>
      <c r="N2725" s="1" t="str">
        <f>_xlfn.XLOOKUP(H2725, risk_score!A:A, risk_score!B:B, 0)</f>
        <v>Low Risk</v>
      </c>
    </row>
    <row r="2726" spans="1:14">
      <c r="A2726" s="2">
        <v>0.5112268518518519</v>
      </c>
      <c r="B2726" s="3">
        <v>44841</v>
      </c>
      <c r="C2726" s="1">
        <v>1655245537</v>
      </c>
      <c r="D2726" s="1">
        <v>6303054928</v>
      </c>
      <c r="E2726" s="1">
        <v>3544.21</v>
      </c>
      <c r="F2726" s="1" t="s">
        <v>12</v>
      </c>
      <c r="G2726" s="1" t="s">
        <v>12</v>
      </c>
      <c r="H2726" s="1" t="s">
        <v>13</v>
      </c>
      <c r="I2726" s="1" t="s">
        <v>13</v>
      </c>
      <c r="J2726" s="1" t="s">
        <v>20</v>
      </c>
      <c r="K2726" s="1">
        <v>0</v>
      </c>
      <c r="L2726" s="1" t="s">
        <v>24</v>
      </c>
      <c r="M2726" s="1" t="str">
        <f t="shared" si="42"/>
        <v>Consistent</v>
      </c>
      <c r="N2726" s="1" t="str">
        <f>_xlfn.XLOOKUP(H2726, risk_score!A:A, risk_score!B:B, 0)</f>
        <v>Low Risk</v>
      </c>
    </row>
    <row r="2727" spans="1:14">
      <c r="A2727" s="2">
        <v>0.51126157407407402</v>
      </c>
      <c r="B2727" s="3">
        <v>44841</v>
      </c>
      <c r="C2727" s="1">
        <v>9599009457</v>
      </c>
      <c r="D2727" s="1">
        <v>7617666829</v>
      </c>
      <c r="E2727" s="1">
        <v>4530.04</v>
      </c>
      <c r="F2727" s="1" t="s">
        <v>12</v>
      </c>
      <c r="G2727" s="1" t="s">
        <v>12</v>
      </c>
      <c r="H2727" s="1" t="s">
        <v>13</v>
      </c>
      <c r="I2727" s="1" t="s">
        <v>13</v>
      </c>
      <c r="J2727" s="1" t="s">
        <v>20</v>
      </c>
      <c r="K2727" s="1">
        <v>0</v>
      </c>
      <c r="L2727" s="1" t="s">
        <v>19</v>
      </c>
      <c r="M2727" s="1" t="str">
        <f t="shared" si="42"/>
        <v>Consistent</v>
      </c>
      <c r="N2727" s="1" t="str">
        <f>_xlfn.XLOOKUP(H2727, risk_score!A:A, risk_score!B:B, 0)</f>
        <v>Low Risk</v>
      </c>
    </row>
    <row r="2728" spans="1:14">
      <c r="A2728" s="2">
        <v>0.51134259259259263</v>
      </c>
      <c r="B2728" s="3">
        <v>44841</v>
      </c>
      <c r="C2728" s="1">
        <v>3168051873</v>
      </c>
      <c r="D2728" s="1">
        <v>6883932008</v>
      </c>
      <c r="E2728" s="1">
        <v>10257.6</v>
      </c>
      <c r="F2728" s="1" t="s">
        <v>12</v>
      </c>
      <c r="G2728" s="1" t="s">
        <v>12</v>
      </c>
      <c r="H2728" s="1" t="s">
        <v>13</v>
      </c>
      <c r="I2728" s="1" t="s">
        <v>13</v>
      </c>
      <c r="J2728" s="1" t="s">
        <v>25</v>
      </c>
      <c r="K2728" s="1">
        <v>0</v>
      </c>
      <c r="L2728" s="1" t="s">
        <v>19</v>
      </c>
      <c r="M2728" s="1" t="str">
        <f t="shared" si="42"/>
        <v>Consistent</v>
      </c>
      <c r="N2728" s="1" t="str">
        <f>_xlfn.XLOOKUP(H2728, risk_score!A:A, risk_score!B:B, 0)</f>
        <v>Low Risk</v>
      </c>
    </row>
    <row r="2729" spans="1:14">
      <c r="A2729" s="2">
        <v>0.51134259259259263</v>
      </c>
      <c r="B2729" s="3">
        <v>44841</v>
      </c>
      <c r="C2729" s="1">
        <v>7423492101</v>
      </c>
      <c r="D2729" s="1">
        <v>8172080174</v>
      </c>
      <c r="E2729" s="1">
        <v>10865.42</v>
      </c>
      <c r="F2729" s="1" t="s">
        <v>12</v>
      </c>
      <c r="G2729" s="1" t="s">
        <v>12</v>
      </c>
      <c r="H2729" s="1" t="s">
        <v>13</v>
      </c>
      <c r="I2729" s="1" t="s">
        <v>13</v>
      </c>
      <c r="J2729" s="1" t="s">
        <v>20</v>
      </c>
      <c r="K2729" s="1">
        <v>0</v>
      </c>
      <c r="L2729" s="1" t="s">
        <v>23</v>
      </c>
      <c r="M2729" s="1" t="str">
        <f t="shared" si="42"/>
        <v>Consistent</v>
      </c>
      <c r="N2729" s="1" t="str">
        <f>_xlfn.XLOOKUP(H2729, risk_score!A:A, risk_score!B:B, 0)</f>
        <v>Low Risk</v>
      </c>
    </row>
    <row r="2730" spans="1:14">
      <c r="A2730" s="2">
        <v>0.51138888888888889</v>
      </c>
      <c r="B2730" s="3">
        <v>44841</v>
      </c>
      <c r="C2730" s="1">
        <v>7662302219</v>
      </c>
      <c r="D2730" s="1">
        <v>2038780642</v>
      </c>
      <c r="E2730" s="1">
        <v>1747.46</v>
      </c>
      <c r="F2730" s="1" t="s">
        <v>12</v>
      </c>
      <c r="G2730" s="1" t="s">
        <v>12</v>
      </c>
      <c r="H2730" s="1" t="s">
        <v>13</v>
      </c>
      <c r="I2730" s="1" t="s">
        <v>13</v>
      </c>
      <c r="J2730" s="1" t="s">
        <v>25</v>
      </c>
      <c r="K2730" s="1">
        <v>0</v>
      </c>
      <c r="L2730" s="1" t="s">
        <v>21</v>
      </c>
      <c r="M2730" s="1" t="str">
        <f t="shared" si="42"/>
        <v>Consistent</v>
      </c>
      <c r="N2730" s="1" t="str">
        <f>_xlfn.XLOOKUP(H2730, risk_score!A:A, risk_score!B:B, 0)</f>
        <v>Low Risk</v>
      </c>
    </row>
    <row r="2731" spans="1:14">
      <c r="A2731" s="2">
        <v>0.51140046296296293</v>
      </c>
      <c r="B2731" s="3">
        <v>44841</v>
      </c>
      <c r="C2731" s="1">
        <v>5518400941</v>
      </c>
      <c r="D2731" s="1">
        <v>6118549602</v>
      </c>
      <c r="E2731" s="1">
        <v>5085.92</v>
      </c>
      <c r="F2731" s="1" t="s">
        <v>12</v>
      </c>
      <c r="G2731" s="1" t="s">
        <v>12</v>
      </c>
      <c r="H2731" s="1" t="s">
        <v>13</v>
      </c>
      <c r="I2731" s="1" t="s">
        <v>13</v>
      </c>
      <c r="J2731" s="1" t="s">
        <v>22</v>
      </c>
      <c r="K2731" s="1">
        <v>0</v>
      </c>
      <c r="L2731" s="1" t="s">
        <v>21</v>
      </c>
      <c r="M2731" s="1" t="str">
        <f t="shared" si="42"/>
        <v>Consistent</v>
      </c>
      <c r="N2731" s="1" t="str">
        <f>_xlfn.XLOOKUP(H2731, risk_score!A:A, risk_score!B:B, 0)</f>
        <v>Low Risk</v>
      </c>
    </row>
    <row r="2732" spans="1:14">
      <c r="A2732" s="2">
        <v>0.51148148148148154</v>
      </c>
      <c r="B2732" s="3">
        <v>44841</v>
      </c>
      <c r="C2732" s="1">
        <v>7501327339</v>
      </c>
      <c r="D2732" s="1">
        <v>8617863283</v>
      </c>
      <c r="E2732" s="1">
        <v>5741.27</v>
      </c>
      <c r="F2732" s="1" t="s">
        <v>12</v>
      </c>
      <c r="G2732" s="1" t="s">
        <v>12</v>
      </c>
      <c r="H2732" s="1" t="s">
        <v>13</v>
      </c>
      <c r="I2732" s="1" t="s">
        <v>13</v>
      </c>
      <c r="J2732" s="1" t="s">
        <v>20</v>
      </c>
      <c r="K2732" s="1">
        <v>0</v>
      </c>
      <c r="L2732" s="1" t="s">
        <v>19</v>
      </c>
      <c r="M2732" s="1" t="str">
        <f t="shared" si="42"/>
        <v>Consistent</v>
      </c>
      <c r="N2732" s="1" t="str">
        <f>_xlfn.XLOOKUP(H2732, risk_score!A:A, risk_score!B:B, 0)</f>
        <v>Low Risk</v>
      </c>
    </row>
    <row r="2733" spans="1:14">
      <c r="A2733" s="2">
        <v>0.51149305555555558</v>
      </c>
      <c r="B2733" s="3">
        <v>44841</v>
      </c>
      <c r="C2733" s="1">
        <v>5003688705</v>
      </c>
      <c r="D2733" s="1">
        <v>5489514642</v>
      </c>
      <c r="E2733" s="1">
        <v>1389.91</v>
      </c>
      <c r="F2733" s="1" t="s">
        <v>12</v>
      </c>
      <c r="G2733" s="1" t="s">
        <v>12</v>
      </c>
      <c r="H2733" s="1" t="s">
        <v>13</v>
      </c>
      <c r="I2733" s="1" t="s">
        <v>13</v>
      </c>
      <c r="J2733" s="1" t="s">
        <v>25</v>
      </c>
      <c r="K2733" s="1">
        <v>0</v>
      </c>
      <c r="L2733" s="1" t="s">
        <v>21</v>
      </c>
      <c r="M2733" s="1" t="str">
        <f t="shared" si="42"/>
        <v>Consistent</v>
      </c>
      <c r="N2733" s="1" t="str">
        <f>_xlfn.XLOOKUP(H2733, risk_score!A:A, risk_score!B:B, 0)</f>
        <v>Low Risk</v>
      </c>
    </row>
    <row r="2734" spans="1:14">
      <c r="A2734" s="2">
        <v>0.51165509259259256</v>
      </c>
      <c r="B2734" s="3">
        <v>44841</v>
      </c>
      <c r="C2734" s="1">
        <v>6404844146</v>
      </c>
      <c r="D2734" s="1">
        <v>5628674969</v>
      </c>
      <c r="E2734" s="1">
        <v>6807.22</v>
      </c>
      <c r="F2734" s="1" t="s">
        <v>12</v>
      </c>
      <c r="G2734" s="1" t="s">
        <v>12</v>
      </c>
      <c r="H2734" s="1" t="s">
        <v>13</v>
      </c>
      <c r="I2734" s="1" t="s">
        <v>13</v>
      </c>
      <c r="J2734" s="1" t="s">
        <v>22</v>
      </c>
      <c r="K2734" s="1">
        <v>0</v>
      </c>
      <c r="L2734" s="1" t="s">
        <v>23</v>
      </c>
      <c r="M2734" s="1" t="str">
        <f t="shared" si="42"/>
        <v>Consistent</v>
      </c>
      <c r="N2734" s="1" t="str">
        <f>_xlfn.XLOOKUP(H2734, risk_score!A:A, risk_score!B:B, 0)</f>
        <v>Low Risk</v>
      </c>
    </row>
    <row r="2735" spans="1:14">
      <c r="A2735" s="2">
        <v>0.51168981481481479</v>
      </c>
      <c r="B2735" s="3">
        <v>44841</v>
      </c>
      <c r="C2735" s="1">
        <v>4683170823</v>
      </c>
      <c r="D2735" s="1">
        <v>1071926353</v>
      </c>
      <c r="E2735" s="1">
        <v>590.14</v>
      </c>
      <c r="F2735" s="1" t="s">
        <v>12</v>
      </c>
      <c r="G2735" s="1" t="s">
        <v>12</v>
      </c>
      <c r="H2735" s="1" t="s">
        <v>13</v>
      </c>
      <c r="I2735" s="1" t="s">
        <v>13</v>
      </c>
      <c r="J2735" s="1" t="s">
        <v>20</v>
      </c>
      <c r="K2735" s="1">
        <v>0</v>
      </c>
      <c r="L2735" s="1" t="s">
        <v>21</v>
      </c>
      <c r="M2735" s="1" t="str">
        <f t="shared" si="42"/>
        <v>Consistent</v>
      </c>
      <c r="N2735" s="1" t="str">
        <f>_xlfn.XLOOKUP(H2735, risk_score!A:A, risk_score!B:B, 0)</f>
        <v>Low Risk</v>
      </c>
    </row>
    <row r="2736" spans="1:14">
      <c r="A2736" s="2">
        <v>0.51174768518518521</v>
      </c>
      <c r="B2736" s="3">
        <v>44841</v>
      </c>
      <c r="C2736" s="1">
        <v>6693329814</v>
      </c>
      <c r="D2736" s="1">
        <v>2784755986</v>
      </c>
      <c r="E2736" s="1">
        <v>3166.4</v>
      </c>
      <c r="F2736" s="1" t="s">
        <v>12</v>
      </c>
      <c r="G2736" s="1" t="s">
        <v>12</v>
      </c>
      <c r="H2736" s="1" t="s">
        <v>13</v>
      </c>
      <c r="I2736" s="1" t="s">
        <v>13</v>
      </c>
      <c r="J2736" s="1" t="s">
        <v>14</v>
      </c>
      <c r="K2736" s="1">
        <v>0</v>
      </c>
      <c r="L2736" s="1" t="s">
        <v>15</v>
      </c>
      <c r="M2736" s="1" t="str">
        <f t="shared" si="42"/>
        <v>Consistent</v>
      </c>
      <c r="N2736" s="1" t="str">
        <f>_xlfn.XLOOKUP(H2736, risk_score!A:A, risk_score!B:B, 0)</f>
        <v>Low Risk</v>
      </c>
    </row>
    <row r="2737" spans="1:14">
      <c r="A2737" s="2">
        <v>0.51179398148148147</v>
      </c>
      <c r="B2737" s="3">
        <v>44841</v>
      </c>
      <c r="C2737" s="1">
        <v>2365007895</v>
      </c>
      <c r="D2737" s="1">
        <v>5832927076</v>
      </c>
      <c r="E2737" s="1">
        <v>9887.9599999999991</v>
      </c>
      <c r="F2737" s="1" t="s">
        <v>12</v>
      </c>
      <c r="G2737" s="1" t="s">
        <v>12</v>
      </c>
      <c r="H2737" s="1" t="s">
        <v>13</v>
      </c>
      <c r="I2737" s="1" t="s">
        <v>13</v>
      </c>
      <c r="J2737" s="1" t="s">
        <v>20</v>
      </c>
      <c r="K2737" s="1">
        <v>0</v>
      </c>
      <c r="L2737" s="1" t="s">
        <v>19</v>
      </c>
      <c r="M2737" s="1" t="str">
        <f t="shared" si="42"/>
        <v>Consistent</v>
      </c>
      <c r="N2737" s="1" t="str">
        <f>_xlfn.XLOOKUP(H2737, risk_score!A:A, risk_score!B:B, 0)</f>
        <v>Low Risk</v>
      </c>
    </row>
    <row r="2738" spans="1:14">
      <c r="A2738" s="2">
        <v>0.51181712962962966</v>
      </c>
      <c r="B2738" s="3">
        <v>44841</v>
      </c>
      <c r="C2738" s="1">
        <v>1283259754</v>
      </c>
      <c r="D2738" s="1">
        <v>8996236833</v>
      </c>
      <c r="E2738" s="1">
        <v>2184.66</v>
      </c>
      <c r="F2738" s="1" t="s">
        <v>12</v>
      </c>
      <c r="G2738" s="1" t="s">
        <v>12</v>
      </c>
      <c r="H2738" s="1" t="s">
        <v>13</v>
      </c>
      <c r="I2738" s="1" t="s">
        <v>13</v>
      </c>
      <c r="J2738" s="1" t="s">
        <v>22</v>
      </c>
      <c r="K2738" s="1">
        <v>0</v>
      </c>
      <c r="L2738" s="1" t="s">
        <v>21</v>
      </c>
      <c r="M2738" s="1" t="str">
        <f t="shared" si="42"/>
        <v>Consistent</v>
      </c>
      <c r="N2738" s="1" t="str">
        <f>_xlfn.XLOOKUP(H2738, risk_score!A:A, risk_score!B:B, 0)</f>
        <v>Low Risk</v>
      </c>
    </row>
    <row r="2739" spans="1:14">
      <c r="A2739" s="2">
        <v>0.51181712962962966</v>
      </c>
      <c r="B2739" s="3">
        <v>44841</v>
      </c>
      <c r="C2739" s="1">
        <v>2923216853</v>
      </c>
      <c r="D2739" s="1">
        <v>5858600176</v>
      </c>
      <c r="E2739" s="1">
        <v>132.34</v>
      </c>
      <c r="F2739" s="1" t="s">
        <v>12</v>
      </c>
      <c r="G2739" s="1" t="s">
        <v>12</v>
      </c>
      <c r="H2739" s="1" t="s">
        <v>13</v>
      </c>
      <c r="I2739" s="1" t="s">
        <v>13</v>
      </c>
      <c r="J2739" s="1" t="s">
        <v>20</v>
      </c>
      <c r="K2739" s="1">
        <v>0</v>
      </c>
      <c r="L2739" s="1" t="s">
        <v>21</v>
      </c>
      <c r="M2739" s="1" t="str">
        <f t="shared" si="42"/>
        <v>Consistent</v>
      </c>
      <c r="N2739" s="1" t="str">
        <f>_xlfn.XLOOKUP(H2739, risk_score!A:A, risk_score!B:B, 0)</f>
        <v>Low Risk</v>
      </c>
    </row>
    <row r="2740" spans="1:14">
      <c r="A2740" s="2">
        <v>0.51185185185185189</v>
      </c>
      <c r="B2740" s="3">
        <v>44841</v>
      </c>
      <c r="C2740" s="1">
        <v>2969728250</v>
      </c>
      <c r="D2740" s="1">
        <v>5410017221</v>
      </c>
      <c r="E2740" s="1">
        <v>484.87</v>
      </c>
      <c r="F2740" s="1" t="s">
        <v>12</v>
      </c>
      <c r="G2740" s="1" t="s">
        <v>12</v>
      </c>
      <c r="H2740" s="1" t="s">
        <v>13</v>
      </c>
      <c r="I2740" s="1" t="s">
        <v>13</v>
      </c>
      <c r="J2740" s="1" t="s">
        <v>14</v>
      </c>
      <c r="K2740" s="1">
        <v>0</v>
      </c>
      <c r="L2740" s="1" t="s">
        <v>15</v>
      </c>
      <c r="M2740" s="1" t="str">
        <f t="shared" si="42"/>
        <v>Consistent</v>
      </c>
      <c r="N2740" s="1" t="str">
        <f>_xlfn.XLOOKUP(H2740, risk_score!A:A, risk_score!B:B, 0)</f>
        <v>Low Risk</v>
      </c>
    </row>
    <row r="2741" spans="1:14">
      <c r="A2741" s="2">
        <v>0.51187499999999997</v>
      </c>
      <c r="B2741" s="3">
        <v>44841</v>
      </c>
      <c r="C2741" s="1">
        <v>7892884492</v>
      </c>
      <c r="D2741" s="1">
        <v>7924201446</v>
      </c>
      <c r="E2741" s="1">
        <v>833</v>
      </c>
      <c r="F2741" s="1" t="s">
        <v>12</v>
      </c>
      <c r="G2741" s="1" t="s">
        <v>12</v>
      </c>
      <c r="H2741" s="1" t="s">
        <v>13</v>
      </c>
      <c r="I2741" s="1" t="s">
        <v>13</v>
      </c>
      <c r="J2741" s="1" t="s">
        <v>22</v>
      </c>
      <c r="K2741" s="1">
        <v>0</v>
      </c>
      <c r="L2741" s="1" t="s">
        <v>21</v>
      </c>
      <c r="M2741" s="1" t="str">
        <f t="shared" si="42"/>
        <v>Consistent</v>
      </c>
      <c r="N2741" s="1" t="str">
        <f>_xlfn.XLOOKUP(H2741, risk_score!A:A, risk_score!B:B, 0)</f>
        <v>Low Risk</v>
      </c>
    </row>
    <row r="2742" spans="1:14">
      <c r="A2742" s="2">
        <v>0.51189814814814816</v>
      </c>
      <c r="B2742" s="3">
        <v>44841</v>
      </c>
      <c r="C2742" s="1">
        <v>3238526156</v>
      </c>
      <c r="D2742" s="1">
        <v>1465487567</v>
      </c>
      <c r="E2742" s="1">
        <v>21187.71</v>
      </c>
      <c r="F2742" s="1" t="s">
        <v>12</v>
      </c>
      <c r="G2742" s="1" t="s">
        <v>12</v>
      </c>
      <c r="H2742" s="1" t="s">
        <v>13</v>
      </c>
      <c r="I2742" s="1" t="s">
        <v>13</v>
      </c>
      <c r="J2742" s="1" t="s">
        <v>20</v>
      </c>
      <c r="K2742" s="1">
        <v>0</v>
      </c>
      <c r="L2742" s="1" t="s">
        <v>23</v>
      </c>
      <c r="M2742" s="1" t="str">
        <f t="shared" si="42"/>
        <v>Consistent</v>
      </c>
      <c r="N2742" s="1" t="str">
        <f>_xlfn.XLOOKUP(H2742, risk_score!A:A, risk_score!B:B, 0)</f>
        <v>Low Risk</v>
      </c>
    </row>
    <row r="2743" spans="1:14">
      <c r="A2743" s="2">
        <v>0.51189814814814816</v>
      </c>
      <c r="B2743" s="3">
        <v>44841</v>
      </c>
      <c r="C2743" s="1">
        <v>2054022856</v>
      </c>
      <c r="D2743" s="1">
        <v>8530153651</v>
      </c>
      <c r="E2743" s="1">
        <v>22975.9</v>
      </c>
      <c r="F2743" s="1" t="s">
        <v>12</v>
      </c>
      <c r="G2743" s="1" t="s">
        <v>12</v>
      </c>
      <c r="H2743" s="1" t="s">
        <v>13</v>
      </c>
      <c r="I2743" s="1" t="s">
        <v>13</v>
      </c>
      <c r="J2743" s="1" t="s">
        <v>25</v>
      </c>
      <c r="K2743" s="1">
        <v>0</v>
      </c>
      <c r="L2743" s="1" t="s">
        <v>21</v>
      </c>
      <c r="M2743" s="1" t="str">
        <f t="shared" si="42"/>
        <v>Consistent</v>
      </c>
      <c r="N2743" s="1" t="str">
        <f>_xlfn.XLOOKUP(H2743, risk_score!A:A, risk_score!B:B, 0)</f>
        <v>Low Risk</v>
      </c>
    </row>
    <row r="2744" spans="1:14">
      <c r="A2744" s="2">
        <v>0.51195601851851846</v>
      </c>
      <c r="B2744" s="3">
        <v>44841</v>
      </c>
      <c r="C2744" s="1">
        <v>4237739179</v>
      </c>
      <c r="D2744" s="1">
        <v>2846742721</v>
      </c>
      <c r="E2744" s="1">
        <v>8634.52</v>
      </c>
      <c r="F2744" s="1" t="s">
        <v>12</v>
      </c>
      <c r="G2744" s="1" t="s">
        <v>12</v>
      </c>
      <c r="H2744" s="1" t="s">
        <v>13</v>
      </c>
      <c r="I2744" s="1" t="s">
        <v>13</v>
      </c>
      <c r="J2744" s="1" t="s">
        <v>20</v>
      </c>
      <c r="K2744" s="1">
        <v>0</v>
      </c>
      <c r="L2744" s="1" t="s">
        <v>21</v>
      </c>
      <c r="M2744" s="1" t="str">
        <f t="shared" si="42"/>
        <v>Consistent</v>
      </c>
      <c r="N2744" s="1" t="str">
        <f>_xlfn.XLOOKUP(H2744, risk_score!A:A, risk_score!B:B, 0)</f>
        <v>Low Risk</v>
      </c>
    </row>
    <row r="2745" spans="1:14">
      <c r="A2745" s="2">
        <v>0.51195601851851846</v>
      </c>
      <c r="B2745" s="3">
        <v>44841</v>
      </c>
      <c r="C2745" s="1">
        <v>9534729015</v>
      </c>
      <c r="D2745" s="1">
        <v>8091763232</v>
      </c>
      <c r="E2745" s="1">
        <v>6029.61</v>
      </c>
      <c r="F2745" s="1" t="s">
        <v>12</v>
      </c>
      <c r="G2745" s="1" t="s">
        <v>12</v>
      </c>
      <c r="H2745" s="1" t="s">
        <v>13</v>
      </c>
      <c r="I2745" s="1" t="s">
        <v>13</v>
      </c>
      <c r="J2745" s="1" t="s">
        <v>20</v>
      </c>
      <c r="K2745" s="1">
        <v>0</v>
      </c>
      <c r="L2745" s="1" t="s">
        <v>19</v>
      </c>
      <c r="M2745" s="1" t="str">
        <f t="shared" si="42"/>
        <v>Consistent</v>
      </c>
      <c r="N2745" s="1" t="str">
        <f>_xlfn.XLOOKUP(H2745, risk_score!A:A, risk_score!B:B, 0)</f>
        <v>Low Risk</v>
      </c>
    </row>
    <row r="2746" spans="1:14">
      <c r="A2746" s="2">
        <v>0.51197916666666665</v>
      </c>
      <c r="B2746" s="3">
        <v>44841</v>
      </c>
      <c r="C2746" s="1">
        <v>4109732596</v>
      </c>
      <c r="D2746" s="1">
        <v>5708936901</v>
      </c>
      <c r="E2746" s="1">
        <v>18124.3</v>
      </c>
      <c r="F2746" s="1" t="s">
        <v>12</v>
      </c>
      <c r="G2746" s="1" t="s">
        <v>12</v>
      </c>
      <c r="H2746" s="1" t="s">
        <v>13</v>
      </c>
      <c r="I2746" s="1" t="s">
        <v>13</v>
      </c>
      <c r="J2746" s="1" t="s">
        <v>22</v>
      </c>
      <c r="K2746" s="1">
        <v>0</v>
      </c>
      <c r="L2746" s="1" t="s">
        <v>23</v>
      </c>
      <c r="M2746" s="1" t="str">
        <f t="shared" si="42"/>
        <v>Consistent</v>
      </c>
      <c r="N2746" s="1" t="str">
        <f>_xlfn.XLOOKUP(H2746, risk_score!A:A, risk_score!B:B, 0)</f>
        <v>Low Risk</v>
      </c>
    </row>
    <row r="2747" spans="1:14">
      <c r="A2747" s="2">
        <v>0.51199074074074069</v>
      </c>
      <c r="B2747" s="3">
        <v>44841</v>
      </c>
      <c r="C2747" s="1">
        <v>847085739</v>
      </c>
      <c r="D2747" s="1">
        <v>1915072818</v>
      </c>
      <c r="E2747" s="1">
        <v>4046.92</v>
      </c>
      <c r="F2747" s="1" t="s">
        <v>12</v>
      </c>
      <c r="G2747" s="1" t="s">
        <v>12</v>
      </c>
      <c r="H2747" s="1" t="s">
        <v>13</v>
      </c>
      <c r="I2747" s="1" t="s">
        <v>13</v>
      </c>
      <c r="J2747" s="1" t="s">
        <v>25</v>
      </c>
      <c r="K2747" s="1">
        <v>0</v>
      </c>
      <c r="L2747" s="1" t="s">
        <v>21</v>
      </c>
      <c r="M2747" s="1" t="str">
        <f t="shared" si="42"/>
        <v>Consistent</v>
      </c>
      <c r="N2747" s="1" t="str">
        <f>_xlfn.XLOOKUP(H2747, risk_score!A:A, risk_score!B:B, 0)</f>
        <v>Low Risk</v>
      </c>
    </row>
    <row r="2748" spans="1:14">
      <c r="A2748" s="2">
        <v>0.51199074074074069</v>
      </c>
      <c r="B2748" s="3">
        <v>44841</v>
      </c>
      <c r="C2748" s="1">
        <v>8964753844</v>
      </c>
      <c r="D2748" s="1">
        <v>1069374206</v>
      </c>
      <c r="E2748" s="1">
        <v>2178.08</v>
      </c>
      <c r="F2748" s="1" t="s">
        <v>12</v>
      </c>
      <c r="G2748" s="1" t="s">
        <v>12</v>
      </c>
      <c r="H2748" s="1" t="s">
        <v>13</v>
      </c>
      <c r="I2748" s="1" t="s">
        <v>13</v>
      </c>
      <c r="J2748" s="1" t="s">
        <v>14</v>
      </c>
      <c r="K2748" s="1">
        <v>0</v>
      </c>
      <c r="L2748" s="1" t="s">
        <v>15</v>
      </c>
      <c r="M2748" s="1" t="str">
        <f t="shared" si="42"/>
        <v>Consistent</v>
      </c>
      <c r="N2748" s="1" t="str">
        <f>_xlfn.XLOOKUP(H2748, risk_score!A:A, risk_score!B:B, 0)</f>
        <v>Low Risk</v>
      </c>
    </row>
    <row r="2749" spans="1:14">
      <c r="A2749" s="2">
        <v>0.51200231481481484</v>
      </c>
      <c r="B2749" s="3">
        <v>44841</v>
      </c>
      <c r="C2749" s="1">
        <v>5021785800</v>
      </c>
      <c r="D2749" s="1">
        <v>9199525861</v>
      </c>
      <c r="E2749" s="1">
        <v>6673.84</v>
      </c>
      <c r="F2749" s="1" t="s">
        <v>12</v>
      </c>
      <c r="G2749" s="1" t="s">
        <v>39</v>
      </c>
      <c r="H2749" s="1" t="s">
        <v>13</v>
      </c>
      <c r="I2749" s="1" t="s">
        <v>13</v>
      </c>
      <c r="J2749" s="1" t="s">
        <v>27</v>
      </c>
      <c r="K2749" s="1">
        <v>0</v>
      </c>
      <c r="L2749" s="1" t="s">
        <v>19</v>
      </c>
      <c r="M2749" s="1" t="str">
        <f t="shared" si="42"/>
        <v>Potential Layering</v>
      </c>
      <c r="N2749" s="1" t="str">
        <f>_xlfn.XLOOKUP(H2749, risk_score!A:A, risk_score!B:B, 0)</f>
        <v>Low Risk</v>
      </c>
    </row>
    <row r="2750" spans="1:14">
      <c r="A2750" s="2">
        <v>0.51201388888888888</v>
      </c>
      <c r="B2750" s="3">
        <v>44841</v>
      </c>
      <c r="C2750" s="1">
        <v>7835567493</v>
      </c>
      <c r="D2750" s="1">
        <v>4805499748</v>
      </c>
      <c r="E2750" s="1">
        <v>237.46</v>
      </c>
      <c r="F2750" s="1" t="s">
        <v>12</v>
      </c>
      <c r="G2750" s="1" t="s">
        <v>12</v>
      </c>
      <c r="H2750" s="1" t="s">
        <v>13</v>
      </c>
      <c r="I2750" s="1" t="s">
        <v>13</v>
      </c>
      <c r="J2750" s="1" t="s">
        <v>36</v>
      </c>
      <c r="K2750" s="1">
        <v>0</v>
      </c>
      <c r="L2750" s="1" t="s">
        <v>37</v>
      </c>
      <c r="M2750" s="1" t="str">
        <f t="shared" si="42"/>
        <v>Consistent</v>
      </c>
      <c r="N2750" s="1" t="str">
        <f>_xlfn.XLOOKUP(H2750, risk_score!A:A, risk_score!B:B, 0)</f>
        <v>Low Risk</v>
      </c>
    </row>
    <row r="2751" spans="1:14">
      <c r="A2751" s="2">
        <v>0.51203703703703707</v>
      </c>
      <c r="B2751" s="3">
        <v>44841</v>
      </c>
      <c r="C2751" s="1">
        <v>2136084447</v>
      </c>
      <c r="D2751" s="1">
        <v>93607303</v>
      </c>
      <c r="E2751" s="1">
        <v>10318.34</v>
      </c>
      <c r="F2751" s="1" t="s">
        <v>12</v>
      </c>
      <c r="G2751" s="1" t="s">
        <v>12</v>
      </c>
      <c r="H2751" s="1" t="s">
        <v>13</v>
      </c>
      <c r="I2751" s="1" t="s">
        <v>13</v>
      </c>
      <c r="J2751" s="1" t="s">
        <v>25</v>
      </c>
      <c r="K2751" s="1">
        <v>0</v>
      </c>
      <c r="L2751" s="1" t="s">
        <v>21</v>
      </c>
      <c r="M2751" s="1" t="str">
        <f t="shared" si="42"/>
        <v>Consistent</v>
      </c>
      <c r="N2751" s="1" t="str">
        <f>_xlfn.XLOOKUP(H2751, risk_score!A:A, risk_score!B:B, 0)</f>
        <v>Low Risk</v>
      </c>
    </row>
    <row r="2752" spans="1:14">
      <c r="A2752" s="2">
        <v>0.51203703703703707</v>
      </c>
      <c r="B2752" s="3">
        <v>44841</v>
      </c>
      <c r="C2752" s="1">
        <v>6904668523</v>
      </c>
      <c r="D2752" s="1">
        <v>9136460589</v>
      </c>
      <c r="E2752" s="1">
        <v>13963.21</v>
      </c>
      <c r="F2752" s="1" t="s">
        <v>12</v>
      </c>
      <c r="G2752" s="1" t="s">
        <v>12</v>
      </c>
      <c r="H2752" s="1" t="s">
        <v>13</v>
      </c>
      <c r="I2752" s="1" t="s">
        <v>13</v>
      </c>
      <c r="J2752" s="1" t="s">
        <v>27</v>
      </c>
      <c r="K2752" s="1">
        <v>0</v>
      </c>
      <c r="L2752" s="1" t="s">
        <v>19</v>
      </c>
      <c r="M2752" s="1" t="str">
        <f t="shared" si="42"/>
        <v>Consistent</v>
      </c>
      <c r="N2752" s="1" t="str">
        <f>_xlfn.XLOOKUP(H2752, risk_score!A:A, risk_score!B:B, 0)</f>
        <v>Low Risk</v>
      </c>
    </row>
    <row r="2753" spans="1:14">
      <c r="A2753" s="2">
        <v>0.51209490740740737</v>
      </c>
      <c r="B2753" s="3">
        <v>44841</v>
      </c>
      <c r="C2753" s="1">
        <v>3033453299</v>
      </c>
      <c r="D2753" s="1">
        <v>5858369125</v>
      </c>
      <c r="E2753" s="1">
        <v>21084.99</v>
      </c>
      <c r="F2753" s="1" t="s">
        <v>12</v>
      </c>
      <c r="G2753" s="1" t="s">
        <v>12</v>
      </c>
      <c r="H2753" s="1" t="s">
        <v>13</v>
      </c>
      <c r="I2753" s="1" t="s">
        <v>13</v>
      </c>
      <c r="J2753" s="1" t="s">
        <v>20</v>
      </c>
      <c r="K2753" s="1">
        <v>0</v>
      </c>
      <c r="L2753" s="1" t="s">
        <v>23</v>
      </c>
      <c r="M2753" s="1" t="str">
        <f t="shared" si="42"/>
        <v>Consistent</v>
      </c>
      <c r="N2753" s="1" t="str">
        <f>_xlfn.XLOOKUP(H2753, risk_score!A:A, risk_score!B:B, 0)</f>
        <v>Low Risk</v>
      </c>
    </row>
    <row r="2754" spans="1:14">
      <c r="A2754" s="2">
        <v>0.51211805555555556</v>
      </c>
      <c r="B2754" s="3">
        <v>44841</v>
      </c>
      <c r="C2754" s="1">
        <v>5160368521</v>
      </c>
      <c r="D2754" s="1">
        <v>4837170425</v>
      </c>
      <c r="E2754" s="1">
        <v>386.53</v>
      </c>
      <c r="F2754" s="1" t="s">
        <v>12</v>
      </c>
      <c r="G2754" s="1" t="s">
        <v>12</v>
      </c>
      <c r="H2754" s="1" t="s">
        <v>13</v>
      </c>
      <c r="I2754" s="1" t="s">
        <v>13</v>
      </c>
      <c r="J2754" s="1" t="s">
        <v>22</v>
      </c>
      <c r="K2754" s="1">
        <v>0</v>
      </c>
      <c r="L2754" s="1" t="s">
        <v>21</v>
      </c>
      <c r="M2754" s="1" t="str">
        <f t="shared" si="42"/>
        <v>Consistent</v>
      </c>
      <c r="N2754" s="1" t="str">
        <f>_xlfn.XLOOKUP(H2754, risk_score!A:A, risk_score!B:B, 0)</f>
        <v>Low Risk</v>
      </c>
    </row>
    <row r="2755" spans="1:14">
      <c r="A2755" s="2">
        <v>0.5121296296296296</v>
      </c>
      <c r="B2755" s="3">
        <v>44841</v>
      </c>
      <c r="C2755" s="1">
        <v>8987848252</v>
      </c>
      <c r="D2755" s="1">
        <v>7140265767</v>
      </c>
      <c r="E2755" s="1">
        <v>5362.17</v>
      </c>
      <c r="F2755" s="1" t="s">
        <v>12</v>
      </c>
      <c r="G2755" s="1" t="s">
        <v>12</v>
      </c>
      <c r="H2755" s="1" t="s">
        <v>13</v>
      </c>
      <c r="I2755" s="1" t="s">
        <v>13</v>
      </c>
      <c r="J2755" s="1" t="s">
        <v>25</v>
      </c>
      <c r="K2755" s="1">
        <v>0</v>
      </c>
      <c r="L2755" s="1" t="s">
        <v>19</v>
      </c>
      <c r="M2755" s="1" t="str">
        <f t="shared" ref="M2755:M2818" si="43">IF(F2755=G2755, "Consistent", "Potential Layering")</f>
        <v>Consistent</v>
      </c>
      <c r="N2755" s="1" t="str">
        <f>_xlfn.XLOOKUP(H2755, risk_score!A:A, risk_score!B:B, 0)</f>
        <v>Low Risk</v>
      </c>
    </row>
    <row r="2756" spans="1:14">
      <c r="A2756" s="2">
        <v>0.51215277777777779</v>
      </c>
      <c r="B2756" s="3">
        <v>44841</v>
      </c>
      <c r="C2756" s="1">
        <v>5559627213</v>
      </c>
      <c r="D2756" s="1">
        <v>2701434021</v>
      </c>
      <c r="E2756" s="1">
        <v>3932.67</v>
      </c>
      <c r="F2756" s="1" t="s">
        <v>12</v>
      </c>
      <c r="G2756" s="1" t="s">
        <v>12</v>
      </c>
      <c r="H2756" s="1" t="s">
        <v>13</v>
      </c>
      <c r="I2756" s="1" t="s">
        <v>13</v>
      </c>
      <c r="J2756" s="1" t="s">
        <v>22</v>
      </c>
      <c r="K2756" s="1">
        <v>0</v>
      </c>
      <c r="L2756" s="1" t="s">
        <v>24</v>
      </c>
      <c r="M2756" s="1" t="str">
        <f t="shared" si="43"/>
        <v>Consistent</v>
      </c>
      <c r="N2756" s="1" t="str">
        <f>_xlfn.XLOOKUP(H2756, risk_score!A:A, risk_score!B:B, 0)</f>
        <v>Low Risk</v>
      </c>
    </row>
    <row r="2757" spans="1:14">
      <c r="A2757" s="2">
        <v>0.51219907407407406</v>
      </c>
      <c r="B2757" s="3">
        <v>44841</v>
      </c>
      <c r="C2757" s="1">
        <v>3935240690</v>
      </c>
      <c r="D2757" s="1">
        <v>4835743431</v>
      </c>
      <c r="E2757" s="1">
        <v>290.39</v>
      </c>
      <c r="F2757" s="1" t="s">
        <v>12</v>
      </c>
      <c r="G2757" s="1" t="s">
        <v>12</v>
      </c>
      <c r="H2757" s="1" t="s">
        <v>13</v>
      </c>
      <c r="I2757" s="1" t="s">
        <v>13</v>
      </c>
      <c r="J2757" s="1" t="s">
        <v>14</v>
      </c>
      <c r="K2757" s="1">
        <v>0</v>
      </c>
      <c r="L2757" s="1" t="s">
        <v>15</v>
      </c>
      <c r="M2757" s="1" t="str">
        <f t="shared" si="43"/>
        <v>Consistent</v>
      </c>
      <c r="N2757" s="1" t="str">
        <f>_xlfn.XLOOKUP(H2757, risk_score!A:A, risk_score!B:B, 0)</f>
        <v>Low Risk</v>
      </c>
    </row>
    <row r="2758" spans="1:14">
      <c r="A2758" s="2">
        <v>0.51222222222222225</v>
      </c>
      <c r="B2758" s="3">
        <v>44841</v>
      </c>
      <c r="C2758" s="1">
        <v>8744741584</v>
      </c>
      <c r="D2758" s="1">
        <v>5675697876</v>
      </c>
      <c r="E2758" s="1">
        <v>769.9</v>
      </c>
      <c r="F2758" s="1" t="s">
        <v>12</v>
      </c>
      <c r="G2758" s="1" t="s">
        <v>12</v>
      </c>
      <c r="H2758" s="1" t="s">
        <v>13</v>
      </c>
      <c r="I2758" s="1" t="s">
        <v>13</v>
      </c>
      <c r="J2758" s="1" t="s">
        <v>20</v>
      </c>
      <c r="K2758" s="1">
        <v>0</v>
      </c>
      <c r="L2758" s="1" t="s">
        <v>24</v>
      </c>
      <c r="M2758" s="1" t="str">
        <f t="shared" si="43"/>
        <v>Consistent</v>
      </c>
      <c r="N2758" s="1" t="str">
        <f>_xlfn.XLOOKUP(H2758, risk_score!A:A, risk_score!B:B, 0)</f>
        <v>Low Risk</v>
      </c>
    </row>
    <row r="2759" spans="1:14">
      <c r="A2759" s="2">
        <v>0.51228009259259255</v>
      </c>
      <c r="B2759" s="3">
        <v>44841</v>
      </c>
      <c r="C2759" s="1">
        <v>4781337233</v>
      </c>
      <c r="D2759" s="1">
        <v>9161019439</v>
      </c>
      <c r="E2759" s="1">
        <v>966.65</v>
      </c>
      <c r="F2759" s="1" t="s">
        <v>12</v>
      </c>
      <c r="G2759" s="1" t="s">
        <v>12</v>
      </c>
      <c r="H2759" s="1" t="s">
        <v>13</v>
      </c>
      <c r="I2759" s="1" t="s">
        <v>13</v>
      </c>
      <c r="J2759" s="1" t="s">
        <v>22</v>
      </c>
      <c r="K2759" s="1">
        <v>0</v>
      </c>
      <c r="L2759" s="1" t="s">
        <v>21</v>
      </c>
      <c r="M2759" s="1" t="str">
        <f t="shared" si="43"/>
        <v>Consistent</v>
      </c>
      <c r="N2759" s="1" t="str">
        <f>_xlfn.XLOOKUP(H2759, risk_score!A:A, risk_score!B:B, 0)</f>
        <v>Low Risk</v>
      </c>
    </row>
    <row r="2760" spans="1:14">
      <c r="A2760" s="2">
        <v>0.51230324074074074</v>
      </c>
      <c r="B2760" s="3">
        <v>44841</v>
      </c>
      <c r="C2760" s="1">
        <v>3755597977</v>
      </c>
      <c r="D2760" s="1">
        <v>9968335822</v>
      </c>
      <c r="E2760" s="1">
        <v>13553.61</v>
      </c>
      <c r="F2760" s="1" t="s">
        <v>12</v>
      </c>
      <c r="G2760" s="1" t="s">
        <v>12</v>
      </c>
      <c r="H2760" s="1" t="s">
        <v>13</v>
      </c>
      <c r="I2760" s="1" t="s">
        <v>13</v>
      </c>
      <c r="J2760" s="1" t="s">
        <v>25</v>
      </c>
      <c r="K2760" s="1">
        <v>0</v>
      </c>
      <c r="L2760" s="1" t="s">
        <v>21</v>
      </c>
      <c r="M2760" s="1" t="str">
        <f t="shared" si="43"/>
        <v>Consistent</v>
      </c>
      <c r="N2760" s="1" t="str">
        <f>_xlfn.XLOOKUP(H2760, risk_score!A:A, risk_score!B:B, 0)</f>
        <v>Low Risk</v>
      </c>
    </row>
    <row r="2761" spans="1:14">
      <c r="A2761" s="2">
        <v>0.51230324074074074</v>
      </c>
      <c r="B2761" s="3">
        <v>44841</v>
      </c>
      <c r="C2761" s="1">
        <v>8293014194</v>
      </c>
      <c r="D2761" s="1">
        <v>2821044224</v>
      </c>
      <c r="E2761" s="1">
        <v>5305.32</v>
      </c>
      <c r="F2761" s="1" t="s">
        <v>12</v>
      </c>
      <c r="G2761" s="1" t="s">
        <v>12</v>
      </c>
      <c r="H2761" s="1" t="s">
        <v>13</v>
      </c>
      <c r="I2761" s="1" t="s">
        <v>13</v>
      </c>
      <c r="J2761" s="1" t="s">
        <v>27</v>
      </c>
      <c r="K2761" s="1">
        <v>0</v>
      </c>
      <c r="L2761" s="1" t="s">
        <v>21</v>
      </c>
      <c r="M2761" s="1" t="str">
        <f t="shared" si="43"/>
        <v>Consistent</v>
      </c>
      <c r="N2761" s="1" t="str">
        <f>_xlfn.XLOOKUP(H2761, risk_score!A:A, risk_score!B:B, 0)</f>
        <v>Low Risk</v>
      </c>
    </row>
    <row r="2762" spans="1:14">
      <c r="A2762" s="2">
        <v>0.51231481481481478</v>
      </c>
      <c r="B2762" s="3">
        <v>44841</v>
      </c>
      <c r="C2762" s="1">
        <v>3098573757</v>
      </c>
      <c r="D2762" s="1">
        <v>1017657480</v>
      </c>
      <c r="E2762" s="1">
        <v>3566.88</v>
      </c>
      <c r="F2762" s="1" t="s">
        <v>12</v>
      </c>
      <c r="G2762" s="1" t="s">
        <v>12</v>
      </c>
      <c r="H2762" s="1" t="s">
        <v>13</v>
      </c>
      <c r="I2762" s="1" t="s">
        <v>13</v>
      </c>
      <c r="J2762" s="1" t="s">
        <v>25</v>
      </c>
      <c r="K2762" s="1">
        <v>0</v>
      </c>
      <c r="L2762" s="1" t="s">
        <v>21</v>
      </c>
      <c r="M2762" s="1" t="str">
        <f t="shared" si="43"/>
        <v>Consistent</v>
      </c>
      <c r="N2762" s="1" t="str">
        <f>_xlfn.XLOOKUP(H2762, risk_score!A:A, risk_score!B:B, 0)</f>
        <v>Low Risk</v>
      </c>
    </row>
    <row r="2763" spans="1:14">
      <c r="A2763" s="2">
        <v>0.51233796296296297</v>
      </c>
      <c r="B2763" s="3">
        <v>44841</v>
      </c>
      <c r="C2763" s="1">
        <v>7773069042</v>
      </c>
      <c r="D2763" s="1">
        <v>4524645107</v>
      </c>
      <c r="E2763" s="1">
        <v>4500.97</v>
      </c>
      <c r="F2763" s="1" t="s">
        <v>12</v>
      </c>
      <c r="G2763" s="1" t="s">
        <v>12</v>
      </c>
      <c r="H2763" s="1" t="s">
        <v>13</v>
      </c>
      <c r="I2763" s="1" t="s">
        <v>13</v>
      </c>
      <c r="J2763" s="1" t="s">
        <v>25</v>
      </c>
      <c r="K2763" s="1">
        <v>0</v>
      </c>
      <c r="L2763" s="1" t="s">
        <v>21</v>
      </c>
      <c r="M2763" s="1" t="str">
        <f t="shared" si="43"/>
        <v>Consistent</v>
      </c>
      <c r="N2763" s="1" t="str">
        <f>_xlfn.XLOOKUP(H2763, risk_score!A:A, risk_score!B:B, 0)</f>
        <v>Low Risk</v>
      </c>
    </row>
    <row r="2764" spans="1:14">
      <c r="A2764" s="2">
        <v>0.51237268518518519</v>
      </c>
      <c r="B2764" s="3">
        <v>44841</v>
      </c>
      <c r="C2764" s="1">
        <v>1220646142</v>
      </c>
      <c r="D2764" s="1">
        <v>8172080174</v>
      </c>
      <c r="E2764" s="1">
        <v>7829.92</v>
      </c>
      <c r="F2764" s="1" t="s">
        <v>28</v>
      </c>
      <c r="G2764" s="1" t="s">
        <v>12</v>
      </c>
      <c r="H2764" s="1" t="s">
        <v>57</v>
      </c>
      <c r="I2764" s="1" t="s">
        <v>13</v>
      </c>
      <c r="J2764" s="1" t="s">
        <v>18</v>
      </c>
      <c r="K2764" s="1">
        <v>0</v>
      </c>
      <c r="L2764" s="1" t="s">
        <v>23</v>
      </c>
      <c r="M2764" s="1" t="str">
        <f t="shared" si="43"/>
        <v>Potential Layering</v>
      </c>
      <c r="N2764" s="1" t="str">
        <f>_xlfn.XLOOKUP(H2764, risk_score!A:A, risk_score!B:B, 0)</f>
        <v>High Risk</v>
      </c>
    </row>
    <row r="2765" spans="1:14">
      <c r="A2765" s="2">
        <v>0.51239583333333338</v>
      </c>
      <c r="B2765" s="3">
        <v>44841</v>
      </c>
      <c r="C2765" s="1">
        <v>4779352309</v>
      </c>
      <c r="D2765" s="1">
        <v>1689947317</v>
      </c>
      <c r="E2765" s="1">
        <v>9806.6</v>
      </c>
      <c r="F2765" s="1" t="s">
        <v>12</v>
      </c>
      <c r="G2765" s="1" t="s">
        <v>12</v>
      </c>
      <c r="H2765" s="1" t="s">
        <v>13</v>
      </c>
      <c r="I2765" s="1" t="s">
        <v>13</v>
      </c>
      <c r="J2765" s="1" t="s">
        <v>25</v>
      </c>
      <c r="K2765" s="1">
        <v>0</v>
      </c>
      <c r="L2765" s="1" t="s">
        <v>21</v>
      </c>
      <c r="M2765" s="1" t="str">
        <f t="shared" si="43"/>
        <v>Consistent</v>
      </c>
      <c r="N2765" s="1" t="str">
        <f>_xlfn.XLOOKUP(H2765, risk_score!A:A, risk_score!B:B, 0)</f>
        <v>Low Risk</v>
      </c>
    </row>
    <row r="2766" spans="1:14">
      <c r="A2766" s="2">
        <v>0.51240740740740742</v>
      </c>
      <c r="B2766" s="3">
        <v>44841</v>
      </c>
      <c r="C2766" s="1">
        <v>9186430345</v>
      </c>
      <c r="D2766" s="1">
        <v>3354575344</v>
      </c>
      <c r="E2766" s="1">
        <v>5057.82</v>
      </c>
      <c r="F2766" s="1" t="s">
        <v>12</v>
      </c>
      <c r="G2766" s="1" t="s">
        <v>12</v>
      </c>
      <c r="H2766" s="1" t="s">
        <v>13</v>
      </c>
      <c r="I2766" s="1" t="s">
        <v>13</v>
      </c>
      <c r="J2766" s="1" t="s">
        <v>22</v>
      </c>
      <c r="K2766" s="1">
        <v>0</v>
      </c>
      <c r="L2766" s="1" t="s">
        <v>24</v>
      </c>
      <c r="M2766" s="1" t="str">
        <f t="shared" si="43"/>
        <v>Consistent</v>
      </c>
      <c r="N2766" s="1" t="str">
        <f>_xlfn.XLOOKUP(H2766, risk_score!A:A, risk_score!B:B, 0)</f>
        <v>Low Risk</v>
      </c>
    </row>
    <row r="2767" spans="1:14">
      <c r="A2767" s="2">
        <v>0.51245370370370369</v>
      </c>
      <c r="B2767" s="3">
        <v>44841</v>
      </c>
      <c r="C2767" s="1">
        <v>1300794618</v>
      </c>
      <c r="D2767" s="1">
        <v>2138505015</v>
      </c>
      <c r="E2767" s="1">
        <v>7803.02</v>
      </c>
      <c r="F2767" s="1" t="s">
        <v>29</v>
      </c>
      <c r="G2767" s="1" t="s">
        <v>16</v>
      </c>
      <c r="H2767" s="1" t="s">
        <v>31</v>
      </c>
      <c r="I2767" s="1" t="s">
        <v>17</v>
      </c>
      <c r="J2767" s="1" t="s">
        <v>18</v>
      </c>
      <c r="K2767" s="1">
        <v>0</v>
      </c>
      <c r="L2767" s="1" t="s">
        <v>23</v>
      </c>
      <c r="M2767" s="1" t="str">
        <f t="shared" si="43"/>
        <v>Potential Layering</v>
      </c>
      <c r="N2767" s="1" t="str">
        <f>_xlfn.XLOOKUP(H2767, risk_score!A:A, risk_score!B:B, 0)</f>
        <v>Low Risk</v>
      </c>
    </row>
    <row r="2768" spans="1:14">
      <c r="A2768" s="2">
        <v>0.51245370370370369</v>
      </c>
      <c r="B2768" s="3">
        <v>44841</v>
      </c>
      <c r="C2768" s="1">
        <v>9762796943</v>
      </c>
      <c r="D2768" s="1">
        <v>1493436023</v>
      </c>
      <c r="E2768" s="1">
        <v>7887.34</v>
      </c>
      <c r="F2768" s="1" t="s">
        <v>12</v>
      </c>
      <c r="G2768" s="1" t="s">
        <v>12</v>
      </c>
      <c r="H2768" s="1" t="s">
        <v>13</v>
      </c>
      <c r="I2768" s="1" t="s">
        <v>13</v>
      </c>
      <c r="J2768" s="1" t="s">
        <v>20</v>
      </c>
      <c r="K2768" s="1">
        <v>0</v>
      </c>
      <c r="L2768" s="1" t="s">
        <v>23</v>
      </c>
      <c r="M2768" s="1" t="str">
        <f t="shared" si="43"/>
        <v>Consistent</v>
      </c>
      <c r="N2768" s="1" t="str">
        <f>_xlfn.XLOOKUP(H2768, risk_score!A:A, risk_score!B:B, 0)</f>
        <v>Low Risk</v>
      </c>
    </row>
    <row r="2769" spans="1:14">
      <c r="A2769" s="2">
        <v>0.51248842592592592</v>
      </c>
      <c r="B2769" s="3">
        <v>44841</v>
      </c>
      <c r="C2769" s="1">
        <v>8273126721</v>
      </c>
      <c r="D2769" s="1">
        <v>409707192</v>
      </c>
      <c r="E2769" s="1">
        <v>6078.84</v>
      </c>
      <c r="F2769" s="1" t="s">
        <v>12</v>
      </c>
      <c r="G2769" s="1" t="s">
        <v>12</v>
      </c>
      <c r="H2769" s="1" t="s">
        <v>13</v>
      </c>
      <c r="I2769" s="1" t="s">
        <v>13</v>
      </c>
      <c r="J2769" s="1" t="s">
        <v>27</v>
      </c>
      <c r="K2769" s="1">
        <v>0</v>
      </c>
      <c r="L2769" s="1" t="s">
        <v>23</v>
      </c>
      <c r="M2769" s="1" t="str">
        <f t="shared" si="43"/>
        <v>Consistent</v>
      </c>
      <c r="N2769" s="1" t="str">
        <f>_xlfn.XLOOKUP(H2769, risk_score!A:A, risk_score!B:B, 0)</f>
        <v>Low Risk</v>
      </c>
    </row>
    <row r="2770" spans="1:14">
      <c r="A2770" s="2">
        <v>0.51249999999999996</v>
      </c>
      <c r="B2770" s="3">
        <v>44841</v>
      </c>
      <c r="C2770" s="1">
        <v>889096335</v>
      </c>
      <c r="D2770" s="1">
        <v>4173195094</v>
      </c>
      <c r="E2770" s="1">
        <v>9873.7999999999993</v>
      </c>
      <c r="F2770" s="1" t="s">
        <v>12</v>
      </c>
      <c r="G2770" s="1" t="s">
        <v>12</v>
      </c>
      <c r="H2770" s="1" t="s">
        <v>13</v>
      </c>
      <c r="I2770" s="1" t="s">
        <v>13</v>
      </c>
      <c r="J2770" s="1" t="s">
        <v>20</v>
      </c>
      <c r="K2770" s="1">
        <v>0</v>
      </c>
      <c r="L2770" s="1" t="s">
        <v>23</v>
      </c>
      <c r="M2770" s="1" t="str">
        <f t="shared" si="43"/>
        <v>Consistent</v>
      </c>
      <c r="N2770" s="1" t="str">
        <f>_xlfn.XLOOKUP(H2770, risk_score!A:A, risk_score!B:B, 0)</f>
        <v>Low Risk</v>
      </c>
    </row>
    <row r="2771" spans="1:14">
      <c r="A2771" s="2">
        <v>0.51255787037037037</v>
      </c>
      <c r="B2771" s="3">
        <v>44841</v>
      </c>
      <c r="C2771" s="1">
        <v>166015829</v>
      </c>
      <c r="D2771" s="1">
        <v>1701666523</v>
      </c>
      <c r="E2771" s="1">
        <v>756.78</v>
      </c>
      <c r="F2771" s="1" t="s">
        <v>12</v>
      </c>
      <c r="G2771" s="1" t="s">
        <v>12</v>
      </c>
      <c r="H2771" s="1" t="s">
        <v>13</v>
      </c>
      <c r="I2771" s="1" t="s">
        <v>13</v>
      </c>
      <c r="J2771" s="1" t="s">
        <v>25</v>
      </c>
      <c r="K2771" s="1">
        <v>0</v>
      </c>
      <c r="L2771" s="1" t="s">
        <v>21</v>
      </c>
      <c r="M2771" s="1" t="str">
        <f t="shared" si="43"/>
        <v>Consistent</v>
      </c>
      <c r="N2771" s="1" t="str">
        <f>_xlfn.XLOOKUP(H2771, risk_score!A:A, risk_score!B:B, 0)</f>
        <v>Low Risk</v>
      </c>
    </row>
    <row r="2772" spans="1:14">
      <c r="A2772" s="2">
        <v>0.51256944444444441</v>
      </c>
      <c r="B2772" s="3">
        <v>44841</v>
      </c>
      <c r="C2772" s="1">
        <v>6124368301</v>
      </c>
      <c r="D2772" s="1">
        <v>170086039</v>
      </c>
      <c r="E2772" s="1">
        <v>1215.8399999999999</v>
      </c>
      <c r="F2772" s="1" t="s">
        <v>12</v>
      </c>
      <c r="G2772" s="1" t="s">
        <v>12</v>
      </c>
      <c r="H2772" s="1" t="s">
        <v>13</v>
      </c>
      <c r="I2772" s="1" t="s">
        <v>13</v>
      </c>
      <c r="J2772" s="1" t="s">
        <v>22</v>
      </c>
      <c r="K2772" s="1">
        <v>0</v>
      </c>
      <c r="L2772" s="1" t="s">
        <v>38</v>
      </c>
      <c r="M2772" s="1" t="str">
        <f t="shared" si="43"/>
        <v>Consistent</v>
      </c>
      <c r="N2772" s="1" t="str">
        <f>_xlfn.XLOOKUP(H2772, risk_score!A:A, risk_score!B:B, 0)</f>
        <v>Low Risk</v>
      </c>
    </row>
    <row r="2773" spans="1:14">
      <c r="A2773" s="2">
        <v>0.51256944444444441</v>
      </c>
      <c r="B2773" s="3">
        <v>44841</v>
      </c>
      <c r="C2773" s="1">
        <v>4752527973</v>
      </c>
      <c r="D2773" s="1">
        <v>8779943173</v>
      </c>
      <c r="E2773" s="1">
        <v>2547.6</v>
      </c>
      <c r="F2773" s="1" t="s">
        <v>12</v>
      </c>
      <c r="G2773" s="1" t="s">
        <v>12</v>
      </c>
      <c r="H2773" s="1" t="s">
        <v>13</v>
      </c>
      <c r="I2773" s="1" t="s">
        <v>13</v>
      </c>
      <c r="J2773" s="1" t="s">
        <v>25</v>
      </c>
      <c r="K2773" s="1">
        <v>0</v>
      </c>
      <c r="L2773" s="1" t="s">
        <v>21</v>
      </c>
      <c r="M2773" s="1" t="str">
        <f t="shared" si="43"/>
        <v>Consistent</v>
      </c>
      <c r="N2773" s="1" t="str">
        <f>_xlfn.XLOOKUP(H2773, risk_score!A:A, risk_score!B:B, 0)</f>
        <v>Low Risk</v>
      </c>
    </row>
    <row r="2774" spans="1:14">
      <c r="A2774" s="2">
        <v>0.51258101851851856</v>
      </c>
      <c r="B2774" s="3">
        <v>44841</v>
      </c>
      <c r="C2774" s="1">
        <v>1491989064</v>
      </c>
      <c r="D2774" s="1">
        <v>5088960637</v>
      </c>
      <c r="E2774" s="1">
        <v>4404.09</v>
      </c>
      <c r="F2774" s="1" t="s">
        <v>12</v>
      </c>
      <c r="G2774" s="1" t="s">
        <v>46</v>
      </c>
      <c r="H2774" s="1" t="s">
        <v>13</v>
      </c>
      <c r="I2774" s="1" t="s">
        <v>47</v>
      </c>
      <c r="J2774" s="1" t="s">
        <v>18</v>
      </c>
      <c r="K2774" s="1">
        <v>0</v>
      </c>
      <c r="L2774" s="1" t="s">
        <v>19</v>
      </c>
      <c r="M2774" s="1" t="str">
        <f t="shared" si="43"/>
        <v>Potential Layering</v>
      </c>
      <c r="N2774" s="1" t="str">
        <f>_xlfn.XLOOKUP(H2774, risk_score!A:A, risk_score!B:B, 0)</f>
        <v>Low Risk</v>
      </c>
    </row>
    <row r="2775" spans="1:14">
      <c r="A2775" s="2">
        <v>0.51260416666666664</v>
      </c>
      <c r="B2775" s="3">
        <v>44841</v>
      </c>
      <c r="C2775" s="1">
        <v>2947370387</v>
      </c>
      <c r="D2775" s="1">
        <v>4678539890</v>
      </c>
      <c r="E2775" s="1">
        <v>2683.59</v>
      </c>
      <c r="F2775" s="1" t="s">
        <v>12</v>
      </c>
      <c r="G2775" s="1" t="s">
        <v>12</v>
      </c>
      <c r="H2775" s="1" t="s">
        <v>13</v>
      </c>
      <c r="I2775" s="1" t="s">
        <v>13</v>
      </c>
      <c r="J2775" s="1" t="s">
        <v>22</v>
      </c>
      <c r="K2775" s="1">
        <v>0</v>
      </c>
      <c r="L2775" s="1" t="s">
        <v>21</v>
      </c>
      <c r="M2775" s="1" t="str">
        <f t="shared" si="43"/>
        <v>Consistent</v>
      </c>
      <c r="N2775" s="1" t="str">
        <f>_xlfn.XLOOKUP(H2775, risk_score!A:A, risk_score!B:B, 0)</f>
        <v>Low Risk</v>
      </c>
    </row>
    <row r="2776" spans="1:14">
      <c r="A2776" s="2">
        <v>0.51260416666666664</v>
      </c>
      <c r="B2776" s="3">
        <v>44841</v>
      </c>
      <c r="C2776" s="1">
        <v>5459041199</v>
      </c>
      <c r="D2776" s="1">
        <v>2980429389</v>
      </c>
      <c r="E2776" s="1">
        <v>320.14</v>
      </c>
      <c r="F2776" s="1" t="s">
        <v>12</v>
      </c>
      <c r="G2776" s="1" t="s">
        <v>12</v>
      </c>
      <c r="H2776" s="1" t="s">
        <v>13</v>
      </c>
      <c r="I2776" s="1" t="s">
        <v>13</v>
      </c>
      <c r="J2776" s="1" t="s">
        <v>27</v>
      </c>
      <c r="K2776" s="1">
        <v>0</v>
      </c>
      <c r="L2776" s="1" t="s">
        <v>21</v>
      </c>
      <c r="M2776" s="1" t="str">
        <f t="shared" si="43"/>
        <v>Consistent</v>
      </c>
      <c r="N2776" s="1" t="str">
        <f>_xlfn.XLOOKUP(H2776, risk_score!A:A, risk_score!B:B, 0)</f>
        <v>Low Risk</v>
      </c>
    </row>
    <row r="2777" spans="1:14">
      <c r="A2777" s="2">
        <v>0.51260416666666664</v>
      </c>
      <c r="B2777" s="3">
        <v>44841</v>
      </c>
      <c r="C2777" s="1">
        <v>4185990194</v>
      </c>
      <c r="D2777" s="1">
        <v>563240951</v>
      </c>
      <c r="E2777" s="1">
        <v>2412.83</v>
      </c>
      <c r="F2777" s="1" t="s">
        <v>12</v>
      </c>
      <c r="G2777" s="1" t="s">
        <v>12</v>
      </c>
      <c r="H2777" s="1" t="s">
        <v>13</v>
      </c>
      <c r="I2777" s="1" t="s">
        <v>13</v>
      </c>
      <c r="J2777" s="1" t="s">
        <v>25</v>
      </c>
      <c r="K2777" s="1">
        <v>0</v>
      </c>
      <c r="L2777" s="1" t="s">
        <v>24</v>
      </c>
      <c r="M2777" s="1" t="str">
        <f t="shared" si="43"/>
        <v>Consistent</v>
      </c>
      <c r="N2777" s="1" t="str">
        <f>_xlfn.XLOOKUP(H2777, risk_score!A:A, risk_score!B:B, 0)</f>
        <v>Low Risk</v>
      </c>
    </row>
    <row r="2778" spans="1:14">
      <c r="A2778" s="2">
        <v>0.51261574074074079</v>
      </c>
      <c r="B2778" s="3">
        <v>44841</v>
      </c>
      <c r="C2778" s="1">
        <v>1382495057</v>
      </c>
      <c r="D2778" s="1">
        <v>1963292234</v>
      </c>
      <c r="E2778" s="1">
        <v>33973.78</v>
      </c>
      <c r="F2778" s="1" t="s">
        <v>59</v>
      </c>
      <c r="G2778" s="1" t="s">
        <v>12</v>
      </c>
      <c r="H2778" s="1" t="s">
        <v>60</v>
      </c>
      <c r="I2778" s="1" t="s">
        <v>13</v>
      </c>
      <c r="J2778" s="1" t="s">
        <v>18</v>
      </c>
      <c r="K2778" s="1">
        <v>0</v>
      </c>
      <c r="L2778" s="1" t="s">
        <v>49</v>
      </c>
      <c r="M2778" s="1" t="str">
        <f t="shared" si="43"/>
        <v>Potential Layering</v>
      </c>
      <c r="N2778" s="1" t="str">
        <f>_xlfn.XLOOKUP(H2778, risk_score!A:A, risk_score!B:B, 0)</f>
        <v>Medium Risk</v>
      </c>
    </row>
    <row r="2779" spans="1:14">
      <c r="A2779" s="2">
        <v>0.51261574074074079</v>
      </c>
      <c r="B2779" s="3">
        <v>44841</v>
      </c>
      <c r="C2779" s="1">
        <v>2365007895</v>
      </c>
      <c r="D2779" s="1">
        <v>3606979593</v>
      </c>
      <c r="E2779" s="1">
        <v>5122.1400000000003</v>
      </c>
      <c r="F2779" s="1" t="s">
        <v>12</v>
      </c>
      <c r="G2779" s="1" t="s">
        <v>12</v>
      </c>
      <c r="H2779" s="1" t="s">
        <v>13</v>
      </c>
      <c r="I2779" s="1" t="s">
        <v>13</v>
      </c>
      <c r="J2779" s="1" t="s">
        <v>27</v>
      </c>
      <c r="K2779" s="1">
        <v>0</v>
      </c>
      <c r="L2779" s="1" t="s">
        <v>19</v>
      </c>
      <c r="M2779" s="1" t="str">
        <f t="shared" si="43"/>
        <v>Consistent</v>
      </c>
      <c r="N2779" s="1" t="str">
        <f>_xlfn.XLOOKUP(H2779, risk_score!A:A, risk_score!B:B, 0)</f>
        <v>Low Risk</v>
      </c>
    </row>
    <row r="2780" spans="1:14">
      <c r="A2780" s="2">
        <v>0.51265046296296302</v>
      </c>
      <c r="B2780" s="3">
        <v>44841</v>
      </c>
      <c r="C2780" s="1">
        <v>2797271466</v>
      </c>
      <c r="D2780" s="1">
        <v>4528663768</v>
      </c>
      <c r="E2780" s="1">
        <v>7438.45</v>
      </c>
      <c r="F2780" s="1" t="s">
        <v>12</v>
      </c>
      <c r="G2780" s="1" t="s">
        <v>12</v>
      </c>
      <c r="H2780" s="1" t="s">
        <v>13</v>
      </c>
      <c r="I2780" s="1" t="s">
        <v>13</v>
      </c>
      <c r="J2780" s="1" t="s">
        <v>22</v>
      </c>
      <c r="K2780" s="1">
        <v>0</v>
      </c>
      <c r="L2780" s="1" t="s">
        <v>19</v>
      </c>
      <c r="M2780" s="1" t="str">
        <f t="shared" si="43"/>
        <v>Consistent</v>
      </c>
      <c r="N2780" s="1" t="str">
        <f>_xlfn.XLOOKUP(H2780, risk_score!A:A, risk_score!B:B, 0)</f>
        <v>Low Risk</v>
      </c>
    </row>
    <row r="2781" spans="1:14">
      <c r="A2781" s="2">
        <v>0.51267361111111109</v>
      </c>
      <c r="B2781" s="3">
        <v>44841</v>
      </c>
      <c r="C2781" s="1">
        <v>6500285205</v>
      </c>
      <c r="D2781" s="1">
        <v>5061618637</v>
      </c>
      <c r="E2781" s="1">
        <v>3836.96</v>
      </c>
      <c r="F2781" s="1" t="s">
        <v>12</v>
      </c>
      <c r="G2781" s="1" t="s">
        <v>12</v>
      </c>
      <c r="H2781" s="1" t="s">
        <v>13</v>
      </c>
      <c r="I2781" s="1" t="s">
        <v>13</v>
      </c>
      <c r="J2781" s="1" t="s">
        <v>20</v>
      </c>
      <c r="K2781" s="1">
        <v>0</v>
      </c>
      <c r="L2781" s="1" t="s">
        <v>21</v>
      </c>
      <c r="M2781" s="1" t="str">
        <f t="shared" si="43"/>
        <v>Consistent</v>
      </c>
      <c r="N2781" s="1" t="str">
        <f>_xlfn.XLOOKUP(H2781, risk_score!A:A, risk_score!B:B, 0)</f>
        <v>Low Risk</v>
      </c>
    </row>
    <row r="2782" spans="1:14">
      <c r="A2782" s="2">
        <v>0.51267361111111109</v>
      </c>
      <c r="B2782" s="3">
        <v>44841</v>
      </c>
      <c r="C2782" s="1">
        <v>5354297720</v>
      </c>
      <c r="D2782" s="1">
        <v>5628674969</v>
      </c>
      <c r="E2782" s="1">
        <v>8513.6200000000008</v>
      </c>
      <c r="F2782" s="1" t="s">
        <v>34</v>
      </c>
      <c r="G2782" s="1" t="s">
        <v>12</v>
      </c>
      <c r="H2782" s="1" t="s">
        <v>35</v>
      </c>
      <c r="I2782" s="1" t="s">
        <v>13</v>
      </c>
      <c r="J2782" s="1" t="s">
        <v>18</v>
      </c>
      <c r="K2782" s="1">
        <v>0</v>
      </c>
      <c r="L2782" s="1" t="s">
        <v>23</v>
      </c>
      <c r="M2782" s="1" t="str">
        <f t="shared" si="43"/>
        <v>Potential Layering</v>
      </c>
      <c r="N2782" s="1" t="str">
        <f>_xlfn.XLOOKUP(H2782, risk_score!A:A, risk_score!B:B, 0)</f>
        <v>High Risk</v>
      </c>
    </row>
    <row r="2783" spans="1:14">
      <c r="A2783" s="2">
        <v>0.51269675925925928</v>
      </c>
      <c r="B2783" s="3">
        <v>44841</v>
      </c>
      <c r="C2783" s="1">
        <v>9334364016</v>
      </c>
      <c r="D2783" s="1">
        <v>7892884492</v>
      </c>
      <c r="E2783" s="1">
        <v>5174.6400000000003</v>
      </c>
      <c r="F2783" s="1" t="s">
        <v>12</v>
      </c>
      <c r="G2783" s="1" t="s">
        <v>32</v>
      </c>
      <c r="H2783" s="1" t="s">
        <v>13</v>
      </c>
      <c r="I2783" s="1" t="s">
        <v>33</v>
      </c>
      <c r="J2783" s="1" t="s">
        <v>18</v>
      </c>
      <c r="K2783" s="1">
        <v>0</v>
      </c>
      <c r="L2783" s="1" t="s">
        <v>23</v>
      </c>
      <c r="M2783" s="1" t="str">
        <f t="shared" si="43"/>
        <v>Potential Layering</v>
      </c>
      <c r="N2783" s="1" t="str">
        <f>_xlfn.XLOOKUP(H2783, risk_score!A:A, risk_score!B:B, 0)</f>
        <v>Low Risk</v>
      </c>
    </row>
    <row r="2784" spans="1:14">
      <c r="A2784" s="2">
        <v>0.51269675925925928</v>
      </c>
      <c r="B2784" s="3">
        <v>44841</v>
      </c>
      <c r="C2784" s="1">
        <v>7837354873</v>
      </c>
      <c r="D2784" s="1">
        <v>2534644942</v>
      </c>
      <c r="E2784" s="1">
        <v>7818.14</v>
      </c>
      <c r="F2784" s="1" t="s">
        <v>12</v>
      </c>
      <c r="G2784" s="1" t="s">
        <v>29</v>
      </c>
      <c r="H2784" s="1" t="s">
        <v>13</v>
      </c>
      <c r="I2784" s="1" t="s">
        <v>31</v>
      </c>
      <c r="J2784" s="1" t="s">
        <v>18</v>
      </c>
      <c r="K2784" s="1">
        <v>0</v>
      </c>
      <c r="L2784" s="1" t="s">
        <v>23</v>
      </c>
      <c r="M2784" s="1" t="str">
        <f t="shared" si="43"/>
        <v>Potential Layering</v>
      </c>
      <c r="N2784" s="1" t="str">
        <f>_xlfn.XLOOKUP(H2784, risk_score!A:A, risk_score!B:B, 0)</f>
        <v>Low Risk</v>
      </c>
    </row>
    <row r="2785" spans="1:14">
      <c r="A2785" s="2">
        <v>0.51270833333333332</v>
      </c>
      <c r="B2785" s="3">
        <v>44841</v>
      </c>
      <c r="C2785" s="1">
        <v>8282676132</v>
      </c>
      <c r="D2785" s="1">
        <v>6060853662</v>
      </c>
      <c r="E2785" s="1">
        <v>4672.59</v>
      </c>
      <c r="F2785" s="1" t="s">
        <v>34</v>
      </c>
      <c r="G2785" s="1" t="s">
        <v>12</v>
      </c>
      <c r="H2785" s="1" t="s">
        <v>35</v>
      </c>
      <c r="I2785" s="1" t="s">
        <v>13</v>
      </c>
      <c r="J2785" s="1" t="s">
        <v>18</v>
      </c>
      <c r="K2785" s="1">
        <v>0</v>
      </c>
      <c r="L2785" s="1" t="s">
        <v>21</v>
      </c>
      <c r="M2785" s="1" t="str">
        <f t="shared" si="43"/>
        <v>Potential Layering</v>
      </c>
      <c r="N2785" s="1" t="str">
        <f>_xlfn.XLOOKUP(H2785, risk_score!A:A, risk_score!B:B, 0)</f>
        <v>High Risk</v>
      </c>
    </row>
    <row r="2786" spans="1:14">
      <c r="A2786" s="2">
        <v>0.51282407407407404</v>
      </c>
      <c r="B2786" s="3">
        <v>44841</v>
      </c>
      <c r="C2786" s="1">
        <v>7964772730</v>
      </c>
      <c r="D2786" s="1">
        <v>7050354985</v>
      </c>
      <c r="E2786" s="1">
        <v>1963.03</v>
      </c>
      <c r="F2786" s="1" t="s">
        <v>12</v>
      </c>
      <c r="G2786" s="1" t="s">
        <v>12</v>
      </c>
      <c r="H2786" s="1" t="s">
        <v>13</v>
      </c>
      <c r="I2786" s="1" t="s">
        <v>13</v>
      </c>
      <c r="J2786" s="1" t="s">
        <v>22</v>
      </c>
      <c r="K2786" s="1">
        <v>0</v>
      </c>
      <c r="L2786" s="1" t="s">
        <v>21</v>
      </c>
      <c r="M2786" s="1" t="str">
        <f t="shared" si="43"/>
        <v>Consistent</v>
      </c>
      <c r="N2786" s="1" t="str">
        <f>_xlfn.XLOOKUP(H2786, risk_score!A:A, risk_score!B:B, 0)</f>
        <v>Low Risk</v>
      </c>
    </row>
    <row r="2787" spans="1:14">
      <c r="A2787" s="2">
        <v>0.51283564814814819</v>
      </c>
      <c r="B2787" s="3">
        <v>44841</v>
      </c>
      <c r="C2787" s="1">
        <v>1491989064</v>
      </c>
      <c r="D2787" s="1">
        <v>3672723354</v>
      </c>
      <c r="E2787" s="1">
        <v>4754.07</v>
      </c>
      <c r="F2787" s="1" t="s">
        <v>12</v>
      </c>
      <c r="G2787" s="1" t="s">
        <v>12</v>
      </c>
      <c r="H2787" s="1" t="s">
        <v>13</v>
      </c>
      <c r="I2787" s="1" t="s">
        <v>13</v>
      </c>
      <c r="J2787" s="1" t="s">
        <v>27</v>
      </c>
      <c r="K2787" s="1">
        <v>0</v>
      </c>
      <c r="L2787" s="1" t="s">
        <v>19</v>
      </c>
      <c r="M2787" s="1" t="str">
        <f t="shared" si="43"/>
        <v>Consistent</v>
      </c>
      <c r="N2787" s="1" t="str">
        <f>_xlfn.XLOOKUP(H2787, risk_score!A:A, risk_score!B:B, 0)</f>
        <v>Low Risk</v>
      </c>
    </row>
    <row r="2788" spans="1:14">
      <c r="A2788" s="2">
        <v>0.51284722222222223</v>
      </c>
      <c r="B2788" s="3">
        <v>44841</v>
      </c>
      <c r="C2788" s="1">
        <v>5982914936</v>
      </c>
      <c r="D2788" s="1">
        <v>1167200543</v>
      </c>
      <c r="E2788" s="1">
        <v>17896.37</v>
      </c>
      <c r="F2788" s="1" t="s">
        <v>12</v>
      </c>
      <c r="G2788" s="1" t="s">
        <v>12</v>
      </c>
      <c r="H2788" s="1" t="s">
        <v>13</v>
      </c>
      <c r="I2788" s="1" t="s">
        <v>13</v>
      </c>
      <c r="J2788" s="1" t="s">
        <v>22</v>
      </c>
      <c r="K2788" s="1">
        <v>0</v>
      </c>
      <c r="L2788" s="1" t="s">
        <v>19</v>
      </c>
      <c r="M2788" s="1" t="str">
        <f t="shared" si="43"/>
        <v>Consistent</v>
      </c>
      <c r="N2788" s="1" t="str">
        <f>_xlfn.XLOOKUP(H2788, risk_score!A:A, risk_score!B:B, 0)</f>
        <v>Low Risk</v>
      </c>
    </row>
    <row r="2789" spans="1:14">
      <c r="A2789" s="2">
        <v>0.51285879629629627</v>
      </c>
      <c r="B2789" s="3">
        <v>44841</v>
      </c>
      <c r="C2789" s="1">
        <v>5191517544</v>
      </c>
      <c r="D2789" s="1">
        <v>9430909651</v>
      </c>
      <c r="E2789" s="1">
        <v>34.74</v>
      </c>
      <c r="F2789" s="1" t="s">
        <v>12</v>
      </c>
      <c r="G2789" s="1" t="s">
        <v>12</v>
      </c>
      <c r="H2789" s="1" t="s">
        <v>13</v>
      </c>
      <c r="I2789" s="1" t="s">
        <v>13</v>
      </c>
      <c r="J2789" s="1" t="s">
        <v>36</v>
      </c>
      <c r="K2789" s="1">
        <v>0</v>
      </c>
      <c r="L2789" s="1" t="s">
        <v>37</v>
      </c>
      <c r="M2789" s="1" t="str">
        <f t="shared" si="43"/>
        <v>Consistent</v>
      </c>
      <c r="N2789" s="1" t="str">
        <f>_xlfn.XLOOKUP(H2789, risk_score!A:A, risk_score!B:B, 0)</f>
        <v>Low Risk</v>
      </c>
    </row>
    <row r="2790" spans="1:14">
      <c r="A2790" s="2">
        <v>0.51287037037037042</v>
      </c>
      <c r="B2790" s="3">
        <v>44841</v>
      </c>
      <c r="C2790" s="1">
        <v>7421451752</v>
      </c>
      <c r="D2790" s="1">
        <v>1702377336</v>
      </c>
      <c r="E2790" s="1">
        <v>6576.41</v>
      </c>
      <c r="F2790" s="1" t="s">
        <v>12</v>
      </c>
      <c r="G2790" s="1" t="s">
        <v>12</v>
      </c>
      <c r="H2790" s="1" t="s">
        <v>13</v>
      </c>
      <c r="I2790" s="1" t="s">
        <v>13</v>
      </c>
      <c r="J2790" s="1" t="s">
        <v>25</v>
      </c>
      <c r="K2790" s="1">
        <v>0</v>
      </c>
      <c r="L2790" s="1" t="s">
        <v>19</v>
      </c>
      <c r="M2790" s="1" t="str">
        <f t="shared" si="43"/>
        <v>Consistent</v>
      </c>
      <c r="N2790" s="1" t="str">
        <f>_xlfn.XLOOKUP(H2790, risk_score!A:A, risk_score!B:B, 0)</f>
        <v>Low Risk</v>
      </c>
    </row>
    <row r="2791" spans="1:14">
      <c r="A2791" s="2">
        <v>0.5128935185185185</v>
      </c>
      <c r="B2791" s="3">
        <v>44841</v>
      </c>
      <c r="C2791" s="1">
        <v>3168051873</v>
      </c>
      <c r="D2791" s="1">
        <v>6138274964</v>
      </c>
      <c r="E2791" s="1">
        <v>5231.58</v>
      </c>
      <c r="F2791" s="1" t="s">
        <v>12</v>
      </c>
      <c r="G2791" s="1" t="s">
        <v>12</v>
      </c>
      <c r="H2791" s="1" t="s">
        <v>13</v>
      </c>
      <c r="I2791" s="1" t="s">
        <v>13</v>
      </c>
      <c r="J2791" s="1" t="s">
        <v>27</v>
      </c>
      <c r="K2791" s="1">
        <v>0</v>
      </c>
      <c r="L2791" s="1" t="s">
        <v>19</v>
      </c>
      <c r="M2791" s="1" t="str">
        <f t="shared" si="43"/>
        <v>Consistent</v>
      </c>
      <c r="N2791" s="1" t="str">
        <f>_xlfn.XLOOKUP(H2791, risk_score!A:A, risk_score!B:B, 0)</f>
        <v>Low Risk</v>
      </c>
    </row>
    <row r="2792" spans="1:14">
      <c r="A2792" s="2">
        <v>0.51290509259259254</v>
      </c>
      <c r="B2792" s="3">
        <v>44841</v>
      </c>
      <c r="C2792" s="1">
        <v>7991153253</v>
      </c>
      <c r="D2792" s="1">
        <v>5896180453</v>
      </c>
      <c r="E2792" s="1">
        <v>18347.04</v>
      </c>
      <c r="F2792" s="1" t="s">
        <v>12</v>
      </c>
      <c r="G2792" s="1" t="s">
        <v>12</v>
      </c>
      <c r="H2792" s="1" t="s">
        <v>13</v>
      </c>
      <c r="I2792" s="1" t="s">
        <v>13</v>
      </c>
      <c r="J2792" s="1" t="s">
        <v>27</v>
      </c>
      <c r="K2792" s="1">
        <v>0</v>
      </c>
      <c r="L2792" s="1" t="s">
        <v>23</v>
      </c>
      <c r="M2792" s="1" t="str">
        <f t="shared" si="43"/>
        <v>Consistent</v>
      </c>
      <c r="N2792" s="1" t="str">
        <f>_xlfn.XLOOKUP(H2792, risk_score!A:A, risk_score!B:B, 0)</f>
        <v>Low Risk</v>
      </c>
    </row>
    <row r="2793" spans="1:14">
      <c r="A2793" s="2">
        <v>0.51302083333333337</v>
      </c>
      <c r="B2793" s="3">
        <v>44841</v>
      </c>
      <c r="C2793" s="1">
        <v>362167556</v>
      </c>
      <c r="D2793" s="1">
        <v>105185176</v>
      </c>
      <c r="E2793" s="1">
        <v>509.05</v>
      </c>
      <c r="F2793" s="1" t="s">
        <v>12</v>
      </c>
      <c r="G2793" s="1" t="s">
        <v>12</v>
      </c>
      <c r="H2793" s="1" t="s">
        <v>13</v>
      </c>
      <c r="I2793" s="1" t="s">
        <v>13</v>
      </c>
      <c r="J2793" s="1" t="s">
        <v>14</v>
      </c>
      <c r="K2793" s="1">
        <v>0</v>
      </c>
      <c r="L2793" s="1" t="s">
        <v>15</v>
      </c>
      <c r="M2793" s="1" t="str">
        <f t="shared" si="43"/>
        <v>Consistent</v>
      </c>
      <c r="N2793" s="1" t="str">
        <f>_xlfn.XLOOKUP(H2793, risk_score!A:A, risk_score!B:B, 0)</f>
        <v>Low Risk</v>
      </c>
    </row>
    <row r="2794" spans="1:14">
      <c r="A2794" s="2">
        <v>0.51306712962962964</v>
      </c>
      <c r="B2794" s="3">
        <v>44841</v>
      </c>
      <c r="C2794" s="1">
        <v>6711017809</v>
      </c>
      <c r="D2794" s="1">
        <v>8912097394</v>
      </c>
      <c r="E2794" s="1">
        <v>3238.38</v>
      </c>
      <c r="F2794" s="1" t="s">
        <v>12</v>
      </c>
      <c r="G2794" s="1" t="s">
        <v>12</v>
      </c>
      <c r="H2794" s="1" t="s">
        <v>13</v>
      </c>
      <c r="I2794" s="1" t="s">
        <v>13</v>
      </c>
      <c r="J2794" s="1" t="s">
        <v>22</v>
      </c>
      <c r="K2794" s="1">
        <v>0</v>
      </c>
      <c r="L2794" s="1" t="s">
        <v>24</v>
      </c>
      <c r="M2794" s="1" t="str">
        <f t="shared" si="43"/>
        <v>Consistent</v>
      </c>
      <c r="N2794" s="1" t="str">
        <f>_xlfn.XLOOKUP(H2794, risk_score!A:A, risk_score!B:B, 0)</f>
        <v>Low Risk</v>
      </c>
    </row>
    <row r="2795" spans="1:14">
      <c r="A2795" s="2">
        <v>0.51313657407407409</v>
      </c>
      <c r="B2795" s="3">
        <v>44841</v>
      </c>
      <c r="C2795" s="1">
        <v>7657265532</v>
      </c>
      <c r="D2795" s="1">
        <v>25235776</v>
      </c>
      <c r="E2795" s="1">
        <v>820.96</v>
      </c>
      <c r="F2795" s="1" t="s">
        <v>12</v>
      </c>
      <c r="G2795" s="1" t="s">
        <v>12</v>
      </c>
      <c r="H2795" s="1" t="s">
        <v>13</v>
      </c>
      <c r="I2795" s="1" t="s">
        <v>13</v>
      </c>
      <c r="J2795" s="1" t="s">
        <v>20</v>
      </c>
      <c r="K2795" s="1">
        <v>0</v>
      </c>
      <c r="L2795" s="1" t="s">
        <v>21</v>
      </c>
      <c r="M2795" s="1" t="str">
        <f t="shared" si="43"/>
        <v>Consistent</v>
      </c>
      <c r="N2795" s="1" t="str">
        <f>_xlfn.XLOOKUP(H2795, risk_score!A:A, risk_score!B:B, 0)</f>
        <v>Low Risk</v>
      </c>
    </row>
    <row r="2796" spans="1:14">
      <c r="A2796" s="2">
        <v>0.51313657407407409</v>
      </c>
      <c r="B2796" s="3">
        <v>44841</v>
      </c>
      <c r="C2796" s="1">
        <v>7421451752</v>
      </c>
      <c r="D2796" s="1">
        <v>7591504865</v>
      </c>
      <c r="E2796" s="1">
        <v>12265.33</v>
      </c>
      <c r="F2796" s="1" t="s">
        <v>12</v>
      </c>
      <c r="G2796" s="1" t="s">
        <v>12</v>
      </c>
      <c r="H2796" s="1" t="s">
        <v>13</v>
      </c>
      <c r="I2796" s="1" t="s">
        <v>13</v>
      </c>
      <c r="J2796" s="1" t="s">
        <v>22</v>
      </c>
      <c r="K2796" s="1">
        <v>0</v>
      </c>
      <c r="L2796" s="1" t="s">
        <v>19</v>
      </c>
      <c r="M2796" s="1" t="str">
        <f t="shared" si="43"/>
        <v>Consistent</v>
      </c>
      <c r="N2796" s="1" t="str">
        <f>_xlfn.XLOOKUP(H2796, risk_score!A:A, risk_score!B:B, 0)</f>
        <v>Low Risk</v>
      </c>
    </row>
    <row r="2797" spans="1:14">
      <c r="A2797" s="2">
        <v>0.51320601851851855</v>
      </c>
      <c r="B2797" s="3">
        <v>44841</v>
      </c>
      <c r="C2797" s="1">
        <v>8392823984</v>
      </c>
      <c r="D2797" s="1">
        <v>4327697319</v>
      </c>
      <c r="E2797" s="1">
        <v>4713.8900000000003</v>
      </c>
      <c r="F2797" s="1" t="s">
        <v>12</v>
      </c>
      <c r="G2797" s="1" t="s">
        <v>12</v>
      </c>
      <c r="H2797" s="1" t="s">
        <v>13</v>
      </c>
      <c r="I2797" s="1" t="s">
        <v>13</v>
      </c>
      <c r="J2797" s="1" t="s">
        <v>27</v>
      </c>
      <c r="K2797" s="1">
        <v>0</v>
      </c>
      <c r="L2797" s="1" t="s">
        <v>21</v>
      </c>
      <c r="M2797" s="1" t="str">
        <f t="shared" si="43"/>
        <v>Consistent</v>
      </c>
      <c r="N2797" s="1" t="str">
        <f>_xlfn.XLOOKUP(H2797, risk_score!A:A, risk_score!B:B, 0)</f>
        <v>Low Risk</v>
      </c>
    </row>
    <row r="2798" spans="1:14">
      <c r="A2798" s="2">
        <v>0.513275462962963</v>
      </c>
      <c r="B2798" s="3">
        <v>44841</v>
      </c>
      <c r="C2798" s="1">
        <v>9387530683</v>
      </c>
      <c r="D2798" s="1">
        <v>1787992191</v>
      </c>
      <c r="E2798" s="1">
        <v>424.58</v>
      </c>
      <c r="F2798" s="1" t="s">
        <v>12</v>
      </c>
      <c r="G2798" s="1" t="s">
        <v>26</v>
      </c>
      <c r="H2798" s="1" t="s">
        <v>13</v>
      </c>
      <c r="I2798" s="1" t="s">
        <v>56</v>
      </c>
      <c r="J2798" s="1" t="s">
        <v>18</v>
      </c>
      <c r="K2798" s="1">
        <v>0</v>
      </c>
      <c r="L2798" s="1" t="s">
        <v>21</v>
      </c>
      <c r="M2798" s="1" t="str">
        <f t="shared" si="43"/>
        <v>Potential Layering</v>
      </c>
      <c r="N2798" s="1" t="str">
        <f>_xlfn.XLOOKUP(H2798, risk_score!A:A, risk_score!B:B, 0)</f>
        <v>Low Risk</v>
      </c>
    </row>
    <row r="2799" spans="1:14">
      <c r="A2799" s="2">
        <v>0.513275462962963</v>
      </c>
      <c r="B2799" s="3">
        <v>44841</v>
      </c>
      <c r="C2799" s="1">
        <v>8599479985</v>
      </c>
      <c r="D2799" s="1">
        <v>2190893196</v>
      </c>
      <c r="E2799" s="1">
        <v>116.97</v>
      </c>
      <c r="F2799" s="1" t="s">
        <v>12</v>
      </c>
      <c r="G2799" s="1" t="s">
        <v>12</v>
      </c>
      <c r="H2799" s="1" t="s">
        <v>13</v>
      </c>
      <c r="I2799" s="1" t="s">
        <v>13</v>
      </c>
      <c r="J2799" s="1" t="s">
        <v>36</v>
      </c>
      <c r="K2799" s="1">
        <v>0</v>
      </c>
      <c r="L2799" s="1" t="s">
        <v>37</v>
      </c>
      <c r="M2799" s="1" t="str">
        <f t="shared" si="43"/>
        <v>Consistent</v>
      </c>
      <c r="N2799" s="1" t="str">
        <f>_xlfn.XLOOKUP(H2799, risk_score!A:A, risk_score!B:B, 0)</f>
        <v>Low Risk</v>
      </c>
    </row>
    <row r="2800" spans="1:14">
      <c r="A2800" s="2">
        <v>0.51329861111111108</v>
      </c>
      <c r="B2800" s="3">
        <v>44841</v>
      </c>
      <c r="C2800" s="1">
        <v>823965231</v>
      </c>
      <c r="D2800" s="1">
        <v>1212561053</v>
      </c>
      <c r="E2800" s="1">
        <v>2139.5300000000002</v>
      </c>
      <c r="F2800" s="1" t="s">
        <v>12</v>
      </c>
      <c r="G2800" s="1" t="s">
        <v>12</v>
      </c>
      <c r="H2800" s="1" t="s">
        <v>13</v>
      </c>
      <c r="I2800" s="1" t="s">
        <v>13</v>
      </c>
      <c r="J2800" s="1" t="s">
        <v>22</v>
      </c>
      <c r="K2800" s="1">
        <v>0</v>
      </c>
      <c r="L2800" s="1" t="s">
        <v>21</v>
      </c>
      <c r="M2800" s="1" t="str">
        <f t="shared" si="43"/>
        <v>Consistent</v>
      </c>
      <c r="N2800" s="1" t="str">
        <f>_xlfn.XLOOKUP(H2800, risk_score!A:A, risk_score!B:B, 0)</f>
        <v>Low Risk</v>
      </c>
    </row>
    <row r="2801" spans="1:14">
      <c r="A2801" s="2">
        <v>0.51339120370370372</v>
      </c>
      <c r="B2801" s="3">
        <v>44841</v>
      </c>
      <c r="C2801" s="1">
        <v>2870115230</v>
      </c>
      <c r="D2801" s="1">
        <v>2238011056</v>
      </c>
      <c r="E2801" s="1">
        <v>1635.84</v>
      </c>
      <c r="F2801" s="1" t="s">
        <v>12</v>
      </c>
      <c r="G2801" s="1" t="s">
        <v>12</v>
      </c>
      <c r="H2801" s="1" t="s">
        <v>13</v>
      </c>
      <c r="I2801" s="1" t="s">
        <v>13</v>
      </c>
      <c r="J2801" s="1" t="s">
        <v>27</v>
      </c>
      <c r="K2801" s="1">
        <v>0</v>
      </c>
      <c r="L2801" s="1" t="s">
        <v>21</v>
      </c>
      <c r="M2801" s="1" t="str">
        <f t="shared" si="43"/>
        <v>Consistent</v>
      </c>
      <c r="N2801" s="1" t="str">
        <f>_xlfn.XLOOKUP(H2801, risk_score!A:A, risk_score!B:B, 0)</f>
        <v>Low Risk</v>
      </c>
    </row>
    <row r="2802" spans="1:14">
      <c r="A2802" s="2">
        <v>0.51340277777777776</v>
      </c>
      <c r="B2802" s="3">
        <v>44841</v>
      </c>
      <c r="C2802" s="1">
        <v>4237560221</v>
      </c>
      <c r="D2802" s="1">
        <v>9679319451</v>
      </c>
      <c r="E2802" s="1">
        <v>4877.1499999999996</v>
      </c>
      <c r="F2802" s="1" t="s">
        <v>12</v>
      </c>
      <c r="G2802" s="1" t="s">
        <v>12</v>
      </c>
      <c r="H2802" s="1" t="s">
        <v>13</v>
      </c>
      <c r="I2802" s="1" t="s">
        <v>13</v>
      </c>
      <c r="J2802" s="1" t="s">
        <v>22</v>
      </c>
      <c r="K2802" s="1">
        <v>0</v>
      </c>
      <c r="L2802" s="1" t="s">
        <v>21</v>
      </c>
      <c r="M2802" s="1" t="str">
        <f t="shared" si="43"/>
        <v>Consistent</v>
      </c>
      <c r="N2802" s="1" t="str">
        <f>_xlfn.XLOOKUP(H2802, risk_score!A:A, risk_score!B:B, 0)</f>
        <v>Low Risk</v>
      </c>
    </row>
    <row r="2803" spans="1:14">
      <c r="A2803" s="2">
        <v>0.5134143518518518</v>
      </c>
      <c r="B2803" s="3">
        <v>44841</v>
      </c>
      <c r="C2803" s="1">
        <v>119224597</v>
      </c>
      <c r="D2803" s="1">
        <v>1762047439</v>
      </c>
      <c r="E2803" s="1">
        <v>8653.2099999999991</v>
      </c>
      <c r="F2803" s="1" t="s">
        <v>12</v>
      </c>
      <c r="G2803" s="1" t="s">
        <v>12</v>
      </c>
      <c r="H2803" s="1" t="s">
        <v>13</v>
      </c>
      <c r="I2803" s="1" t="s">
        <v>13</v>
      </c>
      <c r="J2803" s="1" t="s">
        <v>27</v>
      </c>
      <c r="K2803" s="1">
        <v>0</v>
      </c>
      <c r="L2803" s="1" t="s">
        <v>21</v>
      </c>
      <c r="M2803" s="1" t="str">
        <f t="shared" si="43"/>
        <v>Consistent</v>
      </c>
      <c r="N2803" s="1" t="str">
        <f>_xlfn.XLOOKUP(H2803, risk_score!A:A, risk_score!B:B, 0)</f>
        <v>Low Risk</v>
      </c>
    </row>
    <row r="2804" spans="1:14">
      <c r="A2804" s="2">
        <v>0.51342592592592595</v>
      </c>
      <c r="B2804" s="3">
        <v>44841</v>
      </c>
      <c r="C2804" s="1">
        <v>4064804943</v>
      </c>
      <c r="D2804" s="1">
        <v>8281742188</v>
      </c>
      <c r="E2804" s="1">
        <v>9625.25</v>
      </c>
      <c r="F2804" s="1" t="s">
        <v>12</v>
      </c>
      <c r="G2804" s="1" t="s">
        <v>12</v>
      </c>
      <c r="H2804" s="1" t="s">
        <v>13</v>
      </c>
      <c r="I2804" s="1" t="s">
        <v>13</v>
      </c>
      <c r="J2804" s="1" t="s">
        <v>22</v>
      </c>
      <c r="K2804" s="1">
        <v>0</v>
      </c>
      <c r="L2804" s="1" t="s">
        <v>21</v>
      </c>
      <c r="M2804" s="1" t="str">
        <f t="shared" si="43"/>
        <v>Consistent</v>
      </c>
      <c r="N2804" s="1" t="str">
        <f>_xlfn.XLOOKUP(H2804, risk_score!A:A, risk_score!B:B, 0)</f>
        <v>Low Risk</v>
      </c>
    </row>
    <row r="2805" spans="1:14">
      <c r="A2805" s="2">
        <v>0.51346064814814818</v>
      </c>
      <c r="B2805" s="3">
        <v>44841</v>
      </c>
      <c r="C2805" s="1">
        <v>7634512819</v>
      </c>
      <c r="D2805" s="1">
        <v>1431561040</v>
      </c>
      <c r="E2805" s="1">
        <v>16442.87</v>
      </c>
      <c r="F2805" s="1" t="s">
        <v>12</v>
      </c>
      <c r="G2805" s="1" t="s">
        <v>12</v>
      </c>
      <c r="H2805" s="1" t="s">
        <v>13</v>
      </c>
      <c r="I2805" s="1" t="s">
        <v>13</v>
      </c>
      <c r="J2805" s="1" t="s">
        <v>27</v>
      </c>
      <c r="K2805" s="1">
        <v>0</v>
      </c>
      <c r="L2805" s="1" t="s">
        <v>23</v>
      </c>
      <c r="M2805" s="1" t="str">
        <f t="shared" si="43"/>
        <v>Consistent</v>
      </c>
      <c r="N2805" s="1" t="str">
        <f>_xlfn.XLOOKUP(H2805, risk_score!A:A, risk_score!B:B, 0)</f>
        <v>Low Risk</v>
      </c>
    </row>
    <row r="2806" spans="1:14">
      <c r="A2806" s="2">
        <v>0.51347222222222222</v>
      </c>
      <c r="B2806" s="3">
        <v>44841</v>
      </c>
      <c r="C2806" s="1">
        <v>3059697081</v>
      </c>
      <c r="D2806" s="1">
        <v>4587095640</v>
      </c>
      <c r="E2806" s="1">
        <v>784.23</v>
      </c>
      <c r="F2806" s="1" t="s">
        <v>12</v>
      </c>
      <c r="G2806" s="1" t="s">
        <v>12</v>
      </c>
      <c r="H2806" s="1" t="s">
        <v>13</v>
      </c>
      <c r="I2806" s="1" t="s">
        <v>13</v>
      </c>
      <c r="J2806" s="1" t="s">
        <v>14</v>
      </c>
      <c r="K2806" s="1">
        <v>0</v>
      </c>
      <c r="L2806" s="1" t="s">
        <v>15</v>
      </c>
      <c r="M2806" s="1" t="str">
        <f t="shared" si="43"/>
        <v>Consistent</v>
      </c>
      <c r="N2806" s="1" t="str">
        <f>_xlfn.XLOOKUP(H2806, risk_score!A:A, risk_score!B:B, 0)</f>
        <v>Low Risk</v>
      </c>
    </row>
    <row r="2807" spans="1:14">
      <c r="A2807" s="2">
        <v>0.51347222222222222</v>
      </c>
      <c r="B2807" s="3">
        <v>44841</v>
      </c>
      <c r="C2807" s="1">
        <v>3023037899</v>
      </c>
      <c r="D2807" s="1">
        <v>5103043844</v>
      </c>
      <c r="E2807" s="1">
        <v>31417.99</v>
      </c>
      <c r="F2807" s="1" t="s">
        <v>12</v>
      </c>
      <c r="G2807" s="1" t="s">
        <v>44</v>
      </c>
      <c r="H2807" s="1" t="s">
        <v>13</v>
      </c>
      <c r="I2807" s="1" t="s">
        <v>45</v>
      </c>
      <c r="J2807" s="1" t="s">
        <v>18</v>
      </c>
      <c r="K2807" s="1">
        <v>0</v>
      </c>
      <c r="L2807" s="1" t="s">
        <v>23</v>
      </c>
      <c r="M2807" s="1" t="str">
        <f t="shared" si="43"/>
        <v>Potential Layering</v>
      </c>
      <c r="N2807" s="1" t="str">
        <f>_xlfn.XLOOKUP(H2807, risk_score!A:A, risk_score!B:B, 0)</f>
        <v>Low Risk</v>
      </c>
    </row>
    <row r="2808" spans="1:14">
      <c r="A2808" s="2">
        <v>0.51347222222222222</v>
      </c>
      <c r="B2808" s="3">
        <v>44841</v>
      </c>
      <c r="C2808" s="1">
        <v>9124475264</v>
      </c>
      <c r="D2808" s="1">
        <v>4605155276</v>
      </c>
      <c r="E2808" s="1">
        <v>5532.29</v>
      </c>
      <c r="F2808" s="1" t="s">
        <v>12</v>
      </c>
      <c r="G2808" s="1" t="s">
        <v>12</v>
      </c>
      <c r="H2808" s="1" t="s">
        <v>13</v>
      </c>
      <c r="I2808" s="1" t="s">
        <v>13</v>
      </c>
      <c r="J2808" s="1" t="s">
        <v>22</v>
      </c>
      <c r="K2808" s="1">
        <v>0</v>
      </c>
      <c r="L2808" s="1" t="s">
        <v>21</v>
      </c>
      <c r="M2808" s="1" t="str">
        <f t="shared" si="43"/>
        <v>Consistent</v>
      </c>
      <c r="N2808" s="1" t="str">
        <f>_xlfn.XLOOKUP(H2808, risk_score!A:A, risk_score!B:B, 0)</f>
        <v>Low Risk</v>
      </c>
    </row>
    <row r="2809" spans="1:14">
      <c r="A2809" s="2">
        <v>0.51350694444444445</v>
      </c>
      <c r="B2809" s="3">
        <v>44841</v>
      </c>
      <c r="C2809" s="1">
        <v>1798141400</v>
      </c>
      <c r="D2809" s="1">
        <v>4061381143</v>
      </c>
      <c r="E2809" s="1">
        <v>13295.96</v>
      </c>
      <c r="F2809" s="1" t="s">
        <v>12</v>
      </c>
      <c r="G2809" s="1" t="s">
        <v>12</v>
      </c>
      <c r="H2809" s="1" t="s">
        <v>13</v>
      </c>
      <c r="I2809" s="1" t="s">
        <v>13</v>
      </c>
      <c r="J2809" s="1" t="s">
        <v>25</v>
      </c>
      <c r="K2809" s="1">
        <v>0</v>
      </c>
      <c r="L2809" s="1" t="s">
        <v>24</v>
      </c>
      <c r="M2809" s="1" t="str">
        <f t="shared" si="43"/>
        <v>Consistent</v>
      </c>
      <c r="N2809" s="1" t="str">
        <f>_xlfn.XLOOKUP(H2809, risk_score!A:A, risk_score!B:B, 0)</f>
        <v>Low Risk</v>
      </c>
    </row>
    <row r="2810" spans="1:14">
      <c r="A2810" s="2">
        <v>0.51351851851851849</v>
      </c>
      <c r="B2810" s="3">
        <v>44841</v>
      </c>
      <c r="C2810" s="1">
        <v>9727149615</v>
      </c>
      <c r="D2810" s="1">
        <v>3420976917</v>
      </c>
      <c r="E2810" s="1">
        <v>916.21</v>
      </c>
      <c r="F2810" s="1" t="s">
        <v>12</v>
      </c>
      <c r="G2810" s="1" t="s">
        <v>12</v>
      </c>
      <c r="H2810" s="1" t="s">
        <v>13</v>
      </c>
      <c r="I2810" s="1" t="s">
        <v>13</v>
      </c>
      <c r="J2810" s="1" t="s">
        <v>20</v>
      </c>
      <c r="K2810" s="1">
        <v>0</v>
      </c>
      <c r="L2810" s="1" t="s">
        <v>21</v>
      </c>
      <c r="M2810" s="1" t="str">
        <f t="shared" si="43"/>
        <v>Consistent</v>
      </c>
      <c r="N2810" s="1" t="str">
        <f>_xlfn.XLOOKUP(H2810, risk_score!A:A, risk_score!B:B, 0)</f>
        <v>Low Risk</v>
      </c>
    </row>
    <row r="2811" spans="1:14">
      <c r="A2811" s="2">
        <v>0.51355324074074071</v>
      </c>
      <c r="B2811" s="3">
        <v>44841</v>
      </c>
      <c r="C2811" s="1">
        <v>2797271466</v>
      </c>
      <c r="D2811" s="1">
        <v>1856317214</v>
      </c>
      <c r="E2811" s="1">
        <v>5975.47</v>
      </c>
      <c r="F2811" s="1" t="s">
        <v>12</v>
      </c>
      <c r="G2811" s="1" t="s">
        <v>12</v>
      </c>
      <c r="H2811" s="1" t="s">
        <v>13</v>
      </c>
      <c r="I2811" s="1" t="s">
        <v>13</v>
      </c>
      <c r="J2811" s="1" t="s">
        <v>25</v>
      </c>
      <c r="K2811" s="1">
        <v>0</v>
      </c>
      <c r="L2811" s="1" t="s">
        <v>19</v>
      </c>
      <c r="M2811" s="1" t="str">
        <f t="shared" si="43"/>
        <v>Consistent</v>
      </c>
      <c r="N2811" s="1" t="str">
        <f>_xlfn.XLOOKUP(H2811, risk_score!A:A, risk_score!B:B, 0)</f>
        <v>Low Risk</v>
      </c>
    </row>
    <row r="2812" spans="1:14">
      <c r="A2812" s="2">
        <v>0.51356481481481486</v>
      </c>
      <c r="B2812" s="3">
        <v>44841</v>
      </c>
      <c r="C2812" s="1">
        <v>8868768215</v>
      </c>
      <c r="D2812" s="1">
        <v>4986095840</v>
      </c>
      <c r="E2812" s="1">
        <v>2555.98</v>
      </c>
      <c r="F2812" s="1" t="s">
        <v>12</v>
      </c>
      <c r="G2812" s="1" t="s">
        <v>12</v>
      </c>
      <c r="H2812" s="1" t="s">
        <v>13</v>
      </c>
      <c r="I2812" s="1" t="s">
        <v>13</v>
      </c>
      <c r="J2812" s="1" t="s">
        <v>20</v>
      </c>
      <c r="K2812" s="1">
        <v>0</v>
      </c>
      <c r="L2812" s="1" t="s">
        <v>24</v>
      </c>
      <c r="M2812" s="1" t="str">
        <f t="shared" si="43"/>
        <v>Consistent</v>
      </c>
      <c r="N2812" s="1" t="str">
        <f>_xlfn.XLOOKUP(H2812, risk_score!A:A, risk_score!B:B, 0)</f>
        <v>Low Risk</v>
      </c>
    </row>
    <row r="2813" spans="1:14">
      <c r="A2813" s="2">
        <v>0.51363425925925921</v>
      </c>
      <c r="B2813" s="3">
        <v>44841</v>
      </c>
      <c r="C2813" s="1">
        <v>7501327339</v>
      </c>
      <c r="D2813" s="1">
        <v>3230579354</v>
      </c>
      <c r="E2813" s="1">
        <v>11042.45</v>
      </c>
      <c r="F2813" s="1" t="s">
        <v>12</v>
      </c>
      <c r="G2813" s="1" t="s">
        <v>12</v>
      </c>
      <c r="H2813" s="1" t="s">
        <v>13</v>
      </c>
      <c r="I2813" s="1" t="s">
        <v>13</v>
      </c>
      <c r="J2813" s="1" t="s">
        <v>27</v>
      </c>
      <c r="K2813" s="1">
        <v>0</v>
      </c>
      <c r="L2813" s="1" t="s">
        <v>19</v>
      </c>
      <c r="M2813" s="1" t="str">
        <f t="shared" si="43"/>
        <v>Consistent</v>
      </c>
      <c r="N2813" s="1" t="str">
        <f>_xlfn.XLOOKUP(H2813, risk_score!A:A, risk_score!B:B, 0)</f>
        <v>Low Risk</v>
      </c>
    </row>
    <row r="2814" spans="1:14">
      <c r="A2814" s="2">
        <v>0.51363425925925921</v>
      </c>
      <c r="B2814" s="3">
        <v>44841</v>
      </c>
      <c r="C2814" s="1">
        <v>5188677620</v>
      </c>
      <c r="D2814" s="1">
        <v>8172080174</v>
      </c>
      <c r="E2814" s="1">
        <v>7934.22</v>
      </c>
      <c r="F2814" s="1" t="s">
        <v>12</v>
      </c>
      <c r="G2814" s="1" t="s">
        <v>12</v>
      </c>
      <c r="H2814" s="1" t="s">
        <v>13</v>
      </c>
      <c r="I2814" s="1" t="s">
        <v>13</v>
      </c>
      <c r="J2814" s="1" t="s">
        <v>20</v>
      </c>
      <c r="K2814" s="1">
        <v>0</v>
      </c>
      <c r="L2814" s="1" t="s">
        <v>23</v>
      </c>
      <c r="M2814" s="1" t="str">
        <f t="shared" si="43"/>
        <v>Consistent</v>
      </c>
      <c r="N2814" s="1" t="str">
        <f>_xlfn.XLOOKUP(H2814, risk_score!A:A, risk_score!B:B, 0)</f>
        <v>Low Risk</v>
      </c>
    </row>
    <row r="2815" spans="1:14">
      <c r="A2815" s="2">
        <v>0.5136574074074074</v>
      </c>
      <c r="B2815" s="3">
        <v>44841</v>
      </c>
      <c r="C2815" s="1">
        <v>3614082527</v>
      </c>
      <c r="D2815" s="1">
        <v>7050565101</v>
      </c>
      <c r="E2815" s="1">
        <v>12314.37</v>
      </c>
      <c r="F2815" s="1" t="s">
        <v>12</v>
      </c>
      <c r="G2815" s="1" t="s">
        <v>12</v>
      </c>
      <c r="H2815" s="1" t="s">
        <v>13</v>
      </c>
      <c r="I2815" s="1" t="s">
        <v>13</v>
      </c>
      <c r="J2815" s="1" t="s">
        <v>22</v>
      </c>
      <c r="K2815" s="1">
        <v>0</v>
      </c>
      <c r="L2815" s="1" t="s">
        <v>19</v>
      </c>
      <c r="M2815" s="1" t="str">
        <f t="shared" si="43"/>
        <v>Consistent</v>
      </c>
      <c r="N2815" s="1" t="str">
        <f>_xlfn.XLOOKUP(H2815, risk_score!A:A, risk_score!B:B, 0)</f>
        <v>Low Risk</v>
      </c>
    </row>
    <row r="2816" spans="1:14">
      <c r="A2816" s="2">
        <v>0.5136574074074074</v>
      </c>
      <c r="B2816" s="3">
        <v>44841</v>
      </c>
      <c r="C2816" s="1">
        <v>1903200889</v>
      </c>
      <c r="D2816" s="1">
        <v>8146065623</v>
      </c>
      <c r="E2816" s="1">
        <v>7083.72</v>
      </c>
      <c r="F2816" s="1" t="s">
        <v>12</v>
      </c>
      <c r="G2816" s="1" t="s">
        <v>12</v>
      </c>
      <c r="H2816" s="1" t="s">
        <v>13</v>
      </c>
      <c r="I2816" s="1" t="s">
        <v>13</v>
      </c>
      <c r="J2816" s="1" t="s">
        <v>20</v>
      </c>
      <c r="K2816" s="1">
        <v>0</v>
      </c>
      <c r="L2816" s="1" t="s">
        <v>21</v>
      </c>
      <c r="M2816" s="1" t="str">
        <f t="shared" si="43"/>
        <v>Consistent</v>
      </c>
      <c r="N2816" s="1" t="str">
        <f>_xlfn.XLOOKUP(H2816, risk_score!A:A, risk_score!B:B, 0)</f>
        <v>Low Risk</v>
      </c>
    </row>
    <row r="2817" spans="1:14">
      <c r="A2817" s="2">
        <v>0.51366898148148143</v>
      </c>
      <c r="B2817" s="3">
        <v>44841</v>
      </c>
      <c r="C2817" s="1">
        <v>8958056644</v>
      </c>
      <c r="D2817" s="1">
        <v>4119384490</v>
      </c>
      <c r="E2817" s="1">
        <v>3622.39</v>
      </c>
      <c r="F2817" s="1" t="s">
        <v>12</v>
      </c>
      <c r="G2817" s="1" t="s">
        <v>12</v>
      </c>
      <c r="H2817" s="1" t="s">
        <v>13</v>
      </c>
      <c r="I2817" s="1" t="s">
        <v>13</v>
      </c>
      <c r="J2817" s="1" t="s">
        <v>14</v>
      </c>
      <c r="K2817" s="1">
        <v>0</v>
      </c>
      <c r="L2817" s="1" t="s">
        <v>15</v>
      </c>
      <c r="M2817" s="1" t="str">
        <f t="shared" si="43"/>
        <v>Consistent</v>
      </c>
      <c r="N2817" s="1" t="str">
        <f>_xlfn.XLOOKUP(H2817, risk_score!A:A, risk_score!B:B, 0)</f>
        <v>Low Risk</v>
      </c>
    </row>
    <row r="2818" spans="1:14">
      <c r="A2818" s="2">
        <v>0.51369212962962962</v>
      </c>
      <c r="B2818" s="3">
        <v>44841</v>
      </c>
      <c r="C2818" s="1">
        <v>9404187637</v>
      </c>
      <c r="D2818" s="1">
        <v>7252186632</v>
      </c>
      <c r="E2818" s="1">
        <v>3522.3</v>
      </c>
      <c r="F2818" s="1" t="s">
        <v>34</v>
      </c>
      <c r="G2818" s="1" t="s">
        <v>12</v>
      </c>
      <c r="H2818" s="1" t="s">
        <v>13</v>
      </c>
      <c r="I2818" s="1" t="s">
        <v>13</v>
      </c>
      <c r="J2818" s="1" t="s">
        <v>25</v>
      </c>
      <c r="K2818" s="1">
        <v>0</v>
      </c>
      <c r="L2818" s="1" t="s">
        <v>21</v>
      </c>
      <c r="M2818" s="1" t="str">
        <f t="shared" si="43"/>
        <v>Potential Layering</v>
      </c>
      <c r="N2818" s="1" t="str">
        <f>_xlfn.XLOOKUP(H2818, risk_score!A:A, risk_score!B:B, 0)</f>
        <v>Low Risk</v>
      </c>
    </row>
    <row r="2819" spans="1:14">
      <c r="A2819" s="2">
        <v>0.51372685185185185</v>
      </c>
      <c r="B2819" s="3">
        <v>44841</v>
      </c>
      <c r="C2819" s="1">
        <v>8328062383</v>
      </c>
      <c r="D2819" s="1">
        <v>7875278123</v>
      </c>
      <c r="E2819" s="1">
        <v>17155.330000000002</v>
      </c>
      <c r="F2819" s="1" t="s">
        <v>12</v>
      </c>
      <c r="G2819" s="1" t="s">
        <v>12</v>
      </c>
      <c r="H2819" s="1" t="s">
        <v>13</v>
      </c>
      <c r="I2819" s="1" t="s">
        <v>13</v>
      </c>
      <c r="J2819" s="1" t="s">
        <v>25</v>
      </c>
      <c r="K2819" s="1">
        <v>0</v>
      </c>
      <c r="L2819" s="1" t="s">
        <v>21</v>
      </c>
      <c r="M2819" s="1" t="str">
        <f t="shared" ref="M2819:M2882" si="44">IF(F2819=G2819, "Consistent", "Potential Layering")</f>
        <v>Consistent</v>
      </c>
      <c r="N2819" s="1" t="str">
        <f>_xlfn.XLOOKUP(H2819, risk_score!A:A, risk_score!B:B, 0)</f>
        <v>Low Risk</v>
      </c>
    </row>
    <row r="2820" spans="1:14">
      <c r="A2820" s="2">
        <v>0.51378472222222227</v>
      </c>
      <c r="B2820" s="3">
        <v>44841</v>
      </c>
      <c r="C2820" s="1">
        <v>2214157994</v>
      </c>
      <c r="D2820" s="1">
        <v>5021942584</v>
      </c>
      <c r="E2820" s="1">
        <v>3797.02</v>
      </c>
      <c r="F2820" s="1" t="s">
        <v>12</v>
      </c>
      <c r="G2820" s="1" t="s">
        <v>12</v>
      </c>
      <c r="H2820" s="1" t="s">
        <v>13</v>
      </c>
      <c r="I2820" s="1" t="s">
        <v>13</v>
      </c>
      <c r="J2820" s="1" t="s">
        <v>25</v>
      </c>
      <c r="K2820" s="1">
        <v>0</v>
      </c>
      <c r="L2820" s="1" t="s">
        <v>21</v>
      </c>
      <c r="M2820" s="1" t="str">
        <f t="shared" si="44"/>
        <v>Consistent</v>
      </c>
      <c r="N2820" s="1" t="str">
        <f>_xlfn.XLOOKUP(H2820, risk_score!A:A, risk_score!B:B, 0)</f>
        <v>Low Risk</v>
      </c>
    </row>
    <row r="2821" spans="1:14">
      <c r="A2821" s="2">
        <v>0.51379629629629631</v>
      </c>
      <c r="B2821" s="3">
        <v>44841</v>
      </c>
      <c r="C2821" s="1">
        <v>8676683167</v>
      </c>
      <c r="D2821" s="1">
        <v>7160736915</v>
      </c>
      <c r="E2821" s="1">
        <v>14773.49</v>
      </c>
      <c r="F2821" s="1" t="s">
        <v>12</v>
      </c>
      <c r="G2821" s="1" t="s">
        <v>12</v>
      </c>
      <c r="H2821" s="1" t="s">
        <v>13</v>
      </c>
      <c r="I2821" s="1" t="s">
        <v>13</v>
      </c>
      <c r="J2821" s="1" t="s">
        <v>22</v>
      </c>
      <c r="K2821" s="1">
        <v>0</v>
      </c>
      <c r="L2821" s="1" t="s">
        <v>23</v>
      </c>
      <c r="M2821" s="1" t="str">
        <f t="shared" si="44"/>
        <v>Consistent</v>
      </c>
      <c r="N2821" s="1" t="str">
        <f>_xlfn.XLOOKUP(H2821, risk_score!A:A, risk_score!B:B, 0)</f>
        <v>Low Risk</v>
      </c>
    </row>
    <row r="2822" spans="1:14">
      <c r="A2822" s="2">
        <v>0.51383101851851853</v>
      </c>
      <c r="B2822" s="3">
        <v>44841</v>
      </c>
      <c r="C2822" s="1">
        <v>9318494201</v>
      </c>
      <c r="D2822" s="1">
        <v>76041696</v>
      </c>
      <c r="E2822" s="1">
        <v>1534.95</v>
      </c>
      <c r="F2822" s="1" t="s">
        <v>12</v>
      </c>
      <c r="G2822" s="1" t="s">
        <v>12</v>
      </c>
      <c r="H2822" s="1" t="s">
        <v>13</v>
      </c>
      <c r="I2822" s="1" t="s">
        <v>13</v>
      </c>
      <c r="J2822" s="1" t="s">
        <v>22</v>
      </c>
      <c r="K2822" s="1">
        <v>0</v>
      </c>
      <c r="L2822" s="1" t="s">
        <v>21</v>
      </c>
      <c r="M2822" s="1" t="str">
        <f t="shared" si="44"/>
        <v>Consistent</v>
      </c>
      <c r="N2822" s="1" t="str">
        <f>_xlfn.XLOOKUP(H2822, risk_score!A:A, risk_score!B:B, 0)</f>
        <v>Low Risk</v>
      </c>
    </row>
    <row r="2823" spans="1:14">
      <c r="A2823" s="2">
        <v>0.51386574074074076</v>
      </c>
      <c r="B2823" s="3">
        <v>44841</v>
      </c>
      <c r="C2823" s="1">
        <v>7669236826</v>
      </c>
      <c r="D2823" s="1">
        <v>9616268671</v>
      </c>
      <c r="E2823" s="1">
        <v>10825.88</v>
      </c>
      <c r="F2823" s="1" t="s">
        <v>12</v>
      </c>
      <c r="G2823" s="1" t="s">
        <v>12</v>
      </c>
      <c r="H2823" s="1" t="s">
        <v>13</v>
      </c>
      <c r="I2823" s="1" t="s">
        <v>13</v>
      </c>
      <c r="J2823" s="1" t="s">
        <v>20</v>
      </c>
      <c r="K2823" s="1">
        <v>0</v>
      </c>
      <c r="L2823" s="1" t="s">
        <v>19</v>
      </c>
      <c r="M2823" s="1" t="str">
        <f t="shared" si="44"/>
        <v>Consistent</v>
      </c>
      <c r="N2823" s="1" t="str">
        <f>_xlfn.XLOOKUP(H2823, risk_score!A:A, risk_score!B:B, 0)</f>
        <v>Low Risk</v>
      </c>
    </row>
    <row r="2824" spans="1:14">
      <c r="A2824" s="2">
        <v>0.51395833333333329</v>
      </c>
      <c r="B2824" s="3">
        <v>44841</v>
      </c>
      <c r="C2824" s="1">
        <v>8999790182</v>
      </c>
      <c r="D2824" s="1">
        <v>2146096365</v>
      </c>
      <c r="E2824" s="1">
        <v>182.55</v>
      </c>
      <c r="F2824" s="1" t="s">
        <v>12</v>
      </c>
      <c r="G2824" s="1" t="s">
        <v>12</v>
      </c>
      <c r="H2824" s="1" t="s">
        <v>13</v>
      </c>
      <c r="I2824" s="1" t="s">
        <v>13</v>
      </c>
      <c r="J2824" s="1" t="s">
        <v>36</v>
      </c>
      <c r="K2824" s="1">
        <v>0</v>
      </c>
      <c r="L2824" s="1" t="s">
        <v>37</v>
      </c>
      <c r="M2824" s="1" t="str">
        <f t="shared" si="44"/>
        <v>Consistent</v>
      </c>
      <c r="N2824" s="1" t="str">
        <f>_xlfn.XLOOKUP(H2824, risk_score!A:A, risk_score!B:B, 0)</f>
        <v>Low Risk</v>
      </c>
    </row>
    <row r="2825" spans="1:14">
      <c r="A2825" s="2">
        <v>0.51408564814814817</v>
      </c>
      <c r="B2825" s="3">
        <v>44841</v>
      </c>
      <c r="C2825" s="1">
        <v>2348039999</v>
      </c>
      <c r="D2825" s="1">
        <v>1455247066</v>
      </c>
      <c r="E2825" s="1">
        <v>256168.57</v>
      </c>
      <c r="F2825" s="1" t="s">
        <v>12</v>
      </c>
      <c r="G2825" s="1" t="s">
        <v>12</v>
      </c>
      <c r="H2825" s="1" t="s">
        <v>13</v>
      </c>
      <c r="I2825" s="1" t="s">
        <v>13</v>
      </c>
      <c r="J2825" s="1" t="s">
        <v>25</v>
      </c>
      <c r="K2825" s="1">
        <v>0</v>
      </c>
      <c r="L2825" s="1" t="s">
        <v>61</v>
      </c>
      <c r="M2825" s="1" t="str">
        <f t="shared" si="44"/>
        <v>Consistent</v>
      </c>
      <c r="N2825" s="1" t="str">
        <f>_xlfn.XLOOKUP(H2825, risk_score!A:A, risk_score!B:B, 0)</f>
        <v>Low Risk</v>
      </c>
    </row>
    <row r="2826" spans="1:14">
      <c r="A2826" s="2">
        <v>0.51408564814814817</v>
      </c>
      <c r="B2826" s="3">
        <v>44841</v>
      </c>
      <c r="C2826" s="1">
        <v>726309548</v>
      </c>
      <c r="D2826" s="1">
        <v>2380339729</v>
      </c>
      <c r="E2826" s="1">
        <v>834.28</v>
      </c>
      <c r="F2826" s="1" t="s">
        <v>12</v>
      </c>
      <c r="G2826" s="1" t="s">
        <v>12</v>
      </c>
      <c r="H2826" s="1" t="s">
        <v>13</v>
      </c>
      <c r="I2826" s="1" t="s">
        <v>13</v>
      </c>
      <c r="J2826" s="1" t="s">
        <v>20</v>
      </c>
      <c r="K2826" s="1">
        <v>0</v>
      </c>
      <c r="L2826" s="1" t="s">
        <v>21</v>
      </c>
      <c r="M2826" s="1" t="str">
        <f t="shared" si="44"/>
        <v>Consistent</v>
      </c>
      <c r="N2826" s="1" t="str">
        <f>_xlfn.XLOOKUP(H2826, risk_score!A:A, risk_score!B:B, 0)</f>
        <v>Low Risk</v>
      </c>
    </row>
    <row r="2827" spans="1:14">
      <c r="A2827" s="2">
        <v>0.51415509259259262</v>
      </c>
      <c r="B2827" s="3">
        <v>44841</v>
      </c>
      <c r="C2827" s="1">
        <v>9746384104</v>
      </c>
      <c r="D2827" s="1">
        <v>8939055432</v>
      </c>
      <c r="E2827" s="1">
        <v>4906.91</v>
      </c>
      <c r="F2827" s="1" t="s">
        <v>12</v>
      </c>
      <c r="G2827" s="1" t="s">
        <v>12</v>
      </c>
      <c r="H2827" s="1" t="s">
        <v>13</v>
      </c>
      <c r="I2827" s="1" t="s">
        <v>13</v>
      </c>
      <c r="J2827" s="1" t="s">
        <v>27</v>
      </c>
      <c r="K2827" s="1">
        <v>0</v>
      </c>
      <c r="L2827" s="1" t="s">
        <v>19</v>
      </c>
      <c r="M2827" s="1" t="str">
        <f t="shared" si="44"/>
        <v>Consistent</v>
      </c>
      <c r="N2827" s="1" t="str">
        <f>_xlfn.XLOOKUP(H2827, risk_score!A:A, risk_score!B:B, 0)</f>
        <v>Low Risk</v>
      </c>
    </row>
    <row r="2828" spans="1:14">
      <c r="A2828" s="2">
        <v>0.51415509259259262</v>
      </c>
      <c r="B2828" s="3">
        <v>44841</v>
      </c>
      <c r="C2828" s="1">
        <v>1060260852</v>
      </c>
      <c r="D2828" s="1">
        <v>2324031931</v>
      </c>
      <c r="E2828" s="1">
        <v>3620.65</v>
      </c>
      <c r="F2828" s="1" t="s">
        <v>12</v>
      </c>
      <c r="G2828" s="1" t="s">
        <v>29</v>
      </c>
      <c r="H2828" s="1" t="s">
        <v>13</v>
      </c>
      <c r="I2828" s="1" t="s">
        <v>48</v>
      </c>
      <c r="J2828" s="1" t="s">
        <v>18</v>
      </c>
      <c r="K2828" s="1">
        <v>0</v>
      </c>
      <c r="L2828" s="1" t="s">
        <v>21</v>
      </c>
      <c r="M2828" s="1" t="str">
        <f t="shared" si="44"/>
        <v>Potential Layering</v>
      </c>
      <c r="N2828" s="1" t="str">
        <f>_xlfn.XLOOKUP(H2828, risk_score!A:A, risk_score!B:B, 0)</f>
        <v>Low Risk</v>
      </c>
    </row>
    <row r="2829" spans="1:14">
      <c r="A2829" s="2">
        <v>0.51416666666666666</v>
      </c>
      <c r="B2829" s="3">
        <v>44841</v>
      </c>
      <c r="C2829" s="1">
        <v>8952177221</v>
      </c>
      <c r="D2829" s="1">
        <v>6345374341</v>
      </c>
      <c r="E2829" s="1">
        <v>7962.56</v>
      </c>
      <c r="F2829" s="1" t="s">
        <v>12</v>
      </c>
      <c r="G2829" s="1" t="s">
        <v>16</v>
      </c>
      <c r="H2829" s="1" t="s">
        <v>13</v>
      </c>
      <c r="I2829" s="1" t="s">
        <v>13</v>
      </c>
      <c r="J2829" s="1" t="s">
        <v>22</v>
      </c>
      <c r="K2829" s="1">
        <v>0</v>
      </c>
      <c r="L2829" s="1" t="s">
        <v>19</v>
      </c>
      <c r="M2829" s="1" t="str">
        <f t="shared" si="44"/>
        <v>Potential Layering</v>
      </c>
      <c r="N2829" s="1" t="str">
        <f>_xlfn.XLOOKUP(H2829, risk_score!A:A, risk_score!B:B, 0)</f>
        <v>Low Risk</v>
      </c>
    </row>
    <row r="2830" spans="1:14">
      <c r="A2830" s="2">
        <v>0.5141782407407407</v>
      </c>
      <c r="B2830" s="3">
        <v>44841</v>
      </c>
      <c r="C2830" s="1">
        <v>6115478776</v>
      </c>
      <c r="D2830" s="1">
        <v>8518184956</v>
      </c>
      <c r="E2830" s="1">
        <v>22551.98</v>
      </c>
      <c r="F2830" s="1" t="s">
        <v>12</v>
      </c>
      <c r="G2830" s="1" t="s">
        <v>12</v>
      </c>
      <c r="H2830" s="1" t="s">
        <v>13</v>
      </c>
      <c r="I2830" s="1" t="s">
        <v>13</v>
      </c>
      <c r="J2830" s="1" t="s">
        <v>20</v>
      </c>
      <c r="K2830" s="1">
        <v>0</v>
      </c>
      <c r="L2830" s="1" t="s">
        <v>23</v>
      </c>
      <c r="M2830" s="1" t="str">
        <f t="shared" si="44"/>
        <v>Consistent</v>
      </c>
      <c r="N2830" s="1" t="str">
        <f>_xlfn.XLOOKUP(H2830, risk_score!A:A, risk_score!B:B, 0)</f>
        <v>Low Risk</v>
      </c>
    </row>
    <row r="2831" spans="1:14">
      <c r="A2831" s="2">
        <v>0.51420138888888889</v>
      </c>
      <c r="B2831" s="3">
        <v>44841</v>
      </c>
      <c r="C2831" s="1">
        <v>7501327339</v>
      </c>
      <c r="D2831" s="1">
        <v>8562263055</v>
      </c>
      <c r="E2831" s="1">
        <v>6338.44</v>
      </c>
      <c r="F2831" s="1" t="s">
        <v>12</v>
      </c>
      <c r="G2831" s="1" t="s">
        <v>12</v>
      </c>
      <c r="H2831" s="1" t="s">
        <v>13</v>
      </c>
      <c r="I2831" s="1" t="s">
        <v>13</v>
      </c>
      <c r="J2831" s="1" t="s">
        <v>25</v>
      </c>
      <c r="K2831" s="1">
        <v>0</v>
      </c>
      <c r="L2831" s="1" t="s">
        <v>19</v>
      </c>
      <c r="M2831" s="1" t="str">
        <f t="shared" si="44"/>
        <v>Consistent</v>
      </c>
      <c r="N2831" s="1" t="str">
        <f>_xlfn.XLOOKUP(H2831, risk_score!A:A, risk_score!B:B, 0)</f>
        <v>Low Risk</v>
      </c>
    </row>
    <row r="2832" spans="1:14">
      <c r="A2832" s="2">
        <v>0.51422453703703708</v>
      </c>
      <c r="B2832" s="3">
        <v>44841</v>
      </c>
      <c r="C2832" s="1">
        <v>4597809462</v>
      </c>
      <c r="D2832" s="1">
        <v>7036941597</v>
      </c>
      <c r="E2832" s="1">
        <v>1301.45</v>
      </c>
      <c r="F2832" s="1" t="s">
        <v>12</v>
      </c>
      <c r="G2832" s="1" t="s">
        <v>12</v>
      </c>
      <c r="H2832" s="1" t="s">
        <v>13</v>
      </c>
      <c r="I2832" s="1" t="s">
        <v>13</v>
      </c>
      <c r="J2832" s="1" t="s">
        <v>25</v>
      </c>
      <c r="K2832" s="1">
        <v>0</v>
      </c>
      <c r="L2832" s="1" t="s">
        <v>21</v>
      </c>
      <c r="M2832" s="1" t="str">
        <f t="shared" si="44"/>
        <v>Consistent</v>
      </c>
      <c r="N2832" s="1" t="str">
        <f>_xlfn.XLOOKUP(H2832, risk_score!A:A, risk_score!B:B, 0)</f>
        <v>Low Risk</v>
      </c>
    </row>
    <row r="2833" spans="1:14">
      <c r="A2833" s="2">
        <v>0.51423611111111112</v>
      </c>
      <c r="B2833" s="3">
        <v>44841</v>
      </c>
      <c r="C2833" s="1">
        <v>2173814957</v>
      </c>
      <c r="D2833" s="1">
        <v>7226351038</v>
      </c>
      <c r="E2833" s="1">
        <v>2771.48</v>
      </c>
      <c r="F2833" s="1" t="s">
        <v>12</v>
      </c>
      <c r="G2833" s="1" t="s">
        <v>12</v>
      </c>
      <c r="H2833" s="1" t="s">
        <v>13</v>
      </c>
      <c r="I2833" s="1" t="s">
        <v>13</v>
      </c>
      <c r="J2833" s="1" t="s">
        <v>22</v>
      </c>
      <c r="K2833" s="1">
        <v>0</v>
      </c>
      <c r="L2833" s="1" t="s">
        <v>21</v>
      </c>
      <c r="M2833" s="1" t="str">
        <f t="shared" si="44"/>
        <v>Consistent</v>
      </c>
      <c r="N2833" s="1" t="str">
        <f>_xlfn.XLOOKUP(H2833, risk_score!A:A, risk_score!B:B, 0)</f>
        <v>Low Risk</v>
      </c>
    </row>
    <row r="2834" spans="1:14">
      <c r="A2834" s="2">
        <v>0.5142592592592593</v>
      </c>
      <c r="B2834" s="3">
        <v>44841</v>
      </c>
      <c r="C2834" s="1">
        <v>5391572812</v>
      </c>
      <c r="D2834" s="1">
        <v>4186549455</v>
      </c>
      <c r="E2834" s="1">
        <v>2521.6</v>
      </c>
      <c r="F2834" s="1" t="s">
        <v>59</v>
      </c>
      <c r="G2834" s="1" t="s">
        <v>12</v>
      </c>
      <c r="H2834" s="1" t="s">
        <v>13</v>
      </c>
      <c r="I2834" s="1" t="s">
        <v>13</v>
      </c>
      <c r="J2834" s="1" t="s">
        <v>22</v>
      </c>
      <c r="K2834" s="1">
        <v>0</v>
      </c>
      <c r="L2834" s="1" t="s">
        <v>21</v>
      </c>
      <c r="M2834" s="1" t="str">
        <f t="shared" si="44"/>
        <v>Potential Layering</v>
      </c>
      <c r="N2834" s="1" t="str">
        <f>_xlfn.XLOOKUP(H2834, risk_score!A:A, risk_score!B:B, 0)</f>
        <v>Low Risk</v>
      </c>
    </row>
    <row r="2835" spans="1:14">
      <c r="A2835" s="2">
        <v>0.51427083333333334</v>
      </c>
      <c r="B2835" s="3">
        <v>44841</v>
      </c>
      <c r="C2835" s="1">
        <v>9889461052</v>
      </c>
      <c r="D2835" s="1">
        <v>8627691888</v>
      </c>
      <c r="E2835" s="1">
        <v>1621.21</v>
      </c>
      <c r="F2835" s="1" t="s">
        <v>59</v>
      </c>
      <c r="G2835" s="1" t="s">
        <v>12</v>
      </c>
      <c r="H2835" s="1" t="s">
        <v>60</v>
      </c>
      <c r="I2835" s="1" t="s">
        <v>13</v>
      </c>
      <c r="J2835" s="1" t="s">
        <v>18</v>
      </c>
      <c r="K2835" s="1">
        <v>0</v>
      </c>
      <c r="L2835" s="1" t="s">
        <v>21</v>
      </c>
      <c r="M2835" s="1" t="str">
        <f t="shared" si="44"/>
        <v>Potential Layering</v>
      </c>
      <c r="N2835" s="1" t="str">
        <f>_xlfn.XLOOKUP(H2835, risk_score!A:A, risk_score!B:B, 0)</f>
        <v>Medium Risk</v>
      </c>
    </row>
    <row r="2836" spans="1:14">
      <c r="A2836" s="2">
        <v>0.51428240740740738</v>
      </c>
      <c r="B2836" s="3">
        <v>44841</v>
      </c>
      <c r="C2836" s="1">
        <v>4668700535</v>
      </c>
      <c r="D2836" s="1">
        <v>6339729772</v>
      </c>
      <c r="E2836" s="1">
        <v>3822.6</v>
      </c>
      <c r="F2836" s="1" t="s">
        <v>12</v>
      </c>
      <c r="G2836" s="1" t="s">
        <v>12</v>
      </c>
      <c r="H2836" s="1" t="s">
        <v>13</v>
      </c>
      <c r="I2836" s="1" t="s">
        <v>13</v>
      </c>
      <c r="J2836" s="1" t="s">
        <v>20</v>
      </c>
      <c r="K2836" s="1">
        <v>0</v>
      </c>
      <c r="L2836" s="1" t="s">
        <v>21</v>
      </c>
      <c r="M2836" s="1" t="str">
        <f t="shared" si="44"/>
        <v>Consistent</v>
      </c>
      <c r="N2836" s="1" t="str">
        <f>_xlfn.XLOOKUP(H2836, risk_score!A:A, risk_score!B:B, 0)</f>
        <v>Low Risk</v>
      </c>
    </row>
    <row r="2837" spans="1:14">
      <c r="A2837" s="2">
        <v>0.51428240740740738</v>
      </c>
      <c r="B2837" s="3">
        <v>44841</v>
      </c>
      <c r="C2837" s="1">
        <v>4291047985</v>
      </c>
      <c r="D2837" s="1">
        <v>595634483</v>
      </c>
      <c r="E2837" s="1">
        <v>1920.49</v>
      </c>
      <c r="F2837" s="1" t="s">
        <v>12</v>
      </c>
      <c r="G2837" s="1" t="s">
        <v>12</v>
      </c>
      <c r="H2837" s="1" t="s">
        <v>13</v>
      </c>
      <c r="I2837" s="1" t="s">
        <v>13</v>
      </c>
      <c r="J2837" s="1" t="s">
        <v>27</v>
      </c>
      <c r="K2837" s="1">
        <v>0</v>
      </c>
      <c r="L2837" s="1" t="s">
        <v>24</v>
      </c>
      <c r="M2837" s="1" t="str">
        <f t="shared" si="44"/>
        <v>Consistent</v>
      </c>
      <c r="N2837" s="1" t="str">
        <f>_xlfn.XLOOKUP(H2837, risk_score!A:A, risk_score!B:B, 0)</f>
        <v>Low Risk</v>
      </c>
    </row>
    <row r="2838" spans="1:14">
      <c r="A2838" s="2">
        <v>0.51431712962962961</v>
      </c>
      <c r="B2838" s="3">
        <v>44841</v>
      </c>
      <c r="C2838" s="1">
        <v>5042064131</v>
      </c>
      <c r="D2838" s="1">
        <v>5628674969</v>
      </c>
      <c r="E2838" s="1">
        <v>5512.75</v>
      </c>
      <c r="F2838" s="1" t="s">
        <v>12</v>
      </c>
      <c r="G2838" s="1" t="s">
        <v>12</v>
      </c>
      <c r="H2838" s="1" t="s">
        <v>13</v>
      </c>
      <c r="I2838" s="1" t="s">
        <v>13</v>
      </c>
      <c r="J2838" s="1" t="s">
        <v>27</v>
      </c>
      <c r="K2838" s="1">
        <v>0</v>
      </c>
      <c r="L2838" s="1" t="s">
        <v>23</v>
      </c>
      <c r="M2838" s="1" t="str">
        <f t="shared" si="44"/>
        <v>Consistent</v>
      </c>
      <c r="N2838" s="1" t="str">
        <f>_xlfn.XLOOKUP(H2838, risk_score!A:A, risk_score!B:B, 0)</f>
        <v>Low Risk</v>
      </c>
    </row>
    <row r="2839" spans="1:14">
      <c r="A2839" s="2">
        <v>0.51432870370370365</v>
      </c>
      <c r="B2839" s="3">
        <v>44841</v>
      </c>
      <c r="C2839" s="1">
        <v>64005248</v>
      </c>
      <c r="D2839" s="1">
        <v>6510565170</v>
      </c>
      <c r="E2839" s="1">
        <v>6905.87</v>
      </c>
      <c r="F2839" s="1" t="s">
        <v>12</v>
      </c>
      <c r="G2839" s="1" t="s">
        <v>12</v>
      </c>
      <c r="H2839" s="1" t="s">
        <v>13</v>
      </c>
      <c r="I2839" s="1" t="s">
        <v>13</v>
      </c>
      <c r="J2839" s="1" t="s">
        <v>22</v>
      </c>
      <c r="K2839" s="1">
        <v>0</v>
      </c>
      <c r="L2839" s="1" t="s">
        <v>24</v>
      </c>
      <c r="M2839" s="1" t="str">
        <f t="shared" si="44"/>
        <v>Consistent</v>
      </c>
      <c r="N2839" s="1" t="str">
        <f>_xlfn.XLOOKUP(H2839, risk_score!A:A, risk_score!B:B, 0)</f>
        <v>Low Risk</v>
      </c>
    </row>
    <row r="2840" spans="1:14">
      <c r="A2840" s="2">
        <v>0.51437500000000003</v>
      </c>
      <c r="B2840" s="3">
        <v>44841</v>
      </c>
      <c r="C2840" s="1">
        <v>4724128387</v>
      </c>
      <c r="D2840" s="1">
        <v>7080357663</v>
      </c>
      <c r="E2840" s="1">
        <v>13879.76</v>
      </c>
      <c r="F2840" s="1" t="s">
        <v>12</v>
      </c>
      <c r="G2840" s="1" t="s">
        <v>12</v>
      </c>
      <c r="H2840" s="1" t="s">
        <v>13</v>
      </c>
      <c r="I2840" s="1" t="s">
        <v>13</v>
      </c>
      <c r="J2840" s="1" t="s">
        <v>22</v>
      </c>
      <c r="K2840" s="1">
        <v>0</v>
      </c>
      <c r="L2840" s="1" t="s">
        <v>23</v>
      </c>
      <c r="M2840" s="1" t="str">
        <f t="shared" si="44"/>
        <v>Consistent</v>
      </c>
      <c r="N2840" s="1" t="str">
        <f>_xlfn.XLOOKUP(H2840, risk_score!A:A, risk_score!B:B, 0)</f>
        <v>Low Risk</v>
      </c>
    </row>
    <row r="2841" spans="1:14">
      <c r="A2841" s="2">
        <v>0.5143981481481481</v>
      </c>
      <c r="B2841" s="3">
        <v>44841</v>
      </c>
      <c r="C2841" s="1">
        <v>7421451752</v>
      </c>
      <c r="D2841" s="1">
        <v>2755709071</v>
      </c>
      <c r="E2841" s="1">
        <v>5895.71</v>
      </c>
      <c r="F2841" s="1" t="s">
        <v>12</v>
      </c>
      <c r="G2841" s="1" t="s">
        <v>12</v>
      </c>
      <c r="H2841" s="1" t="s">
        <v>13</v>
      </c>
      <c r="I2841" s="1" t="s">
        <v>13</v>
      </c>
      <c r="J2841" s="1" t="s">
        <v>20</v>
      </c>
      <c r="K2841" s="1">
        <v>0</v>
      </c>
      <c r="L2841" s="1" t="s">
        <v>19</v>
      </c>
      <c r="M2841" s="1" t="str">
        <f t="shared" si="44"/>
        <v>Consistent</v>
      </c>
      <c r="N2841" s="1" t="str">
        <f>_xlfn.XLOOKUP(H2841, risk_score!A:A, risk_score!B:B, 0)</f>
        <v>Low Risk</v>
      </c>
    </row>
    <row r="2842" spans="1:14">
      <c r="A2842" s="2">
        <v>0.5143981481481481</v>
      </c>
      <c r="B2842" s="3">
        <v>44841</v>
      </c>
      <c r="C2842" s="1">
        <v>9168588789</v>
      </c>
      <c r="D2842" s="1">
        <v>4889197724</v>
      </c>
      <c r="E2842" s="1">
        <v>8252.84</v>
      </c>
      <c r="F2842" s="1" t="s">
        <v>12</v>
      </c>
      <c r="G2842" s="1" t="s">
        <v>12</v>
      </c>
      <c r="H2842" s="1" t="s">
        <v>13</v>
      </c>
      <c r="I2842" s="1" t="s">
        <v>13</v>
      </c>
      <c r="J2842" s="1" t="s">
        <v>25</v>
      </c>
      <c r="K2842" s="1">
        <v>0</v>
      </c>
      <c r="L2842" s="1" t="s">
        <v>38</v>
      </c>
      <c r="M2842" s="1" t="str">
        <f t="shared" si="44"/>
        <v>Consistent</v>
      </c>
      <c r="N2842" s="1" t="str">
        <f>_xlfn.XLOOKUP(H2842, risk_score!A:A, risk_score!B:B, 0)</f>
        <v>Low Risk</v>
      </c>
    </row>
    <row r="2843" spans="1:14">
      <c r="A2843" s="2">
        <v>0.51449074074074075</v>
      </c>
      <c r="B2843" s="3">
        <v>44841</v>
      </c>
      <c r="C2843" s="1">
        <v>2365007895</v>
      </c>
      <c r="D2843" s="1">
        <v>8015553278</v>
      </c>
      <c r="E2843" s="1">
        <v>6925.37</v>
      </c>
      <c r="F2843" s="1" t="s">
        <v>12</v>
      </c>
      <c r="G2843" s="1" t="s">
        <v>12</v>
      </c>
      <c r="H2843" s="1" t="s">
        <v>13</v>
      </c>
      <c r="I2843" s="1" t="s">
        <v>13</v>
      </c>
      <c r="J2843" s="1" t="s">
        <v>27</v>
      </c>
      <c r="K2843" s="1">
        <v>0</v>
      </c>
      <c r="L2843" s="1" t="s">
        <v>19</v>
      </c>
      <c r="M2843" s="1" t="str">
        <f t="shared" si="44"/>
        <v>Consistent</v>
      </c>
      <c r="N2843" s="1" t="str">
        <f>_xlfn.XLOOKUP(H2843, risk_score!A:A, risk_score!B:B, 0)</f>
        <v>Low Risk</v>
      </c>
    </row>
    <row r="2844" spans="1:14">
      <c r="A2844" s="2">
        <v>0.51452546296296298</v>
      </c>
      <c r="B2844" s="3">
        <v>44841</v>
      </c>
      <c r="C2844" s="1">
        <v>9649321106</v>
      </c>
      <c r="D2844" s="1">
        <v>5109623450</v>
      </c>
      <c r="E2844" s="1">
        <v>7822.99</v>
      </c>
      <c r="F2844" s="1" t="s">
        <v>12</v>
      </c>
      <c r="G2844" s="1" t="s">
        <v>12</v>
      </c>
      <c r="H2844" s="1" t="s">
        <v>13</v>
      </c>
      <c r="I2844" s="1" t="s">
        <v>13</v>
      </c>
      <c r="J2844" s="1" t="s">
        <v>22</v>
      </c>
      <c r="K2844" s="1">
        <v>0</v>
      </c>
      <c r="L2844" s="1" t="s">
        <v>23</v>
      </c>
      <c r="M2844" s="1" t="str">
        <f t="shared" si="44"/>
        <v>Consistent</v>
      </c>
      <c r="N2844" s="1" t="str">
        <f>_xlfn.XLOOKUP(H2844, risk_score!A:A, risk_score!B:B, 0)</f>
        <v>Low Risk</v>
      </c>
    </row>
    <row r="2845" spans="1:14">
      <c r="A2845" s="2">
        <v>0.51452546296296298</v>
      </c>
      <c r="B2845" s="3">
        <v>44841</v>
      </c>
      <c r="C2845" s="1">
        <v>58594825</v>
      </c>
      <c r="D2845" s="1">
        <v>6953672776</v>
      </c>
      <c r="E2845" s="1">
        <v>7988.75</v>
      </c>
      <c r="F2845" s="1" t="s">
        <v>12</v>
      </c>
      <c r="G2845" s="1" t="s">
        <v>34</v>
      </c>
      <c r="H2845" s="1" t="s">
        <v>13</v>
      </c>
      <c r="I2845" s="1" t="s">
        <v>35</v>
      </c>
      <c r="J2845" s="1" t="s">
        <v>18</v>
      </c>
      <c r="K2845" s="1">
        <v>0</v>
      </c>
      <c r="L2845" s="1" t="s">
        <v>23</v>
      </c>
      <c r="M2845" s="1" t="str">
        <f t="shared" si="44"/>
        <v>Potential Layering</v>
      </c>
      <c r="N2845" s="1" t="str">
        <f>_xlfn.XLOOKUP(H2845, risk_score!A:A, risk_score!B:B, 0)</f>
        <v>Low Risk</v>
      </c>
    </row>
    <row r="2846" spans="1:14">
      <c r="A2846" s="2">
        <v>0.5145601851851852</v>
      </c>
      <c r="B2846" s="3">
        <v>44841</v>
      </c>
      <c r="C2846" s="1">
        <v>7421451752</v>
      </c>
      <c r="D2846" s="1">
        <v>6790400322</v>
      </c>
      <c r="E2846" s="1">
        <v>11976.31</v>
      </c>
      <c r="F2846" s="1" t="s">
        <v>12</v>
      </c>
      <c r="G2846" s="1" t="s">
        <v>12</v>
      </c>
      <c r="H2846" s="1" t="s">
        <v>13</v>
      </c>
      <c r="I2846" s="1" t="s">
        <v>13</v>
      </c>
      <c r="J2846" s="1" t="s">
        <v>22</v>
      </c>
      <c r="K2846" s="1">
        <v>0</v>
      </c>
      <c r="L2846" s="1" t="s">
        <v>19</v>
      </c>
      <c r="M2846" s="1" t="str">
        <f t="shared" si="44"/>
        <v>Consistent</v>
      </c>
      <c r="N2846" s="1" t="str">
        <f>_xlfn.XLOOKUP(H2846, risk_score!A:A, risk_score!B:B, 0)</f>
        <v>Low Risk</v>
      </c>
    </row>
    <row r="2847" spans="1:14">
      <c r="A2847" s="2">
        <v>0.5145601851851852</v>
      </c>
      <c r="B2847" s="3">
        <v>44841</v>
      </c>
      <c r="C2847" s="1">
        <v>1164020053</v>
      </c>
      <c r="D2847" s="1">
        <v>9416949366</v>
      </c>
      <c r="E2847" s="1">
        <v>4569.51</v>
      </c>
      <c r="F2847" s="1" t="s">
        <v>12</v>
      </c>
      <c r="G2847" s="1" t="s">
        <v>12</v>
      </c>
      <c r="H2847" s="1" t="s">
        <v>13</v>
      </c>
      <c r="I2847" s="1" t="s">
        <v>13</v>
      </c>
      <c r="J2847" s="1" t="s">
        <v>20</v>
      </c>
      <c r="K2847" s="1">
        <v>0</v>
      </c>
      <c r="L2847" s="1" t="s">
        <v>24</v>
      </c>
      <c r="M2847" s="1" t="str">
        <f t="shared" si="44"/>
        <v>Consistent</v>
      </c>
      <c r="N2847" s="1" t="str">
        <f>_xlfn.XLOOKUP(H2847, risk_score!A:A, risk_score!B:B, 0)</f>
        <v>Low Risk</v>
      </c>
    </row>
    <row r="2848" spans="1:14">
      <c r="A2848" s="2">
        <v>0.51457175925925924</v>
      </c>
      <c r="B2848" s="3">
        <v>44841</v>
      </c>
      <c r="C2848" s="1">
        <v>870721923</v>
      </c>
      <c r="D2848" s="1">
        <v>7265570873</v>
      </c>
      <c r="E2848" s="1">
        <v>4428.37</v>
      </c>
      <c r="F2848" s="1" t="s">
        <v>12</v>
      </c>
      <c r="G2848" s="1" t="s">
        <v>12</v>
      </c>
      <c r="H2848" s="1" t="s">
        <v>13</v>
      </c>
      <c r="I2848" s="1" t="s">
        <v>13</v>
      </c>
      <c r="J2848" s="1" t="s">
        <v>14</v>
      </c>
      <c r="K2848" s="1">
        <v>0</v>
      </c>
      <c r="L2848" s="1" t="s">
        <v>15</v>
      </c>
      <c r="M2848" s="1" t="str">
        <f t="shared" si="44"/>
        <v>Consistent</v>
      </c>
      <c r="N2848" s="1" t="str">
        <f>_xlfn.XLOOKUP(H2848, risk_score!A:A, risk_score!B:B, 0)</f>
        <v>Low Risk</v>
      </c>
    </row>
    <row r="2849" spans="1:14">
      <c r="A2849" s="2">
        <v>0.51457175925925924</v>
      </c>
      <c r="B2849" s="3">
        <v>44841</v>
      </c>
      <c r="C2849" s="1">
        <v>9301628280</v>
      </c>
      <c r="D2849" s="1">
        <v>6888383028</v>
      </c>
      <c r="E2849" s="1">
        <v>1493.71</v>
      </c>
      <c r="F2849" s="1" t="s">
        <v>12</v>
      </c>
      <c r="G2849" s="1" t="s">
        <v>12</v>
      </c>
      <c r="H2849" s="1" t="s">
        <v>13</v>
      </c>
      <c r="I2849" s="1" t="s">
        <v>13</v>
      </c>
      <c r="J2849" s="1" t="s">
        <v>25</v>
      </c>
      <c r="K2849" s="1">
        <v>0</v>
      </c>
      <c r="L2849" s="1" t="s">
        <v>21</v>
      </c>
      <c r="M2849" s="1" t="str">
        <f t="shared" si="44"/>
        <v>Consistent</v>
      </c>
      <c r="N2849" s="1" t="str">
        <f>_xlfn.XLOOKUP(H2849, risk_score!A:A, risk_score!B:B, 0)</f>
        <v>Low Risk</v>
      </c>
    </row>
    <row r="2850" spans="1:14">
      <c r="A2850" s="2">
        <v>0.51460648148148147</v>
      </c>
      <c r="B2850" s="3">
        <v>44841</v>
      </c>
      <c r="C2850" s="1">
        <v>5411794037</v>
      </c>
      <c r="D2850" s="1">
        <v>8352571580</v>
      </c>
      <c r="E2850" s="1">
        <v>7176.57</v>
      </c>
      <c r="F2850" s="1" t="s">
        <v>12</v>
      </c>
      <c r="G2850" s="1" t="s">
        <v>12</v>
      </c>
      <c r="H2850" s="1" t="s">
        <v>13</v>
      </c>
      <c r="I2850" s="1" t="s">
        <v>13</v>
      </c>
      <c r="J2850" s="1" t="s">
        <v>22</v>
      </c>
      <c r="K2850" s="1">
        <v>0</v>
      </c>
      <c r="L2850" s="1" t="s">
        <v>23</v>
      </c>
      <c r="M2850" s="1" t="str">
        <f t="shared" si="44"/>
        <v>Consistent</v>
      </c>
      <c r="N2850" s="1" t="str">
        <f>_xlfn.XLOOKUP(H2850, risk_score!A:A, risk_score!B:B, 0)</f>
        <v>Low Risk</v>
      </c>
    </row>
    <row r="2851" spans="1:14">
      <c r="A2851" s="2">
        <v>0.51460648148148147</v>
      </c>
      <c r="B2851" s="3">
        <v>44841</v>
      </c>
      <c r="C2851" s="1">
        <v>3487894253</v>
      </c>
      <c r="D2851" s="1">
        <v>8173358571</v>
      </c>
      <c r="E2851" s="1">
        <v>278.58999999999997</v>
      </c>
      <c r="F2851" s="1" t="s">
        <v>12</v>
      </c>
      <c r="G2851" s="1" t="s">
        <v>12</v>
      </c>
      <c r="H2851" s="1" t="s">
        <v>13</v>
      </c>
      <c r="I2851" s="1" t="s">
        <v>13</v>
      </c>
      <c r="J2851" s="1" t="s">
        <v>27</v>
      </c>
      <c r="K2851" s="1">
        <v>0</v>
      </c>
      <c r="L2851" s="1" t="s">
        <v>21</v>
      </c>
      <c r="M2851" s="1" t="str">
        <f t="shared" si="44"/>
        <v>Consistent</v>
      </c>
      <c r="N2851" s="1" t="str">
        <f>_xlfn.XLOOKUP(H2851, risk_score!A:A, risk_score!B:B, 0)</f>
        <v>Low Risk</v>
      </c>
    </row>
    <row r="2852" spans="1:14">
      <c r="A2852" s="2">
        <v>0.51467592592592593</v>
      </c>
      <c r="B2852" s="3">
        <v>44841</v>
      </c>
      <c r="C2852" s="1">
        <v>5805289983</v>
      </c>
      <c r="D2852" s="1">
        <v>4270865741</v>
      </c>
      <c r="E2852" s="1">
        <v>5801.86</v>
      </c>
      <c r="F2852" s="1" t="s">
        <v>12</v>
      </c>
      <c r="G2852" s="1" t="s">
        <v>12</v>
      </c>
      <c r="H2852" s="1" t="s">
        <v>13</v>
      </c>
      <c r="I2852" s="1" t="s">
        <v>13</v>
      </c>
      <c r="J2852" s="1" t="s">
        <v>27</v>
      </c>
      <c r="K2852" s="1">
        <v>0</v>
      </c>
      <c r="L2852" s="1" t="s">
        <v>23</v>
      </c>
      <c r="M2852" s="1" t="str">
        <f t="shared" si="44"/>
        <v>Consistent</v>
      </c>
      <c r="N2852" s="1" t="str">
        <f>_xlfn.XLOOKUP(H2852, risk_score!A:A, risk_score!B:B, 0)</f>
        <v>Low Risk</v>
      </c>
    </row>
    <row r="2853" spans="1:14">
      <c r="A2853" s="2">
        <v>0.51467592592592593</v>
      </c>
      <c r="B2853" s="3">
        <v>44841</v>
      </c>
      <c r="C2853" s="1">
        <v>3709430533</v>
      </c>
      <c r="D2853" s="1">
        <v>192121676</v>
      </c>
      <c r="E2853" s="1">
        <v>5698.08</v>
      </c>
      <c r="F2853" s="1" t="s">
        <v>12</v>
      </c>
      <c r="G2853" s="1" t="s">
        <v>12</v>
      </c>
      <c r="H2853" s="1" t="s">
        <v>13</v>
      </c>
      <c r="I2853" s="1" t="s">
        <v>13</v>
      </c>
      <c r="J2853" s="1" t="s">
        <v>25</v>
      </c>
      <c r="K2853" s="1">
        <v>0</v>
      </c>
      <c r="L2853" s="1" t="s">
        <v>19</v>
      </c>
      <c r="M2853" s="1" t="str">
        <f t="shared" si="44"/>
        <v>Consistent</v>
      </c>
      <c r="N2853" s="1" t="str">
        <f>_xlfn.XLOOKUP(H2853, risk_score!A:A, risk_score!B:B, 0)</f>
        <v>Low Risk</v>
      </c>
    </row>
    <row r="2854" spans="1:14">
      <c r="A2854" s="2">
        <v>0.51472222222222219</v>
      </c>
      <c r="B2854" s="3">
        <v>44841</v>
      </c>
      <c r="C2854" s="1">
        <v>9989099390</v>
      </c>
      <c r="D2854" s="1">
        <v>6667745786</v>
      </c>
      <c r="E2854" s="1">
        <v>879.03</v>
      </c>
      <c r="F2854" s="1" t="s">
        <v>12</v>
      </c>
      <c r="G2854" s="1" t="s">
        <v>12</v>
      </c>
      <c r="H2854" s="1" t="s">
        <v>13</v>
      </c>
      <c r="I2854" s="1" t="s">
        <v>13</v>
      </c>
      <c r="J2854" s="1" t="s">
        <v>22</v>
      </c>
      <c r="K2854" s="1">
        <v>0</v>
      </c>
      <c r="L2854" s="1" t="s">
        <v>21</v>
      </c>
      <c r="M2854" s="1" t="str">
        <f t="shared" si="44"/>
        <v>Consistent</v>
      </c>
      <c r="N2854" s="1" t="str">
        <f>_xlfn.XLOOKUP(H2854, risk_score!A:A, risk_score!B:B, 0)</f>
        <v>Low Risk</v>
      </c>
    </row>
    <row r="2855" spans="1:14">
      <c r="A2855" s="2">
        <v>0.51473379629629634</v>
      </c>
      <c r="B2855" s="3">
        <v>44841</v>
      </c>
      <c r="C2855" s="1">
        <v>7248971027</v>
      </c>
      <c r="D2855" s="1">
        <v>6079407311</v>
      </c>
      <c r="E2855" s="1">
        <v>4428.75</v>
      </c>
      <c r="F2855" s="1" t="s">
        <v>12</v>
      </c>
      <c r="G2855" s="1" t="s">
        <v>39</v>
      </c>
      <c r="H2855" s="1" t="s">
        <v>13</v>
      </c>
      <c r="I2855" s="1" t="s">
        <v>13</v>
      </c>
      <c r="J2855" s="1" t="s">
        <v>22</v>
      </c>
      <c r="K2855" s="1">
        <v>0</v>
      </c>
      <c r="L2855" s="1" t="s">
        <v>21</v>
      </c>
      <c r="M2855" s="1" t="str">
        <f t="shared" si="44"/>
        <v>Potential Layering</v>
      </c>
      <c r="N2855" s="1" t="str">
        <f>_xlfn.XLOOKUP(H2855, risk_score!A:A, risk_score!B:B, 0)</f>
        <v>Low Risk</v>
      </c>
    </row>
    <row r="2856" spans="1:14">
      <c r="A2856" s="2">
        <v>0.51482638888888888</v>
      </c>
      <c r="B2856" s="3">
        <v>44841</v>
      </c>
      <c r="C2856" s="1">
        <v>1572456307</v>
      </c>
      <c r="D2856" s="1">
        <v>8974454119</v>
      </c>
      <c r="E2856" s="1">
        <v>13993.13</v>
      </c>
      <c r="F2856" s="1" t="s">
        <v>12</v>
      </c>
      <c r="G2856" s="1" t="s">
        <v>12</v>
      </c>
      <c r="H2856" s="1" t="s">
        <v>13</v>
      </c>
      <c r="I2856" s="1" t="s">
        <v>13</v>
      </c>
      <c r="J2856" s="1" t="s">
        <v>25</v>
      </c>
      <c r="K2856" s="1">
        <v>0</v>
      </c>
      <c r="L2856" s="1" t="s">
        <v>21</v>
      </c>
      <c r="M2856" s="1" t="str">
        <f t="shared" si="44"/>
        <v>Consistent</v>
      </c>
      <c r="N2856" s="1" t="str">
        <f>_xlfn.XLOOKUP(H2856, risk_score!A:A, risk_score!B:B, 0)</f>
        <v>Low Risk</v>
      </c>
    </row>
    <row r="2857" spans="1:14">
      <c r="A2857" s="2">
        <v>0.51482638888888888</v>
      </c>
      <c r="B2857" s="3">
        <v>44841</v>
      </c>
      <c r="C2857" s="1">
        <v>2375869731</v>
      </c>
      <c r="D2857" s="1">
        <v>8737013850</v>
      </c>
      <c r="E2857" s="1">
        <v>942.18</v>
      </c>
      <c r="F2857" s="1" t="s">
        <v>12</v>
      </c>
      <c r="G2857" s="1" t="s">
        <v>12</v>
      </c>
      <c r="H2857" s="1" t="s">
        <v>13</v>
      </c>
      <c r="I2857" s="1" t="s">
        <v>13</v>
      </c>
      <c r="J2857" s="1" t="s">
        <v>27</v>
      </c>
      <c r="K2857" s="1">
        <v>0</v>
      </c>
      <c r="L2857" s="1" t="s">
        <v>21</v>
      </c>
      <c r="M2857" s="1" t="str">
        <f t="shared" si="44"/>
        <v>Consistent</v>
      </c>
      <c r="N2857" s="1" t="str">
        <f>_xlfn.XLOOKUP(H2857, risk_score!A:A, risk_score!B:B, 0)</f>
        <v>Low Risk</v>
      </c>
    </row>
    <row r="2858" spans="1:14">
      <c r="A2858" s="2">
        <v>0.5148611111111111</v>
      </c>
      <c r="B2858" s="3">
        <v>44841</v>
      </c>
      <c r="C2858" s="1">
        <v>1126197668</v>
      </c>
      <c r="D2858" s="1">
        <v>2020131745</v>
      </c>
      <c r="E2858" s="1">
        <v>1063.77</v>
      </c>
      <c r="F2858" s="1" t="s">
        <v>12</v>
      </c>
      <c r="G2858" s="1" t="s">
        <v>12</v>
      </c>
      <c r="H2858" s="1" t="s">
        <v>13</v>
      </c>
      <c r="I2858" s="1" t="s">
        <v>13</v>
      </c>
      <c r="J2858" s="1" t="s">
        <v>14</v>
      </c>
      <c r="K2858" s="1">
        <v>0</v>
      </c>
      <c r="L2858" s="1" t="s">
        <v>15</v>
      </c>
      <c r="M2858" s="1" t="str">
        <f t="shared" si="44"/>
        <v>Consistent</v>
      </c>
      <c r="N2858" s="1" t="str">
        <f>_xlfn.XLOOKUP(H2858, risk_score!A:A, risk_score!B:B, 0)</f>
        <v>Low Risk</v>
      </c>
    </row>
    <row r="2859" spans="1:14">
      <c r="A2859" s="2">
        <v>0.51489583333333333</v>
      </c>
      <c r="B2859" s="3">
        <v>44841</v>
      </c>
      <c r="C2859" s="1">
        <v>3168051873</v>
      </c>
      <c r="D2859" s="1">
        <v>9923312753</v>
      </c>
      <c r="E2859" s="1">
        <v>12414.15</v>
      </c>
      <c r="F2859" s="1" t="s">
        <v>12</v>
      </c>
      <c r="G2859" s="1" t="s">
        <v>12</v>
      </c>
      <c r="H2859" s="1" t="s">
        <v>13</v>
      </c>
      <c r="I2859" s="1" t="s">
        <v>13</v>
      </c>
      <c r="J2859" s="1" t="s">
        <v>25</v>
      </c>
      <c r="K2859" s="1">
        <v>0</v>
      </c>
      <c r="L2859" s="1" t="s">
        <v>19</v>
      </c>
      <c r="M2859" s="1" t="str">
        <f t="shared" si="44"/>
        <v>Consistent</v>
      </c>
      <c r="N2859" s="1" t="str">
        <f>_xlfn.XLOOKUP(H2859, risk_score!A:A, risk_score!B:B, 0)</f>
        <v>Low Risk</v>
      </c>
    </row>
    <row r="2860" spans="1:14">
      <c r="A2860" s="2">
        <v>0.51489583333333333</v>
      </c>
      <c r="B2860" s="3">
        <v>44841</v>
      </c>
      <c r="C2860" s="1">
        <v>5411794037</v>
      </c>
      <c r="D2860" s="1">
        <v>8352571580</v>
      </c>
      <c r="E2860" s="1">
        <v>7210.18</v>
      </c>
      <c r="F2860" s="1" t="s">
        <v>12</v>
      </c>
      <c r="G2860" s="1" t="s">
        <v>12</v>
      </c>
      <c r="H2860" s="1" t="s">
        <v>13</v>
      </c>
      <c r="I2860" s="1" t="s">
        <v>13</v>
      </c>
      <c r="J2860" s="1" t="s">
        <v>22</v>
      </c>
      <c r="K2860" s="1">
        <v>0</v>
      </c>
      <c r="L2860" s="1" t="s">
        <v>23</v>
      </c>
      <c r="M2860" s="1" t="str">
        <f t="shared" si="44"/>
        <v>Consistent</v>
      </c>
      <c r="N2860" s="1" t="str">
        <f>_xlfn.XLOOKUP(H2860, risk_score!A:A, risk_score!B:B, 0)</f>
        <v>Low Risk</v>
      </c>
    </row>
    <row r="2861" spans="1:14">
      <c r="A2861" s="2">
        <v>0.5149421296296296</v>
      </c>
      <c r="B2861" s="3">
        <v>44841</v>
      </c>
      <c r="C2861" s="1">
        <v>3239063780</v>
      </c>
      <c r="D2861" s="1">
        <v>7853004735</v>
      </c>
      <c r="E2861" s="1">
        <v>38.799999999999997</v>
      </c>
      <c r="F2861" s="1" t="s">
        <v>12</v>
      </c>
      <c r="G2861" s="1" t="s">
        <v>12</v>
      </c>
      <c r="H2861" s="1" t="s">
        <v>13</v>
      </c>
      <c r="I2861" s="1" t="s">
        <v>13</v>
      </c>
      <c r="J2861" s="1" t="s">
        <v>36</v>
      </c>
      <c r="K2861" s="1">
        <v>0</v>
      </c>
      <c r="L2861" s="1" t="s">
        <v>37</v>
      </c>
      <c r="M2861" s="1" t="str">
        <f t="shared" si="44"/>
        <v>Consistent</v>
      </c>
      <c r="N2861" s="1" t="str">
        <f>_xlfn.XLOOKUP(H2861, risk_score!A:A, risk_score!B:B, 0)</f>
        <v>Low Risk</v>
      </c>
    </row>
    <row r="2862" spans="1:14">
      <c r="A2862" s="2">
        <v>0.51498842592592597</v>
      </c>
      <c r="B2862" s="3">
        <v>44841</v>
      </c>
      <c r="C2862" s="1">
        <v>5755006985</v>
      </c>
      <c r="D2862" s="1">
        <v>9798539804</v>
      </c>
      <c r="E2862" s="1">
        <v>2462.56</v>
      </c>
      <c r="F2862" s="1" t="s">
        <v>12</v>
      </c>
      <c r="G2862" s="1" t="s">
        <v>12</v>
      </c>
      <c r="H2862" s="1" t="s">
        <v>13</v>
      </c>
      <c r="I2862" s="1" t="s">
        <v>13</v>
      </c>
      <c r="J2862" s="1" t="s">
        <v>14</v>
      </c>
      <c r="K2862" s="1">
        <v>0</v>
      </c>
      <c r="L2862" s="1" t="s">
        <v>15</v>
      </c>
      <c r="M2862" s="1" t="str">
        <f t="shared" si="44"/>
        <v>Consistent</v>
      </c>
      <c r="N2862" s="1" t="str">
        <f>_xlfn.XLOOKUP(H2862, risk_score!A:A, risk_score!B:B, 0)</f>
        <v>Low Risk</v>
      </c>
    </row>
    <row r="2863" spans="1:14">
      <c r="A2863" s="2">
        <v>0.51500000000000001</v>
      </c>
      <c r="B2863" s="3">
        <v>44841</v>
      </c>
      <c r="C2863" s="1">
        <v>9769183930</v>
      </c>
      <c r="D2863" s="1">
        <v>8733891613</v>
      </c>
      <c r="E2863" s="1">
        <v>2991.27</v>
      </c>
      <c r="F2863" s="1" t="s">
        <v>12</v>
      </c>
      <c r="G2863" s="1" t="s">
        <v>12</v>
      </c>
      <c r="H2863" s="1" t="s">
        <v>13</v>
      </c>
      <c r="I2863" s="1" t="s">
        <v>13</v>
      </c>
      <c r="J2863" s="1" t="s">
        <v>27</v>
      </c>
      <c r="K2863" s="1">
        <v>0</v>
      </c>
      <c r="L2863" s="1" t="s">
        <v>21</v>
      </c>
      <c r="M2863" s="1" t="str">
        <f t="shared" si="44"/>
        <v>Consistent</v>
      </c>
      <c r="N2863" s="1" t="str">
        <f>_xlfn.XLOOKUP(H2863, risk_score!A:A, risk_score!B:B, 0)</f>
        <v>Low Risk</v>
      </c>
    </row>
    <row r="2864" spans="1:14">
      <c r="A2864" s="2">
        <v>0.5150231481481482</v>
      </c>
      <c r="B2864" s="3">
        <v>44841</v>
      </c>
      <c r="C2864" s="1">
        <v>826653192</v>
      </c>
      <c r="D2864" s="1">
        <v>1431561040</v>
      </c>
      <c r="E2864" s="1">
        <v>11191.06</v>
      </c>
      <c r="F2864" s="1" t="s">
        <v>12</v>
      </c>
      <c r="G2864" s="1" t="s">
        <v>12</v>
      </c>
      <c r="H2864" s="1" t="s">
        <v>13</v>
      </c>
      <c r="I2864" s="1" t="s">
        <v>13</v>
      </c>
      <c r="J2864" s="1" t="s">
        <v>27</v>
      </c>
      <c r="K2864" s="1">
        <v>0</v>
      </c>
      <c r="L2864" s="1" t="s">
        <v>23</v>
      </c>
      <c r="M2864" s="1" t="str">
        <f t="shared" si="44"/>
        <v>Consistent</v>
      </c>
      <c r="N2864" s="1" t="str">
        <f>_xlfn.XLOOKUP(H2864, risk_score!A:A, risk_score!B:B, 0)</f>
        <v>Low Risk</v>
      </c>
    </row>
    <row r="2865" spans="1:14">
      <c r="A2865" s="2">
        <v>0.51503472222222224</v>
      </c>
      <c r="B2865" s="3">
        <v>44841</v>
      </c>
      <c r="C2865" s="1">
        <v>7133027548</v>
      </c>
      <c r="D2865" s="1">
        <v>4336977506</v>
      </c>
      <c r="E2865" s="1">
        <v>4637.08</v>
      </c>
      <c r="F2865" s="1" t="s">
        <v>12</v>
      </c>
      <c r="G2865" s="1" t="s">
        <v>12</v>
      </c>
      <c r="H2865" s="1" t="s">
        <v>13</v>
      </c>
      <c r="I2865" s="1" t="s">
        <v>13</v>
      </c>
      <c r="J2865" s="1" t="s">
        <v>25</v>
      </c>
      <c r="K2865" s="1">
        <v>0</v>
      </c>
      <c r="L2865" s="1" t="s">
        <v>23</v>
      </c>
      <c r="M2865" s="1" t="str">
        <f t="shared" si="44"/>
        <v>Consistent</v>
      </c>
      <c r="N2865" s="1" t="str">
        <f>_xlfn.XLOOKUP(H2865, risk_score!A:A, risk_score!B:B, 0)</f>
        <v>Low Risk</v>
      </c>
    </row>
    <row r="2866" spans="1:14">
      <c r="A2866" s="2">
        <v>0.51505787037037032</v>
      </c>
      <c r="B2866" s="3">
        <v>44841</v>
      </c>
      <c r="C2866" s="1">
        <v>6354136969</v>
      </c>
      <c r="D2866" s="1">
        <v>7080357663</v>
      </c>
      <c r="E2866" s="1">
        <v>19932.41</v>
      </c>
      <c r="F2866" s="1" t="s">
        <v>12</v>
      </c>
      <c r="G2866" s="1" t="s">
        <v>12</v>
      </c>
      <c r="H2866" s="1" t="s">
        <v>13</v>
      </c>
      <c r="I2866" s="1" t="s">
        <v>13</v>
      </c>
      <c r="J2866" s="1" t="s">
        <v>22</v>
      </c>
      <c r="K2866" s="1">
        <v>0</v>
      </c>
      <c r="L2866" s="1" t="s">
        <v>23</v>
      </c>
      <c r="M2866" s="1" t="str">
        <f t="shared" si="44"/>
        <v>Consistent</v>
      </c>
      <c r="N2866" s="1" t="str">
        <f>_xlfn.XLOOKUP(H2866, risk_score!A:A, risk_score!B:B, 0)</f>
        <v>Low Risk</v>
      </c>
    </row>
    <row r="2867" spans="1:14">
      <c r="A2867" s="2">
        <v>0.5151041666666667</v>
      </c>
      <c r="B2867" s="3">
        <v>44841</v>
      </c>
      <c r="C2867" s="1">
        <v>6541552727</v>
      </c>
      <c r="D2867" s="1">
        <v>3844741692</v>
      </c>
      <c r="E2867" s="1">
        <v>10935.09</v>
      </c>
      <c r="F2867" s="1" t="s">
        <v>12</v>
      </c>
      <c r="G2867" s="1" t="s">
        <v>12</v>
      </c>
      <c r="H2867" s="1" t="s">
        <v>13</v>
      </c>
      <c r="I2867" s="1" t="s">
        <v>13</v>
      </c>
      <c r="J2867" s="1" t="s">
        <v>20</v>
      </c>
      <c r="K2867" s="1">
        <v>0</v>
      </c>
      <c r="L2867" s="1" t="s">
        <v>19</v>
      </c>
      <c r="M2867" s="1" t="str">
        <f t="shared" si="44"/>
        <v>Consistent</v>
      </c>
      <c r="N2867" s="1" t="str">
        <f>_xlfn.XLOOKUP(H2867, risk_score!A:A, risk_score!B:B, 0)</f>
        <v>Low Risk</v>
      </c>
    </row>
    <row r="2868" spans="1:14">
      <c r="A2868" s="2">
        <v>0.51511574074074074</v>
      </c>
      <c r="B2868" s="3">
        <v>44841</v>
      </c>
      <c r="C2868" s="1">
        <v>430404376</v>
      </c>
      <c r="D2868" s="1">
        <v>1431561040</v>
      </c>
      <c r="E2868" s="1">
        <v>5243.53</v>
      </c>
      <c r="F2868" s="1" t="s">
        <v>12</v>
      </c>
      <c r="G2868" s="1" t="s">
        <v>12</v>
      </c>
      <c r="H2868" s="1" t="s">
        <v>13</v>
      </c>
      <c r="I2868" s="1" t="s">
        <v>13</v>
      </c>
      <c r="J2868" s="1" t="s">
        <v>25</v>
      </c>
      <c r="K2868" s="1">
        <v>0</v>
      </c>
      <c r="L2868" s="1" t="s">
        <v>23</v>
      </c>
      <c r="M2868" s="1" t="str">
        <f t="shared" si="44"/>
        <v>Consistent</v>
      </c>
      <c r="N2868" s="1" t="str">
        <f>_xlfn.XLOOKUP(H2868, risk_score!A:A, risk_score!B:B, 0)</f>
        <v>Low Risk</v>
      </c>
    </row>
    <row r="2869" spans="1:14">
      <c r="A2869" s="2">
        <v>0.51515046296296296</v>
      </c>
      <c r="B2869" s="3">
        <v>44841</v>
      </c>
      <c r="C2869" s="1">
        <v>4037018968</v>
      </c>
      <c r="D2869" s="1">
        <v>3712195560</v>
      </c>
      <c r="E2869" s="1">
        <v>4014.07</v>
      </c>
      <c r="F2869" s="1" t="s">
        <v>12</v>
      </c>
      <c r="G2869" s="1" t="s">
        <v>26</v>
      </c>
      <c r="H2869" s="1" t="s">
        <v>13</v>
      </c>
      <c r="I2869" s="1" t="s">
        <v>13</v>
      </c>
      <c r="J2869" s="1" t="s">
        <v>27</v>
      </c>
      <c r="K2869" s="1">
        <v>0</v>
      </c>
      <c r="L2869" s="1" t="s">
        <v>21</v>
      </c>
      <c r="M2869" s="1" t="str">
        <f t="shared" si="44"/>
        <v>Potential Layering</v>
      </c>
      <c r="N2869" s="1" t="str">
        <f>_xlfn.XLOOKUP(H2869, risk_score!A:A, risk_score!B:B, 0)</f>
        <v>Low Risk</v>
      </c>
    </row>
    <row r="2870" spans="1:14">
      <c r="A2870" s="2">
        <v>0.515162037037037</v>
      </c>
      <c r="B2870" s="3">
        <v>44841</v>
      </c>
      <c r="C2870" s="1">
        <v>6057444675</v>
      </c>
      <c r="D2870" s="1">
        <v>7945788794</v>
      </c>
      <c r="E2870" s="1">
        <v>5087.43</v>
      </c>
      <c r="F2870" s="1" t="s">
        <v>12</v>
      </c>
      <c r="G2870" s="1" t="s">
        <v>12</v>
      </c>
      <c r="H2870" s="1" t="s">
        <v>13</v>
      </c>
      <c r="I2870" s="1" t="s">
        <v>13</v>
      </c>
      <c r="J2870" s="1" t="s">
        <v>20</v>
      </c>
      <c r="K2870" s="1">
        <v>0</v>
      </c>
      <c r="L2870" s="1" t="s">
        <v>19</v>
      </c>
      <c r="M2870" s="1" t="str">
        <f t="shared" si="44"/>
        <v>Consistent</v>
      </c>
      <c r="N2870" s="1" t="str">
        <f>_xlfn.XLOOKUP(H2870, risk_score!A:A, risk_score!B:B, 0)</f>
        <v>Low Risk</v>
      </c>
    </row>
    <row r="2871" spans="1:14">
      <c r="A2871" s="2">
        <v>0.515162037037037</v>
      </c>
      <c r="B2871" s="3">
        <v>44841</v>
      </c>
      <c r="C2871" s="1">
        <v>3011203127</v>
      </c>
      <c r="D2871" s="1">
        <v>5858369125</v>
      </c>
      <c r="E2871" s="1">
        <v>6098.14</v>
      </c>
      <c r="F2871" s="1" t="s">
        <v>12</v>
      </c>
      <c r="G2871" s="1" t="s">
        <v>12</v>
      </c>
      <c r="H2871" s="1" t="s">
        <v>13</v>
      </c>
      <c r="I2871" s="1" t="s">
        <v>13</v>
      </c>
      <c r="J2871" s="1" t="s">
        <v>27</v>
      </c>
      <c r="K2871" s="1">
        <v>0</v>
      </c>
      <c r="L2871" s="1" t="s">
        <v>23</v>
      </c>
      <c r="M2871" s="1" t="str">
        <f t="shared" si="44"/>
        <v>Consistent</v>
      </c>
      <c r="N2871" s="1" t="str">
        <f>_xlfn.XLOOKUP(H2871, risk_score!A:A, risk_score!B:B, 0)</f>
        <v>Low Risk</v>
      </c>
    </row>
    <row r="2872" spans="1:14">
      <c r="A2872" s="2">
        <v>0.51519675925925923</v>
      </c>
      <c r="B2872" s="3">
        <v>44841</v>
      </c>
      <c r="C2872" s="1">
        <v>8445674500</v>
      </c>
      <c r="D2872" s="1">
        <v>6443445068</v>
      </c>
      <c r="E2872" s="1">
        <v>10597.16</v>
      </c>
      <c r="F2872" s="1" t="s">
        <v>12</v>
      </c>
      <c r="G2872" s="1" t="s">
        <v>12</v>
      </c>
      <c r="H2872" s="1" t="s">
        <v>13</v>
      </c>
      <c r="I2872" s="1" t="s">
        <v>13</v>
      </c>
      <c r="J2872" s="1" t="s">
        <v>20</v>
      </c>
      <c r="K2872" s="1">
        <v>0</v>
      </c>
      <c r="L2872" s="1" t="s">
        <v>21</v>
      </c>
      <c r="M2872" s="1" t="str">
        <f t="shared" si="44"/>
        <v>Consistent</v>
      </c>
      <c r="N2872" s="1" t="str">
        <f>_xlfn.XLOOKUP(H2872, risk_score!A:A, risk_score!B:B, 0)</f>
        <v>Low Risk</v>
      </c>
    </row>
    <row r="2873" spans="1:14">
      <c r="A2873" s="2">
        <v>0.51521990740740742</v>
      </c>
      <c r="B2873" s="3">
        <v>44841</v>
      </c>
      <c r="C2873" s="1">
        <v>582717708</v>
      </c>
      <c r="D2873" s="1">
        <v>7892884492</v>
      </c>
      <c r="E2873" s="1">
        <v>17592.55</v>
      </c>
      <c r="F2873" s="1" t="s">
        <v>12</v>
      </c>
      <c r="G2873" s="1" t="s">
        <v>32</v>
      </c>
      <c r="H2873" s="1" t="s">
        <v>13</v>
      </c>
      <c r="I2873" s="1" t="s">
        <v>33</v>
      </c>
      <c r="J2873" s="1" t="s">
        <v>18</v>
      </c>
      <c r="K2873" s="1">
        <v>0</v>
      </c>
      <c r="L2873" s="1" t="s">
        <v>23</v>
      </c>
      <c r="M2873" s="1" t="str">
        <f t="shared" si="44"/>
        <v>Potential Layering</v>
      </c>
      <c r="N2873" s="1" t="str">
        <f>_xlfn.XLOOKUP(H2873, risk_score!A:A, risk_score!B:B, 0)</f>
        <v>Low Risk</v>
      </c>
    </row>
    <row r="2874" spans="1:14">
      <c r="A2874" s="2">
        <v>0.51523148148148146</v>
      </c>
      <c r="B2874" s="3">
        <v>44841</v>
      </c>
      <c r="C2874" s="1">
        <v>2385101880</v>
      </c>
      <c r="D2874" s="1">
        <v>9870627389</v>
      </c>
      <c r="E2874" s="1">
        <v>2931.44</v>
      </c>
      <c r="F2874" s="1" t="s">
        <v>12</v>
      </c>
      <c r="G2874" s="1" t="s">
        <v>12</v>
      </c>
      <c r="H2874" s="1" t="s">
        <v>13</v>
      </c>
      <c r="I2874" s="1" t="s">
        <v>13</v>
      </c>
      <c r="J2874" s="1" t="s">
        <v>14</v>
      </c>
      <c r="K2874" s="1">
        <v>0</v>
      </c>
      <c r="L2874" s="1" t="s">
        <v>15</v>
      </c>
      <c r="M2874" s="1" t="str">
        <f t="shared" si="44"/>
        <v>Consistent</v>
      </c>
      <c r="N2874" s="1" t="str">
        <f>_xlfn.XLOOKUP(H2874, risk_score!A:A, risk_score!B:B, 0)</f>
        <v>Low Risk</v>
      </c>
    </row>
    <row r="2875" spans="1:14">
      <c r="A2875" s="2">
        <v>0.51525462962962965</v>
      </c>
      <c r="B2875" s="3">
        <v>44841</v>
      </c>
      <c r="C2875" s="1">
        <v>7978584634</v>
      </c>
      <c r="D2875" s="1">
        <v>3232505622</v>
      </c>
      <c r="E2875" s="1">
        <v>1620.91</v>
      </c>
      <c r="F2875" s="1" t="s">
        <v>12</v>
      </c>
      <c r="G2875" s="1" t="s">
        <v>12</v>
      </c>
      <c r="H2875" s="1" t="s">
        <v>13</v>
      </c>
      <c r="I2875" s="1" t="s">
        <v>13</v>
      </c>
      <c r="J2875" s="1" t="s">
        <v>22</v>
      </c>
      <c r="K2875" s="1">
        <v>0</v>
      </c>
      <c r="L2875" s="1" t="s">
        <v>38</v>
      </c>
      <c r="M2875" s="1" t="str">
        <f t="shared" si="44"/>
        <v>Consistent</v>
      </c>
      <c r="N2875" s="1" t="str">
        <f>_xlfn.XLOOKUP(H2875, risk_score!A:A, risk_score!B:B, 0)</f>
        <v>Low Risk</v>
      </c>
    </row>
    <row r="2876" spans="1:14">
      <c r="A2876" s="2">
        <v>0.51528935185185187</v>
      </c>
      <c r="B2876" s="3">
        <v>44841</v>
      </c>
      <c r="C2876" s="1">
        <v>6057444675</v>
      </c>
      <c r="D2876" s="1">
        <v>7534790776</v>
      </c>
      <c r="E2876" s="1">
        <v>5489.98</v>
      </c>
      <c r="F2876" s="1" t="s">
        <v>12</v>
      </c>
      <c r="G2876" s="1" t="s">
        <v>12</v>
      </c>
      <c r="H2876" s="1" t="s">
        <v>13</v>
      </c>
      <c r="I2876" s="1" t="s">
        <v>13</v>
      </c>
      <c r="J2876" s="1" t="s">
        <v>25</v>
      </c>
      <c r="K2876" s="1">
        <v>0</v>
      </c>
      <c r="L2876" s="1" t="s">
        <v>19</v>
      </c>
      <c r="M2876" s="1" t="str">
        <f t="shared" si="44"/>
        <v>Consistent</v>
      </c>
      <c r="N2876" s="1" t="str">
        <f>_xlfn.XLOOKUP(H2876, risk_score!A:A, risk_score!B:B, 0)</f>
        <v>Low Risk</v>
      </c>
    </row>
    <row r="2877" spans="1:14">
      <c r="A2877" s="2">
        <v>0.51530092592592591</v>
      </c>
      <c r="B2877" s="3">
        <v>44841</v>
      </c>
      <c r="C2877" s="1">
        <v>7991153253</v>
      </c>
      <c r="D2877" s="1">
        <v>5896180453</v>
      </c>
      <c r="E2877" s="1">
        <v>18531.7</v>
      </c>
      <c r="F2877" s="1" t="s">
        <v>12</v>
      </c>
      <c r="G2877" s="1" t="s">
        <v>12</v>
      </c>
      <c r="H2877" s="1" t="s">
        <v>13</v>
      </c>
      <c r="I2877" s="1" t="s">
        <v>13</v>
      </c>
      <c r="J2877" s="1" t="s">
        <v>25</v>
      </c>
      <c r="K2877" s="1">
        <v>0</v>
      </c>
      <c r="L2877" s="1" t="s">
        <v>23</v>
      </c>
      <c r="M2877" s="1" t="str">
        <f t="shared" si="44"/>
        <v>Consistent</v>
      </c>
      <c r="N2877" s="1" t="str">
        <f>_xlfn.XLOOKUP(H2877, risk_score!A:A, risk_score!B:B, 0)</f>
        <v>Low Risk</v>
      </c>
    </row>
    <row r="2878" spans="1:14">
      <c r="A2878" s="2">
        <v>0.5153240740740741</v>
      </c>
      <c r="B2878" s="3">
        <v>44841</v>
      </c>
      <c r="C2878" s="1">
        <v>5821125708</v>
      </c>
      <c r="D2878" s="1">
        <v>4978397216</v>
      </c>
      <c r="E2878" s="1">
        <v>1240.29</v>
      </c>
      <c r="F2878" s="1" t="s">
        <v>12</v>
      </c>
      <c r="G2878" s="1" t="s">
        <v>12</v>
      </c>
      <c r="H2878" s="1" t="s">
        <v>13</v>
      </c>
      <c r="I2878" s="1" t="s">
        <v>13</v>
      </c>
      <c r="J2878" s="1" t="s">
        <v>14</v>
      </c>
      <c r="K2878" s="1">
        <v>0</v>
      </c>
      <c r="L2878" s="1" t="s">
        <v>15</v>
      </c>
      <c r="M2878" s="1" t="str">
        <f t="shared" si="44"/>
        <v>Consistent</v>
      </c>
      <c r="N2878" s="1" t="str">
        <f>_xlfn.XLOOKUP(H2878, risk_score!A:A, risk_score!B:B, 0)</f>
        <v>Low Risk</v>
      </c>
    </row>
    <row r="2879" spans="1:14">
      <c r="A2879" s="2">
        <v>0.51539351851851856</v>
      </c>
      <c r="B2879" s="3">
        <v>44841</v>
      </c>
      <c r="C2879" s="1">
        <v>6057444675</v>
      </c>
      <c r="D2879" s="1">
        <v>7534790776</v>
      </c>
      <c r="E2879" s="1">
        <v>5537.22</v>
      </c>
      <c r="F2879" s="1" t="s">
        <v>12</v>
      </c>
      <c r="G2879" s="1" t="s">
        <v>12</v>
      </c>
      <c r="H2879" s="1" t="s">
        <v>13</v>
      </c>
      <c r="I2879" s="1" t="s">
        <v>13</v>
      </c>
      <c r="J2879" s="1" t="s">
        <v>27</v>
      </c>
      <c r="K2879" s="1">
        <v>0</v>
      </c>
      <c r="L2879" s="1" t="s">
        <v>19</v>
      </c>
      <c r="M2879" s="1" t="str">
        <f t="shared" si="44"/>
        <v>Consistent</v>
      </c>
      <c r="N2879" s="1" t="str">
        <f>_xlfn.XLOOKUP(H2879, risk_score!A:A, risk_score!B:B, 0)</f>
        <v>Low Risk</v>
      </c>
    </row>
    <row r="2880" spans="1:14">
      <c r="A2880" s="2">
        <v>0.51541666666666663</v>
      </c>
      <c r="B2880" s="3">
        <v>44841</v>
      </c>
      <c r="C2880" s="1">
        <v>7758268667</v>
      </c>
      <c r="D2880" s="1">
        <v>8969112643</v>
      </c>
      <c r="E2880" s="1">
        <v>13632.33</v>
      </c>
      <c r="F2880" s="1" t="s">
        <v>12</v>
      </c>
      <c r="G2880" s="1" t="s">
        <v>12</v>
      </c>
      <c r="H2880" s="1" t="s">
        <v>13</v>
      </c>
      <c r="I2880" s="1" t="s">
        <v>13</v>
      </c>
      <c r="J2880" s="1" t="s">
        <v>25</v>
      </c>
      <c r="K2880" s="1">
        <v>0</v>
      </c>
      <c r="L2880" s="1" t="s">
        <v>19</v>
      </c>
      <c r="M2880" s="1" t="str">
        <f t="shared" si="44"/>
        <v>Consistent</v>
      </c>
      <c r="N2880" s="1" t="str">
        <f>_xlfn.XLOOKUP(H2880, risk_score!A:A, risk_score!B:B, 0)</f>
        <v>Low Risk</v>
      </c>
    </row>
    <row r="2881" spans="1:14">
      <c r="A2881" s="2">
        <v>0.51543981481481482</v>
      </c>
      <c r="B2881" s="3">
        <v>44841</v>
      </c>
      <c r="C2881" s="1">
        <v>703647888</v>
      </c>
      <c r="D2881" s="1">
        <v>1431561040</v>
      </c>
      <c r="E2881" s="1">
        <v>19823.2</v>
      </c>
      <c r="F2881" s="1" t="s">
        <v>12</v>
      </c>
      <c r="G2881" s="1" t="s">
        <v>12</v>
      </c>
      <c r="H2881" s="1" t="s">
        <v>13</v>
      </c>
      <c r="I2881" s="1" t="s">
        <v>13</v>
      </c>
      <c r="J2881" s="1" t="s">
        <v>25</v>
      </c>
      <c r="K2881" s="1">
        <v>0</v>
      </c>
      <c r="L2881" s="1" t="s">
        <v>23</v>
      </c>
      <c r="M2881" s="1" t="str">
        <f t="shared" si="44"/>
        <v>Consistent</v>
      </c>
      <c r="N2881" s="1" t="str">
        <f>_xlfn.XLOOKUP(H2881, risk_score!A:A, risk_score!B:B, 0)</f>
        <v>Low Risk</v>
      </c>
    </row>
    <row r="2882" spans="1:14">
      <c r="A2882" s="2">
        <v>0.51545138888888886</v>
      </c>
      <c r="B2882" s="3">
        <v>44841</v>
      </c>
      <c r="C2882" s="1">
        <v>4214635023</v>
      </c>
      <c r="D2882" s="1">
        <v>8532343899</v>
      </c>
      <c r="E2882" s="1">
        <v>4515.7299999999996</v>
      </c>
      <c r="F2882" s="1" t="s">
        <v>12</v>
      </c>
      <c r="G2882" s="1" t="s">
        <v>12</v>
      </c>
      <c r="H2882" s="1" t="s">
        <v>13</v>
      </c>
      <c r="I2882" s="1" t="s">
        <v>13</v>
      </c>
      <c r="J2882" s="1" t="s">
        <v>27</v>
      </c>
      <c r="K2882" s="1">
        <v>0</v>
      </c>
      <c r="L2882" s="1" t="s">
        <v>21</v>
      </c>
      <c r="M2882" s="1" t="str">
        <f t="shared" si="44"/>
        <v>Consistent</v>
      </c>
      <c r="N2882" s="1" t="str">
        <f>_xlfn.XLOOKUP(H2882, risk_score!A:A, risk_score!B:B, 0)</f>
        <v>Low Risk</v>
      </c>
    </row>
    <row r="2883" spans="1:14">
      <c r="A2883" s="2">
        <v>0.51546296296296301</v>
      </c>
      <c r="B2883" s="3">
        <v>44841</v>
      </c>
      <c r="C2883" s="1">
        <v>9337018014</v>
      </c>
      <c r="D2883" s="1">
        <v>3079818547</v>
      </c>
      <c r="E2883" s="1">
        <v>7767.12</v>
      </c>
      <c r="F2883" s="1" t="s">
        <v>12</v>
      </c>
      <c r="G2883" s="1" t="s">
        <v>12</v>
      </c>
      <c r="H2883" s="1" t="s">
        <v>13</v>
      </c>
      <c r="I2883" s="1" t="s">
        <v>13</v>
      </c>
      <c r="J2883" s="1" t="s">
        <v>27</v>
      </c>
      <c r="K2883" s="1">
        <v>0</v>
      </c>
      <c r="L2883" s="1" t="s">
        <v>23</v>
      </c>
      <c r="M2883" s="1" t="str">
        <f t="shared" ref="M2883:M2946" si="45">IF(F2883=G2883, "Consistent", "Potential Layering")</f>
        <v>Consistent</v>
      </c>
      <c r="N2883" s="1" t="str">
        <f>_xlfn.XLOOKUP(H2883, risk_score!A:A, risk_score!B:B, 0)</f>
        <v>Low Risk</v>
      </c>
    </row>
    <row r="2884" spans="1:14">
      <c r="A2884" s="2">
        <v>0.51549768518518524</v>
      </c>
      <c r="B2884" s="3">
        <v>44841</v>
      </c>
      <c r="C2884" s="1">
        <v>2647941740</v>
      </c>
      <c r="D2884" s="1">
        <v>6701308019</v>
      </c>
      <c r="E2884" s="1">
        <v>10789.9</v>
      </c>
      <c r="F2884" s="1" t="s">
        <v>12</v>
      </c>
      <c r="G2884" s="1" t="s">
        <v>12</v>
      </c>
      <c r="H2884" s="1" t="s">
        <v>13</v>
      </c>
      <c r="I2884" s="1" t="s">
        <v>13</v>
      </c>
      <c r="J2884" s="1" t="s">
        <v>25</v>
      </c>
      <c r="K2884" s="1">
        <v>0</v>
      </c>
      <c r="L2884" s="1" t="s">
        <v>21</v>
      </c>
      <c r="M2884" s="1" t="str">
        <f t="shared" si="45"/>
        <v>Consistent</v>
      </c>
      <c r="N2884" s="1" t="str">
        <f>_xlfn.XLOOKUP(H2884, risk_score!A:A, risk_score!B:B, 0)</f>
        <v>Low Risk</v>
      </c>
    </row>
    <row r="2885" spans="1:14">
      <c r="A2885" s="2">
        <v>0.51557870370370373</v>
      </c>
      <c r="B2885" s="3">
        <v>44841</v>
      </c>
      <c r="C2885" s="1">
        <v>942349529</v>
      </c>
      <c r="D2885" s="1">
        <v>8518184956</v>
      </c>
      <c r="E2885" s="1">
        <v>6989.6</v>
      </c>
      <c r="F2885" s="1" t="s">
        <v>12</v>
      </c>
      <c r="G2885" s="1" t="s">
        <v>12</v>
      </c>
      <c r="H2885" s="1" t="s">
        <v>13</v>
      </c>
      <c r="I2885" s="1" t="s">
        <v>13</v>
      </c>
      <c r="J2885" s="1" t="s">
        <v>22</v>
      </c>
      <c r="K2885" s="1">
        <v>0</v>
      </c>
      <c r="L2885" s="1" t="s">
        <v>23</v>
      </c>
      <c r="M2885" s="1" t="str">
        <f t="shared" si="45"/>
        <v>Consistent</v>
      </c>
      <c r="N2885" s="1" t="str">
        <f>_xlfn.XLOOKUP(H2885, risk_score!A:A, risk_score!B:B, 0)</f>
        <v>Low Risk</v>
      </c>
    </row>
    <row r="2886" spans="1:14">
      <c r="A2886" s="2">
        <v>0.51557870370370373</v>
      </c>
      <c r="B2886" s="3">
        <v>44841</v>
      </c>
      <c r="C2886" s="1">
        <v>5982914936</v>
      </c>
      <c r="D2886" s="1">
        <v>7927090992</v>
      </c>
      <c r="E2886" s="1">
        <v>9181.85</v>
      </c>
      <c r="F2886" s="1" t="s">
        <v>12</v>
      </c>
      <c r="G2886" s="1" t="s">
        <v>12</v>
      </c>
      <c r="H2886" s="1" t="s">
        <v>13</v>
      </c>
      <c r="I2886" s="1" t="s">
        <v>13</v>
      </c>
      <c r="J2886" s="1" t="s">
        <v>25</v>
      </c>
      <c r="K2886" s="1">
        <v>0</v>
      </c>
      <c r="L2886" s="1" t="s">
        <v>19</v>
      </c>
      <c r="M2886" s="1" t="str">
        <f t="shared" si="45"/>
        <v>Consistent</v>
      </c>
      <c r="N2886" s="1" t="str">
        <f>_xlfn.XLOOKUP(H2886, risk_score!A:A, risk_score!B:B, 0)</f>
        <v>Low Risk</v>
      </c>
    </row>
    <row r="2887" spans="1:14">
      <c r="A2887" s="2">
        <v>0.51559027777777777</v>
      </c>
      <c r="B2887" s="3">
        <v>44841</v>
      </c>
      <c r="C2887" s="1">
        <v>7421451752</v>
      </c>
      <c r="D2887" s="1">
        <v>1160338470</v>
      </c>
      <c r="E2887" s="1">
        <v>4531.3500000000004</v>
      </c>
      <c r="F2887" s="1" t="s">
        <v>12</v>
      </c>
      <c r="G2887" s="1" t="s">
        <v>12</v>
      </c>
      <c r="H2887" s="1" t="s">
        <v>13</v>
      </c>
      <c r="I2887" s="1" t="s">
        <v>13</v>
      </c>
      <c r="J2887" s="1" t="s">
        <v>22</v>
      </c>
      <c r="K2887" s="1">
        <v>0</v>
      </c>
      <c r="L2887" s="1" t="s">
        <v>19</v>
      </c>
      <c r="M2887" s="1" t="str">
        <f t="shared" si="45"/>
        <v>Consistent</v>
      </c>
      <c r="N2887" s="1" t="str">
        <f>_xlfn.XLOOKUP(H2887, risk_score!A:A, risk_score!B:B, 0)</f>
        <v>Low Risk</v>
      </c>
    </row>
    <row r="2888" spans="1:14">
      <c r="A2888" s="2">
        <v>0.51559027777777777</v>
      </c>
      <c r="B2888" s="3">
        <v>44841</v>
      </c>
      <c r="C2888" s="1">
        <v>6460610033</v>
      </c>
      <c r="D2888" s="1">
        <v>5858369125</v>
      </c>
      <c r="E2888" s="1">
        <v>12484.04</v>
      </c>
      <c r="F2888" s="1" t="s">
        <v>12</v>
      </c>
      <c r="G2888" s="1" t="s">
        <v>12</v>
      </c>
      <c r="H2888" s="1" t="s">
        <v>13</v>
      </c>
      <c r="I2888" s="1" t="s">
        <v>13</v>
      </c>
      <c r="J2888" s="1" t="s">
        <v>20</v>
      </c>
      <c r="K2888" s="1">
        <v>0</v>
      </c>
      <c r="L2888" s="1" t="s">
        <v>23</v>
      </c>
      <c r="M2888" s="1" t="str">
        <f t="shared" si="45"/>
        <v>Consistent</v>
      </c>
      <c r="N2888" s="1" t="str">
        <f>_xlfn.XLOOKUP(H2888, risk_score!A:A, risk_score!B:B, 0)</f>
        <v>Low Risk</v>
      </c>
    </row>
    <row r="2889" spans="1:14">
      <c r="A2889" s="2">
        <v>0.51561342592592596</v>
      </c>
      <c r="B2889" s="3">
        <v>44841</v>
      </c>
      <c r="C2889" s="1">
        <v>4102781928</v>
      </c>
      <c r="D2889" s="1">
        <v>5124936865</v>
      </c>
      <c r="E2889" s="1">
        <v>3488.57</v>
      </c>
      <c r="F2889" s="1" t="s">
        <v>12</v>
      </c>
      <c r="G2889" s="1" t="s">
        <v>12</v>
      </c>
      <c r="H2889" s="1" t="s">
        <v>13</v>
      </c>
      <c r="I2889" s="1" t="s">
        <v>13</v>
      </c>
      <c r="J2889" s="1" t="s">
        <v>14</v>
      </c>
      <c r="K2889" s="1">
        <v>0</v>
      </c>
      <c r="L2889" s="1" t="s">
        <v>15</v>
      </c>
      <c r="M2889" s="1" t="str">
        <f t="shared" si="45"/>
        <v>Consistent</v>
      </c>
      <c r="N2889" s="1" t="str">
        <f>_xlfn.XLOOKUP(H2889, risk_score!A:A, risk_score!B:B, 0)</f>
        <v>Low Risk</v>
      </c>
    </row>
    <row r="2890" spans="1:14">
      <c r="A2890" s="2">
        <v>0.51564814814814819</v>
      </c>
      <c r="B2890" s="3">
        <v>44841</v>
      </c>
      <c r="C2890" s="1">
        <v>4519164179</v>
      </c>
      <c r="D2890" s="1">
        <v>6748996302</v>
      </c>
      <c r="E2890" s="1">
        <v>1362.91</v>
      </c>
      <c r="F2890" s="1" t="s">
        <v>12</v>
      </c>
      <c r="G2890" s="1" t="s">
        <v>12</v>
      </c>
      <c r="H2890" s="1" t="s">
        <v>13</v>
      </c>
      <c r="I2890" s="1" t="s">
        <v>13</v>
      </c>
      <c r="J2890" s="1" t="s">
        <v>27</v>
      </c>
      <c r="K2890" s="1">
        <v>0</v>
      </c>
      <c r="L2890" s="1" t="s">
        <v>21</v>
      </c>
      <c r="M2890" s="1" t="str">
        <f t="shared" si="45"/>
        <v>Consistent</v>
      </c>
      <c r="N2890" s="1" t="str">
        <f>_xlfn.XLOOKUP(H2890, risk_score!A:A, risk_score!B:B, 0)</f>
        <v>Low Risk</v>
      </c>
    </row>
    <row r="2891" spans="1:14">
      <c r="A2891" s="2">
        <v>0.51575231481481476</v>
      </c>
      <c r="B2891" s="3">
        <v>44841</v>
      </c>
      <c r="C2891" s="1">
        <v>8177127544</v>
      </c>
      <c r="D2891" s="1">
        <v>5363117119</v>
      </c>
      <c r="E2891" s="1">
        <v>20214.810000000001</v>
      </c>
      <c r="F2891" s="1" t="s">
        <v>12</v>
      </c>
      <c r="G2891" s="1" t="s">
        <v>12</v>
      </c>
      <c r="H2891" s="1" t="s">
        <v>13</v>
      </c>
      <c r="I2891" s="1" t="s">
        <v>13</v>
      </c>
      <c r="J2891" s="1" t="s">
        <v>25</v>
      </c>
      <c r="K2891" s="1">
        <v>0</v>
      </c>
      <c r="L2891" s="1" t="s">
        <v>23</v>
      </c>
      <c r="M2891" s="1" t="str">
        <f t="shared" si="45"/>
        <v>Consistent</v>
      </c>
      <c r="N2891" s="1" t="str">
        <f>_xlfn.XLOOKUP(H2891, risk_score!A:A, risk_score!B:B, 0)</f>
        <v>Low Risk</v>
      </c>
    </row>
    <row r="2892" spans="1:14">
      <c r="A2892" s="2">
        <v>0.51577546296296295</v>
      </c>
      <c r="B2892" s="3">
        <v>44841</v>
      </c>
      <c r="C2892" s="1">
        <v>1670948762</v>
      </c>
      <c r="D2892" s="1">
        <v>6444220418</v>
      </c>
      <c r="E2892" s="1">
        <v>17583.189999999999</v>
      </c>
      <c r="F2892" s="1" t="s">
        <v>12</v>
      </c>
      <c r="G2892" s="1" t="s">
        <v>12</v>
      </c>
      <c r="H2892" s="1" t="s">
        <v>13</v>
      </c>
      <c r="I2892" s="1" t="s">
        <v>13</v>
      </c>
      <c r="J2892" s="1" t="s">
        <v>25</v>
      </c>
      <c r="K2892" s="1">
        <v>0</v>
      </c>
      <c r="L2892" s="1" t="s">
        <v>23</v>
      </c>
      <c r="M2892" s="1" t="str">
        <f t="shared" si="45"/>
        <v>Consistent</v>
      </c>
      <c r="N2892" s="1" t="str">
        <f>_xlfn.XLOOKUP(H2892, risk_score!A:A, risk_score!B:B, 0)</f>
        <v>Low Risk</v>
      </c>
    </row>
    <row r="2893" spans="1:14">
      <c r="A2893" s="2">
        <v>0.51577546296296295</v>
      </c>
      <c r="B2893" s="3">
        <v>44841</v>
      </c>
      <c r="C2893" s="1">
        <v>9519963802</v>
      </c>
      <c r="D2893" s="1">
        <v>3668971235</v>
      </c>
      <c r="E2893" s="1">
        <v>1704.43</v>
      </c>
      <c r="F2893" s="1" t="s">
        <v>12</v>
      </c>
      <c r="G2893" s="1" t="s">
        <v>12</v>
      </c>
      <c r="H2893" s="1" t="s">
        <v>13</v>
      </c>
      <c r="I2893" s="1" t="s">
        <v>13</v>
      </c>
      <c r="J2893" s="1" t="s">
        <v>22</v>
      </c>
      <c r="K2893" s="1">
        <v>0</v>
      </c>
      <c r="L2893" s="1" t="s">
        <v>21</v>
      </c>
      <c r="M2893" s="1" t="str">
        <f t="shared" si="45"/>
        <v>Consistent</v>
      </c>
      <c r="N2893" s="1" t="str">
        <f>_xlfn.XLOOKUP(H2893, risk_score!A:A, risk_score!B:B, 0)</f>
        <v>Low Risk</v>
      </c>
    </row>
    <row r="2894" spans="1:14">
      <c r="A2894" s="2">
        <v>0.51579861111111114</v>
      </c>
      <c r="B2894" s="3">
        <v>44841</v>
      </c>
      <c r="C2894" s="1">
        <v>2365007895</v>
      </c>
      <c r="D2894" s="1">
        <v>2695185687</v>
      </c>
      <c r="E2894" s="1">
        <v>7934.5</v>
      </c>
      <c r="F2894" s="1" t="s">
        <v>12</v>
      </c>
      <c r="G2894" s="1" t="s">
        <v>12</v>
      </c>
      <c r="H2894" s="1" t="s">
        <v>13</v>
      </c>
      <c r="I2894" s="1" t="s">
        <v>13</v>
      </c>
      <c r="J2894" s="1" t="s">
        <v>27</v>
      </c>
      <c r="K2894" s="1">
        <v>0</v>
      </c>
      <c r="L2894" s="1" t="s">
        <v>19</v>
      </c>
      <c r="M2894" s="1" t="str">
        <f t="shared" si="45"/>
        <v>Consistent</v>
      </c>
      <c r="N2894" s="1" t="str">
        <f>_xlfn.XLOOKUP(H2894, risk_score!A:A, risk_score!B:B, 0)</f>
        <v>Low Risk</v>
      </c>
    </row>
    <row r="2895" spans="1:14">
      <c r="A2895" s="2">
        <v>0.51581018518518518</v>
      </c>
      <c r="B2895" s="3">
        <v>44841</v>
      </c>
      <c r="C2895" s="1">
        <v>1218240484</v>
      </c>
      <c r="D2895" s="1">
        <v>8733023294</v>
      </c>
      <c r="E2895" s="1">
        <v>147.61000000000001</v>
      </c>
      <c r="F2895" s="1" t="s">
        <v>12</v>
      </c>
      <c r="G2895" s="1" t="s">
        <v>12</v>
      </c>
      <c r="H2895" s="1" t="s">
        <v>13</v>
      </c>
      <c r="I2895" s="1" t="s">
        <v>13</v>
      </c>
      <c r="J2895" s="1" t="s">
        <v>36</v>
      </c>
      <c r="K2895" s="1">
        <v>0</v>
      </c>
      <c r="L2895" s="1" t="s">
        <v>37</v>
      </c>
      <c r="M2895" s="1" t="str">
        <f t="shared" si="45"/>
        <v>Consistent</v>
      </c>
      <c r="N2895" s="1" t="str">
        <f>_xlfn.XLOOKUP(H2895, risk_score!A:A, risk_score!B:B, 0)</f>
        <v>Low Risk</v>
      </c>
    </row>
    <row r="2896" spans="1:14">
      <c r="A2896" s="2">
        <v>0.5158449074074074</v>
      </c>
      <c r="B2896" s="3">
        <v>44841</v>
      </c>
      <c r="C2896" s="1">
        <v>8389148416</v>
      </c>
      <c r="D2896" s="1">
        <v>3009426762</v>
      </c>
      <c r="E2896" s="1">
        <v>5411.59</v>
      </c>
      <c r="F2896" s="1" t="s">
        <v>12</v>
      </c>
      <c r="G2896" s="1" t="s">
        <v>12</v>
      </c>
      <c r="H2896" s="1" t="s">
        <v>13</v>
      </c>
      <c r="I2896" s="1" t="s">
        <v>13</v>
      </c>
      <c r="J2896" s="1" t="s">
        <v>22</v>
      </c>
      <c r="K2896" s="1">
        <v>0</v>
      </c>
      <c r="L2896" s="1" t="s">
        <v>19</v>
      </c>
      <c r="M2896" s="1" t="str">
        <f t="shared" si="45"/>
        <v>Consistent</v>
      </c>
      <c r="N2896" s="1" t="str">
        <f>_xlfn.XLOOKUP(H2896, risk_score!A:A, risk_score!B:B, 0)</f>
        <v>Low Risk</v>
      </c>
    </row>
    <row r="2897" spans="1:14">
      <c r="A2897" s="2">
        <v>0.5158449074074074</v>
      </c>
      <c r="B2897" s="3">
        <v>44841</v>
      </c>
      <c r="C2897" s="1">
        <v>9087184809</v>
      </c>
      <c r="D2897" s="1">
        <v>7895110347</v>
      </c>
      <c r="E2897" s="1">
        <v>206.38</v>
      </c>
      <c r="F2897" s="1" t="s">
        <v>12</v>
      </c>
      <c r="G2897" s="1" t="s">
        <v>12</v>
      </c>
      <c r="H2897" s="1" t="s">
        <v>13</v>
      </c>
      <c r="I2897" s="1" t="s">
        <v>13</v>
      </c>
      <c r="J2897" s="1" t="s">
        <v>36</v>
      </c>
      <c r="K2897" s="1">
        <v>0</v>
      </c>
      <c r="L2897" s="1" t="s">
        <v>37</v>
      </c>
      <c r="M2897" s="1" t="str">
        <f t="shared" si="45"/>
        <v>Consistent</v>
      </c>
      <c r="N2897" s="1" t="str">
        <f>_xlfn.XLOOKUP(H2897, risk_score!A:A, risk_score!B:B, 0)</f>
        <v>Low Risk</v>
      </c>
    </row>
    <row r="2898" spans="1:14">
      <c r="A2898" s="2">
        <v>0.5158449074074074</v>
      </c>
      <c r="B2898" s="3">
        <v>44841</v>
      </c>
      <c r="C2898" s="1">
        <v>7501327339</v>
      </c>
      <c r="D2898" s="1">
        <v>9329185542</v>
      </c>
      <c r="E2898" s="1">
        <v>29561.09</v>
      </c>
      <c r="F2898" s="1" t="s">
        <v>12</v>
      </c>
      <c r="G2898" s="1" t="s">
        <v>12</v>
      </c>
      <c r="H2898" s="1" t="s">
        <v>13</v>
      </c>
      <c r="I2898" s="1" t="s">
        <v>13</v>
      </c>
      <c r="J2898" s="1" t="s">
        <v>20</v>
      </c>
      <c r="K2898" s="1">
        <v>0</v>
      </c>
      <c r="L2898" s="1" t="s">
        <v>19</v>
      </c>
      <c r="M2898" s="1" t="str">
        <f t="shared" si="45"/>
        <v>Consistent</v>
      </c>
      <c r="N2898" s="1" t="str">
        <f>_xlfn.XLOOKUP(H2898, risk_score!A:A, risk_score!B:B, 0)</f>
        <v>Low Risk</v>
      </c>
    </row>
    <row r="2899" spans="1:14">
      <c r="A2899" s="2">
        <v>0.51585648148148144</v>
      </c>
      <c r="B2899" s="3">
        <v>44841</v>
      </c>
      <c r="C2899" s="1">
        <v>8305121937</v>
      </c>
      <c r="D2899" s="1">
        <v>2447476655</v>
      </c>
      <c r="E2899" s="1">
        <v>4522.54</v>
      </c>
      <c r="F2899" s="1" t="s">
        <v>12</v>
      </c>
      <c r="G2899" s="1" t="s">
        <v>12</v>
      </c>
      <c r="H2899" s="1" t="s">
        <v>13</v>
      </c>
      <c r="I2899" s="1" t="s">
        <v>13</v>
      </c>
      <c r="J2899" s="1" t="s">
        <v>14</v>
      </c>
      <c r="K2899" s="1">
        <v>0</v>
      </c>
      <c r="L2899" s="1" t="s">
        <v>15</v>
      </c>
      <c r="M2899" s="1" t="str">
        <f t="shared" si="45"/>
        <v>Consistent</v>
      </c>
      <c r="N2899" s="1" t="str">
        <f>_xlfn.XLOOKUP(H2899, risk_score!A:A, risk_score!B:B, 0)</f>
        <v>Low Risk</v>
      </c>
    </row>
    <row r="2900" spans="1:14">
      <c r="A2900" s="2">
        <v>0.51587962962962963</v>
      </c>
      <c r="B2900" s="3">
        <v>44841</v>
      </c>
      <c r="C2900" s="1">
        <v>3168071582</v>
      </c>
      <c r="D2900" s="1">
        <v>9958510480</v>
      </c>
      <c r="E2900" s="1">
        <v>40496.54</v>
      </c>
      <c r="F2900" s="1" t="s">
        <v>12</v>
      </c>
      <c r="G2900" s="1" t="s">
        <v>12</v>
      </c>
      <c r="H2900" s="1" t="s">
        <v>13</v>
      </c>
      <c r="I2900" s="1" t="s">
        <v>13</v>
      </c>
      <c r="J2900" s="1" t="s">
        <v>22</v>
      </c>
      <c r="K2900" s="1">
        <v>0</v>
      </c>
      <c r="L2900" s="1" t="s">
        <v>49</v>
      </c>
      <c r="M2900" s="1" t="str">
        <f t="shared" si="45"/>
        <v>Consistent</v>
      </c>
      <c r="N2900" s="1" t="str">
        <f>_xlfn.XLOOKUP(H2900, risk_score!A:A, risk_score!B:B, 0)</f>
        <v>Low Risk</v>
      </c>
    </row>
    <row r="2901" spans="1:14">
      <c r="A2901" s="2">
        <v>0.51598379629629632</v>
      </c>
      <c r="B2901" s="3">
        <v>44841</v>
      </c>
      <c r="C2901" s="1">
        <v>7263384547</v>
      </c>
      <c r="D2901" s="1">
        <v>1786865548</v>
      </c>
      <c r="E2901" s="1">
        <v>1103.68</v>
      </c>
      <c r="F2901" s="1" t="s">
        <v>12</v>
      </c>
      <c r="G2901" s="1" t="s">
        <v>12</v>
      </c>
      <c r="H2901" s="1" t="s">
        <v>13</v>
      </c>
      <c r="I2901" s="1" t="s">
        <v>13</v>
      </c>
      <c r="J2901" s="1" t="s">
        <v>22</v>
      </c>
      <c r="K2901" s="1">
        <v>0</v>
      </c>
      <c r="L2901" s="1" t="s">
        <v>21</v>
      </c>
      <c r="M2901" s="1" t="str">
        <f t="shared" si="45"/>
        <v>Consistent</v>
      </c>
      <c r="N2901" s="1" t="str">
        <f>_xlfn.XLOOKUP(H2901, risk_score!A:A, risk_score!B:B, 0)</f>
        <v>Low Risk</v>
      </c>
    </row>
    <row r="2902" spans="1:14">
      <c r="A2902" s="2">
        <v>0.51598379629629632</v>
      </c>
      <c r="B2902" s="3">
        <v>44841</v>
      </c>
      <c r="C2902" s="1">
        <v>7112379017</v>
      </c>
      <c r="D2902" s="1">
        <v>5708936901</v>
      </c>
      <c r="E2902" s="1">
        <v>4661.1099999999997</v>
      </c>
      <c r="F2902" s="1" t="s">
        <v>12</v>
      </c>
      <c r="G2902" s="1" t="s">
        <v>12</v>
      </c>
      <c r="H2902" s="1" t="s">
        <v>13</v>
      </c>
      <c r="I2902" s="1" t="s">
        <v>13</v>
      </c>
      <c r="J2902" s="1" t="s">
        <v>27</v>
      </c>
      <c r="K2902" s="1">
        <v>0</v>
      </c>
      <c r="L2902" s="1" t="s">
        <v>23</v>
      </c>
      <c r="M2902" s="1" t="str">
        <f t="shared" si="45"/>
        <v>Consistent</v>
      </c>
      <c r="N2902" s="1" t="str">
        <f>_xlfn.XLOOKUP(H2902, risk_score!A:A, risk_score!B:B, 0)</f>
        <v>Low Risk</v>
      </c>
    </row>
    <row r="2903" spans="1:14">
      <c r="A2903" s="2">
        <v>0.51599537037037035</v>
      </c>
      <c r="B2903" s="3">
        <v>44841</v>
      </c>
      <c r="C2903" s="1">
        <v>9824756631</v>
      </c>
      <c r="D2903" s="1">
        <v>6102699678</v>
      </c>
      <c r="E2903" s="1">
        <v>7668.67</v>
      </c>
      <c r="F2903" s="1" t="s">
        <v>12</v>
      </c>
      <c r="G2903" s="1" t="s">
        <v>12</v>
      </c>
      <c r="H2903" s="1" t="s">
        <v>13</v>
      </c>
      <c r="I2903" s="1" t="s">
        <v>13</v>
      </c>
      <c r="J2903" s="1" t="s">
        <v>27</v>
      </c>
      <c r="K2903" s="1">
        <v>0</v>
      </c>
      <c r="L2903" s="1" t="s">
        <v>21</v>
      </c>
      <c r="M2903" s="1" t="str">
        <f t="shared" si="45"/>
        <v>Consistent</v>
      </c>
      <c r="N2903" s="1" t="str">
        <f>_xlfn.XLOOKUP(H2903, risk_score!A:A, risk_score!B:B, 0)</f>
        <v>Low Risk</v>
      </c>
    </row>
    <row r="2904" spans="1:14">
      <c r="A2904" s="2">
        <v>0.51599537037037035</v>
      </c>
      <c r="B2904" s="3">
        <v>44841</v>
      </c>
      <c r="C2904" s="1">
        <v>3396853729</v>
      </c>
      <c r="D2904" s="1">
        <v>4293580479</v>
      </c>
      <c r="E2904" s="1">
        <v>25780.14</v>
      </c>
      <c r="F2904" s="1" t="s">
        <v>12</v>
      </c>
      <c r="G2904" s="1" t="s">
        <v>12</v>
      </c>
      <c r="H2904" s="1" t="s">
        <v>13</v>
      </c>
      <c r="I2904" s="1" t="s">
        <v>13</v>
      </c>
      <c r="J2904" s="1" t="s">
        <v>20</v>
      </c>
      <c r="K2904" s="1">
        <v>0</v>
      </c>
      <c r="L2904" s="1" t="s">
        <v>23</v>
      </c>
      <c r="M2904" s="1" t="str">
        <f t="shared" si="45"/>
        <v>Consistent</v>
      </c>
      <c r="N2904" s="1" t="str">
        <f>_xlfn.XLOOKUP(H2904, risk_score!A:A, risk_score!B:B, 0)</f>
        <v>Low Risk</v>
      </c>
    </row>
    <row r="2905" spans="1:14">
      <c r="A2905" s="2">
        <v>0.51601851851851854</v>
      </c>
      <c r="B2905" s="3">
        <v>44841</v>
      </c>
      <c r="C2905" s="1">
        <v>5646843128</v>
      </c>
      <c r="D2905" s="1">
        <v>8137373839</v>
      </c>
      <c r="E2905" s="1">
        <v>1131.25</v>
      </c>
      <c r="F2905" s="1" t="s">
        <v>12</v>
      </c>
      <c r="G2905" s="1" t="s">
        <v>12</v>
      </c>
      <c r="H2905" s="1" t="s">
        <v>13</v>
      </c>
      <c r="I2905" s="1" t="s">
        <v>13</v>
      </c>
      <c r="J2905" s="1" t="s">
        <v>14</v>
      </c>
      <c r="K2905" s="1">
        <v>0</v>
      </c>
      <c r="L2905" s="1" t="s">
        <v>15</v>
      </c>
      <c r="M2905" s="1" t="str">
        <f t="shared" si="45"/>
        <v>Consistent</v>
      </c>
      <c r="N2905" s="1" t="str">
        <f>_xlfn.XLOOKUP(H2905, risk_score!A:A, risk_score!B:B, 0)</f>
        <v>Low Risk</v>
      </c>
    </row>
    <row r="2906" spans="1:14">
      <c r="A2906" s="2">
        <v>0.516087962962963</v>
      </c>
      <c r="B2906" s="3">
        <v>44841</v>
      </c>
      <c r="C2906" s="1">
        <v>7421451752</v>
      </c>
      <c r="D2906" s="1">
        <v>6790400322</v>
      </c>
      <c r="E2906" s="1">
        <v>11867.27</v>
      </c>
      <c r="F2906" s="1" t="s">
        <v>12</v>
      </c>
      <c r="G2906" s="1" t="s">
        <v>12</v>
      </c>
      <c r="H2906" s="1" t="s">
        <v>13</v>
      </c>
      <c r="I2906" s="1" t="s">
        <v>13</v>
      </c>
      <c r="J2906" s="1" t="s">
        <v>22</v>
      </c>
      <c r="K2906" s="1">
        <v>0</v>
      </c>
      <c r="L2906" s="1" t="s">
        <v>19</v>
      </c>
      <c r="M2906" s="1" t="str">
        <f t="shared" si="45"/>
        <v>Consistent</v>
      </c>
      <c r="N2906" s="1" t="str">
        <f>_xlfn.XLOOKUP(H2906, risk_score!A:A, risk_score!B:B, 0)</f>
        <v>Low Risk</v>
      </c>
    </row>
    <row r="2907" spans="1:14">
      <c r="A2907" s="2">
        <v>0.51615740740740745</v>
      </c>
      <c r="B2907" s="3">
        <v>44841</v>
      </c>
      <c r="C2907" s="1">
        <v>2355147013</v>
      </c>
      <c r="D2907" s="1">
        <v>2434943049</v>
      </c>
      <c r="E2907" s="1">
        <v>2820.69</v>
      </c>
      <c r="F2907" s="1" t="s">
        <v>12</v>
      </c>
      <c r="G2907" s="1" t="s">
        <v>12</v>
      </c>
      <c r="H2907" s="1" t="s">
        <v>13</v>
      </c>
      <c r="I2907" s="1" t="s">
        <v>13</v>
      </c>
      <c r="J2907" s="1" t="s">
        <v>22</v>
      </c>
      <c r="K2907" s="1">
        <v>0</v>
      </c>
      <c r="L2907" s="1" t="s">
        <v>21</v>
      </c>
      <c r="M2907" s="1" t="str">
        <f t="shared" si="45"/>
        <v>Consistent</v>
      </c>
      <c r="N2907" s="1" t="str">
        <f>_xlfn.XLOOKUP(H2907, risk_score!A:A, risk_score!B:B, 0)</f>
        <v>Low Risk</v>
      </c>
    </row>
    <row r="2908" spans="1:14">
      <c r="A2908" s="2">
        <v>0.51615740740740745</v>
      </c>
      <c r="B2908" s="3">
        <v>44841</v>
      </c>
      <c r="C2908" s="1">
        <v>1127850226</v>
      </c>
      <c r="D2908" s="1">
        <v>6581031438</v>
      </c>
      <c r="E2908" s="1">
        <v>1549.22</v>
      </c>
      <c r="F2908" s="1" t="s">
        <v>12</v>
      </c>
      <c r="G2908" s="1" t="s">
        <v>12</v>
      </c>
      <c r="H2908" s="1" t="s">
        <v>13</v>
      </c>
      <c r="I2908" s="1" t="s">
        <v>13</v>
      </c>
      <c r="J2908" s="1" t="s">
        <v>27</v>
      </c>
      <c r="K2908" s="1">
        <v>0</v>
      </c>
      <c r="L2908" s="1" t="s">
        <v>21</v>
      </c>
      <c r="M2908" s="1" t="str">
        <f t="shared" si="45"/>
        <v>Consistent</v>
      </c>
      <c r="N2908" s="1" t="str">
        <f>_xlfn.XLOOKUP(H2908, risk_score!A:A, risk_score!B:B, 0)</f>
        <v>Low Risk</v>
      </c>
    </row>
    <row r="2909" spans="1:14">
      <c r="A2909" s="2">
        <v>0.51616898148148149</v>
      </c>
      <c r="B2909" s="3">
        <v>44841</v>
      </c>
      <c r="C2909" s="1">
        <v>9734083970</v>
      </c>
      <c r="D2909" s="1">
        <v>1812525358</v>
      </c>
      <c r="E2909" s="1">
        <v>5781.39</v>
      </c>
      <c r="F2909" s="1" t="s">
        <v>12</v>
      </c>
      <c r="G2909" s="1" t="s">
        <v>12</v>
      </c>
      <c r="H2909" s="1" t="s">
        <v>13</v>
      </c>
      <c r="I2909" s="1" t="s">
        <v>13</v>
      </c>
      <c r="J2909" s="1" t="s">
        <v>27</v>
      </c>
      <c r="K2909" s="1">
        <v>0</v>
      </c>
      <c r="L2909" s="1" t="s">
        <v>19</v>
      </c>
      <c r="M2909" s="1" t="str">
        <f t="shared" si="45"/>
        <v>Consistent</v>
      </c>
      <c r="N2909" s="1" t="str">
        <f>_xlfn.XLOOKUP(H2909, risk_score!A:A, risk_score!B:B, 0)</f>
        <v>Low Risk</v>
      </c>
    </row>
    <row r="2910" spans="1:14">
      <c r="A2910" s="2">
        <v>0.51619212962962968</v>
      </c>
      <c r="B2910" s="3">
        <v>44841</v>
      </c>
      <c r="C2910" s="1">
        <v>8203229522</v>
      </c>
      <c r="D2910" s="1">
        <v>7963107269</v>
      </c>
      <c r="E2910" s="1">
        <v>8624.82</v>
      </c>
      <c r="F2910" s="1" t="s">
        <v>12</v>
      </c>
      <c r="G2910" s="1" t="s">
        <v>12</v>
      </c>
      <c r="H2910" s="1" t="s">
        <v>13</v>
      </c>
      <c r="I2910" s="1" t="s">
        <v>13</v>
      </c>
      <c r="J2910" s="1" t="s">
        <v>22</v>
      </c>
      <c r="K2910" s="1">
        <v>0</v>
      </c>
      <c r="L2910" s="1" t="s">
        <v>19</v>
      </c>
      <c r="M2910" s="1" t="str">
        <f t="shared" si="45"/>
        <v>Consistent</v>
      </c>
      <c r="N2910" s="1" t="str">
        <f>_xlfn.XLOOKUP(H2910, risk_score!A:A, risk_score!B:B, 0)</f>
        <v>Low Risk</v>
      </c>
    </row>
    <row r="2911" spans="1:14">
      <c r="A2911" s="2">
        <v>0.51626157407407403</v>
      </c>
      <c r="B2911" s="3">
        <v>44841</v>
      </c>
      <c r="C2911" s="1">
        <v>3688525533</v>
      </c>
      <c r="D2911" s="1">
        <v>8678802420</v>
      </c>
      <c r="E2911" s="1">
        <v>22085.59</v>
      </c>
      <c r="F2911" s="1" t="s">
        <v>12</v>
      </c>
      <c r="G2911" s="1" t="s">
        <v>12</v>
      </c>
      <c r="H2911" s="1" t="s">
        <v>13</v>
      </c>
      <c r="I2911" s="1" t="s">
        <v>13</v>
      </c>
      <c r="J2911" s="1" t="s">
        <v>20</v>
      </c>
      <c r="K2911" s="1">
        <v>0</v>
      </c>
      <c r="L2911" s="1" t="s">
        <v>23</v>
      </c>
      <c r="M2911" s="1" t="str">
        <f t="shared" si="45"/>
        <v>Consistent</v>
      </c>
      <c r="N2911" s="1" t="str">
        <f>_xlfn.XLOOKUP(H2911, risk_score!A:A, risk_score!B:B, 0)</f>
        <v>Low Risk</v>
      </c>
    </row>
    <row r="2912" spans="1:14">
      <c r="A2912" s="2">
        <v>0.51627314814814818</v>
      </c>
      <c r="B2912" s="3">
        <v>44841</v>
      </c>
      <c r="C2912" s="1">
        <v>7860334742</v>
      </c>
      <c r="D2912" s="1">
        <v>960080488</v>
      </c>
      <c r="E2912" s="1">
        <v>3900.03</v>
      </c>
      <c r="F2912" s="1" t="s">
        <v>12</v>
      </c>
      <c r="G2912" s="1" t="s">
        <v>12</v>
      </c>
      <c r="H2912" s="1" t="s">
        <v>13</v>
      </c>
      <c r="I2912" s="1" t="s">
        <v>13</v>
      </c>
      <c r="J2912" s="1" t="s">
        <v>27</v>
      </c>
      <c r="K2912" s="1">
        <v>0</v>
      </c>
      <c r="L2912" s="1" t="s">
        <v>38</v>
      </c>
      <c r="M2912" s="1" t="str">
        <f t="shared" si="45"/>
        <v>Consistent</v>
      </c>
      <c r="N2912" s="1" t="str">
        <f>_xlfn.XLOOKUP(H2912, risk_score!A:A, risk_score!B:B, 0)</f>
        <v>Low Risk</v>
      </c>
    </row>
    <row r="2913" spans="1:14">
      <c r="A2913" s="2">
        <v>0.5163078703703704</v>
      </c>
      <c r="B2913" s="3">
        <v>44841</v>
      </c>
      <c r="C2913" s="1">
        <v>7900863155</v>
      </c>
      <c r="D2913" s="1">
        <v>351184098</v>
      </c>
      <c r="E2913" s="1">
        <v>3245.64</v>
      </c>
      <c r="F2913" s="1" t="s">
        <v>12</v>
      </c>
      <c r="G2913" s="1" t="s">
        <v>12</v>
      </c>
      <c r="H2913" s="1" t="s">
        <v>13</v>
      </c>
      <c r="I2913" s="1" t="s">
        <v>13</v>
      </c>
      <c r="J2913" s="1" t="s">
        <v>25</v>
      </c>
      <c r="K2913" s="1">
        <v>0</v>
      </c>
      <c r="L2913" s="1" t="s">
        <v>24</v>
      </c>
      <c r="M2913" s="1" t="str">
        <f t="shared" si="45"/>
        <v>Consistent</v>
      </c>
      <c r="N2913" s="1" t="str">
        <f>_xlfn.XLOOKUP(H2913, risk_score!A:A, risk_score!B:B, 0)</f>
        <v>Low Risk</v>
      </c>
    </row>
    <row r="2914" spans="1:14">
      <c r="A2914" s="2">
        <v>0.51631944444444444</v>
      </c>
      <c r="B2914" s="3">
        <v>44841</v>
      </c>
      <c r="C2914" s="1">
        <v>3961959856</v>
      </c>
      <c r="D2914" s="1">
        <v>1431561040</v>
      </c>
      <c r="E2914" s="1">
        <v>8211.5499999999993</v>
      </c>
      <c r="F2914" s="1" t="s">
        <v>12</v>
      </c>
      <c r="G2914" s="1" t="s">
        <v>12</v>
      </c>
      <c r="H2914" s="1" t="s">
        <v>13</v>
      </c>
      <c r="I2914" s="1" t="s">
        <v>13</v>
      </c>
      <c r="J2914" s="1" t="s">
        <v>27</v>
      </c>
      <c r="K2914" s="1">
        <v>0</v>
      </c>
      <c r="L2914" s="1" t="s">
        <v>23</v>
      </c>
      <c r="M2914" s="1" t="str">
        <f t="shared" si="45"/>
        <v>Consistent</v>
      </c>
      <c r="N2914" s="1" t="str">
        <f>_xlfn.XLOOKUP(H2914, risk_score!A:A, risk_score!B:B, 0)</f>
        <v>Low Risk</v>
      </c>
    </row>
    <row r="2915" spans="1:14">
      <c r="A2915" s="2">
        <v>0.51636574074074071</v>
      </c>
      <c r="B2915" s="3">
        <v>44841</v>
      </c>
      <c r="C2915" s="1">
        <v>4666799975</v>
      </c>
      <c r="D2915" s="1">
        <v>5762820588</v>
      </c>
      <c r="E2915" s="1">
        <v>4815.76</v>
      </c>
      <c r="F2915" s="1" t="s">
        <v>12</v>
      </c>
      <c r="G2915" s="1" t="s">
        <v>12</v>
      </c>
      <c r="H2915" s="1" t="s">
        <v>13</v>
      </c>
      <c r="I2915" s="1" t="s">
        <v>13</v>
      </c>
      <c r="J2915" s="1" t="s">
        <v>20</v>
      </c>
      <c r="K2915" s="1">
        <v>0</v>
      </c>
      <c r="L2915" s="1" t="s">
        <v>21</v>
      </c>
      <c r="M2915" s="1" t="str">
        <f t="shared" si="45"/>
        <v>Consistent</v>
      </c>
      <c r="N2915" s="1" t="str">
        <f>_xlfn.XLOOKUP(H2915, risk_score!A:A, risk_score!B:B, 0)</f>
        <v>Low Risk</v>
      </c>
    </row>
    <row r="2916" spans="1:14">
      <c r="A2916" s="2">
        <v>0.51637731481481486</v>
      </c>
      <c r="B2916" s="3">
        <v>44841</v>
      </c>
      <c r="C2916" s="1">
        <v>1996285523</v>
      </c>
      <c r="D2916" s="1">
        <v>8518184956</v>
      </c>
      <c r="E2916" s="1">
        <v>15925.23</v>
      </c>
      <c r="F2916" s="1" t="s">
        <v>12</v>
      </c>
      <c r="G2916" s="1" t="s">
        <v>12</v>
      </c>
      <c r="H2916" s="1" t="s">
        <v>13</v>
      </c>
      <c r="I2916" s="1" t="s">
        <v>13</v>
      </c>
      <c r="J2916" s="1" t="s">
        <v>25</v>
      </c>
      <c r="K2916" s="1">
        <v>0</v>
      </c>
      <c r="L2916" s="1" t="s">
        <v>23</v>
      </c>
      <c r="M2916" s="1" t="str">
        <f t="shared" si="45"/>
        <v>Consistent</v>
      </c>
      <c r="N2916" s="1" t="str">
        <f>_xlfn.XLOOKUP(H2916, risk_score!A:A, risk_score!B:B, 0)</f>
        <v>Low Risk</v>
      </c>
    </row>
    <row r="2917" spans="1:14">
      <c r="A2917" s="2">
        <v>0.51637731481481486</v>
      </c>
      <c r="B2917" s="3">
        <v>44841</v>
      </c>
      <c r="C2917" s="1">
        <v>198403508</v>
      </c>
      <c r="D2917" s="1">
        <v>1316458123</v>
      </c>
      <c r="E2917" s="1">
        <v>4556.5200000000004</v>
      </c>
      <c r="F2917" s="1" t="s">
        <v>12</v>
      </c>
      <c r="G2917" s="1" t="s">
        <v>34</v>
      </c>
      <c r="H2917" s="1" t="s">
        <v>13</v>
      </c>
      <c r="I2917" s="1" t="s">
        <v>35</v>
      </c>
      <c r="J2917" s="1" t="s">
        <v>18</v>
      </c>
      <c r="K2917" s="1">
        <v>0</v>
      </c>
      <c r="L2917" s="1" t="s">
        <v>23</v>
      </c>
      <c r="M2917" s="1" t="str">
        <f t="shared" si="45"/>
        <v>Potential Layering</v>
      </c>
      <c r="N2917" s="1" t="str">
        <f>_xlfn.XLOOKUP(H2917, risk_score!A:A, risk_score!B:B, 0)</f>
        <v>Low Risk</v>
      </c>
    </row>
    <row r="2918" spans="1:14">
      <c r="A2918" s="2">
        <v>0.51640046296296294</v>
      </c>
      <c r="B2918" s="3">
        <v>44841</v>
      </c>
      <c r="C2918" s="1">
        <v>6106138674</v>
      </c>
      <c r="D2918" s="1">
        <v>3220735304</v>
      </c>
      <c r="E2918" s="1">
        <v>11626.29</v>
      </c>
      <c r="F2918" s="1" t="s">
        <v>12</v>
      </c>
      <c r="G2918" s="1" t="s">
        <v>12</v>
      </c>
      <c r="H2918" s="1" t="s">
        <v>13</v>
      </c>
      <c r="I2918" s="1" t="s">
        <v>13</v>
      </c>
      <c r="J2918" s="1" t="s">
        <v>20</v>
      </c>
      <c r="K2918" s="1">
        <v>0</v>
      </c>
      <c r="L2918" s="1" t="s">
        <v>23</v>
      </c>
      <c r="M2918" s="1" t="str">
        <f t="shared" si="45"/>
        <v>Consistent</v>
      </c>
      <c r="N2918" s="1" t="str">
        <f>_xlfn.XLOOKUP(H2918, risk_score!A:A, risk_score!B:B, 0)</f>
        <v>Low Risk</v>
      </c>
    </row>
    <row r="2919" spans="1:14">
      <c r="A2919" s="2">
        <v>0.51641203703703709</v>
      </c>
      <c r="B2919" s="3">
        <v>44841</v>
      </c>
      <c r="C2919" s="1">
        <v>1937509788</v>
      </c>
      <c r="D2919" s="1">
        <v>5628674969</v>
      </c>
      <c r="E2919" s="1">
        <v>9838.64</v>
      </c>
      <c r="F2919" s="1" t="s">
        <v>12</v>
      </c>
      <c r="G2919" s="1" t="s">
        <v>12</v>
      </c>
      <c r="H2919" s="1" t="s">
        <v>13</v>
      </c>
      <c r="I2919" s="1" t="s">
        <v>13</v>
      </c>
      <c r="J2919" s="1" t="s">
        <v>22</v>
      </c>
      <c r="K2919" s="1">
        <v>0</v>
      </c>
      <c r="L2919" s="1" t="s">
        <v>23</v>
      </c>
      <c r="M2919" s="1" t="str">
        <f t="shared" si="45"/>
        <v>Consistent</v>
      </c>
      <c r="N2919" s="1" t="str">
        <f>_xlfn.XLOOKUP(H2919, risk_score!A:A, risk_score!B:B, 0)</f>
        <v>Low Risk</v>
      </c>
    </row>
    <row r="2920" spans="1:14">
      <c r="A2920" s="2">
        <v>0.51645833333333335</v>
      </c>
      <c r="B2920" s="3">
        <v>44841</v>
      </c>
      <c r="C2920" s="1">
        <v>6514654827</v>
      </c>
      <c r="D2920" s="1">
        <v>5628674969</v>
      </c>
      <c r="E2920" s="1">
        <v>22595.29</v>
      </c>
      <c r="F2920" s="1" t="s">
        <v>12</v>
      </c>
      <c r="G2920" s="1" t="s">
        <v>12</v>
      </c>
      <c r="H2920" s="1" t="s">
        <v>13</v>
      </c>
      <c r="I2920" s="1" t="s">
        <v>13</v>
      </c>
      <c r="J2920" s="1" t="s">
        <v>22</v>
      </c>
      <c r="K2920" s="1">
        <v>0</v>
      </c>
      <c r="L2920" s="1" t="s">
        <v>23</v>
      </c>
      <c r="M2920" s="1" t="str">
        <f t="shared" si="45"/>
        <v>Consistent</v>
      </c>
      <c r="N2920" s="1" t="str">
        <f>_xlfn.XLOOKUP(H2920, risk_score!A:A, risk_score!B:B, 0)</f>
        <v>Low Risk</v>
      </c>
    </row>
    <row r="2921" spans="1:14">
      <c r="A2921" s="2">
        <v>0.51646990740740739</v>
      </c>
      <c r="B2921" s="3">
        <v>44841</v>
      </c>
      <c r="C2921" s="1">
        <v>8912270600</v>
      </c>
      <c r="D2921" s="1">
        <v>5552513514</v>
      </c>
      <c r="E2921" s="1">
        <v>16065.47</v>
      </c>
      <c r="F2921" s="1" t="s">
        <v>12</v>
      </c>
      <c r="G2921" s="1" t="s">
        <v>12</v>
      </c>
      <c r="H2921" s="1" t="s">
        <v>13</v>
      </c>
      <c r="I2921" s="1" t="s">
        <v>13</v>
      </c>
      <c r="J2921" s="1" t="s">
        <v>20</v>
      </c>
      <c r="K2921" s="1">
        <v>0</v>
      </c>
      <c r="L2921" s="1" t="s">
        <v>21</v>
      </c>
      <c r="M2921" s="1" t="str">
        <f t="shared" si="45"/>
        <v>Consistent</v>
      </c>
      <c r="N2921" s="1" t="str">
        <f>_xlfn.XLOOKUP(H2921, risk_score!A:A, risk_score!B:B, 0)</f>
        <v>Low Risk</v>
      </c>
    </row>
    <row r="2922" spans="1:14">
      <c r="A2922" s="2">
        <v>0.51648148148148143</v>
      </c>
      <c r="B2922" s="3">
        <v>44841</v>
      </c>
      <c r="C2922" s="1">
        <v>3352168373</v>
      </c>
      <c r="D2922" s="1">
        <v>7992026831</v>
      </c>
      <c r="E2922" s="1">
        <v>1072.48</v>
      </c>
      <c r="F2922" s="1" t="s">
        <v>12</v>
      </c>
      <c r="G2922" s="1" t="s">
        <v>12</v>
      </c>
      <c r="H2922" s="1" t="s">
        <v>13</v>
      </c>
      <c r="I2922" s="1" t="s">
        <v>13</v>
      </c>
      <c r="J2922" s="1" t="s">
        <v>22</v>
      </c>
      <c r="K2922" s="1">
        <v>0</v>
      </c>
      <c r="L2922" s="1" t="s">
        <v>21</v>
      </c>
      <c r="M2922" s="1" t="str">
        <f t="shared" si="45"/>
        <v>Consistent</v>
      </c>
      <c r="N2922" s="1" t="str">
        <f>_xlfn.XLOOKUP(H2922, risk_score!A:A, risk_score!B:B, 0)</f>
        <v>Low Risk</v>
      </c>
    </row>
    <row r="2923" spans="1:14">
      <c r="A2923" s="2">
        <v>0.51650462962962962</v>
      </c>
      <c r="B2923" s="3">
        <v>44841</v>
      </c>
      <c r="C2923" s="1">
        <v>2249715759</v>
      </c>
      <c r="D2923" s="1">
        <v>2961150172</v>
      </c>
      <c r="E2923" s="1">
        <v>7530.89</v>
      </c>
      <c r="F2923" s="1" t="s">
        <v>12</v>
      </c>
      <c r="G2923" s="1" t="s">
        <v>12</v>
      </c>
      <c r="H2923" s="1" t="s">
        <v>13</v>
      </c>
      <c r="I2923" s="1" t="s">
        <v>13</v>
      </c>
      <c r="J2923" s="1" t="s">
        <v>22</v>
      </c>
      <c r="K2923" s="1">
        <v>0</v>
      </c>
      <c r="L2923" s="1" t="s">
        <v>24</v>
      </c>
      <c r="M2923" s="1" t="str">
        <f t="shared" si="45"/>
        <v>Consistent</v>
      </c>
      <c r="N2923" s="1" t="str">
        <f>_xlfn.XLOOKUP(H2923, risk_score!A:A, risk_score!B:B, 0)</f>
        <v>Low Risk</v>
      </c>
    </row>
    <row r="2924" spans="1:14">
      <c r="A2924" s="2">
        <v>0.51652777777777781</v>
      </c>
      <c r="B2924" s="3">
        <v>44841</v>
      </c>
      <c r="C2924" s="1">
        <v>4121324384</v>
      </c>
      <c r="D2924" s="1">
        <v>8135174919</v>
      </c>
      <c r="E2924" s="1">
        <v>10813.82</v>
      </c>
      <c r="F2924" s="1" t="s">
        <v>29</v>
      </c>
      <c r="G2924" s="1" t="s">
        <v>12</v>
      </c>
      <c r="H2924" s="1" t="s">
        <v>30</v>
      </c>
      <c r="I2924" s="1" t="s">
        <v>13</v>
      </c>
      <c r="J2924" s="1" t="s">
        <v>18</v>
      </c>
      <c r="K2924" s="1">
        <v>0</v>
      </c>
      <c r="L2924" s="1" t="s">
        <v>19</v>
      </c>
      <c r="M2924" s="1" t="str">
        <f t="shared" si="45"/>
        <v>Potential Layering</v>
      </c>
      <c r="N2924" s="1" t="str">
        <f>_xlfn.XLOOKUP(H2924, risk_score!A:A, risk_score!B:B, 0)</f>
        <v>Low Risk</v>
      </c>
    </row>
    <row r="2925" spans="1:14">
      <c r="A2925" s="2">
        <v>0.51652777777777781</v>
      </c>
      <c r="B2925" s="3">
        <v>44841</v>
      </c>
      <c r="C2925" s="1">
        <v>7669236826</v>
      </c>
      <c r="D2925" s="1">
        <v>8384550734</v>
      </c>
      <c r="E2925" s="1">
        <v>4817.72</v>
      </c>
      <c r="F2925" s="1" t="s">
        <v>12</v>
      </c>
      <c r="G2925" s="1" t="s">
        <v>12</v>
      </c>
      <c r="H2925" s="1" t="s">
        <v>13</v>
      </c>
      <c r="I2925" s="1" t="s">
        <v>13</v>
      </c>
      <c r="J2925" s="1" t="s">
        <v>25</v>
      </c>
      <c r="K2925" s="1">
        <v>0</v>
      </c>
      <c r="L2925" s="1" t="s">
        <v>19</v>
      </c>
      <c r="M2925" s="1" t="str">
        <f t="shared" si="45"/>
        <v>Consistent</v>
      </c>
      <c r="N2925" s="1" t="str">
        <f>_xlfn.XLOOKUP(H2925, risk_score!A:A, risk_score!B:B, 0)</f>
        <v>Low Risk</v>
      </c>
    </row>
    <row r="2926" spans="1:14">
      <c r="A2926" s="2">
        <v>0.51653935185185185</v>
      </c>
      <c r="B2926" s="3">
        <v>44841</v>
      </c>
      <c r="C2926" s="1">
        <v>5876375169</v>
      </c>
      <c r="D2926" s="1">
        <v>8594270874</v>
      </c>
      <c r="E2926" s="1">
        <v>130.9</v>
      </c>
      <c r="F2926" s="1" t="s">
        <v>12</v>
      </c>
      <c r="G2926" s="1" t="s">
        <v>12</v>
      </c>
      <c r="H2926" s="1" t="s">
        <v>13</v>
      </c>
      <c r="I2926" s="1" t="s">
        <v>13</v>
      </c>
      <c r="J2926" s="1" t="s">
        <v>36</v>
      </c>
      <c r="K2926" s="1">
        <v>0</v>
      </c>
      <c r="L2926" s="1" t="s">
        <v>37</v>
      </c>
      <c r="M2926" s="1" t="str">
        <f t="shared" si="45"/>
        <v>Consistent</v>
      </c>
      <c r="N2926" s="1" t="str">
        <f>_xlfn.XLOOKUP(H2926, risk_score!A:A, risk_score!B:B, 0)</f>
        <v>Low Risk</v>
      </c>
    </row>
    <row r="2927" spans="1:14">
      <c r="A2927" s="2">
        <v>0.51665509259259257</v>
      </c>
      <c r="B2927" s="3">
        <v>44841</v>
      </c>
      <c r="C2927" s="1">
        <v>7548422007</v>
      </c>
      <c r="D2927" s="1">
        <v>4270865741</v>
      </c>
      <c r="E2927" s="1">
        <v>7734.31</v>
      </c>
      <c r="F2927" s="1" t="s">
        <v>12</v>
      </c>
      <c r="G2927" s="1" t="s">
        <v>12</v>
      </c>
      <c r="H2927" s="1" t="s">
        <v>13</v>
      </c>
      <c r="I2927" s="1" t="s">
        <v>13</v>
      </c>
      <c r="J2927" s="1" t="s">
        <v>25</v>
      </c>
      <c r="K2927" s="1">
        <v>0</v>
      </c>
      <c r="L2927" s="1" t="s">
        <v>23</v>
      </c>
      <c r="M2927" s="1" t="str">
        <f t="shared" si="45"/>
        <v>Consistent</v>
      </c>
      <c r="N2927" s="1" t="str">
        <f>_xlfn.XLOOKUP(H2927, risk_score!A:A, risk_score!B:B, 0)</f>
        <v>Low Risk</v>
      </c>
    </row>
    <row r="2928" spans="1:14">
      <c r="A2928" s="2">
        <v>0.51665509259259257</v>
      </c>
      <c r="B2928" s="3">
        <v>44841</v>
      </c>
      <c r="C2928" s="1">
        <v>5869228588</v>
      </c>
      <c r="D2928" s="1">
        <v>9285879778</v>
      </c>
      <c r="E2928" s="1">
        <v>26877.73</v>
      </c>
      <c r="F2928" s="1" t="s">
        <v>12</v>
      </c>
      <c r="G2928" s="1" t="s">
        <v>12</v>
      </c>
      <c r="H2928" s="1" t="s">
        <v>13</v>
      </c>
      <c r="I2928" s="1" t="s">
        <v>13</v>
      </c>
      <c r="J2928" s="1" t="s">
        <v>25</v>
      </c>
      <c r="K2928" s="1">
        <v>0</v>
      </c>
      <c r="L2928" s="1" t="s">
        <v>24</v>
      </c>
      <c r="M2928" s="1" t="str">
        <f t="shared" si="45"/>
        <v>Consistent</v>
      </c>
      <c r="N2928" s="1" t="str">
        <f>_xlfn.XLOOKUP(H2928, risk_score!A:A, risk_score!B:B, 0)</f>
        <v>Low Risk</v>
      </c>
    </row>
    <row r="2929" spans="1:14">
      <c r="A2929" s="2">
        <v>0.51670138888888884</v>
      </c>
      <c r="B2929" s="3">
        <v>44841</v>
      </c>
      <c r="C2929" s="1">
        <v>4332882742</v>
      </c>
      <c r="D2929" s="1">
        <v>5858369125</v>
      </c>
      <c r="E2929" s="1">
        <v>13593.77</v>
      </c>
      <c r="F2929" s="1" t="s">
        <v>12</v>
      </c>
      <c r="G2929" s="1" t="s">
        <v>12</v>
      </c>
      <c r="H2929" s="1" t="s">
        <v>13</v>
      </c>
      <c r="I2929" s="1" t="s">
        <v>13</v>
      </c>
      <c r="J2929" s="1" t="s">
        <v>22</v>
      </c>
      <c r="K2929" s="1">
        <v>0</v>
      </c>
      <c r="L2929" s="1" t="s">
        <v>23</v>
      </c>
      <c r="M2929" s="1" t="str">
        <f t="shared" si="45"/>
        <v>Consistent</v>
      </c>
      <c r="N2929" s="1" t="str">
        <f>_xlfn.XLOOKUP(H2929, risk_score!A:A, risk_score!B:B, 0)</f>
        <v>Low Risk</v>
      </c>
    </row>
    <row r="2930" spans="1:14">
      <c r="A2930" s="2">
        <v>0.51671296296296299</v>
      </c>
      <c r="B2930" s="3">
        <v>44841</v>
      </c>
      <c r="C2930" s="1">
        <v>3452368468</v>
      </c>
      <c r="D2930" s="1">
        <v>5517479211</v>
      </c>
      <c r="E2930" s="1">
        <v>13428.61</v>
      </c>
      <c r="F2930" s="1" t="s">
        <v>12</v>
      </c>
      <c r="G2930" s="1" t="s">
        <v>12</v>
      </c>
      <c r="H2930" s="1" t="s">
        <v>13</v>
      </c>
      <c r="I2930" s="1" t="s">
        <v>13</v>
      </c>
      <c r="J2930" s="1" t="s">
        <v>20</v>
      </c>
      <c r="K2930" s="1">
        <v>0</v>
      </c>
      <c r="L2930" s="1" t="s">
        <v>19</v>
      </c>
      <c r="M2930" s="1" t="str">
        <f t="shared" si="45"/>
        <v>Consistent</v>
      </c>
      <c r="N2930" s="1" t="str">
        <f>_xlfn.XLOOKUP(H2930, risk_score!A:A, risk_score!B:B, 0)</f>
        <v>Low Risk</v>
      </c>
    </row>
    <row r="2931" spans="1:14">
      <c r="A2931" s="2">
        <v>0.51677083333333329</v>
      </c>
      <c r="B2931" s="3">
        <v>44841</v>
      </c>
      <c r="C2931" s="1">
        <v>5201604365</v>
      </c>
      <c r="D2931" s="1">
        <v>5586245359</v>
      </c>
      <c r="E2931" s="1">
        <v>6446.64</v>
      </c>
      <c r="F2931" s="1" t="s">
        <v>12</v>
      </c>
      <c r="G2931" s="1" t="s">
        <v>12</v>
      </c>
      <c r="H2931" s="1" t="s">
        <v>13</v>
      </c>
      <c r="I2931" s="1" t="s">
        <v>13</v>
      </c>
      <c r="J2931" s="1" t="s">
        <v>20</v>
      </c>
      <c r="K2931" s="1">
        <v>0</v>
      </c>
      <c r="L2931" s="1" t="s">
        <v>21</v>
      </c>
      <c r="M2931" s="1" t="str">
        <f t="shared" si="45"/>
        <v>Consistent</v>
      </c>
      <c r="N2931" s="1" t="str">
        <f>_xlfn.XLOOKUP(H2931, risk_score!A:A, risk_score!B:B, 0)</f>
        <v>Low Risk</v>
      </c>
    </row>
    <row r="2932" spans="1:14">
      <c r="A2932" s="2">
        <v>0.51678240740740744</v>
      </c>
      <c r="B2932" s="3">
        <v>44841</v>
      </c>
      <c r="C2932" s="1">
        <v>4600894500</v>
      </c>
      <c r="D2932" s="1">
        <v>6034997194</v>
      </c>
      <c r="E2932" s="1">
        <v>5405.83</v>
      </c>
      <c r="F2932" s="1" t="s">
        <v>12</v>
      </c>
      <c r="G2932" s="1" t="s">
        <v>12</v>
      </c>
      <c r="H2932" s="1" t="s">
        <v>13</v>
      </c>
      <c r="I2932" s="1" t="s">
        <v>13</v>
      </c>
      <c r="J2932" s="1" t="s">
        <v>25</v>
      </c>
      <c r="K2932" s="1">
        <v>0</v>
      </c>
      <c r="L2932" s="1" t="s">
        <v>23</v>
      </c>
      <c r="M2932" s="1" t="str">
        <f t="shared" si="45"/>
        <v>Consistent</v>
      </c>
      <c r="N2932" s="1" t="str">
        <f>_xlfn.XLOOKUP(H2932, risk_score!A:A, risk_score!B:B, 0)</f>
        <v>Low Risk</v>
      </c>
    </row>
    <row r="2933" spans="1:14">
      <c r="A2933" s="2">
        <v>0.51679398148148148</v>
      </c>
      <c r="B2933" s="3">
        <v>44841</v>
      </c>
      <c r="C2933" s="1">
        <v>9734083970</v>
      </c>
      <c r="D2933" s="1">
        <v>1812525358</v>
      </c>
      <c r="E2933" s="1">
        <v>5810.41</v>
      </c>
      <c r="F2933" s="1" t="s">
        <v>12</v>
      </c>
      <c r="G2933" s="1" t="s">
        <v>12</v>
      </c>
      <c r="H2933" s="1" t="s">
        <v>13</v>
      </c>
      <c r="I2933" s="1" t="s">
        <v>13</v>
      </c>
      <c r="J2933" s="1" t="s">
        <v>25</v>
      </c>
      <c r="K2933" s="1">
        <v>0</v>
      </c>
      <c r="L2933" s="1" t="s">
        <v>19</v>
      </c>
      <c r="M2933" s="1" t="str">
        <f t="shared" si="45"/>
        <v>Consistent</v>
      </c>
      <c r="N2933" s="1" t="str">
        <f>_xlfn.XLOOKUP(H2933, risk_score!A:A, risk_score!B:B, 0)</f>
        <v>Low Risk</v>
      </c>
    </row>
    <row r="2934" spans="1:14">
      <c r="A2934" s="2">
        <v>0.51681712962962967</v>
      </c>
      <c r="B2934" s="3">
        <v>44841</v>
      </c>
      <c r="C2934" s="1">
        <v>3168051873</v>
      </c>
      <c r="D2934" s="1">
        <v>7900569005</v>
      </c>
      <c r="E2934" s="1">
        <v>6186.35</v>
      </c>
      <c r="F2934" s="1" t="s">
        <v>12</v>
      </c>
      <c r="G2934" s="1" t="s">
        <v>12</v>
      </c>
      <c r="H2934" s="1" t="s">
        <v>13</v>
      </c>
      <c r="I2934" s="1" t="s">
        <v>13</v>
      </c>
      <c r="J2934" s="1" t="s">
        <v>27</v>
      </c>
      <c r="K2934" s="1">
        <v>0</v>
      </c>
      <c r="L2934" s="1" t="s">
        <v>19</v>
      </c>
      <c r="M2934" s="1" t="str">
        <f t="shared" si="45"/>
        <v>Consistent</v>
      </c>
      <c r="N2934" s="1" t="str">
        <f>_xlfn.XLOOKUP(H2934, risk_score!A:A, risk_score!B:B, 0)</f>
        <v>Low Risk</v>
      </c>
    </row>
    <row r="2935" spans="1:14">
      <c r="A2935" s="2">
        <v>0.51682870370370371</v>
      </c>
      <c r="B2935" s="3">
        <v>44841</v>
      </c>
      <c r="C2935" s="1">
        <v>4445307770</v>
      </c>
      <c r="D2935" s="1">
        <v>7892884492</v>
      </c>
      <c r="E2935" s="1">
        <v>9027.74</v>
      </c>
      <c r="F2935" s="1" t="s">
        <v>12</v>
      </c>
      <c r="G2935" s="1" t="s">
        <v>32</v>
      </c>
      <c r="H2935" s="1" t="s">
        <v>13</v>
      </c>
      <c r="I2935" s="1" t="s">
        <v>33</v>
      </c>
      <c r="J2935" s="1" t="s">
        <v>18</v>
      </c>
      <c r="K2935" s="1">
        <v>0</v>
      </c>
      <c r="L2935" s="1" t="s">
        <v>23</v>
      </c>
      <c r="M2935" s="1" t="str">
        <f t="shared" si="45"/>
        <v>Potential Layering</v>
      </c>
      <c r="N2935" s="1" t="str">
        <f>_xlfn.XLOOKUP(H2935, risk_score!A:A, risk_score!B:B, 0)</f>
        <v>Low Risk</v>
      </c>
    </row>
    <row r="2936" spans="1:14">
      <c r="A2936" s="2">
        <v>0.51689814814814816</v>
      </c>
      <c r="B2936" s="3">
        <v>44841</v>
      </c>
      <c r="C2936" s="1">
        <v>8463742774</v>
      </c>
      <c r="D2936" s="1">
        <v>1465487567</v>
      </c>
      <c r="E2936" s="1">
        <v>14837.15</v>
      </c>
      <c r="F2936" s="1" t="s">
        <v>12</v>
      </c>
      <c r="G2936" s="1" t="s">
        <v>12</v>
      </c>
      <c r="H2936" s="1" t="s">
        <v>13</v>
      </c>
      <c r="I2936" s="1" t="s">
        <v>13</v>
      </c>
      <c r="J2936" s="1" t="s">
        <v>22</v>
      </c>
      <c r="K2936" s="1">
        <v>0</v>
      </c>
      <c r="L2936" s="1" t="s">
        <v>23</v>
      </c>
      <c r="M2936" s="1" t="str">
        <f t="shared" si="45"/>
        <v>Consistent</v>
      </c>
      <c r="N2936" s="1" t="str">
        <f>_xlfn.XLOOKUP(H2936, risk_score!A:A, risk_score!B:B, 0)</f>
        <v>Low Risk</v>
      </c>
    </row>
    <row r="2937" spans="1:14">
      <c r="A2937" s="2">
        <v>0.51689814814814816</v>
      </c>
      <c r="B2937" s="3">
        <v>44841</v>
      </c>
      <c r="C2937" s="1">
        <v>841171611</v>
      </c>
      <c r="D2937" s="1">
        <v>8172080174</v>
      </c>
      <c r="E2937" s="1">
        <v>9222.7099999999991</v>
      </c>
      <c r="F2937" s="1" t="s">
        <v>12</v>
      </c>
      <c r="G2937" s="1" t="s">
        <v>12</v>
      </c>
      <c r="H2937" s="1" t="s">
        <v>13</v>
      </c>
      <c r="I2937" s="1" t="s">
        <v>13</v>
      </c>
      <c r="J2937" s="1" t="s">
        <v>25</v>
      </c>
      <c r="K2937" s="1">
        <v>0</v>
      </c>
      <c r="L2937" s="1" t="s">
        <v>23</v>
      </c>
      <c r="M2937" s="1" t="str">
        <f t="shared" si="45"/>
        <v>Consistent</v>
      </c>
      <c r="N2937" s="1" t="str">
        <f>_xlfn.XLOOKUP(H2937, risk_score!A:A, risk_score!B:B, 0)</f>
        <v>Low Risk</v>
      </c>
    </row>
    <row r="2938" spans="1:14">
      <c r="A2938" s="2">
        <v>0.5169097222222222</v>
      </c>
      <c r="B2938" s="3">
        <v>44841</v>
      </c>
      <c r="C2938" s="1">
        <v>7397104783</v>
      </c>
      <c r="D2938" s="1">
        <v>5900191933</v>
      </c>
      <c r="E2938" s="1">
        <v>594.13</v>
      </c>
      <c r="F2938" s="1" t="s">
        <v>12</v>
      </c>
      <c r="G2938" s="1" t="s">
        <v>12</v>
      </c>
      <c r="H2938" s="1" t="s">
        <v>13</v>
      </c>
      <c r="I2938" s="1" t="s">
        <v>13</v>
      </c>
      <c r="J2938" s="1" t="s">
        <v>20</v>
      </c>
      <c r="K2938" s="1">
        <v>0</v>
      </c>
      <c r="L2938" s="1" t="s">
        <v>21</v>
      </c>
      <c r="M2938" s="1" t="str">
        <f t="shared" si="45"/>
        <v>Consistent</v>
      </c>
      <c r="N2938" s="1" t="str">
        <f>_xlfn.XLOOKUP(H2938, risk_score!A:A, risk_score!B:B, 0)</f>
        <v>Low Risk</v>
      </c>
    </row>
    <row r="2939" spans="1:14">
      <c r="A2939" s="2">
        <v>0.51697916666666666</v>
      </c>
      <c r="B2939" s="3">
        <v>44841</v>
      </c>
      <c r="C2939" s="1">
        <v>9167226896</v>
      </c>
      <c r="D2939" s="1">
        <v>4811288498</v>
      </c>
      <c r="E2939" s="1">
        <v>2791.38</v>
      </c>
      <c r="F2939" s="1" t="s">
        <v>12</v>
      </c>
      <c r="G2939" s="1" t="s">
        <v>12</v>
      </c>
      <c r="H2939" s="1" t="s">
        <v>13</v>
      </c>
      <c r="I2939" s="1" t="s">
        <v>13</v>
      </c>
      <c r="J2939" s="1" t="s">
        <v>14</v>
      </c>
      <c r="K2939" s="1">
        <v>0</v>
      </c>
      <c r="L2939" s="1" t="s">
        <v>15</v>
      </c>
      <c r="M2939" s="1" t="str">
        <f t="shared" si="45"/>
        <v>Consistent</v>
      </c>
      <c r="N2939" s="1" t="str">
        <f>_xlfn.XLOOKUP(H2939, risk_score!A:A, risk_score!B:B, 0)</f>
        <v>Low Risk</v>
      </c>
    </row>
    <row r="2940" spans="1:14">
      <c r="A2940" s="2">
        <v>0.51700231481481485</v>
      </c>
      <c r="B2940" s="3">
        <v>44841</v>
      </c>
      <c r="C2940" s="1">
        <v>9737815066</v>
      </c>
      <c r="D2940" s="1">
        <v>4293580479</v>
      </c>
      <c r="E2940" s="1">
        <v>11021.17</v>
      </c>
      <c r="F2940" s="1" t="s">
        <v>12</v>
      </c>
      <c r="G2940" s="1" t="s">
        <v>12</v>
      </c>
      <c r="H2940" s="1" t="s">
        <v>13</v>
      </c>
      <c r="I2940" s="1" t="s">
        <v>13</v>
      </c>
      <c r="J2940" s="1" t="s">
        <v>20</v>
      </c>
      <c r="K2940" s="1">
        <v>0</v>
      </c>
      <c r="L2940" s="1" t="s">
        <v>23</v>
      </c>
      <c r="M2940" s="1" t="str">
        <f t="shared" si="45"/>
        <v>Consistent</v>
      </c>
      <c r="N2940" s="1" t="str">
        <f>_xlfn.XLOOKUP(H2940, risk_score!A:A, risk_score!B:B, 0)</f>
        <v>Low Risk</v>
      </c>
    </row>
    <row r="2941" spans="1:14">
      <c r="A2941" s="2">
        <v>0.51700231481481485</v>
      </c>
      <c r="B2941" s="3">
        <v>44841</v>
      </c>
      <c r="C2941" s="1">
        <v>5601568252</v>
      </c>
      <c r="D2941" s="1">
        <v>6444220418</v>
      </c>
      <c r="E2941" s="1">
        <v>9211.2999999999993</v>
      </c>
      <c r="F2941" s="1" t="s">
        <v>12</v>
      </c>
      <c r="G2941" s="1" t="s">
        <v>12</v>
      </c>
      <c r="H2941" s="1" t="s">
        <v>13</v>
      </c>
      <c r="I2941" s="1" t="s">
        <v>13</v>
      </c>
      <c r="J2941" s="1" t="s">
        <v>20</v>
      </c>
      <c r="K2941" s="1">
        <v>0</v>
      </c>
      <c r="L2941" s="1" t="s">
        <v>23</v>
      </c>
      <c r="M2941" s="1" t="str">
        <f t="shared" si="45"/>
        <v>Consistent</v>
      </c>
      <c r="N2941" s="1" t="str">
        <f>_xlfn.XLOOKUP(H2941, risk_score!A:A, risk_score!B:B, 0)</f>
        <v>Low Risk</v>
      </c>
    </row>
    <row r="2942" spans="1:14">
      <c r="A2942" s="2">
        <v>0.51701388888888888</v>
      </c>
      <c r="B2942" s="3">
        <v>44841</v>
      </c>
      <c r="C2942" s="1">
        <v>267264610</v>
      </c>
      <c r="D2942" s="1">
        <v>6584025804</v>
      </c>
      <c r="E2942" s="1">
        <v>12491.64</v>
      </c>
      <c r="F2942" s="1" t="s">
        <v>12</v>
      </c>
      <c r="G2942" s="1" t="s">
        <v>12</v>
      </c>
      <c r="H2942" s="1" t="s">
        <v>13</v>
      </c>
      <c r="I2942" s="1" t="s">
        <v>13</v>
      </c>
      <c r="J2942" s="1" t="s">
        <v>22</v>
      </c>
      <c r="K2942" s="1">
        <v>0</v>
      </c>
      <c r="L2942" s="1" t="s">
        <v>21</v>
      </c>
      <c r="M2942" s="1" t="str">
        <f t="shared" si="45"/>
        <v>Consistent</v>
      </c>
      <c r="N2942" s="1" t="str">
        <f>_xlfn.XLOOKUP(H2942, risk_score!A:A, risk_score!B:B, 0)</f>
        <v>Low Risk</v>
      </c>
    </row>
    <row r="2943" spans="1:14">
      <c r="A2943" s="2">
        <v>0.51701388888888888</v>
      </c>
      <c r="B2943" s="3">
        <v>44841</v>
      </c>
      <c r="C2943" s="1">
        <v>4602072566</v>
      </c>
      <c r="D2943" s="1">
        <v>2415599111</v>
      </c>
      <c r="E2943" s="1">
        <v>3486.04</v>
      </c>
      <c r="F2943" s="1" t="s">
        <v>12</v>
      </c>
      <c r="G2943" s="1" t="s">
        <v>12</v>
      </c>
      <c r="H2943" s="1" t="s">
        <v>13</v>
      </c>
      <c r="I2943" s="1" t="s">
        <v>13</v>
      </c>
      <c r="J2943" s="1" t="s">
        <v>27</v>
      </c>
      <c r="K2943" s="1">
        <v>0</v>
      </c>
      <c r="L2943" s="1" t="s">
        <v>24</v>
      </c>
      <c r="M2943" s="1" t="str">
        <f t="shared" si="45"/>
        <v>Consistent</v>
      </c>
      <c r="N2943" s="1" t="str">
        <f>_xlfn.XLOOKUP(H2943, risk_score!A:A, risk_score!B:B, 0)</f>
        <v>Low Risk</v>
      </c>
    </row>
    <row r="2944" spans="1:14">
      <c r="A2944" s="2">
        <v>0.51702546296296292</v>
      </c>
      <c r="B2944" s="3">
        <v>44841</v>
      </c>
      <c r="C2944" s="1">
        <v>3614082527</v>
      </c>
      <c r="D2944" s="1">
        <v>2547799506</v>
      </c>
      <c r="E2944" s="1">
        <v>12133.14</v>
      </c>
      <c r="F2944" s="1" t="s">
        <v>12</v>
      </c>
      <c r="G2944" s="1" t="s">
        <v>12</v>
      </c>
      <c r="H2944" s="1" t="s">
        <v>13</v>
      </c>
      <c r="I2944" s="1" t="s">
        <v>13</v>
      </c>
      <c r="J2944" s="1" t="s">
        <v>25</v>
      </c>
      <c r="K2944" s="1">
        <v>0</v>
      </c>
      <c r="L2944" s="1" t="s">
        <v>19</v>
      </c>
      <c r="M2944" s="1" t="str">
        <f t="shared" si="45"/>
        <v>Consistent</v>
      </c>
      <c r="N2944" s="1" t="str">
        <f>_xlfn.XLOOKUP(H2944, risk_score!A:A, risk_score!B:B, 0)</f>
        <v>Low Risk</v>
      </c>
    </row>
    <row r="2945" spans="1:14">
      <c r="A2945" s="2">
        <v>0.51702546296296292</v>
      </c>
      <c r="B2945" s="3">
        <v>44841</v>
      </c>
      <c r="C2945" s="1">
        <v>7827679101</v>
      </c>
      <c r="D2945" s="1">
        <v>4270865741</v>
      </c>
      <c r="E2945" s="1">
        <v>10619.3</v>
      </c>
      <c r="F2945" s="1" t="s">
        <v>12</v>
      </c>
      <c r="G2945" s="1" t="s">
        <v>12</v>
      </c>
      <c r="H2945" s="1" t="s">
        <v>13</v>
      </c>
      <c r="I2945" s="1" t="s">
        <v>13</v>
      </c>
      <c r="J2945" s="1" t="s">
        <v>20</v>
      </c>
      <c r="K2945" s="1">
        <v>0</v>
      </c>
      <c r="L2945" s="1" t="s">
        <v>23</v>
      </c>
      <c r="M2945" s="1" t="str">
        <f t="shared" si="45"/>
        <v>Consistent</v>
      </c>
      <c r="N2945" s="1" t="str">
        <f>_xlfn.XLOOKUP(H2945, risk_score!A:A, risk_score!B:B, 0)</f>
        <v>Low Risk</v>
      </c>
    </row>
    <row r="2946" spans="1:14">
      <c r="A2946" s="2">
        <v>0.51704861111111111</v>
      </c>
      <c r="B2946" s="3">
        <v>44841</v>
      </c>
      <c r="C2946" s="1">
        <v>5309124465</v>
      </c>
      <c r="D2946" s="1">
        <v>2534644942</v>
      </c>
      <c r="E2946" s="1">
        <v>9754.0499999999993</v>
      </c>
      <c r="F2946" s="1" t="s">
        <v>12</v>
      </c>
      <c r="G2946" s="1" t="s">
        <v>29</v>
      </c>
      <c r="H2946" s="1" t="s">
        <v>13</v>
      </c>
      <c r="I2946" s="1" t="s">
        <v>31</v>
      </c>
      <c r="J2946" s="1" t="s">
        <v>18</v>
      </c>
      <c r="K2946" s="1">
        <v>0</v>
      </c>
      <c r="L2946" s="1" t="s">
        <v>23</v>
      </c>
      <c r="M2946" s="1" t="str">
        <f t="shared" si="45"/>
        <v>Potential Layering</v>
      </c>
      <c r="N2946" s="1" t="str">
        <f>_xlfn.XLOOKUP(H2946, risk_score!A:A, risk_score!B:B, 0)</f>
        <v>Low Risk</v>
      </c>
    </row>
    <row r="2947" spans="1:14">
      <c r="A2947" s="2">
        <v>0.51704861111111111</v>
      </c>
      <c r="B2947" s="3">
        <v>44841</v>
      </c>
      <c r="C2947" s="1">
        <v>7758268667</v>
      </c>
      <c r="D2947" s="1">
        <v>3325153054</v>
      </c>
      <c r="E2947" s="1">
        <v>9969.58</v>
      </c>
      <c r="F2947" s="1" t="s">
        <v>12</v>
      </c>
      <c r="G2947" s="1" t="s">
        <v>12</v>
      </c>
      <c r="H2947" s="1" t="s">
        <v>13</v>
      </c>
      <c r="I2947" s="1" t="s">
        <v>13</v>
      </c>
      <c r="J2947" s="1" t="s">
        <v>27</v>
      </c>
      <c r="K2947" s="1">
        <v>0</v>
      </c>
      <c r="L2947" s="1" t="s">
        <v>19</v>
      </c>
      <c r="M2947" s="1" t="str">
        <f t="shared" ref="M2947:M3010" si="46">IF(F2947=G2947, "Consistent", "Potential Layering")</f>
        <v>Consistent</v>
      </c>
      <c r="N2947" s="1" t="str">
        <f>_xlfn.XLOOKUP(H2947, risk_score!A:A, risk_score!B:B, 0)</f>
        <v>Low Risk</v>
      </c>
    </row>
    <row r="2948" spans="1:14">
      <c r="A2948" s="2">
        <v>0.51708333333333334</v>
      </c>
      <c r="B2948" s="3">
        <v>44841</v>
      </c>
      <c r="C2948" s="1">
        <v>6057444675</v>
      </c>
      <c r="D2948" s="1">
        <v>7945788794</v>
      </c>
      <c r="E2948" s="1">
        <v>5154.83</v>
      </c>
      <c r="F2948" s="1" t="s">
        <v>12</v>
      </c>
      <c r="G2948" s="1" t="s">
        <v>12</v>
      </c>
      <c r="H2948" s="1" t="s">
        <v>13</v>
      </c>
      <c r="I2948" s="1" t="s">
        <v>13</v>
      </c>
      <c r="J2948" s="1" t="s">
        <v>20</v>
      </c>
      <c r="K2948" s="1">
        <v>0</v>
      </c>
      <c r="L2948" s="1" t="s">
        <v>19</v>
      </c>
      <c r="M2948" s="1" t="str">
        <f t="shared" si="46"/>
        <v>Consistent</v>
      </c>
      <c r="N2948" s="1" t="str">
        <f>_xlfn.XLOOKUP(H2948, risk_score!A:A, risk_score!B:B, 0)</f>
        <v>Low Risk</v>
      </c>
    </row>
    <row r="2949" spans="1:14">
      <c r="A2949" s="2">
        <v>0.51708333333333334</v>
      </c>
      <c r="B2949" s="3">
        <v>44841</v>
      </c>
      <c r="C2949" s="1">
        <v>8050761567</v>
      </c>
      <c r="D2949" s="1">
        <v>8173101094</v>
      </c>
      <c r="E2949" s="1">
        <v>549.1</v>
      </c>
      <c r="F2949" s="1" t="s">
        <v>12</v>
      </c>
      <c r="G2949" s="1" t="s">
        <v>12</v>
      </c>
      <c r="H2949" s="1" t="s">
        <v>13</v>
      </c>
      <c r="I2949" s="1" t="s">
        <v>13</v>
      </c>
      <c r="J2949" s="1" t="s">
        <v>20</v>
      </c>
      <c r="K2949" s="1">
        <v>0</v>
      </c>
      <c r="L2949" s="1" t="s">
        <v>21</v>
      </c>
      <c r="M2949" s="1" t="str">
        <f t="shared" si="46"/>
        <v>Consistent</v>
      </c>
      <c r="N2949" s="1" t="str">
        <f>_xlfn.XLOOKUP(H2949, risk_score!A:A, risk_score!B:B, 0)</f>
        <v>Low Risk</v>
      </c>
    </row>
    <row r="2950" spans="1:14">
      <c r="A2950" s="2">
        <v>0.51714120370370376</v>
      </c>
      <c r="B2950" s="3">
        <v>44841</v>
      </c>
      <c r="C2950" s="1">
        <v>3353091451</v>
      </c>
      <c r="D2950" s="1">
        <v>7452882306</v>
      </c>
      <c r="E2950" s="1">
        <v>988.18</v>
      </c>
      <c r="F2950" s="1" t="s">
        <v>12</v>
      </c>
      <c r="G2950" s="1" t="s">
        <v>12</v>
      </c>
      <c r="H2950" s="1" t="s">
        <v>13</v>
      </c>
      <c r="I2950" s="1" t="s">
        <v>13</v>
      </c>
      <c r="J2950" s="1" t="s">
        <v>20</v>
      </c>
      <c r="K2950" s="1">
        <v>0</v>
      </c>
      <c r="L2950" s="1" t="s">
        <v>21</v>
      </c>
      <c r="M2950" s="1" t="str">
        <f t="shared" si="46"/>
        <v>Consistent</v>
      </c>
      <c r="N2950" s="1" t="str">
        <f>_xlfn.XLOOKUP(H2950, risk_score!A:A, risk_score!B:B, 0)</f>
        <v>Low Risk</v>
      </c>
    </row>
    <row r="2951" spans="1:14">
      <c r="A2951" s="2">
        <v>0.51716435185185183</v>
      </c>
      <c r="B2951" s="3">
        <v>44841</v>
      </c>
      <c r="C2951" s="1">
        <v>4129558787</v>
      </c>
      <c r="D2951" s="1">
        <v>3099700449</v>
      </c>
      <c r="E2951" s="1">
        <v>789.93</v>
      </c>
      <c r="F2951" s="1" t="s">
        <v>12</v>
      </c>
      <c r="G2951" s="1" t="s">
        <v>12</v>
      </c>
      <c r="H2951" s="1" t="s">
        <v>13</v>
      </c>
      <c r="I2951" s="1" t="s">
        <v>13</v>
      </c>
      <c r="J2951" s="1" t="s">
        <v>14</v>
      </c>
      <c r="K2951" s="1">
        <v>0</v>
      </c>
      <c r="L2951" s="1" t="s">
        <v>15</v>
      </c>
      <c r="M2951" s="1" t="str">
        <f t="shared" si="46"/>
        <v>Consistent</v>
      </c>
      <c r="N2951" s="1" t="str">
        <f>_xlfn.XLOOKUP(H2951, risk_score!A:A, risk_score!B:B, 0)</f>
        <v>Low Risk</v>
      </c>
    </row>
    <row r="2952" spans="1:14">
      <c r="A2952" s="2">
        <v>0.51719907407407406</v>
      </c>
      <c r="B2952" s="3">
        <v>44841</v>
      </c>
      <c r="C2952" s="1">
        <v>581778780</v>
      </c>
      <c r="D2952" s="1">
        <v>5466123934</v>
      </c>
      <c r="E2952" s="1">
        <v>5313.11</v>
      </c>
      <c r="F2952" s="1" t="s">
        <v>12</v>
      </c>
      <c r="G2952" s="1" t="s">
        <v>12</v>
      </c>
      <c r="H2952" s="1" t="s">
        <v>13</v>
      </c>
      <c r="I2952" s="1" t="s">
        <v>13</v>
      </c>
      <c r="J2952" s="1" t="s">
        <v>27</v>
      </c>
      <c r="K2952" s="1">
        <v>0</v>
      </c>
      <c r="L2952" s="1" t="s">
        <v>23</v>
      </c>
      <c r="M2952" s="1" t="str">
        <f t="shared" si="46"/>
        <v>Consistent</v>
      </c>
      <c r="N2952" s="1" t="str">
        <f>_xlfn.XLOOKUP(H2952, risk_score!A:A, risk_score!B:B, 0)</f>
        <v>Low Risk</v>
      </c>
    </row>
    <row r="2953" spans="1:14">
      <c r="A2953" s="2">
        <v>0.51722222222222225</v>
      </c>
      <c r="B2953" s="3">
        <v>44841</v>
      </c>
      <c r="C2953" s="1">
        <v>6314111367</v>
      </c>
      <c r="D2953" s="1">
        <v>1320927231</v>
      </c>
      <c r="E2953" s="1">
        <v>37903.24</v>
      </c>
      <c r="F2953" s="1" t="s">
        <v>12</v>
      </c>
      <c r="G2953" s="1" t="s">
        <v>12</v>
      </c>
      <c r="H2953" s="1" t="s">
        <v>13</v>
      </c>
      <c r="I2953" s="1" t="s">
        <v>13</v>
      </c>
      <c r="J2953" s="1" t="s">
        <v>25</v>
      </c>
      <c r="K2953" s="1">
        <v>0</v>
      </c>
      <c r="L2953" s="1" t="s">
        <v>23</v>
      </c>
      <c r="M2953" s="1" t="str">
        <f t="shared" si="46"/>
        <v>Consistent</v>
      </c>
      <c r="N2953" s="1" t="str">
        <f>_xlfn.XLOOKUP(H2953, risk_score!A:A, risk_score!B:B, 0)</f>
        <v>Low Risk</v>
      </c>
    </row>
    <row r="2954" spans="1:14">
      <c r="A2954" s="2">
        <v>0.51723379629629629</v>
      </c>
      <c r="B2954" s="3">
        <v>44841</v>
      </c>
      <c r="C2954" s="1">
        <v>2954683680</v>
      </c>
      <c r="D2954" s="1">
        <v>4293047671</v>
      </c>
      <c r="E2954" s="1">
        <v>916.3</v>
      </c>
      <c r="F2954" s="1" t="s">
        <v>12</v>
      </c>
      <c r="G2954" s="1" t="s">
        <v>12</v>
      </c>
      <c r="H2954" s="1" t="s">
        <v>13</v>
      </c>
      <c r="I2954" s="1" t="s">
        <v>13</v>
      </c>
      <c r="J2954" s="1" t="s">
        <v>20</v>
      </c>
      <c r="K2954" s="1">
        <v>0</v>
      </c>
      <c r="L2954" s="1" t="s">
        <v>21</v>
      </c>
      <c r="M2954" s="1" t="str">
        <f t="shared" si="46"/>
        <v>Consistent</v>
      </c>
      <c r="N2954" s="1" t="str">
        <f>_xlfn.XLOOKUP(H2954, risk_score!A:A, risk_score!B:B, 0)</f>
        <v>Low Risk</v>
      </c>
    </row>
    <row r="2955" spans="1:14">
      <c r="A2955" s="2">
        <v>0.51724537037037033</v>
      </c>
      <c r="B2955" s="3">
        <v>44841</v>
      </c>
      <c r="C2955" s="1">
        <v>9734083970</v>
      </c>
      <c r="D2955" s="1">
        <v>2792106785</v>
      </c>
      <c r="E2955" s="1">
        <v>7834.32</v>
      </c>
      <c r="F2955" s="1" t="s">
        <v>12</v>
      </c>
      <c r="G2955" s="1" t="s">
        <v>12</v>
      </c>
      <c r="H2955" s="1" t="s">
        <v>13</v>
      </c>
      <c r="I2955" s="1" t="s">
        <v>13</v>
      </c>
      <c r="J2955" s="1" t="s">
        <v>22</v>
      </c>
      <c r="K2955" s="1">
        <v>0</v>
      </c>
      <c r="L2955" s="1" t="s">
        <v>19</v>
      </c>
      <c r="M2955" s="1" t="str">
        <f t="shared" si="46"/>
        <v>Consistent</v>
      </c>
      <c r="N2955" s="1" t="str">
        <f>_xlfn.XLOOKUP(H2955, risk_score!A:A, risk_score!B:B, 0)</f>
        <v>Low Risk</v>
      </c>
    </row>
    <row r="2956" spans="1:14">
      <c r="A2956" s="2">
        <v>0.51725694444444448</v>
      </c>
      <c r="B2956" s="3">
        <v>44841</v>
      </c>
      <c r="C2956" s="1">
        <v>9398035791</v>
      </c>
      <c r="D2956" s="1">
        <v>7080357663</v>
      </c>
      <c r="E2956" s="1">
        <v>9484.56</v>
      </c>
      <c r="F2956" s="1" t="s">
        <v>12</v>
      </c>
      <c r="G2956" s="1" t="s">
        <v>12</v>
      </c>
      <c r="H2956" s="1" t="s">
        <v>13</v>
      </c>
      <c r="I2956" s="1" t="s">
        <v>13</v>
      </c>
      <c r="J2956" s="1" t="s">
        <v>22</v>
      </c>
      <c r="K2956" s="1">
        <v>0</v>
      </c>
      <c r="L2956" s="1" t="s">
        <v>23</v>
      </c>
      <c r="M2956" s="1" t="str">
        <f t="shared" si="46"/>
        <v>Consistent</v>
      </c>
      <c r="N2956" s="1" t="str">
        <f>_xlfn.XLOOKUP(H2956, risk_score!A:A, risk_score!B:B, 0)</f>
        <v>Low Risk</v>
      </c>
    </row>
    <row r="2957" spans="1:14">
      <c r="A2957" s="2">
        <v>0.51728009259259256</v>
      </c>
      <c r="B2957" s="3">
        <v>44841</v>
      </c>
      <c r="C2957" s="1">
        <v>2199795388</v>
      </c>
      <c r="D2957" s="1">
        <v>1377603863</v>
      </c>
      <c r="E2957" s="1">
        <v>9573.39</v>
      </c>
      <c r="F2957" s="1" t="s">
        <v>12</v>
      </c>
      <c r="G2957" s="1" t="s">
        <v>12</v>
      </c>
      <c r="H2957" s="1" t="s">
        <v>13</v>
      </c>
      <c r="I2957" s="1" t="s">
        <v>13</v>
      </c>
      <c r="J2957" s="1" t="s">
        <v>20</v>
      </c>
      <c r="K2957" s="1">
        <v>0</v>
      </c>
      <c r="L2957" s="1" t="s">
        <v>23</v>
      </c>
      <c r="M2957" s="1" t="str">
        <f t="shared" si="46"/>
        <v>Consistent</v>
      </c>
      <c r="N2957" s="1" t="str">
        <f>_xlfn.XLOOKUP(H2957, risk_score!A:A, risk_score!B:B, 0)</f>
        <v>Low Risk</v>
      </c>
    </row>
    <row r="2958" spans="1:14">
      <c r="A2958" s="2">
        <v>0.51728009259259256</v>
      </c>
      <c r="B2958" s="3">
        <v>44841</v>
      </c>
      <c r="C2958" s="1">
        <v>8393076103</v>
      </c>
      <c r="D2958" s="1">
        <v>1316458123</v>
      </c>
      <c r="E2958" s="1">
        <v>8112.34</v>
      </c>
      <c r="F2958" s="1" t="s">
        <v>12</v>
      </c>
      <c r="G2958" s="1" t="s">
        <v>34</v>
      </c>
      <c r="H2958" s="1" t="s">
        <v>13</v>
      </c>
      <c r="I2958" s="1" t="s">
        <v>35</v>
      </c>
      <c r="J2958" s="1" t="s">
        <v>18</v>
      </c>
      <c r="K2958" s="1">
        <v>0</v>
      </c>
      <c r="L2958" s="1" t="s">
        <v>23</v>
      </c>
      <c r="M2958" s="1" t="str">
        <f t="shared" si="46"/>
        <v>Potential Layering</v>
      </c>
      <c r="N2958" s="1" t="str">
        <f>_xlfn.XLOOKUP(H2958, risk_score!A:A, risk_score!B:B, 0)</f>
        <v>Low Risk</v>
      </c>
    </row>
    <row r="2959" spans="1:14">
      <c r="A2959" s="2">
        <v>0.51731481481481478</v>
      </c>
      <c r="B2959" s="3">
        <v>44841</v>
      </c>
      <c r="C2959" s="1">
        <v>7258907582</v>
      </c>
      <c r="D2959" s="1">
        <v>4855546080</v>
      </c>
      <c r="E2959" s="1">
        <v>311.83</v>
      </c>
      <c r="F2959" s="1" t="s">
        <v>12</v>
      </c>
      <c r="G2959" s="1" t="s">
        <v>12</v>
      </c>
      <c r="H2959" s="1" t="s">
        <v>13</v>
      </c>
      <c r="I2959" s="1" t="s">
        <v>13</v>
      </c>
      <c r="J2959" s="1" t="s">
        <v>20</v>
      </c>
      <c r="K2959" s="1">
        <v>0</v>
      </c>
      <c r="L2959" s="1" t="s">
        <v>24</v>
      </c>
      <c r="M2959" s="1" t="str">
        <f t="shared" si="46"/>
        <v>Consistent</v>
      </c>
      <c r="N2959" s="1" t="str">
        <f>_xlfn.XLOOKUP(H2959, risk_score!A:A, risk_score!B:B, 0)</f>
        <v>Low Risk</v>
      </c>
    </row>
    <row r="2960" spans="1:14">
      <c r="A2960" s="2">
        <v>0.51731481481481478</v>
      </c>
      <c r="B2960" s="3">
        <v>44841</v>
      </c>
      <c r="C2960" s="1">
        <v>855729452</v>
      </c>
      <c r="D2960" s="1">
        <v>842581915</v>
      </c>
      <c r="E2960" s="1">
        <v>17112.810000000001</v>
      </c>
      <c r="F2960" s="1" t="s">
        <v>12</v>
      </c>
      <c r="G2960" s="1" t="s">
        <v>12</v>
      </c>
      <c r="H2960" s="1" t="s">
        <v>13</v>
      </c>
      <c r="I2960" s="1" t="s">
        <v>13</v>
      </c>
      <c r="J2960" s="1" t="s">
        <v>25</v>
      </c>
      <c r="K2960" s="1">
        <v>0</v>
      </c>
      <c r="L2960" s="1" t="s">
        <v>24</v>
      </c>
      <c r="M2960" s="1" t="str">
        <f t="shared" si="46"/>
        <v>Consistent</v>
      </c>
      <c r="N2960" s="1" t="str">
        <f>_xlfn.XLOOKUP(H2960, risk_score!A:A, risk_score!B:B, 0)</f>
        <v>Low Risk</v>
      </c>
    </row>
    <row r="2961" spans="1:14">
      <c r="A2961" s="2">
        <v>0.51732638888888893</v>
      </c>
      <c r="B2961" s="3">
        <v>44841</v>
      </c>
      <c r="C2961" s="1">
        <v>1137771716</v>
      </c>
      <c r="D2961" s="1">
        <v>7118531732</v>
      </c>
      <c r="E2961" s="1">
        <v>18.920000000000002</v>
      </c>
      <c r="F2961" s="1" t="s">
        <v>12</v>
      </c>
      <c r="G2961" s="1" t="s">
        <v>12</v>
      </c>
      <c r="H2961" s="1" t="s">
        <v>13</v>
      </c>
      <c r="I2961" s="1" t="s">
        <v>13</v>
      </c>
      <c r="J2961" s="1" t="s">
        <v>20</v>
      </c>
      <c r="K2961" s="1">
        <v>0</v>
      </c>
      <c r="L2961" s="1" t="s">
        <v>21</v>
      </c>
      <c r="M2961" s="1" t="str">
        <f t="shared" si="46"/>
        <v>Consistent</v>
      </c>
      <c r="N2961" s="1" t="str">
        <f>_xlfn.XLOOKUP(H2961, risk_score!A:A, risk_score!B:B, 0)</f>
        <v>Low Risk</v>
      </c>
    </row>
    <row r="2962" spans="1:14">
      <c r="A2962" s="2">
        <v>0.51733796296296297</v>
      </c>
      <c r="B2962" s="3">
        <v>44841</v>
      </c>
      <c r="C2962" s="1">
        <v>3168051873</v>
      </c>
      <c r="D2962" s="1">
        <v>7221383296</v>
      </c>
      <c r="E2962" s="1">
        <v>10113.219999999999</v>
      </c>
      <c r="F2962" s="1" t="s">
        <v>12</v>
      </c>
      <c r="G2962" s="1" t="s">
        <v>12</v>
      </c>
      <c r="H2962" s="1" t="s">
        <v>13</v>
      </c>
      <c r="I2962" s="1" t="s">
        <v>13</v>
      </c>
      <c r="J2962" s="1" t="s">
        <v>20</v>
      </c>
      <c r="K2962" s="1">
        <v>0</v>
      </c>
      <c r="L2962" s="1" t="s">
        <v>19</v>
      </c>
      <c r="M2962" s="1" t="str">
        <f t="shared" si="46"/>
        <v>Consistent</v>
      </c>
      <c r="N2962" s="1" t="str">
        <f>_xlfn.XLOOKUP(H2962, risk_score!A:A, risk_score!B:B, 0)</f>
        <v>Low Risk</v>
      </c>
    </row>
    <row r="2963" spans="1:14">
      <c r="A2963" s="2">
        <v>0.51734953703703701</v>
      </c>
      <c r="B2963" s="3">
        <v>44841</v>
      </c>
      <c r="C2963" s="1">
        <v>3243896688</v>
      </c>
      <c r="D2963" s="1">
        <v>642091252</v>
      </c>
      <c r="E2963" s="1">
        <v>18096.78</v>
      </c>
      <c r="F2963" s="1" t="s">
        <v>12</v>
      </c>
      <c r="G2963" s="1" t="s">
        <v>12</v>
      </c>
      <c r="H2963" s="1" t="s">
        <v>13</v>
      </c>
      <c r="I2963" s="1" t="s">
        <v>13</v>
      </c>
      <c r="J2963" s="1" t="s">
        <v>20</v>
      </c>
      <c r="K2963" s="1">
        <v>0</v>
      </c>
      <c r="L2963" s="1" t="s">
        <v>21</v>
      </c>
      <c r="M2963" s="1" t="str">
        <f t="shared" si="46"/>
        <v>Consistent</v>
      </c>
      <c r="N2963" s="1" t="str">
        <f>_xlfn.XLOOKUP(H2963, risk_score!A:A, risk_score!B:B, 0)</f>
        <v>Low Risk</v>
      </c>
    </row>
    <row r="2964" spans="1:14">
      <c r="A2964" s="2">
        <v>0.51744212962962965</v>
      </c>
      <c r="B2964" s="3">
        <v>44841</v>
      </c>
      <c r="C2964" s="1">
        <v>7758268667</v>
      </c>
      <c r="D2964" s="1">
        <v>3795566341</v>
      </c>
      <c r="E2964" s="1">
        <v>6233.46</v>
      </c>
      <c r="F2964" s="1" t="s">
        <v>12</v>
      </c>
      <c r="G2964" s="1" t="s">
        <v>12</v>
      </c>
      <c r="H2964" s="1" t="s">
        <v>13</v>
      </c>
      <c r="I2964" s="1" t="s">
        <v>13</v>
      </c>
      <c r="J2964" s="1" t="s">
        <v>22</v>
      </c>
      <c r="K2964" s="1">
        <v>0</v>
      </c>
      <c r="L2964" s="1" t="s">
        <v>19</v>
      </c>
      <c r="M2964" s="1" t="str">
        <f t="shared" si="46"/>
        <v>Consistent</v>
      </c>
      <c r="N2964" s="1" t="str">
        <f>_xlfn.XLOOKUP(H2964, risk_score!A:A, risk_score!B:B, 0)</f>
        <v>Low Risk</v>
      </c>
    </row>
    <row r="2965" spans="1:14">
      <c r="A2965" s="2">
        <v>0.51744212962962965</v>
      </c>
      <c r="B2965" s="3">
        <v>44841</v>
      </c>
      <c r="C2965" s="1">
        <v>6510565170</v>
      </c>
      <c r="D2965" s="1">
        <v>6469512649</v>
      </c>
      <c r="E2965" s="1">
        <v>1692.46</v>
      </c>
      <c r="F2965" s="1" t="s">
        <v>12</v>
      </c>
      <c r="G2965" s="1" t="s">
        <v>12</v>
      </c>
      <c r="H2965" s="1" t="s">
        <v>13</v>
      </c>
      <c r="I2965" s="1" t="s">
        <v>13</v>
      </c>
      <c r="J2965" s="1" t="s">
        <v>27</v>
      </c>
      <c r="K2965" s="1">
        <v>0</v>
      </c>
      <c r="L2965" s="1" t="s">
        <v>24</v>
      </c>
      <c r="M2965" s="1" t="str">
        <f t="shared" si="46"/>
        <v>Consistent</v>
      </c>
      <c r="N2965" s="1" t="str">
        <f>_xlfn.XLOOKUP(H2965, risk_score!A:A, risk_score!B:B, 0)</f>
        <v>Low Risk</v>
      </c>
    </row>
    <row r="2966" spans="1:14">
      <c r="A2966" s="2">
        <v>0.51745370370370369</v>
      </c>
      <c r="B2966" s="3">
        <v>44841</v>
      </c>
      <c r="C2966" s="1">
        <v>5982914936</v>
      </c>
      <c r="D2966" s="1">
        <v>9386007080</v>
      </c>
      <c r="E2966" s="1">
        <v>9179.07</v>
      </c>
      <c r="F2966" s="1" t="s">
        <v>12</v>
      </c>
      <c r="G2966" s="1" t="s">
        <v>12</v>
      </c>
      <c r="H2966" s="1" t="s">
        <v>13</v>
      </c>
      <c r="I2966" s="1" t="s">
        <v>13</v>
      </c>
      <c r="J2966" s="1" t="s">
        <v>25</v>
      </c>
      <c r="K2966" s="1">
        <v>0</v>
      </c>
      <c r="L2966" s="1" t="s">
        <v>19</v>
      </c>
      <c r="M2966" s="1" t="str">
        <f t="shared" si="46"/>
        <v>Consistent</v>
      </c>
      <c r="N2966" s="1" t="str">
        <f>_xlfn.XLOOKUP(H2966, risk_score!A:A, risk_score!B:B, 0)</f>
        <v>Low Risk</v>
      </c>
    </row>
    <row r="2967" spans="1:14">
      <c r="A2967" s="2">
        <v>0.51746527777777773</v>
      </c>
      <c r="B2967" s="3">
        <v>44841</v>
      </c>
      <c r="C2967" s="1">
        <v>8836656062</v>
      </c>
      <c r="D2967" s="1">
        <v>7754927334</v>
      </c>
      <c r="E2967" s="1">
        <v>4198.49</v>
      </c>
      <c r="F2967" s="1" t="s">
        <v>12</v>
      </c>
      <c r="G2967" s="1" t="s">
        <v>12</v>
      </c>
      <c r="H2967" s="1" t="s">
        <v>13</v>
      </c>
      <c r="I2967" s="1" t="s">
        <v>13</v>
      </c>
      <c r="J2967" s="1" t="s">
        <v>20</v>
      </c>
      <c r="K2967" s="1">
        <v>0</v>
      </c>
      <c r="L2967" s="1" t="s">
        <v>24</v>
      </c>
      <c r="M2967" s="1" t="str">
        <f t="shared" si="46"/>
        <v>Consistent</v>
      </c>
      <c r="N2967" s="1" t="str">
        <f>_xlfn.XLOOKUP(H2967, risk_score!A:A, risk_score!B:B, 0)</f>
        <v>Low Risk</v>
      </c>
    </row>
    <row r="2968" spans="1:14">
      <c r="A2968" s="2">
        <v>0.51747685185185188</v>
      </c>
      <c r="B2968" s="3">
        <v>44841</v>
      </c>
      <c r="C2968" s="1">
        <v>2365007895</v>
      </c>
      <c r="D2968" s="1">
        <v>5391949334</v>
      </c>
      <c r="E2968" s="1">
        <v>9155.17</v>
      </c>
      <c r="F2968" s="1" t="s">
        <v>12</v>
      </c>
      <c r="G2968" s="1" t="s">
        <v>12</v>
      </c>
      <c r="H2968" s="1" t="s">
        <v>13</v>
      </c>
      <c r="I2968" s="1" t="s">
        <v>13</v>
      </c>
      <c r="J2968" s="1" t="s">
        <v>22</v>
      </c>
      <c r="K2968" s="1">
        <v>0</v>
      </c>
      <c r="L2968" s="1" t="s">
        <v>19</v>
      </c>
      <c r="M2968" s="1" t="str">
        <f t="shared" si="46"/>
        <v>Consistent</v>
      </c>
      <c r="N2968" s="1" t="str">
        <f>_xlfn.XLOOKUP(H2968, risk_score!A:A, risk_score!B:B, 0)</f>
        <v>Low Risk</v>
      </c>
    </row>
    <row r="2969" spans="1:14">
      <c r="A2969" s="2">
        <v>0.51751157407407411</v>
      </c>
      <c r="B2969" s="3">
        <v>44841</v>
      </c>
      <c r="C2969" s="1">
        <v>3098347292</v>
      </c>
      <c r="D2969" s="1">
        <v>2040572795</v>
      </c>
      <c r="E2969" s="1">
        <v>2264.1</v>
      </c>
      <c r="F2969" s="1" t="s">
        <v>12</v>
      </c>
      <c r="G2969" s="1" t="s">
        <v>12</v>
      </c>
      <c r="H2969" s="1" t="s">
        <v>13</v>
      </c>
      <c r="I2969" s="1" t="s">
        <v>13</v>
      </c>
      <c r="J2969" s="1" t="s">
        <v>25</v>
      </c>
      <c r="K2969" s="1">
        <v>0</v>
      </c>
      <c r="L2969" s="1" t="s">
        <v>21</v>
      </c>
      <c r="M2969" s="1" t="str">
        <f t="shared" si="46"/>
        <v>Consistent</v>
      </c>
      <c r="N2969" s="1" t="str">
        <f>_xlfn.XLOOKUP(H2969, risk_score!A:A, risk_score!B:B, 0)</f>
        <v>Low Risk</v>
      </c>
    </row>
    <row r="2970" spans="1:14">
      <c r="A2970" s="2">
        <v>0.51754629629629634</v>
      </c>
      <c r="B2970" s="3">
        <v>44841</v>
      </c>
      <c r="C2970" s="1">
        <v>7125938393</v>
      </c>
      <c r="D2970" s="1">
        <v>5622498928</v>
      </c>
      <c r="E2970" s="1">
        <v>346.34</v>
      </c>
      <c r="F2970" s="1" t="s">
        <v>12</v>
      </c>
      <c r="G2970" s="1" t="s">
        <v>42</v>
      </c>
      <c r="H2970" s="1" t="s">
        <v>13</v>
      </c>
      <c r="I2970" s="1" t="s">
        <v>13</v>
      </c>
      <c r="J2970" s="1" t="s">
        <v>27</v>
      </c>
      <c r="K2970" s="1">
        <v>0</v>
      </c>
      <c r="L2970" s="1" t="s">
        <v>21</v>
      </c>
      <c r="M2970" s="1" t="str">
        <f t="shared" si="46"/>
        <v>Potential Layering</v>
      </c>
      <c r="N2970" s="1" t="str">
        <f>_xlfn.XLOOKUP(H2970, risk_score!A:A, risk_score!B:B, 0)</f>
        <v>Low Risk</v>
      </c>
    </row>
    <row r="2971" spans="1:14">
      <c r="A2971" s="2">
        <v>0.51754629629629634</v>
      </c>
      <c r="B2971" s="3">
        <v>44841</v>
      </c>
      <c r="C2971" s="1">
        <v>6896368083</v>
      </c>
      <c r="D2971" s="1">
        <v>2632218163</v>
      </c>
      <c r="E2971" s="1">
        <v>6271.53</v>
      </c>
      <c r="F2971" s="1" t="s">
        <v>12</v>
      </c>
      <c r="G2971" s="1" t="s">
        <v>12</v>
      </c>
      <c r="H2971" s="1" t="s">
        <v>13</v>
      </c>
      <c r="I2971" s="1" t="s">
        <v>13</v>
      </c>
      <c r="J2971" s="1" t="s">
        <v>27</v>
      </c>
      <c r="K2971" s="1">
        <v>0</v>
      </c>
      <c r="L2971" s="1" t="s">
        <v>21</v>
      </c>
      <c r="M2971" s="1" t="str">
        <f t="shared" si="46"/>
        <v>Consistent</v>
      </c>
      <c r="N2971" s="1" t="str">
        <f>_xlfn.XLOOKUP(H2971, risk_score!A:A, risk_score!B:B, 0)</f>
        <v>Low Risk</v>
      </c>
    </row>
    <row r="2972" spans="1:14">
      <c r="A2972" s="2">
        <v>0.51763888888888887</v>
      </c>
      <c r="B2972" s="3">
        <v>44841</v>
      </c>
      <c r="C2972" s="1">
        <v>7582407869</v>
      </c>
      <c r="D2972" s="1">
        <v>9957514046</v>
      </c>
      <c r="E2972" s="1">
        <v>516.41999999999996</v>
      </c>
      <c r="F2972" s="1" t="s">
        <v>12</v>
      </c>
      <c r="G2972" s="1" t="s">
        <v>12</v>
      </c>
      <c r="H2972" s="1" t="s">
        <v>13</v>
      </c>
      <c r="I2972" s="1" t="s">
        <v>13</v>
      </c>
      <c r="J2972" s="1" t="s">
        <v>25</v>
      </c>
      <c r="K2972" s="1">
        <v>0</v>
      </c>
      <c r="L2972" s="1" t="s">
        <v>21</v>
      </c>
      <c r="M2972" s="1" t="str">
        <f t="shared" si="46"/>
        <v>Consistent</v>
      </c>
      <c r="N2972" s="1" t="str">
        <f>_xlfn.XLOOKUP(H2972, risk_score!A:A, risk_score!B:B, 0)</f>
        <v>Low Risk</v>
      </c>
    </row>
    <row r="2973" spans="1:14">
      <c r="A2973" s="2">
        <v>0.51765046296296291</v>
      </c>
      <c r="B2973" s="3">
        <v>44841</v>
      </c>
      <c r="C2973" s="1">
        <v>5497410557</v>
      </c>
      <c r="D2973" s="1">
        <v>2836869610</v>
      </c>
      <c r="E2973" s="1">
        <v>9968.0400000000009</v>
      </c>
      <c r="F2973" s="1" t="s">
        <v>12</v>
      </c>
      <c r="G2973" s="1" t="s">
        <v>12</v>
      </c>
      <c r="H2973" s="1" t="s">
        <v>13</v>
      </c>
      <c r="I2973" s="1" t="s">
        <v>13</v>
      </c>
      <c r="J2973" s="1" t="s">
        <v>22</v>
      </c>
      <c r="K2973" s="1">
        <v>0</v>
      </c>
      <c r="L2973" s="1" t="s">
        <v>24</v>
      </c>
      <c r="M2973" s="1" t="str">
        <f t="shared" si="46"/>
        <v>Consistent</v>
      </c>
      <c r="N2973" s="1" t="str">
        <f>_xlfn.XLOOKUP(H2973, risk_score!A:A, risk_score!B:B, 0)</f>
        <v>Low Risk</v>
      </c>
    </row>
    <row r="2974" spans="1:14">
      <c r="A2974" s="2">
        <v>0.51768518518518514</v>
      </c>
      <c r="B2974" s="3">
        <v>44841</v>
      </c>
      <c r="C2974" s="1">
        <v>8678080711</v>
      </c>
      <c r="D2974" s="1">
        <v>3695545812</v>
      </c>
      <c r="E2974" s="1">
        <v>8529.07</v>
      </c>
      <c r="F2974" s="1" t="s">
        <v>12</v>
      </c>
      <c r="G2974" s="1" t="s">
        <v>12</v>
      </c>
      <c r="H2974" s="1" t="s">
        <v>13</v>
      </c>
      <c r="I2974" s="1" t="s">
        <v>13</v>
      </c>
      <c r="J2974" s="1" t="s">
        <v>27</v>
      </c>
      <c r="K2974" s="1">
        <v>0</v>
      </c>
      <c r="L2974" s="1" t="s">
        <v>23</v>
      </c>
      <c r="M2974" s="1" t="str">
        <f t="shared" si="46"/>
        <v>Consistent</v>
      </c>
      <c r="N2974" s="1" t="str">
        <f>_xlfn.XLOOKUP(H2974, risk_score!A:A, risk_score!B:B, 0)</f>
        <v>Low Risk</v>
      </c>
    </row>
    <row r="2975" spans="1:14">
      <c r="A2975" s="2">
        <v>0.51771990740740736</v>
      </c>
      <c r="B2975" s="3">
        <v>44841</v>
      </c>
      <c r="C2975" s="1">
        <v>5187359383</v>
      </c>
      <c r="D2975" s="1">
        <v>6072029953</v>
      </c>
      <c r="E2975" s="1">
        <v>16632.849999999999</v>
      </c>
      <c r="F2975" s="1" t="s">
        <v>12</v>
      </c>
      <c r="G2975" s="1" t="s">
        <v>12</v>
      </c>
      <c r="H2975" s="1" t="s">
        <v>13</v>
      </c>
      <c r="I2975" s="1" t="s">
        <v>13</v>
      </c>
      <c r="J2975" s="1" t="s">
        <v>22</v>
      </c>
      <c r="K2975" s="1">
        <v>0</v>
      </c>
      <c r="L2975" s="1" t="s">
        <v>21</v>
      </c>
      <c r="M2975" s="1" t="str">
        <f t="shared" si="46"/>
        <v>Consistent</v>
      </c>
      <c r="N2975" s="1" t="str">
        <f>_xlfn.XLOOKUP(H2975, risk_score!A:A, risk_score!B:B, 0)</f>
        <v>Low Risk</v>
      </c>
    </row>
    <row r="2976" spans="1:14">
      <c r="A2976" s="2">
        <v>0.51773148148148151</v>
      </c>
      <c r="B2976" s="3">
        <v>44841</v>
      </c>
      <c r="C2976" s="1">
        <v>2849906948</v>
      </c>
      <c r="D2976" s="1">
        <v>9651948796</v>
      </c>
      <c r="E2976" s="1">
        <v>3002.2</v>
      </c>
      <c r="F2976" s="1" t="s">
        <v>12</v>
      </c>
      <c r="G2976" s="1" t="s">
        <v>12</v>
      </c>
      <c r="H2976" s="1" t="s">
        <v>13</v>
      </c>
      <c r="I2976" s="1" t="s">
        <v>13</v>
      </c>
      <c r="J2976" s="1" t="s">
        <v>27</v>
      </c>
      <c r="K2976" s="1">
        <v>0</v>
      </c>
      <c r="L2976" s="1" t="s">
        <v>21</v>
      </c>
      <c r="M2976" s="1" t="str">
        <f t="shared" si="46"/>
        <v>Consistent</v>
      </c>
      <c r="N2976" s="1" t="str">
        <f>_xlfn.XLOOKUP(H2976, risk_score!A:A, risk_score!B:B, 0)</f>
        <v>Low Risk</v>
      </c>
    </row>
    <row r="2977" spans="1:14">
      <c r="A2977" s="2">
        <v>0.51774305555555555</v>
      </c>
      <c r="B2977" s="3">
        <v>44841</v>
      </c>
      <c r="C2977" s="1">
        <v>8413340671</v>
      </c>
      <c r="D2977" s="1">
        <v>2138505015</v>
      </c>
      <c r="E2977" s="1">
        <v>6721.24</v>
      </c>
      <c r="F2977" s="1" t="s">
        <v>12</v>
      </c>
      <c r="G2977" s="1" t="s">
        <v>16</v>
      </c>
      <c r="H2977" s="1" t="s">
        <v>13</v>
      </c>
      <c r="I2977" s="1" t="s">
        <v>17</v>
      </c>
      <c r="J2977" s="1" t="s">
        <v>18</v>
      </c>
      <c r="K2977" s="1">
        <v>0</v>
      </c>
      <c r="L2977" s="1" t="s">
        <v>23</v>
      </c>
      <c r="M2977" s="1" t="str">
        <f t="shared" si="46"/>
        <v>Potential Layering</v>
      </c>
      <c r="N2977" s="1" t="str">
        <f>_xlfn.XLOOKUP(H2977, risk_score!A:A, risk_score!B:B, 0)</f>
        <v>Low Risk</v>
      </c>
    </row>
    <row r="2978" spans="1:14">
      <c r="A2978" s="2">
        <v>0.51782407407407405</v>
      </c>
      <c r="B2978" s="3">
        <v>44841</v>
      </c>
      <c r="C2978" s="1">
        <v>69740648</v>
      </c>
      <c r="D2978" s="1">
        <v>4045077735</v>
      </c>
      <c r="E2978" s="1">
        <v>816.84</v>
      </c>
      <c r="F2978" s="1" t="s">
        <v>12</v>
      </c>
      <c r="G2978" s="1" t="s">
        <v>12</v>
      </c>
      <c r="H2978" s="1" t="s">
        <v>13</v>
      </c>
      <c r="I2978" s="1" t="s">
        <v>13</v>
      </c>
      <c r="J2978" s="1" t="s">
        <v>22</v>
      </c>
      <c r="K2978" s="1">
        <v>0</v>
      </c>
      <c r="L2978" s="1" t="s">
        <v>21</v>
      </c>
      <c r="M2978" s="1" t="str">
        <f t="shared" si="46"/>
        <v>Consistent</v>
      </c>
      <c r="N2978" s="1" t="str">
        <f>_xlfn.XLOOKUP(H2978, risk_score!A:A, risk_score!B:B, 0)</f>
        <v>Low Risk</v>
      </c>
    </row>
    <row r="2979" spans="1:14">
      <c r="A2979" s="2">
        <v>0.51782407407407405</v>
      </c>
      <c r="B2979" s="3">
        <v>44841</v>
      </c>
      <c r="C2979" s="1">
        <v>846415821</v>
      </c>
      <c r="D2979" s="1">
        <v>5056736796</v>
      </c>
      <c r="E2979" s="1">
        <v>12159.31</v>
      </c>
      <c r="F2979" s="1" t="s">
        <v>12</v>
      </c>
      <c r="G2979" s="1" t="s">
        <v>12</v>
      </c>
      <c r="H2979" s="1" t="s">
        <v>13</v>
      </c>
      <c r="I2979" s="1" t="s">
        <v>13</v>
      </c>
      <c r="J2979" s="1" t="s">
        <v>22</v>
      </c>
      <c r="K2979" s="1">
        <v>0</v>
      </c>
      <c r="L2979" s="1" t="s">
        <v>21</v>
      </c>
      <c r="M2979" s="1" t="str">
        <f t="shared" si="46"/>
        <v>Consistent</v>
      </c>
      <c r="N2979" s="1" t="str">
        <f>_xlfn.XLOOKUP(H2979, risk_score!A:A, risk_score!B:B, 0)</f>
        <v>Low Risk</v>
      </c>
    </row>
    <row r="2980" spans="1:14">
      <c r="A2980" s="2">
        <v>0.51787037037037043</v>
      </c>
      <c r="B2980" s="3">
        <v>44841</v>
      </c>
      <c r="C2980" s="1">
        <v>3998168536</v>
      </c>
      <c r="D2980" s="1">
        <v>4336977506</v>
      </c>
      <c r="E2980" s="1">
        <v>5922.38</v>
      </c>
      <c r="F2980" s="1" t="s">
        <v>12</v>
      </c>
      <c r="G2980" s="1" t="s">
        <v>12</v>
      </c>
      <c r="H2980" s="1" t="s">
        <v>13</v>
      </c>
      <c r="I2980" s="1" t="s">
        <v>13</v>
      </c>
      <c r="J2980" s="1" t="s">
        <v>27</v>
      </c>
      <c r="K2980" s="1">
        <v>0</v>
      </c>
      <c r="L2980" s="1" t="s">
        <v>23</v>
      </c>
      <c r="M2980" s="1" t="str">
        <f t="shared" si="46"/>
        <v>Consistent</v>
      </c>
      <c r="N2980" s="1" t="str">
        <f>_xlfn.XLOOKUP(H2980, risk_score!A:A, risk_score!B:B, 0)</f>
        <v>Low Risk</v>
      </c>
    </row>
    <row r="2981" spans="1:14">
      <c r="A2981" s="2">
        <v>0.51792824074074073</v>
      </c>
      <c r="B2981" s="3">
        <v>44841</v>
      </c>
      <c r="C2981" s="1">
        <v>762520663</v>
      </c>
      <c r="D2981" s="1">
        <v>7440479684</v>
      </c>
      <c r="E2981" s="1">
        <v>2943.83</v>
      </c>
      <c r="F2981" s="1" t="s">
        <v>12</v>
      </c>
      <c r="G2981" s="1" t="s">
        <v>12</v>
      </c>
      <c r="H2981" s="1" t="s">
        <v>13</v>
      </c>
      <c r="I2981" s="1" t="s">
        <v>13</v>
      </c>
      <c r="J2981" s="1" t="s">
        <v>22</v>
      </c>
      <c r="K2981" s="1">
        <v>0</v>
      </c>
      <c r="L2981" s="1" t="s">
        <v>21</v>
      </c>
      <c r="M2981" s="1" t="str">
        <f t="shared" si="46"/>
        <v>Consistent</v>
      </c>
      <c r="N2981" s="1" t="str">
        <f>_xlfn.XLOOKUP(H2981, risk_score!A:A, risk_score!B:B, 0)</f>
        <v>Low Risk</v>
      </c>
    </row>
    <row r="2982" spans="1:14">
      <c r="A2982" s="2">
        <v>0.51800925925925922</v>
      </c>
      <c r="B2982" s="3">
        <v>44841</v>
      </c>
      <c r="C2982" s="1">
        <v>1227954939</v>
      </c>
      <c r="D2982" s="1">
        <v>2011043679</v>
      </c>
      <c r="E2982" s="1">
        <v>5149.05</v>
      </c>
      <c r="F2982" s="1" t="s">
        <v>12</v>
      </c>
      <c r="G2982" s="1" t="s">
        <v>12</v>
      </c>
      <c r="H2982" s="1" t="s">
        <v>13</v>
      </c>
      <c r="I2982" s="1" t="s">
        <v>13</v>
      </c>
      <c r="J2982" s="1" t="s">
        <v>25</v>
      </c>
      <c r="K2982" s="1">
        <v>0</v>
      </c>
      <c r="L2982" s="1" t="s">
        <v>24</v>
      </c>
      <c r="M2982" s="1" t="str">
        <f t="shared" si="46"/>
        <v>Consistent</v>
      </c>
      <c r="N2982" s="1" t="str">
        <f>_xlfn.XLOOKUP(H2982, risk_score!A:A, risk_score!B:B, 0)</f>
        <v>Low Risk</v>
      </c>
    </row>
    <row r="2983" spans="1:14">
      <c r="A2983" s="2">
        <v>0.51802083333333337</v>
      </c>
      <c r="B2983" s="3">
        <v>44841</v>
      </c>
      <c r="C2983" s="1">
        <v>3514325613</v>
      </c>
      <c r="D2983" s="1">
        <v>4573643005</v>
      </c>
      <c r="E2983" s="1">
        <v>677.09</v>
      </c>
      <c r="F2983" s="1" t="s">
        <v>12</v>
      </c>
      <c r="G2983" s="1" t="s">
        <v>12</v>
      </c>
      <c r="H2983" s="1" t="s">
        <v>13</v>
      </c>
      <c r="I2983" s="1" t="s">
        <v>13</v>
      </c>
      <c r="J2983" s="1" t="s">
        <v>20</v>
      </c>
      <c r="K2983" s="1">
        <v>0</v>
      </c>
      <c r="L2983" s="1" t="s">
        <v>21</v>
      </c>
      <c r="M2983" s="1" t="str">
        <f t="shared" si="46"/>
        <v>Consistent</v>
      </c>
      <c r="N2983" s="1" t="str">
        <f>_xlfn.XLOOKUP(H2983, risk_score!A:A, risk_score!B:B, 0)</f>
        <v>Low Risk</v>
      </c>
    </row>
    <row r="2984" spans="1:14">
      <c r="A2984" s="2">
        <v>0.51803240740740741</v>
      </c>
      <c r="B2984" s="3">
        <v>44841</v>
      </c>
      <c r="C2984" s="1">
        <v>2828854769</v>
      </c>
      <c r="D2984" s="1">
        <v>4350657360</v>
      </c>
      <c r="E2984" s="1">
        <v>4284.8999999999996</v>
      </c>
      <c r="F2984" s="1" t="s">
        <v>12</v>
      </c>
      <c r="G2984" s="1" t="s">
        <v>12</v>
      </c>
      <c r="H2984" s="1" t="s">
        <v>13</v>
      </c>
      <c r="I2984" s="1" t="s">
        <v>13</v>
      </c>
      <c r="J2984" s="1" t="s">
        <v>22</v>
      </c>
      <c r="K2984" s="1">
        <v>0</v>
      </c>
      <c r="L2984" s="1" t="s">
        <v>24</v>
      </c>
      <c r="M2984" s="1" t="str">
        <f t="shared" si="46"/>
        <v>Consistent</v>
      </c>
      <c r="N2984" s="1" t="str">
        <f>_xlfn.XLOOKUP(H2984, risk_score!A:A, risk_score!B:B, 0)</f>
        <v>Low Risk</v>
      </c>
    </row>
    <row r="2985" spans="1:14">
      <c r="A2985" s="2">
        <v>0.51804398148148145</v>
      </c>
      <c r="B2985" s="3">
        <v>44841</v>
      </c>
      <c r="C2985" s="1">
        <v>6035894787</v>
      </c>
      <c r="D2985" s="1">
        <v>8490891430</v>
      </c>
      <c r="E2985" s="1">
        <v>2479.71</v>
      </c>
      <c r="F2985" s="1" t="s">
        <v>12</v>
      </c>
      <c r="G2985" s="1" t="s">
        <v>12</v>
      </c>
      <c r="H2985" s="1" t="s">
        <v>13</v>
      </c>
      <c r="I2985" s="1" t="s">
        <v>13</v>
      </c>
      <c r="J2985" s="1" t="s">
        <v>27</v>
      </c>
      <c r="K2985" s="1">
        <v>0</v>
      </c>
      <c r="L2985" s="1" t="s">
        <v>21</v>
      </c>
      <c r="M2985" s="1" t="str">
        <f t="shared" si="46"/>
        <v>Consistent</v>
      </c>
      <c r="N2985" s="1" t="str">
        <f>_xlfn.XLOOKUP(H2985, risk_score!A:A, risk_score!B:B, 0)</f>
        <v>Low Risk</v>
      </c>
    </row>
    <row r="2986" spans="1:14">
      <c r="A2986" s="2">
        <v>0.51804398148148145</v>
      </c>
      <c r="B2986" s="3">
        <v>44841</v>
      </c>
      <c r="C2986" s="1">
        <v>1491989064</v>
      </c>
      <c r="D2986" s="1">
        <v>2482957386</v>
      </c>
      <c r="E2986" s="1">
        <v>26435.45</v>
      </c>
      <c r="F2986" s="1" t="s">
        <v>12</v>
      </c>
      <c r="G2986" s="1" t="s">
        <v>12</v>
      </c>
      <c r="H2986" s="1" t="s">
        <v>13</v>
      </c>
      <c r="I2986" s="1" t="s">
        <v>13</v>
      </c>
      <c r="J2986" s="1" t="s">
        <v>27</v>
      </c>
      <c r="K2986" s="1">
        <v>0</v>
      </c>
      <c r="L2986" s="1" t="s">
        <v>19</v>
      </c>
      <c r="M2986" s="1" t="str">
        <f t="shared" si="46"/>
        <v>Consistent</v>
      </c>
      <c r="N2986" s="1" t="str">
        <f>_xlfn.XLOOKUP(H2986, risk_score!A:A, risk_score!B:B, 0)</f>
        <v>Low Risk</v>
      </c>
    </row>
    <row r="2987" spans="1:14">
      <c r="A2987" s="2">
        <v>0.51807870370370368</v>
      </c>
      <c r="B2987" s="3">
        <v>44841</v>
      </c>
      <c r="C2987" s="1">
        <v>6006732709</v>
      </c>
      <c r="D2987" s="1">
        <v>2314836559</v>
      </c>
      <c r="E2987" s="1">
        <v>14473.49</v>
      </c>
      <c r="F2987" s="1" t="s">
        <v>12</v>
      </c>
      <c r="G2987" s="1" t="s">
        <v>12</v>
      </c>
      <c r="H2987" s="1" t="s">
        <v>13</v>
      </c>
      <c r="I2987" s="1" t="s">
        <v>13</v>
      </c>
      <c r="J2987" s="1" t="s">
        <v>22</v>
      </c>
      <c r="K2987" s="1">
        <v>0</v>
      </c>
      <c r="L2987" s="1" t="s">
        <v>24</v>
      </c>
      <c r="M2987" s="1" t="str">
        <f t="shared" si="46"/>
        <v>Consistent</v>
      </c>
      <c r="N2987" s="1" t="str">
        <f>_xlfn.XLOOKUP(H2987, risk_score!A:A, risk_score!B:B, 0)</f>
        <v>Low Risk</v>
      </c>
    </row>
    <row r="2988" spans="1:14">
      <c r="A2988" s="2">
        <v>0.51809027777777783</v>
      </c>
      <c r="B2988" s="3">
        <v>44841</v>
      </c>
      <c r="C2988" s="1">
        <v>2353737542</v>
      </c>
      <c r="D2988" s="1">
        <v>9252007880</v>
      </c>
      <c r="E2988" s="1">
        <v>1662.26</v>
      </c>
      <c r="F2988" s="1" t="s">
        <v>12</v>
      </c>
      <c r="G2988" s="1" t="s">
        <v>12</v>
      </c>
      <c r="H2988" s="1" t="s">
        <v>13</v>
      </c>
      <c r="I2988" s="1" t="s">
        <v>13</v>
      </c>
      <c r="J2988" s="1" t="s">
        <v>14</v>
      </c>
      <c r="K2988" s="1">
        <v>0</v>
      </c>
      <c r="L2988" s="1" t="s">
        <v>15</v>
      </c>
      <c r="M2988" s="1" t="str">
        <f t="shared" si="46"/>
        <v>Consistent</v>
      </c>
      <c r="N2988" s="1" t="str">
        <f>_xlfn.XLOOKUP(H2988, risk_score!A:A, risk_score!B:B, 0)</f>
        <v>Low Risk</v>
      </c>
    </row>
    <row r="2989" spans="1:14">
      <c r="A2989" s="2">
        <v>0.51824074074074078</v>
      </c>
      <c r="B2989" s="3">
        <v>44841</v>
      </c>
      <c r="C2989" s="1">
        <v>7758268667</v>
      </c>
      <c r="D2989" s="1">
        <v>4048410232</v>
      </c>
      <c r="E2989" s="1">
        <v>17624.439999999999</v>
      </c>
      <c r="F2989" s="1" t="s">
        <v>12</v>
      </c>
      <c r="G2989" s="1" t="s">
        <v>12</v>
      </c>
      <c r="H2989" s="1" t="s">
        <v>13</v>
      </c>
      <c r="I2989" s="1" t="s">
        <v>13</v>
      </c>
      <c r="J2989" s="1" t="s">
        <v>27</v>
      </c>
      <c r="K2989" s="1">
        <v>0</v>
      </c>
      <c r="L2989" s="1" t="s">
        <v>19</v>
      </c>
      <c r="M2989" s="1" t="str">
        <f t="shared" si="46"/>
        <v>Consistent</v>
      </c>
      <c r="N2989" s="1" t="str">
        <f>_xlfn.XLOOKUP(H2989, risk_score!A:A, risk_score!B:B, 0)</f>
        <v>Low Risk</v>
      </c>
    </row>
    <row r="2990" spans="1:14">
      <c r="A2990" s="2">
        <v>0.51826388888888886</v>
      </c>
      <c r="B2990" s="3">
        <v>44841</v>
      </c>
      <c r="C2990" s="1">
        <v>372595155</v>
      </c>
      <c r="D2990" s="1">
        <v>6754524587</v>
      </c>
      <c r="E2990" s="1">
        <v>4015</v>
      </c>
      <c r="F2990" s="1" t="s">
        <v>12</v>
      </c>
      <c r="G2990" s="1" t="s">
        <v>12</v>
      </c>
      <c r="H2990" s="1" t="s">
        <v>13</v>
      </c>
      <c r="I2990" s="1" t="s">
        <v>13</v>
      </c>
      <c r="J2990" s="1" t="s">
        <v>27</v>
      </c>
      <c r="K2990" s="1">
        <v>0</v>
      </c>
      <c r="L2990" s="1" t="s">
        <v>21</v>
      </c>
      <c r="M2990" s="1" t="str">
        <f t="shared" si="46"/>
        <v>Consistent</v>
      </c>
      <c r="N2990" s="1" t="str">
        <f>_xlfn.XLOOKUP(H2990, risk_score!A:A, risk_score!B:B, 0)</f>
        <v>Low Risk</v>
      </c>
    </row>
    <row r="2991" spans="1:14">
      <c r="A2991" s="2">
        <v>0.51829861111111108</v>
      </c>
      <c r="B2991" s="3">
        <v>44841</v>
      </c>
      <c r="C2991" s="1">
        <v>8113353697</v>
      </c>
      <c r="D2991" s="1">
        <v>7001040288</v>
      </c>
      <c r="E2991" s="1">
        <v>6193.33</v>
      </c>
      <c r="F2991" s="1" t="s">
        <v>12</v>
      </c>
      <c r="G2991" s="1" t="s">
        <v>12</v>
      </c>
      <c r="H2991" s="1" t="s">
        <v>13</v>
      </c>
      <c r="I2991" s="1" t="s">
        <v>13</v>
      </c>
      <c r="J2991" s="1" t="s">
        <v>27</v>
      </c>
      <c r="K2991" s="1">
        <v>0</v>
      </c>
      <c r="L2991" s="1" t="s">
        <v>21</v>
      </c>
      <c r="M2991" s="1" t="str">
        <f t="shared" si="46"/>
        <v>Consistent</v>
      </c>
      <c r="N2991" s="1" t="str">
        <f>_xlfn.XLOOKUP(H2991, risk_score!A:A, risk_score!B:B, 0)</f>
        <v>Low Risk</v>
      </c>
    </row>
    <row r="2992" spans="1:14">
      <c r="A2992" s="2">
        <v>0.51829861111111108</v>
      </c>
      <c r="B2992" s="3">
        <v>44841</v>
      </c>
      <c r="C2992" s="1">
        <v>5232268182</v>
      </c>
      <c r="D2992" s="1">
        <v>3695545812</v>
      </c>
      <c r="E2992" s="1">
        <v>6774.41</v>
      </c>
      <c r="F2992" s="1" t="s">
        <v>12</v>
      </c>
      <c r="G2992" s="1" t="s">
        <v>12</v>
      </c>
      <c r="H2992" s="1" t="s">
        <v>13</v>
      </c>
      <c r="I2992" s="1" t="s">
        <v>13</v>
      </c>
      <c r="J2992" s="1" t="s">
        <v>20</v>
      </c>
      <c r="K2992" s="1">
        <v>0</v>
      </c>
      <c r="L2992" s="1" t="s">
        <v>23</v>
      </c>
      <c r="M2992" s="1" t="str">
        <f t="shared" si="46"/>
        <v>Consistent</v>
      </c>
      <c r="N2992" s="1" t="str">
        <f>_xlfn.XLOOKUP(H2992, risk_score!A:A, risk_score!B:B, 0)</f>
        <v>Low Risk</v>
      </c>
    </row>
    <row r="2993" spans="1:14">
      <c r="A2993" s="2">
        <v>0.51833333333333331</v>
      </c>
      <c r="B2993" s="3">
        <v>44841</v>
      </c>
      <c r="C2993" s="1">
        <v>8124881173</v>
      </c>
      <c r="D2993" s="1">
        <v>2867318469</v>
      </c>
      <c r="E2993" s="1">
        <v>139.35</v>
      </c>
      <c r="F2993" s="1" t="s">
        <v>12</v>
      </c>
      <c r="G2993" s="1" t="s">
        <v>26</v>
      </c>
      <c r="H2993" s="1" t="s">
        <v>13</v>
      </c>
      <c r="I2993" s="1" t="s">
        <v>56</v>
      </c>
      <c r="J2993" s="1" t="s">
        <v>18</v>
      </c>
      <c r="K2993" s="1">
        <v>0</v>
      </c>
      <c r="L2993" s="1" t="s">
        <v>21</v>
      </c>
      <c r="M2993" s="1" t="str">
        <f t="shared" si="46"/>
        <v>Potential Layering</v>
      </c>
      <c r="N2993" s="1" t="str">
        <f>_xlfn.XLOOKUP(H2993, risk_score!A:A, risk_score!B:B, 0)</f>
        <v>Low Risk</v>
      </c>
    </row>
    <row r="2994" spans="1:14">
      <c r="A2994" s="2">
        <v>0.51834490740740746</v>
      </c>
      <c r="B2994" s="3">
        <v>44841</v>
      </c>
      <c r="C2994" s="1">
        <v>1378784400</v>
      </c>
      <c r="D2994" s="1">
        <v>8617902721</v>
      </c>
      <c r="E2994" s="1">
        <v>6200.93</v>
      </c>
      <c r="F2994" s="1" t="s">
        <v>12</v>
      </c>
      <c r="G2994" s="1" t="s">
        <v>12</v>
      </c>
      <c r="H2994" s="1" t="s">
        <v>13</v>
      </c>
      <c r="I2994" s="1" t="s">
        <v>13</v>
      </c>
      <c r="J2994" s="1" t="s">
        <v>20</v>
      </c>
      <c r="K2994" s="1">
        <v>0</v>
      </c>
      <c r="L2994" s="1" t="s">
        <v>19</v>
      </c>
      <c r="M2994" s="1" t="str">
        <f t="shared" si="46"/>
        <v>Consistent</v>
      </c>
      <c r="N2994" s="1" t="str">
        <f>_xlfn.XLOOKUP(H2994, risk_score!A:A, risk_score!B:B, 0)</f>
        <v>Low Risk</v>
      </c>
    </row>
    <row r="2995" spans="1:14">
      <c r="A2995" s="2">
        <v>0.51834490740740746</v>
      </c>
      <c r="B2995" s="3">
        <v>44841</v>
      </c>
      <c r="C2995" s="1">
        <v>374414130</v>
      </c>
      <c r="D2995" s="1">
        <v>3220735304</v>
      </c>
      <c r="E2995" s="1">
        <v>10551.08</v>
      </c>
      <c r="F2995" s="1" t="s">
        <v>51</v>
      </c>
      <c r="G2995" s="1" t="s">
        <v>12</v>
      </c>
      <c r="H2995" s="1" t="s">
        <v>13</v>
      </c>
      <c r="I2995" s="1" t="s">
        <v>13</v>
      </c>
      <c r="J2995" s="1" t="s">
        <v>25</v>
      </c>
      <c r="K2995" s="1">
        <v>0</v>
      </c>
      <c r="L2995" s="1" t="s">
        <v>23</v>
      </c>
      <c r="M2995" s="1" t="str">
        <f t="shared" si="46"/>
        <v>Potential Layering</v>
      </c>
      <c r="N2995" s="1" t="str">
        <f>_xlfn.XLOOKUP(H2995, risk_score!A:A, risk_score!B:B, 0)</f>
        <v>Low Risk</v>
      </c>
    </row>
    <row r="2996" spans="1:14">
      <c r="A2996" s="2">
        <v>0.51841435185185181</v>
      </c>
      <c r="B2996" s="3">
        <v>44841</v>
      </c>
      <c r="C2996" s="1">
        <v>675669049</v>
      </c>
      <c r="D2996" s="1">
        <v>3764741730</v>
      </c>
      <c r="E2996" s="1">
        <v>6218.31</v>
      </c>
      <c r="F2996" s="1" t="s">
        <v>12</v>
      </c>
      <c r="G2996" s="1" t="s">
        <v>12</v>
      </c>
      <c r="H2996" s="1" t="s">
        <v>13</v>
      </c>
      <c r="I2996" s="1" t="s">
        <v>13</v>
      </c>
      <c r="J2996" s="1" t="s">
        <v>20</v>
      </c>
      <c r="K2996" s="1">
        <v>0</v>
      </c>
      <c r="L2996" s="1" t="s">
        <v>19</v>
      </c>
      <c r="M2996" s="1" t="str">
        <f t="shared" si="46"/>
        <v>Consistent</v>
      </c>
      <c r="N2996" s="1" t="str">
        <f>_xlfn.XLOOKUP(H2996, risk_score!A:A, risk_score!B:B, 0)</f>
        <v>Low Risk</v>
      </c>
    </row>
    <row r="2997" spans="1:14">
      <c r="A2997" s="2">
        <v>0.51842592592592596</v>
      </c>
      <c r="B2997" s="3">
        <v>44841</v>
      </c>
      <c r="C2997" s="1">
        <v>8207246869</v>
      </c>
      <c r="D2997" s="1">
        <v>5628674969</v>
      </c>
      <c r="E2997" s="1">
        <v>6924.18</v>
      </c>
      <c r="F2997" s="1" t="s">
        <v>12</v>
      </c>
      <c r="G2997" s="1" t="s">
        <v>12</v>
      </c>
      <c r="H2997" s="1" t="s">
        <v>13</v>
      </c>
      <c r="I2997" s="1" t="s">
        <v>13</v>
      </c>
      <c r="J2997" s="1" t="s">
        <v>20</v>
      </c>
      <c r="K2997" s="1">
        <v>0</v>
      </c>
      <c r="L2997" s="1" t="s">
        <v>23</v>
      </c>
      <c r="M2997" s="1" t="str">
        <f t="shared" si="46"/>
        <v>Consistent</v>
      </c>
      <c r="N2997" s="1" t="str">
        <f>_xlfn.XLOOKUP(H2997, risk_score!A:A, risk_score!B:B, 0)</f>
        <v>Low Risk</v>
      </c>
    </row>
    <row r="2998" spans="1:14">
      <c r="A2998" s="2">
        <v>0.51842592592592596</v>
      </c>
      <c r="B2998" s="3">
        <v>44841</v>
      </c>
      <c r="C2998" s="1">
        <v>7428685692</v>
      </c>
      <c r="D2998" s="1">
        <v>6905979898</v>
      </c>
      <c r="E2998" s="1">
        <v>6241.88</v>
      </c>
      <c r="F2998" s="1" t="s">
        <v>12</v>
      </c>
      <c r="G2998" s="1" t="s">
        <v>29</v>
      </c>
      <c r="H2998" s="1" t="s">
        <v>13</v>
      </c>
      <c r="I2998" s="1" t="s">
        <v>55</v>
      </c>
      <c r="J2998" s="1" t="s">
        <v>18</v>
      </c>
      <c r="K2998" s="1">
        <v>0</v>
      </c>
      <c r="L2998" s="1" t="s">
        <v>21</v>
      </c>
      <c r="M2998" s="1" t="str">
        <f t="shared" si="46"/>
        <v>Potential Layering</v>
      </c>
      <c r="N2998" s="1" t="str">
        <f>_xlfn.XLOOKUP(H2998, risk_score!A:A, risk_score!B:B, 0)</f>
        <v>Low Risk</v>
      </c>
    </row>
    <row r="2999" spans="1:14">
      <c r="A2999" s="2">
        <v>0.51844907407407403</v>
      </c>
      <c r="B2999" s="3">
        <v>44841</v>
      </c>
      <c r="C2999" s="1">
        <v>6120242724</v>
      </c>
      <c r="D2999" s="1">
        <v>2218617563</v>
      </c>
      <c r="E2999" s="1">
        <v>301.68</v>
      </c>
      <c r="F2999" s="1" t="s">
        <v>12</v>
      </c>
      <c r="G2999" s="1" t="s">
        <v>12</v>
      </c>
      <c r="H2999" s="1" t="s">
        <v>13</v>
      </c>
      <c r="I2999" s="1" t="s">
        <v>13</v>
      </c>
      <c r="J2999" s="1" t="s">
        <v>20</v>
      </c>
      <c r="K2999" s="1">
        <v>0</v>
      </c>
      <c r="L2999" s="1" t="s">
        <v>21</v>
      </c>
      <c r="M2999" s="1" t="str">
        <f t="shared" si="46"/>
        <v>Consistent</v>
      </c>
      <c r="N2999" s="1" t="str">
        <f>_xlfn.XLOOKUP(H2999, risk_score!A:A, risk_score!B:B, 0)</f>
        <v>Low Risk</v>
      </c>
    </row>
    <row r="3000" spans="1:14">
      <c r="A3000" s="2">
        <v>0.51846064814814818</v>
      </c>
      <c r="B3000" s="3">
        <v>44841</v>
      </c>
      <c r="C3000" s="1">
        <v>8047909179</v>
      </c>
      <c r="D3000" s="1">
        <v>2584568182</v>
      </c>
      <c r="E3000" s="1">
        <v>2795.13</v>
      </c>
      <c r="F3000" s="1" t="s">
        <v>12</v>
      </c>
      <c r="G3000" s="1" t="s">
        <v>12</v>
      </c>
      <c r="H3000" s="1" t="s">
        <v>13</v>
      </c>
      <c r="I3000" s="1" t="s">
        <v>13</v>
      </c>
      <c r="J3000" s="1" t="s">
        <v>27</v>
      </c>
      <c r="K3000" s="1">
        <v>0</v>
      </c>
      <c r="L3000" s="1" t="s">
        <v>38</v>
      </c>
      <c r="M3000" s="1" t="str">
        <f t="shared" si="46"/>
        <v>Consistent</v>
      </c>
      <c r="N3000" s="1" t="str">
        <f>_xlfn.XLOOKUP(H3000, risk_score!A:A, risk_score!B:B, 0)</f>
        <v>Low Risk</v>
      </c>
    </row>
    <row r="3001" spans="1:14">
      <c r="A3001" s="2">
        <v>0.51849537037037041</v>
      </c>
      <c r="B3001" s="3">
        <v>44841</v>
      </c>
      <c r="C3001" s="1">
        <v>6186912610</v>
      </c>
      <c r="D3001" s="1">
        <v>1250738209</v>
      </c>
      <c r="E3001" s="1">
        <v>1791.62</v>
      </c>
      <c r="F3001" s="1" t="s">
        <v>12</v>
      </c>
      <c r="G3001" s="1" t="s">
        <v>12</v>
      </c>
      <c r="H3001" s="1" t="s">
        <v>13</v>
      </c>
      <c r="I3001" s="1" t="s">
        <v>13</v>
      </c>
      <c r="J3001" s="1" t="s">
        <v>20</v>
      </c>
      <c r="K3001" s="1">
        <v>0</v>
      </c>
      <c r="L3001" s="1" t="s">
        <v>21</v>
      </c>
      <c r="M3001" s="1" t="str">
        <f t="shared" si="46"/>
        <v>Consistent</v>
      </c>
      <c r="N3001" s="1" t="str">
        <f>_xlfn.XLOOKUP(H3001, risk_score!A:A, risk_score!B:B, 0)</f>
        <v>Low Risk</v>
      </c>
    </row>
    <row r="3002" spans="1:14">
      <c r="A3002" s="2">
        <v>0.51849537037037041</v>
      </c>
      <c r="B3002" s="3">
        <v>44841</v>
      </c>
      <c r="C3002" s="1">
        <v>3748468160</v>
      </c>
      <c r="D3002" s="1">
        <v>9271533389</v>
      </c>
      <c r="E3002" s="1">
        <v>940.98</v>
      </c>
      <c r="F3002" s="1" t="s">
        <v>12</v>
      </c>
      <c r="G3002" s="1" t="s">
        <v>12</v>
      </c>
      <c r="H3002" s="1" t="s">
        <v>13</v>
      </c>
      <c r="I3002" s="1" t="s">
        <v>13</v>
      </c>
      <c r="J3002" s="1" t="s">
        <v>14</v>
      </c>
      <c r="K3002" s="1">
        <v>0</v>
      </c>
      <c r="L3002" s="1" t="s">
        <v>15</v>
      </c>
      <c r="M3002" s="1" t="str">
        <f t="shared" si="46"/>
        <v>Consistent</v>
      </c>
      <c r="N3002" s="1" t="str">
        <f>_xlfn.XLOOKUP(H3002, risk_score!A:A, risk_score!B:B, 0)</f>
        <v>Low Risk</v>
      </c>
    </row>
    <row r="3003" spans="1:14">
      <c r="A3003" s="2">
        <v>0.51849537037037041</v>
      </c>
      <c r="B3003" s="3">
        <v>44841</v>
      </c>
      <c r="C3003" s="1">
        <v>2793918649</v>
      </c>
      <c r="D3003" s="1">
        <v>7198494429</v>
      </c>
      <c r="E3003" s="1">
        <v>12206.81</v>
      </c>
      <c r="F3003" s="1" t="s">
        <v>12</v>
      </c>
      <c r="G3003" s="1" t="s">
        <v>12</v>
      </c>
      <c r="H3003" s="1" t="s">
        <v>13</v>
      </c>
      <c r="I3003" s="1" t="s">
        <v>13</v>
      </c>
      <c r="J3003" s="1" t="s">
        <v>25</v>
      </c>
      <c r="K3003" s="1">
        <v>0</v>
      </c>
      <c r="L3003" s="1" t="s">
        <v>21</v>
      </c>
      <c r="M3003" s="1" t="str">
        <f t="shared" si="46"/>
        <v>Consistent</v>
      </c>
      <c r="N3003" s="1" t="str">
        <f>_xlfn.XLOOKUP(H3003, risk_score!A:A, risk_score!B:B, 0)</f>
        <v>Low Risk</v>
      </c>
    </row>
    <row r="3004" spans="1:14">
      <c r="A3004" s="2">
        <v>0.51854166666666668</v>
      </c>
      <c r="B3004" s="3">
        <v>44841</v>
      </c>
      <c r="C3004" s="1">
        <v>2407719171</v>
      </c>
      <c r="D3004" s="1">
        <v>884794468</v>
      </c>
      <c r="E3004" s="1">
        <v>500.67</v>
      </c>
      <c r="F3004" s="1" t="s">
        <v>12</v>
      </c>
      <c r="G3004" s="1" t="s">
        <v>12</v>
      </c>
      <c r="H3004" s="1" t="s">
        <v>13</v>
      </c>
      <c r="I3004" s="1" t="s">
        <v>13</v>
      </c>
      <c r="J3004" s="1" t="s">
        <v>22</v>
      </c>
      <c r="K3004" s="1">
        <v>0</v>
      </c>
      <c r="L3004" s="1" t="s">
        <v>21</v>
      </c>
      <c r="M3004" s="1" t="str">
        <f t="shared" si="46"/>
        <v>Consistent</v>
      </c>
      <c r="N3004" s="1" t="str">
        <f>_xlfn.XLOOKUP(H3004, risk_score!A:A, risk_score!B:B, 0)</f>
        <v>Low Risk</v>
      </c>
    </row>
    <row r="3005" spans="1:14">
      <c r="A3005" s="2">
        <v>0.51854166666666668</v>
      </c>
      <c r="B3005" s="3">
        <v>44841</v>
      </c>
      <c r="C3005" s="1">
        <v>7774176446</v>
      </c>
      <c r="D3005" s="1">
        <v>7441547021</v>
      </c>
      <c r="E3005" s="1">
        <v>2568.6</v>
      </c>
      <c r="F3005" s="1" t="s">
        <v>12</v>
      </c>
      <c r="G3005" s="1" t="s">
        <v>59</v>
      </c>
      <c r="H3005" s="1" t="s">
        <v>13</v>
      </c>
      <c r="I3005" s="1" t="s">
        <v>60</v>
      </c>
      <c r="J3005" s="1" t="s">
        <v>18</v>
      </c>
      <c r="K3005" s="1">
        <v>0</v>
      </c>
      <c r="L3005" s="1" t="s">
        <v>21</v>
      </c>
      <c r="M3005" s="1" t="str">
        <f t="shared" si="46"/>
        <v>Potential Layering</v>
      </c>
      <c r="N3005" s="1" t="str">
        <f>_xlfn.XLOOKUP(H3005, risk_score!A:A, risk_score!B:B, 0)</f>
        <v>Low Risk</v>
      </c>
    </row>
    <row r="3006" spans="1:14">
      <c r="A3006" s="2">
        <v>0.51855324074074072</v>
      </c>
      <c r="B3006" s="3">
        <v>44841</v>
      </c>
      <c r="C3006" s="1">
        <v>4353995266</v>
      </c>
      <c r="D3006" s="1">
        <v>6646502650</v>
      </c>
      <c r="E3006" s="1">
        <v>5185.9399999999996</v>
      </c>
      <c r="F3006" s="1" t="s">
        <v>12</v>
      </c>
      <c r="G3006" s="1" t="s">
        <v>29</v>
      </c>
      <c r="H3006" s="1" t="s">
        <v>13</v>
      </c>
      <c r="I3006" s="1" t="s">
        <v>31</v>
      </c>
      <c r="J3006" s="1" t="s">
        <v>18</v>
      </c>
      <c r="K3006" s="1">
        <v>0</v>
      </c>
      <c r="L3006" s="1" t="s">
        <v>23</v>
      </c>
      <c r="M3006" s="1" t="str">
        <f t="shared" si="46"/>
        <v>Potential Layering</v>
      </c>
      <c r="N3006" s="1" t="str">
        <f>_xlfn.XLOOKUP(H3006, risk_score!A:A, risk_score!B:B, 0)</f>
        <v>Low Risk</v>
      </c>
    </row>
    <row r="3007" spans="1:14">
      <c r="A3007" s="2">
        <v>0.51858796296296295</v>
      </c>
      <c r="B3007" s="3">
        <v>44841</v>
      </c>
      <c r="C3007" s="1">
        <v>4669220544</v>
      </c>
      <c r="D3007" s="1">
        <v>6048304694</v>
      </c>
      <c r="E3007" s="1">
        <v>26811.64</v>
      </c>
      <c r="F3007" s="1" t="s">
        <v>12</v>
      </c>
      <c r="G3007" s="1" t="s">
        <v>12</v>
      </c>
      <c r="H3007" s="1" t="s">
        <v>13</v>
      </c>
      <c r="I3007" s="1" t="s">
        <v>13</v>
      </c>
      <c r="J3007" s="1" t="s">
        <v>25</v>
      </c>
      <c r="K3007" s="1">
        <v>0</v>
      </c>
      <c r="L3007" s="1" t="s">
        <v>21</v>
      </c>
      <c r="M3007" s="1" t="str">
        <f t="shared" si="46"/>
        <v>Consistent</v>
      </c>
      <c r="N3007" s="1" t="str">
        <f>_xlfn.XLOOKUP(H3007, risk_score!A:A, risk_score!B:B, 0)</f>
        <v>Low Risk</v>
      </c>
    </row>
    <row r="3008" spans="1:14">
      <c r="A3008" s="2">
        <v>0.51862268518518517</v>
      </c>
      <c r="B3008" s="3">
        <v>44841</v>
      </c>
      <c r="C3008" s="1">
        <v>5728933736</v>
      </c>
      <c r="D3008" s="1">
        <v>3213309316</v>
      </c>
      <c r="E3008" s="1">
        <v>3043</v>
      </c>
      <c r="F3008" s="1" t="s">
        <v>12</v>
      </c>
      <c r="G3008" s="1" t="s">
        <v>12</v>
      </c>
      <c r="H3008" s="1" t="s">
        <v>13</v>
      </c>
      <c r="I3008" s="1" t="s">
        <v>13</v>
      </c>
      <c r="J3008" s="1" t="s">
        <v>27</v>
      </c>
      <c r="K3008" s="1">
        <v>0</v>
      </c>
      <c r="L3008" s="1" t="s">
        <v>21</v>
      </c>
      <c r="M3008" s="1" t="str">
        <f t="shared" si="46"/>
        <v>Consistent</v>
      </c>
      <c r="N3008" s="1" t="str">
        <f>_xlfn.XLOOKUP(H3008, risk_score!A:A, risk_score!B:B, 0)</f>
        <v>Low Risk</v>
      </c>
    </row>
    <row r="3009" spans="1:14">
      <c r="A3009" s="2">
        <v>0.51863425925925921</v>
      </c>
      <c r="B3009" s="3">
        <v>44841</v>
      </c>
      <c r="C3009" s="1">
        <v>3614082527</v>
      </c>
      <c r="D3009" s="1">
        <v>4917300261</v>
      </c>
      <c r="E3009" s="1">
        <v>6119.4</v>
      </c>
      <c r="F3009" s="1" t="s">
        <v>12</v>
      </c>
      <c r="G3009" s="1" t="s">
        <v>12</v>
      </c>
      <c r="H3009" s="1" t="s">
        <v>13</v>
      </c>
      <c r="I3009" s="1" t="s">
        <v>13</v>
      </c>
      <c r="J3009" s="1" t="s">
        <v>22</v>
      </c>
      <c r="K3009" s="1">
        <v>0</v>
      </c>
      <c r="L3009" s="1" t="s">
        <v>19</v>
      </c>
      <c r="M3009" s="1" t="str">
        <f t="shared" si="46"/>
        <v>Consistent</v>
      </c>
      <c r="N3009" s="1" t="str">
        <f>_xlfn.XLOOKUP(H3009, risk_score!A:A, risk_score!B:B, 0)</f>
        <v>Low Risk</v>
      </c>
    </row>
    <row r="3010" spans="1:14">
      <c r="A3010" s="2">
        <v>0.5186574074074074</v>
      </c>
      <c r="B3010" s="3">
        <v>44841</v>
      </c>
      <c r="C3010" s="1">
        <v>6760427237</v>
      </c>
      <c r="D3010" s="1">
        <v>7080357663</v>
      </c>
      <c r="E3010" s="1">
        <v>6781.92</v>
      </c>
      <c r="F3010" s="1" t="s">
        <v>12</v>
      </c>
      <c r="G3010" s="1" t="s">
        <v>12</v>
      </c>
      <c r="H3010" s="1" t="s">
        <v>13</v>
      </c>
      <c r="I3010" s="1" t="s">
        <v>13</v>
      </c>
      <c r="J3010" s="1" t="s">
        <v>22</v>
      </c>
      <c r="K3010" s="1">
        <v>0</v>
      </c>
      <c r="L3010" s="1" t="s">
        <v>23</v>
      </c>
      <c r="M3010" s="1" t="str">
        <f t="shared" si="46"/>
        <v>Consistent</v>
      </c>
      <c r="N3010" s="1" t="str">
        <f>_xlfn.XLOOKUP(H3010, risk_score!A:A, risk_score!B:B, 0)</f>
        <v>Low Risk</v>
      </c>
    </row>
    <row r="3011" spans="1:14">
      <c r="A3011" s="2">
        <v>0.51870370370370367</v>
      </c>
      <c r="B3011" s="3">
        <v>44841</v>
      </c>
      <c r="C3011" s="1">
        <v>2365007895</v>
      </c>
      <c r="D3011" s="1">
        <v>9797294707</v>
      </c>
      <c r="E3011" s="1">
        <v>9114.0400000000009</v>
      </c>
      <c r="F3011" s="1" t="s">
        <v>12</v>
      </c>
      <c r="G3011" s="1" t="s">
        <v>12</v>
      </c>
      <c r="H3011" s="1" t="s">
        <v>13</v>
      </c>
      <c r="I3011" s="1" t="s">
        <v>13</v>
      </c>
      <c r="J3011" s="1" t="s">
        <v>27</v>
      </c>
      <c r="K3011" s="1">
        <v>0</v>
      </c>
      <c r="L3011" s="1" t="s">
        <v>19</v>
      </c>
      <c r="M3011" s="1" t="str">
        <f t="shared" ref="M3011:M3074" si="47">IF(F3011=G3011, "Consistent", "Potential Layering")</f>
        <v>Consistent</v>
      </c>
      <c r="N3011" s="1" t="str">
        <f>_xlfn.XLOOKUP(H3011, risk_score!A:A, risk_score!B:B, 0)</f>
        <v>Low Risk</v>
      </c>
    </row>
    <row r="3012" spans="1:14">
      <c r="A3012" s="2">
        <v>0.51872685185185186</v>
      </c>
      <c r="B3012" s="3">
        <v>44841</v>
      </c>
      <c r="C3012" s="1">
        <v>6410008704</v>
      </c>
      <c r="D3012" s="1">
        <v>8636169803</v>
      </c>
      <c r="E3012" s="1">
        <v>8594.6299999999992</v>
      </c>
      <c r="F3012" s="1" t="s">
        <v>12</v>
      </c>
      <c r="G3012" s="1" t="s">
        <v>12</v>
      </c>
      <c r="H3012" s="1" t="s">
        <v>13</v>
      </c>
      <c r="I3012" s="1" t="s">
        <v>13</v>
      </c>
      <c r="J3012" s="1" t="s">
        <v>20</v>
      </c>
      <c r="K3012" s="1">
        <v>0</v>
      </c>
      <c r="L3012" s="1" t="s">
        <v>21</v>
      </c>
      <c r="M3012" s="1" t="str">
        <f t="shared" si="47"/>
        <v>Consistent</v>
      </c>
      <c r="N3012" s="1" t="str">
        <f>_xlfn.XLOOKUP(H3012, risk_score!A:A, risk_score!B:B, 0)</f>
        <v>Low Risk</v>
      </c>
    </row>
    <row r="3013" spans="1:14">
      <c r="A3013" s="2">
        <v>0.51873842592592589</v>
      </c>
      <c r="B3013" s="3">
        <v>44841</v>
      </c>
      <c r="C3013" s="1">
        <v>4857100592</v>
      </c>
      <c r="D3013" s="1">
        <v>9023878405</v>
      </c>
      <c r="E3013" s="1">
        <v>3019.71</v>
      </c>
      <c r="F3013" s="1" t="s">
        <v>12</v>
      </c>
      <c r="G3013" s="1" t="s">
        <v>12</v>
      </c>
      <c r="H3013" s="1" t="s">
        <v>13</v>
      </c>
      <c r="I3013" s="1" t="s">
        <v>13</v>
      </c>
      <c r="J3013" s="1" t="s">
        <v>14</v>
      </c>
      <c r="K3013" s="1">
        <v>0</v>
      </c>
      <c r="L3013" s="1" t="s">
        <v>15</v>
      </c>
      <c r="M3013" s="1" t="str">
        <f t="shared" si="47"/>
        <v>Consistent</v>
      </c>
      <c r="N3013" s="1" t="str">
        <f>_xlfn.XLOOKUP(H3013, risk_score!A:A, risk_score!B:B, 0)</f>
        <v>Low Risk</v>
      </c>
    </row>
    <row r="3014" spans="1:14">
      <c r="A3014" s="2">
        <v>0.51876157407407408</v>
      </c>
      <c r="B3014" s="3">
        <v>44841</v>
      </c>
      <c r="C3014" s="1">
        <v>482255721</v>
      </c>
      <c r="D3014" s="1">
        <v>5896180453</v>
      </c>
      <c r="E3014" s="1">
        <v>6273.84</v>
      </c>
      <c r="F3014" s="1" t="s">
        <v>12</v>
      </c>
      <c r="G3014" s="1" t="s">
        <v>12</v>
      </c>
      <c r="H3014" s="1" t="s">
        <v>13</v>
      </c>
      <c r="I3014" s="1" t="s">
        <v>13</v>
      </c>
      <c r="J3014" s="1" t="s">
        <v>22</v>
      </c>
      <c r="K3014" s="1">
        <v>0</v>
      </c>
      <c r="L3014" s="1" t="s">
        <v>23</v>
      </c>
      <c r="M3014" s="1" t="str">
        <f t="shared" si="47"/>
        <v>Consistent</v>
      </c>
      <c r="N3014" s="1" t="str">
        <f>_xlfn.XLOOKUP(H3014, risk_score!A:A, risk_score!B:B, 0)</f>
        <v>Low Risk</v>
      </c>
    </row>
    <row r="3015" spans="1:14">
      <c r="A3015" s="2">
        <v>0.51880787037037035</v>
      </c>
      <c r="B3015" s="3">
        <v>44841</v>
      </c>
      <c r="C3015" s="1">
        <v>812535187</v>
      </c>
      <c r="D3015" s="1">
        <v>3247289386</v>
      </c>
      <c r="E3015" s="1">
        <v>1981.52</v>
      </c>
      <c r="F3015" s="1" t="s">
        <v>12</v>
      </c>
      <c r="G3015" s="1" t="s">
        <v>12</v>
      </c>
      <c r="H3015" s="1" t="s">
        <v>13</v>
      </c>
      <c r="I3015" s="1" t="s">
        <v>13</v>
      </c>
      <c r="J3015" s="1" t="s">
        <v>27</v>
      </c>
      <c r="K3015" s="1">
        <v>0</v>
      </c>
      <c r="L3015" s="1" t="s">
        <v>24</v>
      </c>
      <c r="M3015" s="1" t="str">
        <f t="shared" si="47"/>
        <v>Consistent</v>
      </c>
      <c r="N3015" s="1" t="str">
        <f>_xlfn.XLOOKUP(H3015, risk_score!A:A, risk_score!B:B, 0)</f>
        <v>Low Risk</v>
      </c>
    </row>
    <row r="3016" spans="1:14">
      <c r="A3016" s="2">
        <v>0.51884259259259258</v>
      </c>
      <c r="B3016" s="3">
        <v>44841</v>
      </c>
      <c r="C3016" s="1">
        <v>3781986126</v>
      </c>
      <c r="D3016" s="1">
        <v>8931201593</v>
      </c>
      <c r="E3016" s="1">
        <v>3005.16</v>
      </c>
      <c r="F3016" s="1" t="s">
        <v>12</v>
      </c>
      <c r="G3016" s="1" t="s">
        <v>12</v>
      </c>
      <c r="H3016" s="1" t="s">
        <v>13</v>
      </c>
      <c r="I3016" s="1" t="s">
        <v>13</v>
      </c>
      <c r="J3016" s="1" t="s">
        <v>27</v>
      </c>
      <c r="K3016" s="1">
        <v>0</v>
      </c>
      <c r="L3016" s="1" t="s">
        <v>24</v>
      </c>
      <c r="M3016" s="1" t="str">
        <f t="shared" si="47"/>
        <v>Consistent</v>
      </c>
      <c r="N3016" s="1" t="str">
        <f>_xlfn.XLOOKUP(H3016, risk_score!A:A, risk_score!B:B, 0)</f>
        <v>Low Risk</v>
      </c>
    </row>
    <row r="3017" spans="1:14">
      <c r="A3017" s="2">
        <v>0.51885416666666662</v>
      </c>
      <c r="B3017" s="3">
        <v>44841</v>
      </c>
      <c r="C3017" s="1">
        <v>7495018530</v>
      </c>
      <c r="D3017" s="1">
        <v>2585569686</v>
      </c>
      <c r="E3017" s="1">
        <v>443.95</v>
      </c>
      <c r="F3017" s="1" t="s">
        <v>12</v>
      </c>
      <c r="G3017" s="1" t="s">
        <v>12</v>
      </c>
      <c r="H3017" s="1" t="s">
        <v>13</v>
      </c>
      <c r="I3017" s="1" t="s">
        <v>13</v>
      </c>
      <c r="J3017" s="1" t="s">
        <v>20</v>
      </c>
      <c r="K3017" s="1">
        <v>0</v>
      </c>
      <c r="L3017" s="1" t="s">
        <v>21</v>
      </c>
      <c r="M3017" s="1" t="str">
        <f t="shared" si="47"/>
        <v>Consistent</v>
      </c>
      <c r="N3017" s="1" t="str">
        <f>_xlfn.XLOOKUP(H3017, risk_score!A:A, risk_score!B:B, 0)</f>
        <v>Low Risk</v>
      </c>
    </row>
    <row r="3018" spans="1:14">
      <c r="A3018" s="2">
        <v>0.51887731481481481</v>
      </c>
      <c r="B3018" s="3">
        <v>44841</v>
      </c>
      <c r="C3018" s="1">
        <v>2961159825</v>
      </c>
      <c r="D3018" s="1">
        <v>3343432755</v>
      </c>
      <c r="E3018" s="1">
        <v>1466.63</v>
      </c>
      <c r="F3018" s="1" t="s">
        <v>12</v>
      </c>
      <c r="G3018" s="1" t="s">
        <v>12</v>
      </c>
      <c r="H3018" s="1" t="s">
        <v>13</v>
      </c>
      <c r="I3018" s="1" t="s">
        <v>13</v>
      </c>
      <c r="J3018" s="1" t="s">
        <v>25</v>
      </c>
      <c r="K3018" s="1">
        <v>0</v>
      </c>
      <c r="L3018" s="1" t="s">
        <v>21</v>
      </c>
      <c r="M3018" s="1" t="str">
        <f t="shared" si="47"/>
        <v>Consistent</v>
      </c>
      <c r="N3018" s="1" t="str">
        <f>_xlfn.XLOOKUP(H3018, risk_score!A:A, risk_score!B:B, 0)</f>
        <v>Low Risk</v>
      </c>
    </row>
    <row r="3019" spans="1:14">
      <c r="A3019" s="2">
        <v>0.51892361111111107</v>
      </c>
      <c r="B3019" s="3">
        <v>44841</v>
      </c>
      <c r="C3019" s="1">
        <v>8578657624</v>
      </c>
      <c r="D3019" s="1">
        <v>6231854483</v>
      </c>
      <c r="E3019" s="1">
        <v>6919.22</v>
      </c>
      <c r="F3019" s="1" t="s">
        <v>12</v>
      </c>
      <c r="G3019" s="1" t="s">
        <v>12</v>
      </c>
      <c r="H3019" s="1" t="s">
        <v>13</v>
      </c>
      <c r="I3019" s="1" t="s">
        <v>13</v>
      </c>
      <c r="J3019" s="1" t="s">
        <v>27</v>
      </c>
      <c r="K3019" s="1">
        <v>0</v>
      </c>
      <c r="L3019" s="1" t="s">
        <v>21</v>
      </c>
      <c r="M3019" s="1" t="str">
        <f t="shared" si="47"/>
        <v>Consistent</v>
      </c>
      <c r="N3019" s="1" t="str">
        <f>_xlfn.XLOOKUP(H3019, risk_score!A:A, risk_score!B:B, 0)</f>
        <v>Low Risk</v>
      </c>
    </row>
    <row r="3020" spans="1:14">
      <c r="A3020" s="2">
        <v>0.5189583333333333</v>
      </c>
      <c r="B3020" s="3">
        <v>44841</v>
      </c>
      <c r="C3020" s="1">
        <v>2490851194</v>
      </c>
      <c r="D3020" s="1">
        <v>1730717041</v>
      </c>
      <c r="E3020" s="1">
        <v>6220.51</v>
      </c>
      <c r="F3020" s="1" t="s">
        <v>12</v>
      </c>
      <c r="G3020" s="1" t="s">
        <v>12</v>
      </c>
      <c r="H3020" s="1" t="s">
        <v>13</v>
      </c>
      <c r="I3020" s="1" t="s">
        <v>13</v>
      </c>
      <c r="J3020" s="1" t="s">
        <v>22</v>
      </c>
      <c r="K3020" s="1">
        <v>0</v>
      </c>
      <c r="L3020" s="1" t="s">
        <v>41</v>
      </c>
      <c r="M3020" s="1" t="str">
        <f t="shared" si="47"/>
        <v>Consistent</v>
      </c>
      <c r="N3020" s="1" t="str">
        <f>_xlfn.XLOOKUP(H3020, risk_score!A:A, risk_score!B:B, 0)</f>
        <v>Low Risk</v>
      </c>
    </row>
    <row r="3021" spans="1:14">
      <c r="A3021" s="2">
        <v>0.51899305555555553</v>
      </c>
      <c r="B3021" s="3">
        <v>44841</v>
      </c>
      <c r="C3021" s="1">
        <v>3792189465</v>
      </c>
      <c r="D3021" s="1">
        <v>7080357663</v>
      </c>
      <c r="E3021" s="1">
        <v>5393.67</v>
      </c>
      <c r="F3021" s="1" t="s">
        <v>34</v>
      </c>
      <c r="G3021" s="1" t="s">
        <v>12</v>
      </c>
      <c r="H3021" s="1" t="s">
        <v>35</v>
      </c>
      <c r="I3021" s="1" t="s">
        <v>13</v>
      </c>
      <c r="J3021" s="1" t="s">
        <v>18</v>
      </c>
      <c r="K3021" s="1">
        <v>0</v>
      </c>
      <c r="L3021" s="1" t="s">
        <v>23</v>
      </c>
      <c r="M3021" s="1" t="str">
        <f t="shared" si="47"/>
        <v>Potential Layering</v>
      </c>
      <c r="N3021" s="1" t="str">
        <f>_xlfn.XLOOKUP(H3021, risk_score!A:A, risk_score!B:B, 0)</f>
        <v>High Risk</v>
      </c>
    </row>
    <row r="3022" spans="1:14">
      <c r="A3022" s="2">
        <v>0.51905092592592594</v>
      </c>
      <c r="B3022" s="3">
        <v>44841</v>
      </c>
      <c r="C3022" s="1">
        <v>6677934219</v>
      </c>
      <c r="D3022" s="1">
        <v>8154718696</v>
      </c>
      <c r="E3022" s="1">
        <v>553.46</v>
      </c>
      <c r="F3022" s="1" t="s">
        <v>12</v>
      </c>
      <c r="G3022" s="1" t="s">
        <v>12</v>
      </c>
      <c r="H3022" s="1" t="s">
        <v>13</v>
      </c>
      <c r="I3022" s="1" t="s">
        <v>13</v>
      </c>
      <c r="J3022" s="1" t="s">
        <v>27</v>
      </c>
      <c r="K3022" s="1">
        <v>0</v>
      </c>
      <c r="L3022" s="1" t="s">
        <v>24</v>
      </c>
      <c r="M3022" s="1" t="str">
        <f t="shared" si="47"/>
        <v>Consistent</v>
      </c>
      <c r="N3022" s="1" t="str">
        <f>_xlfn.XLOOKUP(H3022, risk_score!A:A, risk_score!B:B, 0)</f>
        <v>Low Risk</v>
      </c>
    </row>
    <row r="3023" spans="1:14">
      <c r="A3023" s="2">
        <v>0.51906249999999998</v>
      </c>
      <c r="B3023" s="3">
        <v>44841</v>
      </c>
      <c r="C3023" s="1">
        <v>4405331094</v>
      </c>
      <c r="D3023" s="1">
        <v>957585424</v>
      </c>
      <c r="E3023" s="1">
        <v>3566.27</v>
      </c>
      <c r="F3023" s="1" t="s">
        <v>12</v>
      </c>
      <c r="G3023" s="1" t="s">
        <v>12</v>
      </c>
      <c r="H3023" s="1" t="s">
        <v>13</v>
      </c>
      <c r="I3023" s="1" t="s">
        <v>13</v>
      </c>
      <c r="J3023" s="1" t="s">
        <v>14</v>
      </c>
      <c r="K3023" s="1">
        <v>0</v>
      </c>
      <c r="L3023" s="1" t="s">
        <v>15</v>
      </c>
      <c r="M3023" s="1" t="str">
        <f t="shared" si="47"/>
        <v>Consistent</v>
      </c>
      <c r="N3023" s="1" t="str">
        <f>_xlfn.XLOOKUP(H3023, risk_score!A:A, risk_score!B:B, 0)</f>
        <v>Low Risk</v>
      </c>
    </row>
    <row r="3024" spans="1:14">
      <c r="A3024" s="2">
        <v>0.51908564814814817</v>
      </c>
      <c r="B3024" s="3">
        <v>44841</v>
      </c>
      <c r="C3024" s="1">
        <v>6027496922</v>
      </c>
      <c r="D3024" s="1">
        <v>9645984583</v>
      </c>
      <c r="E3024" s="1">
        <v>132.04</v>
      </c>
      <c r="F3024" s="1" t="s">
        <v>12</v>
      </c>
      <c r="G3024" s="1" t="s">
        <v>12</v>
      </c>
      <c r="H3024" s="1" t="s">
        <v>13</v>
      </c>
      <c r="I3024" s="1" t="s">
        <v>13</v>
      </c>
      <c r="J3024" s="1" t="s">
        <v>20</v>
      </c>
      <c r="K3024" s="1">
        <v>0</v>
      </c>
      <c r="L3024" s="1" t="s">
        <v>21</v>
      </c>
      <c r="M3024" s="1" t="str">
        <f t="shared" si="47"/>
        <v>Consistent</v>
      </c>
      <c r="N3024" s="1" t="str">
        <f>_xlfn.XLOOKUP(H3024, risk_score!A:A, risk_score!B:B, 0)</f>
        <v>Low Risk</v>
      </c>
    </row>
    <row r="3025" spans="1:14">
      <c r="A3025" s="2">
        <v>0.51910879629629625</v>
      </c>
      <c r="B3025" s="3">
        <v>44841</v>
      </c>
      <c r="C3025" s="1">
        <v>2071957499</v>
      </c>
      <c r="D3025" s="1">
        <v>8322397330</v>
      </c>
      <c r="E3025" s="1">
        <v>529.75</v>
      </c>
      <c r="F3025" s="1" t="s">
        <v>12</v>
      </c>
      <c r="G3025" s="1" t="s">
        <v>12</v>
      </c>
      <c r="H3025" s="1" t="s">
        <v>13</v>
      </c>
      <c r="I3025" s="1" t="s">
        <v>13</v>
      </c>
      <c r="J3025" s="1" t="s">
        <v>14</v>
      </c>
      <c r="K3025" s="1">
        <v>0</v>
      </c>
      <c r="L3025" s="1" t="s">
        <v>15</v>
      </c>
      <c r="M3025" s="1" t="str">
        <f t="shared" si="47"/>
        <v>Consistent</v>
      </c>
      <c r="N3025" s="1" t="str">
        <f>_xlfn.XLOOKUP(H3025, risk_score!A:A, risk_score!B:B, 0)</f>
        <v>Low Risk</v>
      </c>
    </row>
    <row r="3026" spans="1:14">
      <c r="A3026" s="2">
        <v>0.51913194444444444</v>
      </c>
      <c r="B3026" s="3">
        <v>44841</v>
      </c>
      <c r="C3026" s="1">
        <v>9312861244</v>
      </c>
      <c r="D3026" s="1">
        <v>409707192</v>
      </c>
      <c r="E3026" s="1">
        <v>24064.48</v>
      </c>
      <c r="F3026" s="1" t="s">
        <v>12</v>
      </c>
      <c r="G3026" s="1" t="s">
        <v>12</v>
      </c>
      <c r="H3026" s="1" t="s">
        <v>13</v>
      </c>
      <c r="I3026" s="1" t="s">
        <v>13</v>
      </c>
      <c r="J3026" s="1" t="s">
        <v>22</v>
      </c>
      <c r="K3026" s="1">
        <v>0</v>
      </c>
      <c r="L3026" s="1" t="s">
        <v>23</v>
      </c>
      <c r="M3026" s="1" t="str">
        <f t="shared" si="47"/>
        <v>Consistent</v>
      </c>
      <c r="N3026" s="1" t="str">
        <f>_xlfn.XLOOKUP(H3026, risk_score!A:A, risk_score!B:B, 0)</f>
        <v>Low Risk</v>
      </c>
    </row>
    <row r="3027" spans="1:14">
      <c r="A3027" s="2">
        <v>0.51918981481481485</v>
      </c>
      <c r="B3027" s="3">
        <v>44841</v>
      </c>
      <c r="C3027" s="1">
        <v>8480398203</v>
      </c>
      <c r="D3027" s="1">
        <v>3513488785</v>
      </c>
      <c r="E3027" s="1">
        <v>170.57</v>
      </c>
      <c r="F3027" s="1" t="s">
        <v>12</v>
      </c>
      <c r="G3027" s="1" t="s">
        <v>12</v>
      </c>
      <c r="H3027" s="1" t="s">
        <v>13</v>
      </c>
      <c r="I3027" s="1" t="s">
        <v>13</v>
      </c>
      <c r="J3027" s="1" t="s">
        <v>27</v>
      </c>
      <c r="K3027" s="1">
        <v>0</v>
      </c>
      <c r="L3027" s="1" t="s">
        <v>21</v>
      </c>
      <c r="M3027" s="1" t="str">
        <f t="shared" si="47"/>
        <v>Consistent</v>
      </c>
      <c r="N3027" s="1" t="str">
        <f>_xlfn.XLOOKUP(H3027, risk_score!A:A, risk_score!B:B, 0)</f>
        <v>Low Risk</v>
      </c>
    </row>
    <row r="3028" spans="1:14">
      <c r="A3028" s="2">
        <v>0.51921296296296293</v>
      </c>
      <c r="B3028" s="3">
        <v>44841</v>
      </c>
      <c r="C3028" s="1">
        <v>5118288230</v>
      </c>
      <c r="D3028" s="1">
        <v>6114871264</v>
      </c>
      <c r="E3028" s="1">
        <v>466.17</v>
      </c>
      <c r="F3028" s="1" t="s">
        <v>12</v>
      </c>
      <c r="G3028" s="1" t="s">
        <v>12</v>
      </c>
      <c r="H3028" s="1" t="s">
        <v>13</v>
      </c>
      <c r="I3028" s="1" t="s">
        <v>13</v>
      </c>
      <c r="J3028" s="1" t="s">
        <v>22</v>
      </c>
      <c r="K3028" s="1">
        <v>0</v>
      </c>
      <c r="L3028" s="1" t="s">
        <v>21</v>
      </c>
      <c r="M3028" s="1" t="str">
        <f t="shared" si="47"/>
        <v>Consistent</v>
      </c>
      <c r="N3028" s="1" t="str">
        <f>_xlfn.XLOOKUP(H3028, risk_score!A:A, risk_score!B:B, 0)</f>
        <v>Low Risk</v>
      </c>
    </row>
    <row r="3029" spans="1:14">
      <c r="A3029" s="2">
        <v>0.51923611111111112</v>
      </c>
      <c r="B3029" s="3">
        <v>44841</v>
      </c>
      <c r="C3029" s="1">
        <v>3622791533</v>
      </c>
      <c r="D3029" s="1">
        <v>2260244739</v>
      </c>
      <c r="E3029" s="1">
        <v>1286.22</v>
      </c>
      <c r="F3029" s="1" t="s">
        <v>12</v>
      </c>
      <c r="G3029" s="1" t="s">
        <v>12</v>
      </c>
      <c r="H3029" s="1" t="s">
        <v>13</v>
      </c>
      <c r="I3029" s="1" t="s">
        <v>13</v>
      </c>
      <c r="J3029" s="1" t="s">
        <v>22</v>
      </c>
      <c r="K3029" s="1">
        <v>0</v>
      </c>
      <c r="L3029" s="1" t="s">
        <v>21</v>
      </c>
      <c r="M3029" s="1" t="str">
        <f t="shared" si="47"/>
        <v>Consistent</v>
      </c>
      <c r="N3029" s="1" t="str">
        <f>_xlfn.XLOOKUP(H3029, risk_score!A:A, risk_score!B:B, 0)</f>
        <v>Low Risk</v>
      </c>
    </row>
    <row r="3030" spans="1:14">
      <c r="A3030" s="2">
        <v>0.51925925925925931</v>
      </c>
      <c r="B3030" s="3">
        <v>44841</v>
      </c>
      <c r="C3030" s="1">
        <v>5376652437</v>
      </c>
      <c r="D3030" s="1">
        <v>9600420220</v>
      </c>
      <c r="E3030" s="1">
        <v>11923.14</v>
      </c>
      <c r="F3030" s="1" t="s">
        <v>12</v>
      </c>
      <c r="G3030" s="1" t="s">
        <v>12</v>
      </c>
      <c r="H3030" s="1" t="s">
        <v>13</v>
      </c>
      <c r="I3030" s="1" t="s">
        <v>13</v>
      </c>
      <c r="J3030" s="1" t="s">
        <v>25</v>
      </c>
      <c r="K3030" s="1">
        <v>0</v>
      </c>
      <c r="L3030" s="1" t="s">
        <v>23</v>
      </c>
      <c r="M3030" s="1" t="str">
        <f t="shared" si="47"/>
        <v>Consistent</v>
      </c>
      <c r="N3030" s="1" t="str">
        <f>_xlfn.XLOOKUP(H3030, risk_score!A:A, risk_score!B:B, 0)</f>
        <v>Low Risk</v>
      </c>
    </row>
    <row r="3031" spans="1:14">
      <c r="A3031" s="2">
        <v>0.5193402777777778</v>
      </c>
      <c r="B3031" s="3">
        <v>44841</v>
      </c>
      <c r="C3031" s="1">
        <v>9880971574</v>
      </c>
      <c r="D3031" s="1">
        <v>2976862701</v>
      </c>
      <c r="E3031" s="1">
        <v>348.93</v>
      </c>
      <c r="F3031" s="1" t="s">
        <v>12</v>
      </c>
      <c r="G3031" s="1" t="s">
        <v>12</v>
      </c>
      <c r="H3031" s="1" t="s">
        <v>13</v>
      </c>
      <c r="I3031" s="1" t="s">
        <v>13</v>
      </c>
      <c r="J3031" s="1" t="s">
        <v>27</v>
      </c>
      <c r="K3031" s="1">
        <v>0</v>
      </c>
      <c r="L3031" s="1" t="s">
        <v>21</v>
      </c>
      <c r="M3031" s="1" t="str">
        <f t="shared" si="47"/>
        <v>Consistent</v>
      </c>
      <c r="N3031" s="1" t="str">
        <f>_xlfn.XLOOKUP(H3031, risk_score!A:A, risk_score!B:B, 0)</f>
        <v>Low Risk</v>
      </c>
    </row>
    <row r="3032" spans="1:14">
      <c r="A3032" s="2">
        <v>0.51935185185185184</v>
      </c>
      <c r="B3032" s="3">
        <v>44841</v>
      </c>
      <c r="C3032" s="1">
        <v>59951361</v>
      </c>
      <c r="D3032" s="1">
        <v>5716715936</v>
      </c>
      <c r="E3032" s="1">
        <v>902.88</v>
      </c>
      <c r="F3032" s="1" t="s">
        <v>12</v>
      </c>
      <c r="G3032" s="1" t="s">
        <v>12</v>
      </c>
      <c r="H3032" s="1" t="s">
        <v>13</v>
      </c>
      <c r="I3032" s="1" t="s">
        <v>13</v>
      </c>
      <c r="J3032" s="1" t="s">
        <v>20</v>
      </c>
      <c r="K3032" s="1">
        <v>0</v>
      </c>
      <c r="L3032" s="1" t="s">
        <v>21</v>
      </c>
      <c r="M3032" s="1" t="str">
        <f t="shared" si="47"/>
        <v>Consistent</v>
      </c>
      <c r="N3032" s="1" t="str">
        <f>_xlfn.XLOOKUP(H3032, risk_score!A:A, risk_score!B:B, 0)</f>
        <v>Low Risk</v>
      </c>
    </row>
    <row r="3033" spans="1:14">
      <c r="A3033" s="2">
        <v>0.51944444444444449</v>
      </c>
      <c r="B3033" s="3">
        <v>44841</v>
      </c>
      <c r="C3033" s="1">
        <v>5607688477</v>
      </c>
      <c r="D3033" s="1">
        <v>5858369125</v>
      </c>
      <c r="E3033" s="1">
        <v>9148.23</v>
      </c>
      <c r="F3033" s="1" t="s">
        <v>12</v>
      </c>
      <c r="G3033" s="1" t="s">
        <v>12</v>
      </c>
      <c r="H3033" s="1" t="s">
        <v>13</v>
      </c>
      <c r="I3033" s="1" t="s">
        <v>13</v>
      </c>
      <c r="J3033" s="1" t="s">
        <v>27</v>
      </c>
      <c r="K3033" s="1">
        <v>0</v>
      </c>
      <c r="L3033" s="1" t="s">
        <v>23</v>
      </c>
      <c r="M3033" s="1" t="str">
        <f t="shared" si="47"/>
        <v>Consistent</v>
      </c>
      <c r="N3033" s="1" t="str">
        <f>_xlfn.XLOOKUP(H3033, risk_score!A:A, risk_score!B:B, 0)</f>
        <v>Low Risk</v>
      </c>
    </row>
    <row r="3034" spans="1:14">
      <c r="A3034" s="2">
        <v>0.51945601851851853</v>
      </c>
      <c r="B3034" s="3">
        <v>44841</v>
      </c>
      <c r="C3034" s="1">
        <v>6760427237</v>
      </c>
      <c r="D3034" s="1">
        <v>7080357663</v>
      </c>
      <c r="E3034" s="1">
        <v>6887.15</v>
      </c>
      <c r="F3034" s="1" t="s">
        <v>12</v>
      </c>
      <c r="G3034" s="1" t="s">
        <v>12</v>
      </c>
      <c r="H3034" s="1" t="s">
        <v>13</v>
      </c>
      <c r="I3034" s="1" t="s">
        <v>13</v>
      </c>
      <c r="J3034" s="1" t="s">
        <v>27</v>
      </c>
      <c r="K3034" s="1">
        <v>0</v>
      </c>
      <c r="L3034" s="1" t="s">
        <v>23</v>
      </c>
      <c r="M3034" s="1" t="str">
        <f t="shared" si="47"/>
        <v>Consistent</v>
      </c>
      <c r="N3034" s="1" t="str">
        <f>_xlfn.XLOOKUP(H3034, risk_score!A:A, risk_score!B:B, 0)</f>
        <v>Low Risk</v>
      </c>
    </row>
    <row r="3035" spans="1:14">
      <c r="A3035" s="2">
        <v>0.51946759259259256</v>
      </c>
      <c r="B3035" s="3">
        <v>44841</v>
      </c>
      <c r="C3035" s="1">
        <v>2609955485</v>
      </c>
      <c r="D3035" s="1">
        <v>2591280855</v>
      </c>
      <c r="E3035" s="1">
        <v>5827.78</v>
      </c>
      <c r="F3035" s="1" t="s">
        <v>12</v>
      </c>
      <c r="G3035" s="1" t="s">
        <v>12</v>
      </c>
      <c r="H3035" s="1" t="s">
        <v>13</v>
      </c>
      <c r="I3035" s="1" t="s">
        <v>13</v>
      </c>
      <c r="J3035" s="1" t="s">
        <v>25</v>
      </c>
      <c r="K3035" s="1">
        <v>0</v>
      </c>
      <c r="L3035" s="1" t="s">
        <v>38</v>
      </c>
      <c r="M3035" s="1" t="str">
        <f t="shared" si="47"/>
        <v>Consistent</v>
      </c>
      <c r="N3035" s="1" t="str">
        <f>_xlfn.XLOOKUP(H3035, risk_score!A:A, risk_score!B:B, 0)</f>
        <v>Low Risk</v>
      </c>
    </row>
    <row r="3036" spans="1:14">
      <c r="A3036" s="2">
        <v>0.51947916666666671</v>
      </c>
      <c r="B3036" s="3">
        <v>44841</v>
      </c>
      <c r="C3036" s="1">
        <v>6155967127</v>
      </c>
      <c r="D3036" s="1">
        <v>6034997194</v>
      </c>
      <c r="E3036" s="1">
        <v>12757.76</v>
      </c>
      <c r="F3036" s="1" t="s">
        <v>12</v>
      </c>
      <c r="G3036" s="1" t="s">
        <v>12</v>
      </c>
      <c r="H3036" s="1" t="s">
        <v>13</v>
      </c>
      <c r="I3036" s="1" t="s">
        <v>13</v>
      </c>
      <c r="J3036" s="1" t="s">
        <v>27</v>
      </c>
      <c r="K3036" s="1">
        <v>0</v>
      </c>
      <c r="L3036" s="1" t="s">
        <v>23</v>
      </c>
      <c r="M3036" s="1" t="str">
        <f t="shared" si="47"/>
        <v>Consistent</v>
      </c>
      <c r="N3036" s="1" t="str">
        <f>_xlfn.XLOOKUP(H3036, risk_score!A:A, risk_score!B:B, 0)</f>
        <v>Low Risk</v>
      </c>
    </row>
    <row r="3037" spans="1:14">
      <c r="A3037" s="2">
        <v>0.51949074074074075</v>
      </c>
      <c r="B3037" s="3">
        <v>44841</v>
      </c>
      <c r="C3037" s="1">
        <v>4150879707</v>
      </c>
      <c r="D3037" s="1">
        <v>409707192</v>
      </c>
      <c r="E3037" s="1">
        <v>10694.19</v>
      </c>
      <c r="F3037" s="1" t="s">
        <v>12</v>
      </c>
      <c r="G3037" s="1" t="s">
        <v>12</v>
      </c>
      <c r="H3037" s="1" t="s">
        <v>13</v>
      </c>
      <c r="I3037" s="1" t="s">
        <v>13</v>
      </c>
      <c r="J3037" s="1" t="s">
        <v>25</v>
      </c>
      <c r="K3037" s="1">
        <v>0</v>
      </c>
      <c r="L3037" s="1" t="s">
        <v>23</v>
      </c>
      <c r="M3037" s="1" t="str">
        <f t="shared" si="47"/>
        <v>Consistent</v>
      </c>
      <c r="N3037" s="1" t="str">
        <f>_xlfn.XLOOKUP(H3037, risk_score!A:A, risk_score!B:B, 0)</f>
        <v>Low Risk</v>
      </c>
    </row>
    <row r="3038" spans="1:14">
      <c r="A3038" s="2">
        <v>0.51950231481481479</v>
      </c>
      <c r="B3038" s="3">
        <v>44841</v>
      </c>
      <c r="C3038" s="1">
        <v>5928824766</v>
      </c>
      <c r="D3038" s="1">
        <v>3870376826</v>
      </c>
      <c r="E3038" s="1">
        <v>1141.4100000000001</v>
      </c>
      <c r="F3038" s="1" t="s">
        <v>12</v>
      </c>
      <c r="G3038" s="1" t="s">
        <v>12</v>
      </c>
      <c r="H3038" s="1" t="s">
        <v>13</v>
      </c>
      <c r="I3038" s="1" t="s">
        <v>13</v>
      </c>
      <c r="J3038" s="1" t="s">
        <v>14</v>
      </c>
      <c r="K3038" s="1">
        <v>0</v>
      </c>
      <c r="L3038" s="1" t="s">
        <v>15</v>
      </c>
      <c r="M3038" s="1" t="str">
        <f t="shared" si="47"/>
        <v>Consistent</v>
      </c>
      <c r="N3038" s="1" t="str">
        <f>_xlfn.XLOOKUP(H3038, risk_score!A:A, risk_score!B:B, 0)</f>
        <v>Low Risk</v>
      </c>
    </row>
    <row r="3039" spans="1:14">
      <c r="A3039" s="2">
        <v>0.51952546296296298</v>
      </c>
      <c r="B3039" s="3">
        <v>44841</v>
      </c>
      <c r="C3039" s="1">
        <v>7481313664</v>
      </c>
      <c r="D3039" s="1">
        <v>2402135355</v>
      </c>
      <c r="E3039" s="1">
        <v>109.55</v>
      </c>
      <c r="F3039" s="1" t="s">
        <v>12</v>
      </c>
      <c r="G3039" s="1" t="s">
        <v>12</v>
      </c>
      <c r="H3039" s="1" t="s">
        <v>13</v>
      </c>
      <c r="I3039" s="1" t="s">
        <v>13</v>
      </c>
      <c r="J3039" s="1" t="s">
        <v>36</v>
      </c>
      <c r="K3039" s="1">
        <v>0</v>
      </c>
      <c r="L3039" s="1" t="s">
        <v>37</v>
      </c>
      <c r="M3039" s="1" t="str">
        <f t="shared" si="47"/>
        <v>Consistent</v>
      </c>
      <c r="N3039" s="1" t="str">
        <f>_xlfn.XLOOKUP(H3039, risk_score!A:A, risk_score!B:B, 0)</f>
        <v>Low Risk</v>
      </c>
    </row>
    <row r="3040" spans="1:14">
      <c r="A3040" s="2">
        <v>0.51967592592592593</v>
      </c>
      <c r="B3040" s="3">
        <v>44841</v>
      </c>
      <c r="C3040" s="1">
        <v>3510078932</v>
      </c>
      <c r="D3040" s="1">
        <v>9858029207</v>
      </c>
      <c r="E3040" s="1">
        <v>8415.64</v>
      </c>
      <c r="F3040" s="1" t="s">
        <v>12</v>
      </c>
      <c r="G3040" s="1" t="s">
        <v>42</v>
      </c>
      <c r="H3040" s="1" t="s">
        <v>13</v>
      </c>
      <c r="I3040" s="1" t="s">
        <v>43</v>
      </c>
      <c r="J3040" s="1" t="s">
        <v>18</v>
      </c>
      <c r="K3040" s="1">
        <v>0</v>
      </c>
      <c r="L3040" s="1" t="s">
        <v>19</v>
      </c>
      <c r="M3040" s="1" t="str">
        <f t="shared" si="47"/>
        <v>Potential Layering</v>
      </c>
      <c r="N3040" s="1" t="str">
        <f>_xlfn.XLOOKUP(H3040, risk_score!A:A, risk_score!B:B, 0)</f>
        <v>Low Risk</v>
      </c>
    </row>
    <row r="3041" spans="1:14">
      <c r="A3041" s="2">
        <v>0.51968749999999997</v>
      </c>
      <c r="B3041" s="3">
        <v>44841</v>
      </c>
      <c r="C3041" s="1">
        <v>9235904299</v>
      </c>
      <c r="D3041" s="1">
        <v>1946099401</v>
      </c>
      <c r="E3041" s="1">
        <v>2212.5100000000002</v>
      </c>
      <c r="F3041" s="1" t="s">
        <v>12</v>
      </c>
      <c r="G3041" s="1" t="s">
        <v>12</v>
      </c>
      <c r="H3041" s="1" t="s">
        <v>13</v>
      </c>
      <c r="I3041" s="1" t="s">
        <v>13</v>
      </c>
      <c r="J3041" s="1" t="s">
        <v>27</v>
      </c>
      <c r="K3041" s="1">
        <v>0</v>
      </c>
      <c r="L3041" s="1" t="s">
        <v>24</v>
      </c>
      <c r="M3041" s="1" t="str">
        <f t="shared" si="47"/>
        <v>Consistent</v>
      </c>
      <c r="N3041" s="1" t="str">
        <f>_xlfn.XLOOKUP(H3041, risk_score!A:A, risk_score!B:B, 0)</f>
        <v>Low Risk</v>
      </c>
    </row>
    <row r="3042" spans="1:14">
      <c r="A3042" s="2">
        <v>0.51969907407407412</v>
      </c>
      <c r="B3042" s="3">
        <v>44841</v>
      </c>
      <c r="C3042" s="1">
        <v>6900609023</v>
      </c>
      <c r="D3042" s="1">
        <v>7960201974</v>
      </c>
      <c r="E3042" s="1">
        <v>1039.8499999999999</v>
      </c>
      <c r="F3042" s="1" t="s">
        <v>12</v>
      </c>
      <c r="G3042" s="1" t="s">
        <v>12</v>
      </c>
      <c r="H3042" s="1" t="s">
        <v>13</v>
      </c>
      <c r="I3042" s="1" t="s">
        <v>13</v>
      </c>
      <c r="J3042" s="1" t="s">
        <v>20</v>
      </c>
      <c r="K3042" s="1">
        <v>0</v>
      </c>
      <c r="L3042" s="1" t="s">
        <v>21</v>
      </c>
      <c r="M3042" s="1" t="str">
        <f t="shared" si="47"/>
        <v>Consistent</v>
      </c>
      <c r="N3042" s="1" t="str">
        <f>_xlfn.XLOOKUP(H3042, risk_score!A:A, risk_score!B:B, 0)</f>
        <v>Low Risk</v>
      </c>
    </row>
    <row r="3043" spans="1:14">
      <c r="A3043" s="2">
        <v>0.51969907407407412</v>
      </c>
      <c r="B3043" s="3">
        <v>44841</v>
      </c>
      <c r="C3043" s="1">
        <v>1378784400</v>
      </c>
      <c r="D3043" s="1">
        <v>7780773895</v>
      </c>
      <c r="E3043" s="1">
        <v>5154.7299999999996</v>
      </c>
      <c r="F3043" s="1" t="s">
        <v>12</v>
      </c>
      <c r="G3043" s="1" t="s">
        <v>12</v>
      </c>
      <c r="H3043" s="1" t="s">
        <v>13</v>
      </c>
      <c r="I3043" s="1" t="s">
        <v>13</v>
      </c>
      <c r="J3043" s="1" t="s">
        <v>22</v>
      </c>
      <c r="K3043" s="1">
        <v>0</v>
      </c>
      <c r="L3043" s="1" t="s">
        <v>19</v>
      </c>
      <c r="M3043" s="1" t="str">
        <f t="shared" si="47"/>
        <v>Consistent</v>
      </c>
      <c r="N3043" s="1" t="str">
        <f>_xlfn.XLOOKUP(H3043, risk_score!A:A, risk_score!B:B, 0)</f>
        <v>Low Risk</v>
      </c>
    </row>
    <row r="3044" spans="1:14">
      <c r="A3044" s="2">
        <v>0.51971064814814816</v>
      </c>
      <c r="B3044" s="3">
        <v>44841</v>
      </c>
      <c r="C3044" s="1">
        <v>9744328675</v>
      </c>
      <c r="D3044" s="1">
        <v>8678802420</v>
      </c>
      <c r="E3044" s="1">
        <v>4435.38</v>
      </c>
      <c r="F3044" s="1" t="s">
        <v>12</v>
      </c>
      <c r="G3044" s="1" t="s">
        <v>12</v>
      </c>
      <c r="H3044" s="1" t="s">
        <v>13</v>
      </c>
      <c r="I3044" s="1" t="s">
        <v>13</v>
      </c>
      <c r="J3044" s="1" t="s">
        <v>22</v>
      </c>
      <c r="K3044" s="1">
        <v>0</v>
      </c>
      <c r="L3044" s="1" t="s">
        <v>23</v>
      </c>
      <c r="M3044" s="1" t="str">
        <f t="shared" si="47"/>
        <v>Consistent</v>
      </c>
      <c r="N3044" s="1" t="str">
        <f>_xlfn.XLOOKUP(H3044, risk_score!A:A, risk_score!B:B, 0)</f>
        <v>Low Risk</v>
      </c>
    </row>
    <row r="3045" spans="1:14">
      <c r="A3045" s="2">
        <v>0.51974537037037039</v>
      </c>
      <c r="B3045" s="3">
        <v>44841</v>
      </c>
      <c r="C3045" s="1">
        <v>2743924090</v>
      </c>
      <c r="D3045" s="1">
        <v>2027496484</v>
      </c>
      <c r="E3045" s="1">
        <v>3796.98</v>
      </c>
      <c r="F3045" s="1" t="s">
        <v>12</v>
      </c>
      <c r="G3045" s="1" t="s">
        <v>12</v>
      </c>
      <c r="H3045" s="1" t="s">
        <v>13</v>
      </c>
      <c r="I3045" s="1" t="s">
        <v>13</v>
      </c>
      <c r="J3045" s="1" t="s">
        <v>25</v>
      </c>
      <c r="K3045" s="1">
        <v>0</v>
      </c>
      <c r="L3045" s="1" t="s">
        <v>21</v>
      </c>
      <c r="M3045" s="1" t="str">
        <f t="shared" si="47"/>
        <v>Consistent</v>
      </c>
      <c r="N3045" s="1" t="str">
        <f>_xlfn.XLOOKUP(H3045, risk_score!A:A, risk_score!B:B, 0)</f>
        <v>Low Risk</v>
      </c>
    </row>
    <row r="3046" spans="1:14">
      <c r="A3046" s="2">
        <v>0.51975694444444442</v>
      </c>
      <c r="B3046" s="3">
        <v>44841</v>
      </c>
      <c r="C3046" s="1">
        <v>3504832350</v>
      </c>
      <c r="D3046" s="1">
        <v>3695545812</v>
      </c>
      <c r="E3046" s="1">
        <v>4781.04</v>
      </c>
      <c r="F3046" s="1" t="s">
        <v>12</v>
      </c>
      <c r="G3046" s="1" t="s">
        <v>12</v>
      </c>
      <c r="H3046" s="1" t="s">
        <v>13</v>
      </c>
      <c r="I3046" s="1" t="s">
        <v>13</v>
      </c>
      <c r="J3046" s="1" t="s">
        <v>20</v>
      </c>
      <c r="K3046" s="1">
        <v>0</v>
      </c>
      <c r="L3046" s="1" t="s">
        <v>23</v>
      </c>
      <c r="M3046" s="1" t="str">
        <f t="shared" si="47"/>
        <v>Consistent</v>
      </c>
      <c r="N3046" s="1" t="str">
        <f>_xlfn.XLOOKUP(H3046, risk_score!A:A, risk_score!B:B, 0)</f>
        <v>Low Risk</v>
      </c>
    </row>
    <row r="3047" spans="1:14">
      <c r="A3047" s="2">
        <v>0.51976851851851846</v>
      </c>
      <c r="B3047" s="3">
        <v>44841</v>
      </c>
      <c r="C3047" s="1">
        <v>1830300701</v>
      </c>
      <c r="D3047" s="1">
        <v>1740103909</v>
      </c>
      <c r="E3047" s="1">
        <v>11431.39</v>
      </c>
      <c r="F3047" s="1" t="s">
        <v>12</v>
      </c>
      <c r="G3047" s="1" t="s">
        <v>12</v>
      </c>
      <c r="H3047" s="1" t="s">
        <v>13</v>
      </c>
      <c r="I3047" s="1" t="s">
        <v>13</v>
      </c>
      <c r="J3047" s="1" t="s">
        <v>27</v>
      </c>
      <c r="K3047" s="1">
        <v>0</v>
      </c>
      <c r="L3047" s="1" t="s">
        <v>38</v>
      </c>
      <c r="M3047" s="1" t="str">
        <f t="shared" si="47"/>
        <v>Consistent</v>
      </c>
      <c r="N3047" s="1" t="str">
        <f>_xlfn.XLOOKUP(H3047, risk_score!A:A, risk_score!B:B, 0)</f>
        <v>Low Risk</v>
      </c>
    </row>
    <row r="3048" spans="1:14">
      <c r="A3048" s="2">
        <v>0.51979166666666665</v>
      </c>
      <c r="B3048" s="3">
        <v>44841</v>
      </c>
      <c r="C3048" s="1">
        <v>1378784400</v>
      </c>
      <c r="D3048" s="1">
        <v>7780773895</v>
      </c>
      <c r="E3048" s="1">
        <v>5153.41</v>
      </c>
      <c r="F3048" s="1" t="s">
        <v>12</v>
      </c>
      <c r="G3048" s="1" t="s">
        <v>12</v>
      </c>
      <c r="H3048" s="1" t="s">
        <v>13</v>
      </c>
      <c r="I3048" s="1" t="s">
        <v>13</v>
      </c>
      <c r="J3048" s="1" t="s">
        <v>22</v>
      </c>
      <c r="K3048" s="1">
        <v>0</v>
      </c>
      <c r="L3048" s="1" t="s">
        <v>19</v>
      </c>
      <c r="M3048" s="1" t="str">
        <f t="shared" si="47"/>
        <v>Consistent</v>
      </c>
      <c r="N3048" s="1" t="str">
        <f>_xlfn.XLOOKUP(H3048, risk_score!A:A, risk_score!B:B, 0)</f>
        <v>Low Risk</v>
      </c>
    </row>
    <row r="3049" spans="1:14">
      <c r="A3049" s="2">
        <v>0.51979166666666665</v>
      </c>
      <c r="B3049" s="3">
        <v>44841</v>
      </c>
      <c r="C3049" s="1">
        <v>6127911143</v>
      </c>
      <c r="D3049" s="1">
        <v>9701749283</v>
      </c>
      <c r="E3049" s="1">
        <v>4715.67</v>
      </c>
      <c r="F3049" s="1" t="s">
        <v>29</v>
      </c>
      <c r="G3049" s="1" t="s">
        <v>42</v>
      </c>
      <c r="H3049" s="1" t="s">
        <v>30</v>
      </c>
      <c r="I3049" s="1" t="s">
        <v>43</v>
      </c>
      <c r="J3049" s="1" t="s">
        <v>18</v>
      </c>
      <c r="K3049" s="1">
        <v>0</v>
      </c>
      <c r="L3049" s="1" t="s">
        <v>21</v>
      </c>
      <c r="M3049" s="1" t="str">
        <f t="shared" si="47"/>
        <v>Potential Layering</v>
      </c>
      <c r="N3049" s="1" t="str">
        <f>_xlfn.XLOOKUP(H3049, risk_score!A:A, risk_score!B:B, 0)</f>
        <v>Low Risk</v>
      </c>
    </row>
    <row r="3050" spans="1:14">
      <c r="A3050" s="2">
        <v>0.51981481481481484</v>
      </c>
      <c r="B3050" s="3">
        <v>44841</v>
      </c>
      <c r="C3050" s="1">
        <v>2736859177</v>
      </c>
      <c r="D3050" s="1">
        <v>512060548</v>
      </c>
      <c r="E3050" s="1">
        <v>2255.12</v>
      </c>
      <c r="F3050" s="1" t="s">
        <v>12</v>
      </c>
      <c r="G3050" s="1" t="s">
        <v>12</v>
      </c>
      <c r="H3050" s="1" t="s">
        <v>13</v>
      </c>
      <c r="I3050" s="1" t="s">
        <v>13</v>
      </c>
      <c r="J3050" s="1" t="s">
        <v>25</v>
      </c>
      <c r="K3050" s="1">
        <v>0</v>
      </c>
      <c r="L3050" s="1" t="s">
        <v>21</v>
      </c>
      <c r="M3050" s="1" t="str">
        <f t="shared" si="47"/>
        <v>Consistent</v>
      </c>
      <c r="N3050" s="1" t="str">
        <f>_xlfn.XLOOKUP(H3050, risk_score!A:A, risk_score!B:B, 0)</f>
        <v>Low Risk</v>
      </c>
    </row>
    <row r="3051" spans="1:14">
      <c r="A3051" s="2">
        <v>0.51986111111111111</v>
      </c>
      <c r="B3051" s="3">
        <v>44841</v>
      </c>
      <c r="C3051" s="1">
        <v>3834666529</v>
      </c>
      <c r="D3051" s="1">
        <v>5858369125</v>
      </c>
      <c r="E3051" s="1">
        <v>9200.59</v>
      </c>
      <c r="F3051" s="1" t="s">
        <v>12</v>
      </c>
      <c r="G3051" s="1" t="s">
        <v>12</v>
      </c>
      <c r="H3051" s="1" t="s">
        <v>13</v>
      </c>
      <c r="I3051" s="1" t="s">
        <v>13</v>
      </c>
      <c r="J3051" s="1" t="s">
        <v>27</v>
      </c>
      <c r="K3051" s="1">
        <v>0</v>
      </c>
      <c r="L3051" s="1" t="s">
        <v>23</v>
      </c>
      <c r="M3051" s="1" t="str">
        <f t="shared" si="47"/>
        <v>Consistent</v>
      </c>
      <c r="N3051" s="1" t="str">
        <f>_xlfn.XLOOKUP(H3051, risk_score!A:A, risk_score!B:B, 0)</f>
        <v>Low Risk</v>
      </c>
    </row>
    <row r="3052" spans="1:14">
      <c r="A3052" s="2">
        <v>0.51993055555555556</v>
      </c>
      <c r="B3052" s="3">
        <v>44841</v>
      </c>
      <c r="C3052" s="1">
        <v>1915450576</v>
      </c>
      <c r="D3052" s="1">
        <v>1662926606</v>
      </c>
      <c r="E3052" s="1">
        <v>5334.84</v>
      </c>
      <c r="F3052" s="1" t="s">
        <v>12</v>
      </c>
      <c r="G3052" s="1" t="s">
        <v>12</v>
      </c>
      <c r="H3052" s="1" t="s">
        <v>13</v>
      </c>
      <c r="I3052" s="1" t="s">
        <v>13</v>
      </c>
      <c r="J3052" s="1" t="s">
        <v>22</v>
      </c>
      <c r="K3052" s="1">
        <v>0</v>
      </c>
      <c r="L3052" s="1" t="s">
        <v>19</v>
      </c>
      <c r="M3052" s="1" t="str">
        <f t="shared" si="47"/>
        <v>Consistent</v>
      </c>
      <c r="N3052" s="1" t="str">
        <f>_xlfn.XLOOKUP(H3052, risk_score!A:A, risk_score!B:B, 0)</f>
        <v>Low Risk</v>
      </c>
    </row>
    <row r="3053" spans="1:14">
      <c r="A3053" s="2">
        <v>0.51995370370370375</v>
      </c>
      <c r="B3053" s="3">
        <v>44841</v>
      </c>
      <c r="C3053" s="1">
        <v>2669265740</v>
      </c>
      <c r="D3053" s="1">
        <v>6223365730</v>
      </c>
      <c r="E3053" s="1">
        <v>10549.18</v>
      </c>
      <c r="F3053" s="1" t="s">
        <v>12</v>
      </c>
      <c r="G3053" s="1" t="s">
        <v>12</v>
      </c>
      <c r="H3053" s="1" t="s">
        <v>13</v>
      </c>
      <c r="I3053" s="1" t="s">
        <v>13</v>
      </c>
      <c r="J3053" s="1" t="s">
        <v>25</v>
      </c>
      <c r="K3053" s="1">
        <v>0</v>
      </c>
      <c r="L3053" s="1" t="s">
        <v>23</v>
      </c>
      <c r="M3053" s="1" t="str">
        <f t="shared" si="47"/>
        <v>Consistent</v>
      </c>
      <c r="N3053" s="1" t="str">
        <f>_xlfn.XLOOKUP(H3053, risk_score!A:A, risk_score!B:B, 0)</f>
        <v>Low Risk</v>
      </c>
    </row>
    <row r="3054" spans="1:14">
      <c r="A3054" s="2">
        <v>0.52</v>
      </c>
      <c r="B3054" s="3">
        <v>44841</v>
      </c>
      <c r="C3054" s="1">
        <v>5477269863</v>
      </c>
      <c r="D3054" s="1">
        <v>910540991</v>
      </c>
      <c r="E3054" s="1">
        <v>3470.55</v>
      </c>
      <c r="F3054" s="1" t="s">
        <v>12</v>
      </c>
      <c r="G3054" s="1" t="s">
        <v>12</v>
      </c>
      <c r="H3054" s="1" t="s">
        <v>13</v>
      </c>
      <c r="I3054" s="1" t="s">
        <v>13</v>
      </c>
      <c r="J3054" s="1" t="s">
        <v>25</v>
      </c>
      <c r="K3054" s="1">
        <v>0</v>
      </c>
      <c r="L3054" s="1" t="s">
        <v>21</v>
      </c>
      <c r="M3054" s="1" t="str">
        <f t="shared" si="47"/>
        <v>Consistent</v>
      </c>
      <c r="N3054" s="1" t="str">
        <f>_xlfn.XLOOKUP(H3054, risk_score!A:A, risk_score!B:B, 0)</f>
        <v>Low Risk</v>
      </c>
    </row>
    <row r="3055" spans="1:14">
      <c r="A3055" s="2">
        <v>0.52</v>
      </c>
      <c r="B3055" s="3">
        <v>44841</v>
      </c>
      <c r="C3055" s="1">
        <v>9398035791</v>
      </c>
      <c r="D3055" s="1">
        <v>7080357663</v>
      </c>
      <c r="E3055" s="1">
        <v>9606.2999999999993</v>
      </c>
      <c r="F3055" s="1" t="s">
        <v>12</v>
      </c>
      <c r="G3055" s="1" t="s">
        <v>12</v>
      </c>
      <c r="H3055" s="1" t="s">
        <v>13</v>
      </c>
      <c r="I3055" s="1" t="s">
        <v>13</v>
      </c>
      <c r="J3055" s="1" t="s">
        <v>25</v>
      </c>
      <c r="K3055" s="1">
        <v>0</v>
      </c>
      <c r="L3055" s="1" t="s">
        <v>23</v>
      </c>
      <c r="M3055" s="1" t="str">
        <f t="shared" si="47"/>
        <v>Consistent</v>
      </c>
      <c r="N3055" s="1" t="str">
        <f>_xlfn.XLOOKUP(H3055, risk_score!A:A, risk_score!B:B, 0)</f>
        <v>Low Risk</v>
      </c>
    </row>
    <row r="3056" spans="1:14">
      <c r="A3056" s="2">
        <v>0.52003472222222225</v>
      </c>
      <c r="B3056" s="3">
        <v>44841</v>
      </c>
      <c r="C3056" s="1">
        <v>1915450576</v>
      </c>
      <c r="D3056" s="1">
        <v>6846852475</v>
      </c>
      <c r="E3056" s="1">
        <v>5273.87</v>
      </c>
      <c r="F3056" s="1" t="s">
        <v>12</v>
      </c>
      <c r="G3056" s="1" t="s">
        <v>12</v>
      </c>
      <c r="H3056" s="1" t="s">
        <v>13</v>
      </c>
      <c r="I3056" s="1" t="s">
        <v>13</v>
      </c>
      <c r="J3056" s="1" t="s">
        <v>22</v>
      </c>
      <c r="K3056" s="1">
        <v>0</v>
      </c>
      <c r="L3056" s="1" t="s">
        <v>19</v>
      </c>
      <c r="M3056" s="1" t="str">
        <f t="shared" si="47"/>
        <v>Consistent</v>
      </c>
      <c r="N3056" s="1" t="str">
        <f>_xlfn.XLOOKUP(H3056, risk_score!A:A, risk_score!B:B, 0)</f>
        <v>Low Risk</v>
      </c>
    </row>
    <row r="3057" spans="1:14">
      <c r="A3057" s="2">
        <v>0.52004629629629628</v>
      </c>
      <c r="B3057" s="3">
        <v>44841</v>
      </c>
      <c r="C3057" s="1">
        <v>7617571232</v>
      </c>
      <c r="D3057" s="1">
        <v>2366367055</v>
      </c>
      <c r="E3057" s="1">
        <v>6074.61</v>
      </c>
      <c r="F3057" s="1" t="s">
        <v>12</v>
      </c>
      <c r="G3057" s="1" t="s">
        <v>12</v>
      </c>
      <c r="H3057" s="1" t="s">
        <v>13</v>
      </c>
      <c r="I3057" s="1" t="s">
        <v>13</v>
      </c>
      <c r="J3057" s="1" t="s">
        <v>22</v>
      </c>
      <c r="K3057" s="1">
        <v>0</v>
      </c>
      <c r="L3057" s="1" t="s">
        <v>21</v>
      </c>
      <c r="M3057" s="1" t="str">
        <f t="shared" si="47"/>
        <v>Consistent</v>
      </c>
      <c r="N3057" s="1" t="str">
        <f>_xlfn.XLOOKUP(H3057, risk_score!A:A, risk_score!B:B, 0)</f>
        <v>Low Risk</v>
      </c>
    </row>
    <row r="3058" spans="1:14">
      <c r="A3058" s="2">
        <v>0.52008101851851851</v>
      </c>
      <c r="B3058" s="3">
        <v>44841</v>
      </c>
      <c r="C3058" s="1">
        <v>3961959856</v>
      </c>
      <c r="D3058" s="1">
        <v>1431561040</v>
      </c>
      <c r="E3058" s="1">
        <v>8182.41</v>
      </c>
      <c r="F3058" s="1" t="s">
        <v>12</v>
      </c>
      <c r="G3058" s="1" t="s">
        <v>12</v>
      </c>
      <c r="H3058" s="1" t="s">
        <v>13</v>
      </c>
      <c r="I3058" s="1" t="s">
        <v>13</v>
      </c>
      <c r="J3058" s="1" t="s">
        <v>27</v>
      </c>
      <c r="K3058" s="1">
        <v>0</v>
      </c>
      <c r="L3058" s="1" t="s">
        <v>23</v>
      </c>
      <c r="M3058" s="1" t="str">
        <f t="shared" si="47"/>
        <v>Consistent</v>
      </c>
      <c r="N3058" s="1" t="str">
        <f>_xlfn.XLOOKUP(H3058, risk_score!A:A, risk_score!B:B, 0)</f>
        <v>Low Risk</v>
      </c>
    </row>
    <row r="3059" spans="1:14">
      <c r="A3059" s="2">
        <v>0.5201041666666667</v>
      </c>
      <c r="B3059" s="3">
        <v>44841</v>
      </c>
      <c r="C3059" s="1">
        <v>2360438838</v>
      </c>
      <c r="D3059" s="1">
        <v>3299303649</v>
      </c>
      <c r="E3059" s="1">
        <v>3476.22</v>
      </c>
      <c r="F3059" s="1" t="s">
        <v>12</v>
      </c>
      <c r="G3059" s="1" t="s">
        <v>12</v>
      </c>
      <c r="H3059" s="1" t="s">
        <v>13</v>
      </c>
      <c r="I3059" s="1" t="s">
        <v>13</v>
      </c>
      <c r="J3059" s="1" t="s">
        <v>25</v>
      </c>
      <c r="K3059" s="1">
        <v>0</v>
      </c>
      <c r="L3059" s="1" t="s">
        <v>21</v>
      </c>
      <c r="M3059" s="1" t="str">
        <f t="shared" si="47"/>
        <v>Consistent</v>
      </c>
      <c r="N3059" s="1" t="str">
        <f>_xlfn.XLOOKUP(H3059, risk_score!A:A, risk_score!B:B, 0)</f>
        <v>Low Risk</v>
      </c>
    </row>
    <row r="3060" spans="1:14">
      <c r="A3060" s="2">
        <v>0.52011574074074074</v>
      </c>
      <c r="B3060" s="3">
        <v>44841</v>
      </c>
      <c r="C3060" s="1">
        <v>8263217169</v>
      </c>
      <c r="D3060" s="1">
        <v>8598564263</v>
      </c>
      <c r="E3060" s="1">
        <v>5060.2299999999996</v>
      </c>
      <c r="F3060" s="1" t="s">
        <v>12</v>
      </c>
      <c r="G3060" s="1" t="s">
        <v>12</v>
      </c>
      <c r="H3060" s="1" t="s">
        <v>13</v>
      </c>
      <c r="I3060" s="1" t="s">
        <v>13</v>
      </c>
      <c r="J3060" s="1" t="s">
        <v>20</v>
      </c>
      <c r="K3060" s="1">
        <v>0</v>
      </c>
      <c r="L3060" s="1" t="s">
        <v>21</v>
      </c>
      <c r="M3060" s="1" t="str">
        <f t="shared" si="47"/>
        <v>Consistent</v>
      </c>
      <c r="N3060" s="1" t="str">
        <f>_xlfn.XLOOKUP(H3060, risk_score!A:A, risk_score!B:B, 0)</f>
        <v>Low Risk</v>
      </c>
    </row>
    <row r="3061" spans="1:14">
      <c r="A3061" s="2">
        <v>0.52011574074074074</v>
      </c>
      <c r="B3061" s="3">
        <v>44841</v>
      </c>
      <c r="C3061" s="1">
        <v>5976390544</v>
      </c>
      <c r="D3061" s="1">
        <v>8046124742</v>
      </c>
      <c r="E3061" s="1">
        <v>3230.6</v>
      </c>
      <c r="F3061" s="1" t="s">
        <v>12</v>
      </c>
      <c r="G3061" s="1" t="s">
        <v>12</v>
      </c>
      <c r="H3061" s="1" t="s">
        <v>13</v>
      </c>
      <c r="I3061" s="1" t="s">
        <v>13</v>
      </c>
      <c r="J3061" s="1" t="s">
        <v>20</v>
      </c>
      <c r="K3061" s="1">
        <v>0</v>
      </c>
      <c r="L3061" s="1" t="s">
        <v>21</v>
      </c>
      <c r="M3061" s="1" t="str">
        <f t="shared" si="47"/>
        <v>Consistent</v>
      </c>
      <c r="N3061" s="1" t="str">
        <f>_xlfn.XLOOKUP(H3061, risk_score!A:A, risk_score!B:B, 0)</f>
        <v>Low Risk</v>
      </c>
    </row>
    <row r="3062" spans="1:14">
      <c r="A3062" s="2">
        <v>0.52013888888888893</v>
      </c>
      <c r="B3062" s="3">
        <v>44841</v>
      </c>
      <c r="C3062" s="1">
        <v>7501327339</v>
      </c>
      <c r="D3062" s="1">
        <v>9329185542</v>
      </c>
      <c r="E3062" s="1">
        <v>29576.71</v>
      </c>
      <c r="F3062" s="1" t="s">
        <v>12</v>
      </c>
      <c r="G3062" s="1" t="s">
        <v>12</v>
      </c>
      <c r="H3062" s="1" t="s">
        <v>13</v>
      </c>
      <c r="I3062" s="1" t="s">
        <v>13</v>
      </c>
      <c r="J3062" s="1" t="s">
        <v>25</v>
      </c>
      <c r="K3062" s="1">
        <v>0</v>
      </c>
      <c r="L3062" s="1" t="s">
        <v>19</v>
      </c>
      <c r="M3062" s="1" t="str">
        <f t="shared" si="47"/>
        <v>Consistent</v>
      </c>
      <c r="N3062" s="1" t="str">
        <f>_xlfn.XLOOKUP(H3062, risk_score!A:A, risk_score!B:B, 0)</f>
        <v>Low Risk</v>
      </c>
    </row>
    <row r="3063" spans="1:14">
      <c r="A3063" s="2">
        <v>0.52015046296296297</v>
      </c>
      <c r="B3063" s="3">
        <v>44841</v>
      </c>
      <c r="C3063" s="1">
        <v>1420916586</v>
      </c>
      <c r="D3063" s="1">
        <v>6069927293</v>
      </c>
      <c r="E3063" s="1">
        <v>13031.89</v>
      </c>
      <c r="F3063" s="1" t="s">
        <v>12</v>
      </c>
      <c r="G3063" s="1" t="s">
        <v>12</v>
      </c>
      <c r="H3063" s="1" t="s">
        <v>13</v>
      </c>
      <c r="I3063" s="1" t="s">
        <v>13</v>
      </c>
      <c r="J3063" s="1" t="s">
        <v>27</v>
      </c>
      <c r="K3063" s="1">
        <v>0</v>
      </c>
      <c r="L3063" s="1" t="s">
        <v>21</v>
      </c>
      <c r="M3063" s="1" t="str">
        <f t="shared" si="47"/>
        <v>Consistent</v>
      </c>
      <c r="N3063" s="1" t="str">
        <f>_xlfn.XLOOKUP(H3063, risk_score!A:A, risk_score!B:B, 0)</f>
        <v>Low Risk</v>
      </c>
    </row>
    <row r="3064" spans="1:14">
      <c r="A3064" s="2">
        <v>0.52016203703703701</v>
      </c>
      <c r="B3064" s="3">
        <v>44841</v>
      </c>
      <c r="C3064" s="1">
        <v>5728911821</v>
      </c>
      <c r="D3064" s="1">
        <v>3712652442</v>
      </c>
      <c r="E3064" s="1">
        <v>1536.52</v>
      </c>
      <c r="F3064" s="1" t="s">
        <v>12</v>
      </c>
      <c r="G3064" s="1" t="s">
        <v>12</v>
      </c>
      <c r="H3064" s="1" t="s">
        <v>13</v>
      </c>
      <c r="I3064" s="1" t="s">
        <v>13</v>
      </c>
      <c r="J3064" s="1" t="s">
        <v>22</v>
      </c>
      <c r="K3064" s="1">
        <v>0</v>
      </c>
      <c r="L3064" s="1" t="s">
        <v>21</v>
      </c>
      <c r="M3064" s="1" t="str">
        <f t="shared" si="47"/>
        <v>Consistent</v>
      </c>
      <c r="N3064" s="1" t="str">
        <f>_xlfn.XLOOKUP(H3064, risk_score!A:A, risk_score!B:B, 0)</f>
        <v>Low Risk</v>
      </c>
    </row>
    <row r="3065" spans="1:14">
      <c r="A3065" s="2">
        <v>0.52019675925925923</v>
      </c>
      <c r="B3065" s="3">
        <v>44841</v>
      </c>
      <c r="C3065" s="1">
        <v>190346689</v>
      </c>
      <c r="D3065" s="1">
        <v>5103043844</v>
      </c>
      <c r="E3065" s="1">
        <v>6430.55</v>
      </c>
      <c r="F3065" s="1" t="s">
        <v>12</v>
      </c>
      <c r="G3065" s="1" t="s">
        <v>44</v>
      </c>
      <c r="H3065" s="1" t="s">
        <v>13</v>
      </c>
      <c r="I3065" s="1" t="s">
        <v>45</v>
      </c>
      <c r="J3065" s="1" t="s">
        <v>18</v>
      </c>
      <c r="K3065" s="1">
        <v>0</v>
      </c>
      <c r="L3065" s="1" t="s">
        <v>23</v>
      </c>
      <c r="M3065" s="1" t="str">
        <f t="shared" si="47"/>
        <v>Potential Layering</v>
      </c>
      <c r="N3065" s="1" t="str">
        <f>_xlfn.XLOOKUP(H3065, risk_score!A:A, risk_score!B:B, 0)</f>
        <v>Low Risk</v>
      </c>
    </row>
    <row r="3066" spans="1:14">
      <c r="A3066" s="2">
        <v>0.5202430555555555</v>
      </c>
      <c r="B3066" s="3">
        <v>44841</v>
      </c>
      <c r="C3066" s="1">
        <v>8840065859</v>
      </c>
      <c r="D3066" s="1">
        <v>1493040691</v>
      </c>
      <c r="E3066" s="1">
        <v>14496</v>
      </c>
      <c r="F3066" s="1" t="s">
        <v>12</v>
      </c>
      <c r="G3066" s="1" t="s">
        <v>12</v>
      </c>
      <c r="H3066" s="1" t="s">
        <v>13</v>
      </c>
      <c r="I3066" s="1" t="s">
        <v>13</v>
      </c>
      <c r="J3066" s="1" t="s">
        <v>27</v>
      </c>
      <c r="K3066" s="1">
        <v>0</v>
      </c>
      <c r="L3066" s="1" t="s">
        <v>21</v>
      </c>
      <c r="M3066" s="1" t="str">
        <f t="shared" si="47"/>
        <v>Consistent</v>
      </c>
      <c r="N3066" s="1" t="str">
        <f>_xlfn.XLOOKUP(H3066, risk_score!A:A, risk_score!B:B, 0)</f>
        <v>Low Risk</v>
      </c>
    </row>
    <row r="3067" spans="1:14">
      <c r="A3067" s="2">
        <v>0.52026620370370369</v>
      </c>
      <c r="B3067" s="3">
        <v>44841</v>
      </c>
      <c r="C3067" s="1">
        <v>4127110053</v>
      </c>
      <c r="D3067" s="1">
        <v>6947426291</v>
      </c>
      <c r="E3067" s="1">
        <v>15358.01</v>
      </c>
      <c r="F3067" s="1" t="s">
        <v>12</v>
      </c>
      <c r="G3067" s="1" t="s">
        <v>12</v>
      </c>
      <c r="H3067" s="1" t="s">
        <v>13</v>
      </c>
      <c r="I3067" s="1" t="s">
        <v>13</v>
      </c>
      <c r="J3067" s="1" t="s">
        <v>25</v>
      </c>
      <c r="K3067" s="1">
        <v>0</v>
      </c>
      <c r="L3067" s="1" t="s">
        <v>21</v>
      </c>
      <c r="M3067" s="1" t="str">
        <f t="shared" si="47"/>
        <v>Consistent</v>
      </c>
      <c r="N3067" s="1" t="str">
        <f>_xlfn.XLOOKUP(H3067, risk_score!A:A, risk_score!B:B, 0)</f>
        <v>Low Risk</v>
      </c>
    </row>
    <row r="3068" spans="1:14">
      <c r="A3068" s="2">
        <v>0.52026620370370369</v>
      </c>
      <c r="B3068" s="3">
        <v>44841</v>
      </c>
      <c r="C3068" s="1">
        <v>7403622016</v>
      </c>
      <c r="D3068" s="1">
        <v>3919851582</v>
      </c>
      <c r="E3068" s="1">
        <v>2065.11</v>
      </c>
      <c r="F3068" s="1" t="s">
        <v>12</v>
      </c>
      <c r="G3068" s="1" t="s">
        <v>12</v>
      </c>
      <c r="H3068" s="1" t="s">
        <v>13</v>
      </c>
      <c r="I3068" s="1" t="s">
        <v>13</v>
      </c>
      <c r="J3068" s="1" t="s">
        <v>25</v>
      </c>
      <c r="K3068" s="1">
        <v>0</v>
      </c>
      <c r="L3068" s="1" t="s">
        <v>24</v>
      </c>
      <c r="M3068" s="1" t="str">
        <f t="shared" si="47"/>
        <v>Consistent</v>
      </c>
      <c r="N3068" s="1" t="str">
        <f>_xlfn.XLOOKUP(H3068, risk_score!A:A, risk_score!B:B, 0)</f>
        <v>Low Risk</v>
      </c>
    </row>
    <row r="3069" spans="1:14">
      <c r="A3069" s="2">
        <v>0.52028935185185188</v>
      </c>
      <c r="B3069" s="3">
        <v>44841</v>
      </c>
      <c r="C3069" s="1">
        <v>2612483529</v>
      </c>
      <c r="D3069" s="1">
        <v>4336977506</v>
      </c>
      <c r="E3069" s="1">
        <v>20974.29</v>
      </c>
      <c r="F3069" s="1" t="s">
        <v>12</v>
      </c>
      <c r="G3069" s="1" t="s">
        <v>12</v>
      </c>
      <c r="H3069" s="1" t="s">
        <v>13</v>
      </c>
      <c r="I3069" s="1" t="s">
        <v>13</v>
      </c>
      <c r="J3069" s="1" t="s">
        <v>27</v>
      </c>
      <c r="K3069" s="1">
        <v>0</v>
      </c>
      <c r="L3069" s="1" t="s">
        <v>23</v>
      </c>
      <c r="M3069" s="1" t="str">
        <f t="shared" si="47"/>
        <v>Consistent</v>
      </c>
      <c r="N3069" s="1" t="str">
        <f>_xlfn.XLOOKUP(H3069, risk_score!A:A, risk_score!B:B, 0)</f>
        <v>Low Risk</v>
      </c>
    </row>
    <row r="3070" spans="1:14">
      <c r="A3070" s="2">
        <v>0.52030092592592592</v>
      </c>
      <c r="B3070" s="3">
        <v>44841</v>
      </c>
      <c r="C3070" s="1">
        <v>1098207461</v>
      </c>
      <c r="D3070" s="1">
        <v>2360303796</v>
      </c>
      <c r="E3070" s="1">
        <v>1590.55</v>
      </c>
      <c r="F3070" s="1" t="s">
        <v>12</v>
      </c>
      <c r="G3070" s="1" t="s">
        <v>12</v>
      </c>
      <c r="H3070" s="1" t="s">
        <v>13</v>
      </c>
      <c r="I3070" s="1" t="s">
        <v>13</v>
      </c>
      <c r="J3070" s="1" t="s">
        <v>25</v>
      </c>
      <c r="K3070" s="1">
        <v>0</v>
      </c>
      <c r="L3070" s="1" t="s">
        <v>21</v>
      </c>
      <c r="M3070" s="1" t="str">
        <f t="shared" si="47"/>
        <v>Consistent</v>
      </c>
      <c r="N3070" s="1" t="str">
        <f>_xlfn.XLOOKUP(H3070, risk_score!A:A, risk_score!B:B, 0)</f>
        <v>Low Risk</v>
      </c>
    </row>
    <row r="3071" spans="1:14">
      <c r="A3071" s="2">
        <v>0.52034722222222218</v>
      </c>
      <c r="B3071" s="3">
        <v>44841</v>
      </c>
      <c r="C3071" s="1">
        <v>6340553384</v>
      </c>
      <c r="D3071" s="1">
        <v>8409585096</v>
      </c>
      <c r="E3071" s="1">
        <v>2911.42</v>
      </c>
      <c r="F3071" s="1" t="s">
        <v>12</v>
      </c>
      <c r="G3071" s="1" t="s">
        <v>12</v>
      </c>
      <c r="H3071" s="1" t="s">
        <v>13</v>
      </c>
      <c r="I3071" s="1" t="s">
        <v>13</v>
      </c>
      <c r="J3071" s="1" t="s">
        <v>20</v>
      </c>
      <c r="K3071" s="1">
        <v>0</v>
      </c>
      <c r="L3071" s="1" t="s">
        <v>21</v>
      </c>
      <c r="M3071" s="1" t="str">
        <f t="shared" si="47"/>
        <v>Consistent</v>
      </c>
      <c r="N3071" s="1" t="str">
        <f>_xlfn.XLOOKUP(H3071, risk_score!A:A, risk_score!B:B, 0)</f>
        <v>Low Risk</v>
      </c>
    </row>
    <row r="3072" spans="1:14">
      <c r="A3072" s="2">
        <v>0.52034722222222218</v>
      </c>
      <c r="B3072" s="3">
        <v>44841</v>
      </c>
      <c r="C3072" s="1">
        <v>4576907003</v>
      </c>
      <c r="D3072" s="1">
        <v>2433353791</v>
      </c>
      <c r="E3072" s="1">
        <v>317.11</v>
      </c>
      <c r="F3072" s="1" t="s">
        <v>12</v>
      </c>
      <c r="G3072" s="1" t="s">
        <v>12</v>
      </c>
      <c r="H3072" s="1" t="s">
        <v>13</v>
      </c>
      <c r="I3072" s="1" t="s">
        <v>13</v>
      </c>
      <c r="J3072" s="1" t="s">
        <v>25</v>
      </c>
      <c r="K3072" s="1">
        <v>0</v>
      </c>
      <c r="L3072" s="1" t="s">
        <v>21</v>
      </c>
      <c r="M3072" s="1" t="str">
        <f t="shared" si="47"/>
        <v>Consistent</v>
      </c>
      <c r="N3072" s="1" t="str">
        <f>_xlfn.XLOOKUP(H3072, risk_score!A:A, risk_score!B:B, 0)</f>
        <v>Low Risk</v>
      </c>
    </row>
    <row r="3073" spans="1:14">
      <c r="A3073" s="2">
        <v>0.5204050925925926</v>
      </c>
      <c r="B3073" s="3">
        <v>44841</v>
      </c>
      <c r="C3073" s="1">
        <v>8925130468</v>
      </c>
      <c r="D3073" s="1">
        <v>3079818547</v>
      </c>
      <c r="E3073" s="1">
        <v>12744.68</v>
      </c>
      <c r="F3073" s="1" t="s">
        <v>12</v>
      </c>
      <c r="G3073" s="1" t="s">
        <v>12</v>
      </c>
      <c r="H3073" s="1" t="s">
        <v>13</v>
      </c>
      <c r="I3073" s="1" t="s">
        <v>13</v>
      </c>
      <c r="J3073" s="1" t="s">
        <v>20</v>
      </c>
      <c r="K3073" s="1">
        <v>0</v>
      </c>
      <c r="L3073" s="1" t="s">
        <v>23</v>
      </c>
      <c r="M3073" s="1" t="str">
        <f t="shared" si="47"/>
        <v>Consistent</v>
      </c>
      <c r="N3073" s="1" t="str">
        <f>_xlfn.XLOOKUP(H3073, risk_score!A:A, risk_score!B:B, 0)</f>
        <v>Low Risk</v>
      </c>
    </row>
    <row r="3074" spans="1:14">
      <c r="A3074" s="2">
        <v>0.52041666666666664</v>
      </c>
      <c r="B3074" s="3">
        <v>44841</v>
      </c>
      <c r="C3074" s="1">
        <v>391301170</v>
      </c>
      <c r="D3074" s="1">
        <v>774169166</v>
      </c>
      <c r="E3074" s="1">
        <v>635.66</v>
      </c>
      <c r="F3074" s="1" t="s">
        <v>12</v>
      </c>
      <c r="G3074" s="1" t="s">
        <v>26</v>
      </c>
      <c r="H3074" s="1" t="s">
        <v>13</v>
      </c>
      <c r="I3074" s="1" t="s">
        <v>56</v>
      </c>
      <c r="J3074" s="1" t="s">
        <v>18</v>
      </c>
      <c r="K3074" s="1">
        <v>0</v>
      </c>
      <c r="L3074" s="1" t="s">
        <v>21</v>
      </c>
      <c r="M3074" s="1" t="str">
        <f t="shared" si="47"/>
        <v>Potential Layering</v>
      </c>
      <c r="N3074" s="1" t="str">
        <f>_xlfn.XLOOKUP(H3074, risk_score!A:A, risk_score!B:B, 0)</f>
        <v>Low Risk</v>
      </c>
    </row>
    <row r="3075" spans="1:14">
      <c r="A3075" s="2">
        <v>0.52043981481481483</v>
      </c>
      <c r="B3075" s="3">
        <v>44841</v>
      </c>
      <c r="C3075" s="1">
        <v>8854033602</v>
      </c>
      <c r="D3075" s="1">
        <v>9258433900</v>
      </c>
      <c r="E3075" s="1">
        <v>5478.75</v>
      </c>
      <c r="F3075" s="1" t="s">
        <v>12</v>
      </c>
      <c r="G3075" s="1" t="s">
        <v>12</v>
      </c>
      <c r="H3075" s="1" t="s">
        <v>13</v>
      </c>
      <c r="I3075" s="1" t="s">
        <v>13</v>
      </c>
      <c r="J3075" s="1" t="s">
        <v>22</v>
      </c>
      <c r="K3075" s="1">
        <v>0</v>
      </c>
      <c r="L3075" s="1" t="s">
        <v>21</v>
      </c>
      <c r="M3075" s="1" t="str">
        <f t="shared" ref="M3075:M3138" si="48">IF(F3075=G3075, "Consistent", "Potential Layering")</f>
        <v>Consistent</v>
      </c>
      <c r="N3075" s="1" t="str">
        <f>_xlfn.XLOOKUP(H3075, risk_score!A:A, risk_score!B:B, 0)</f>
        <v>Low Risk</v>
      </c>
    </row>
    <row r="3076" spans="1:14">
      <c r="A3076" s="2">
        <v>0.52047453703703705</v>
      </c>
      <c r="B3076" s="3">
        <v>44841</v>
      </c>
      <c r="C3076" s="1">
        <v>8929963659</v>
      </c>
      <c r="D3076" s="1">
        <v>8956773426</v>
      </c>
      <c r="E3076" s="1">
        <v>2817.67</v>
      </c>
      <c r="F3076" s="1" t="s">
        <v>12</v>
      </c>
      <c r="G3076" s="1" t="s">
        <v>12</v>
      </c>
      <c r="H3076" s="1" t="s">
        <v>13</v>
      </c>
      <c r="I3076" s="1" t="s">
        <v>13</v>
      </c>
      <c r="J3076" s="1" t="s">
        <v>20</v>
      </c>
      <c r="K3076" s="1">
        <v>0</v>
      </c>
      <c r="L3076" s="1" t="s">
        <v>21</v>
      </c>
      <c r="M3076" s="1" t="str">
        <f t="shared" si="48"/>
        <v>Consistent</v>
      </c>
      <c r="N3076" s="1" t="str">
        <f>_xlfn.XLOOKUP(H3076, risk_score!A:A, risk_score!B:B, 0)</f>
        <v>Low Risk</v>
      </c>
    </row>
    <row r="3077" spans="1:14">
      <c r="A3077" s="2">
        <v>0.52049768518518513</v>
      </c>
      <c r="B3077" s="3">
        <v>44841</v>
      </c>
      <c r="C3077" s="1">
        <v>6316931980</v>
      </c>
      <c r="D3077" s="1">
        <v>8767395048</v>
      </c>
      <c r="E3077" s="1">
        <v>2161.54</v>
      </c>
      <c r="F3077" s="1" t="s">
        <v>12</v>
      </c>
      <c r="G3077" s="1" t="s">
        <v>12</v>
      </c>
      <c r="H3077" s="1" t="s">
        <v>13</v>
      </c>
      <c r="I3077" s="1" t="s">
        <v>13</v>
      </c>
      <c r="J3077" s="1" t="s">
        <v>20</v>
      </c>
      <c r="K3077" s="1">
        <v>0</v>
      </c>
      <c r="L3077" s="1" t="s">
        <v>21</v>
      </c>
      <c r="M3077" s="1" t="str">
        <f t="shared" si="48"/>
        <v>Consistent</v>
      </c>
      <c r="N3077" s="1" t="str">
        <f>_xlfn.XLOOKUP(H3077, risk_score!A:A, risk_score!B:B, 0)</f>
        <v>Low Risk</v>
      </c>
    </row>
    <row r="3078" spans="1:14">
      <c r="A3078" s="2">
        <v>0.52049768518518513</v>
      </c>
      <c r="B3078" s="3">
        <v>44841</v>
      </c>
      <c r="C3078" s="1">
        <v>9257555964</v>
      </c>
      <c r="D3078" s="1">
        <v>5575082922</v>
      </c>
      <c r="E3078" s="1">
        <v>437.18</v>
      </c>
      <c r="F3078" s="1" t="s">
        <v>12</v>
      </c>
      <c r="G3078" s="1" t="s">
        <v>12</v>
      </c>
      <c r="H3078" s="1" t="s">
        <v>13</v>
      </c>
      <c r="I3078" s="1" t="s">
        <v>13</v>
      </c>
      <c r="J3078" s="1" t="s">
        <v>25</v>
      </c>
      <c r="K3078" s="1">
        <v>0</v>
      </c>
      <c r="L3078" s="1" t="s">
        <v>21</v>
      </c>
      <c r="M3078" s="1" t="str">
        <f t="shared" si="48"/>
        <v>Consistent</v>
      </c>
      <c r="N3078" s="1" t="str">
        <f>_xlfn.XLOOKUP(H3078, risk_score!A:A, risk_score!B:B, 0)</f>
        <v>Low Risk</v>
      </c>
    </row>
    <row r="3079" spans="1:14">
      <c r="A3079" s="2">
        <v>0.52054398148148151</v>
      </c>
      <c r="B3079" s="3">
        <v>44841</v>
      </c>
      <c r="C3079" s="1">
        <v>9737815066</v>
      </c>
      <c r="D3079" s="1">
        <v>4293580479</v>
      </c>
      <c r="E3079" s="1">
        <v>11101.83</v>
      </c>
      <c r="F3079" s="1" t="s">
        <v>12</v>
      </c>
      <c r="G3079" s="1" t="s">
        <v>12</v>
      </c>
      <c r="H3079" s="1" t="s">
        <v>13</v>
      </c>
      <c r="I3079" s="1" t="s">
        <v>13</v>
      </c>
      <c r="J3079" s="1" t="s">
        <v>25</v>
      </c>
      <c r="K3079" s="1">
        <v>0</v>
      </c>
      <c r="L3079" s="1" t="s">
        <v>23</v>
      </c>
      <c r="M3079" s="1" t="str">
        <f t="shared" si="48"/>
        <v>Consistent</v>
      </c>
      <c r="N3079" s="1" t="str">
        <f>_xlfn.XLOOKUP(H3079, risk_score!A:A, risk_score!B:B, 0)</f>
        <v>Low Risk</v>
      </c>
    </row>
    <row r="3080" spans="1:14">
      <c r="A3080" s="2">
        <v>0.52054398148148151</v>
      </c>
      <c r="B3080" s="3">
        <v>44841</v>
      </c>
      <c r="C3080" s="1">
        <v>7501327339</v>
      </c>
      <c r="D3080" s="1">
        <v>6987770930</v>
      </c>
      <c r="E3080" s="1">
        <v>7047.58</v>
      </c>
      <c r="F3080" s="1" t="s">
        <v>12</v>
      </c>
      <c r="G3080" s="1" t="s">
        <v>12</v>
      </c>
      <c r="H3080" s="1" t="s">
        <v>13</v>
      </c>
      <c r="I3080" s="1" t="s">
        <v>13</v>
      </c>
      <c r="J3080" s="1" t="s">
        <v>27</v>
      </c>
      <c r="K3080" s="1">
        <v>0</v>
      </c>
      <c r="L3080" s="1" t="s">
        <v>19</v>
      </c>
      <c r="M3080" s="1" t="str">
        <f t="shared" si="48"/>
        <v>Consistent</v>
      </c>
      <c r="N3080" s="1" t="str">
        <f>_xlfn.XLOOKUP(H3080, risk_score!A:A, risk_score!B:B, 0)</f>
        <v>Low Risk</v>
      </c>
    </row>
    <row r="3081" spans="1:14">
      <c r="A3081" s="2">
        <v>0.52067129629629627</v>
      </c>
      <c r="B3081" s="3">
        <v>44841</v>
      </c>
      <c r="C3081" s="1">
        <v>3168051873</v>
      </c>
      <c r="D3081" s="1">
        <v>9757535272</v>
      </c>
      <c r="E3081" s="1">
        <v>11267.7</v>
      </c>
      <c r="F3081" s="1" t="s">
        <v>12</v>
      </c>
      <c r="G3081" s="1" t="s">
        <v>12</v>
      </c>
      <c r="H3081" s="1" t="s">
        <v>13</v>
      </c>
      <c r="I3081" s="1" t="s">
        <v>13</v>
      </c>
      <c r="J3081" s="1" t="s">
        <v>20</v>
      </c>
      <c r="K3081" s="1">
        <v>0</v>
      </c>
      <c r="L3081" s="1" t="s">
        <v>19</v>
      </c>
      <c r="M3081" s="1" t="str">
        <f t="shared" si="48"/>
        <v>Consistent</v>
      </c>
      <c r="N3081" s="1" t="str">
        <f>_xlfn.XLOOKUP(H3081, risk_score!A:A, risk_score!B:B, 0)</f>
        <v>Low Risk</v>
      </c>
    </row>
    <row r="3082" spans="1:14">
      <c r="A3082" s="2">
        <v>0.52068287037037042</v>
      </c>
      <c r="B3082" s="3">
        <v>44841</v>
      </c>
      <c r="C3082" s="1">
        <v>3280590413</v>
      </c>
      <c r="D3082" s="1">
        <v>4707306046</v>
      </c>
      <c r="E3082" s="1">
        <v>611.83000000000004</v>
      </c>
      <c r="F3082" s="1" t="s">
        <v>12</v>
      </c>
      <c r="G3082" s="1" t="s">
        <v>12</v>
      </c>
      <c r="H3082" s="1" t="s">
        <v>13</v>
      </c>
      <c r="I3082" s="1" t="s">
        <v>13</v>
      </c>
      <c r="J3082" s="1" t="s">
        <v>25</v>
      </c>
      <c r="K3082" s="1">
        <v>0</v>
      </c>
      <c r="L3082" s="1" t="s">
        <v>21</v>
      </c>
      <c r="M3082" s="1" t="str">
        <f t="shared" si="48"/>
        <v>Consistent</v>
      </c>
      <c r="N3082" s="1" t="str">
        <f>_xlfn.XLOOKUP(H3082, risk_score!A:A, risk_score!B:B, 0)</f>
        <v>Low Risk</v>
      </c>
    </row>
    <row r="3083" spans="1:14">
      <c r="A3083" s="2">
        <v>0.52072916666666669</v>
      </c>
      <c r="B3083" s="3">
        <v>44841</v>
      </c>
      <c r="C3083" s="1">
        <v>3556806365</v>
      </c>
      <c r="D3083" s="1">
        <v>9776568873</v>
      </c>
      <c r="E3083" s="1">
        <v>3701.75</v>
      </c>
      <c r="F3083" s="1" t="s">
        <v>12</v>
      </c>
      <c r="G3083" s="1" t="s">
        <v>12</v>
      </c>
      <c r="H3083" s="1" t="s">
        <v>13</v>
      </c>
      <c r="I3083" s="1" t="s">
        <v>13</v>
      </c>
      <c r="J3083" s="1" t="s">
        <v>22</v>
      </c>
      <c r="K3083" s="1">
        <v>0</v>
      </c>
      <c r="L3083" s="1" t="s">
        <v>21</v>
      </c>
      <c r="M3083" s="1" t="str">
        <f t="shared" si="48"/>
        <v>Consistent</v>
      </c>
      <c r="N3083" s="1" t="str">
        <f>_xlfn.XLOOKUP(H3083, risk_score!A:A, risk_score!B:B, 0)</f>
        <v>Low Risk</v>
      </c>
    </row>
    <row r="3084" spans="1:14">
      <c r="A3084" s="2">
        <v>0.52074074074074073</v>
      </c>
      <c r="B3084" s="3">
        <v>44841</v>
      </c>
      <c r="C3084" s="1">
        <v>2020144767</v>
      </c>
      <c r="D3084" s="1">
        <v>6581153496</v>
      </c>
      <c r="E3084" s="1">
        <v>353.59</v>
      </c>
      <c r="F3084" s="1" t="s">
        <v>12</v>
      </c>
      <c r="G3084" s="1" t="s">
        <v>12</v>
      </c>
      <c r="H3084" s="1" t="s">
        <v>13</v>
      </c>
      <c r="I3084" s="1" t="s">
        <v>13</v>
      </c>
      <c r="J3084" s="1" t="s">
        <v>25</v>
      </c>
      <c r="K3084" s="1">
        <v>0</v>
      </c>
      <c r="L3084" s="1" t="s">
        <v>21</v>
      </c>
      <c r="M3084" s="1" t="str">
        <f t="shared" si="48"/>
        <v>Consistent</v>
      </c>
      <c r="N3084" s="1" t="str">
        <f>_xlfn.XLOOKUP(H3084, risk_score!A:A, risk_score!B:B, 0)</f>
        <v>Low Risk</v>
      </c>
    </row>
    <row r="3085" spans="1:14">
      <c r="A3085" s="2">
        <v>0.52075231481481477</v>
      </c>
      <c r="B3085" s="3">
        <v>44841</v>
      </c>
      <c r="C3085" s="1">
        <v>7758268667</v>
      </c>
      <c r="D3085" s="1">
        <v>8992041252</v>
      </c>
      <c r="E3085" s="1">
        <v>7630.69</v>
      </c>
      <c r="F3085" s="1" t="s">
        <v>12</v>
      </c>
      <c r="G3085" s="1" t="s">
        <v>12</v>
      </c>
      <c r="H3085" s="1" t="s">
        <v>13</v>
      </c>
      <c r="I3085" s="1" t="s">
        <v>13</v>
      </c>
      <c r="J3085" s="1" t="s">
        <v>20</v>
      </c>
      <c r="K3085" s="1">
        <v>0</v>
      </c>
      <c r="L3085" s="1" t="s">
        <v>19</v>
      </c>
      <c r="M3085" s="1" t="str">
        <f t="shared" si="48"/>
        <v>Consistent</v>
      </c>
      <c r="N3085" s="1" t="str">
        <f>_xlfn.XLOOKUP(H3085, risk_score!A:A, risk_score!B:B, 0)</f>
        <v>Low Risk</v>
      </c>
    </row>
    <row r="3086" spans="1:14">
      <c r="A3086" s="2">
        <v>0.52077546296296295</v>
      </c>
      <c r="B3086" s="3">
        <v>44841</v>
      </c>
      <c r="C3086" s="1">
        <v>2668490608</v>
      </c>
      <c r="D3086" s="1">
        <v>6128849878</v>
      </c>
      <c r="E3086" s="1">
        <v>1154.6600000000001</v>
      </c>
      <c r="F3086" s="1" t="s">
        <v>12</v>
      </c>
      <c r="G3086" s="1" t="s">
        <v>12</v>
      </c>
      <c r="H3086" s="1" t="s">
        <v>13</v>
      </c>
      <c r="I3086" s="1" t="s">
        <v>13</v>
      </c>
      <c r="J3086" s="1" t="s">
        <v>25</v>
      </c>
      <c r="K3086" s="1">
        <v>0</v>
      </c>
      <c r="L3086" s="1" t="s">
        <v>21</v>
      </c>
      <c r="M3086" s="1" t="str">
        <f t="shared" si="48"/>
        <v>Consistent</v>
      </c>
      <c r="N3086" s="1" t="str">
        <f>_xlfn.XLOOKUP(H3086, risk_score!A:A, risk_score!B:B, 0)</f>
        <v>Low Risk</v>
      </c>
    </row>
    <row r="3087" spans="1:14">
      <c r="A3087" s="2">
        <v>0.52078703703703699</v>
      </c>
      <c r="B3087" s="3">
        <v>44841</v>
      </c>
      <c r="C3087" s="1">
        <v>7183881323</v>
      </c>
      <c r="D3087" s="1">
        <v>6316305063</v>
      </c>
      <c r="E3087" s="1">
        <v>2138.85</v>
      </c>
      <c r="F3087" s="1" t="s">
        <v>12</v>
      </c>
      <c r="G3087" s="1" t="s">
        <v>12</v>
      </c>
      <c r="H3087" s="1" t="s">
        <v>13</v>
      </c>
      <c r="I3087" s="1" t="s">
        <v>13</v>
      </c>
      <c r="J3087" s="1" t="s">
        <v>22</v>
      </c>
      <c r="K3087" s="1">
        <v>0</v>
      </c>
      <c r="L3087" s="1" t="s">
        <v>21</v>
      </c>
      <c r="M3087" s="1" t="str">
        <f t="shared" si="48"/>
        <v>Consistent</v>
      </c>
      <c r="N3087" s="1" t="str">
        <f>_xlfn.XLOOKUP(H3087, risk_score!A:A, risk_score!B:B, 0)</f>
        <v>Low Risk</v>
      </c>
    </row>
    <row r="3088" spans="1:14">
      <c r="A3088" s="2">
        <v>0.52078703703703699</v>
      </c>
      <c r="B3088" s="3">
        <v>44841</v>
      </c>
      <c r="C3088" s="1">
        <v>4608485354</v>
      </c>
      <c r="D3088" s="1">
        <v>3623458268</v>
      </c>
      <c r="E3088" s="1">
        <v>5789.62</v>
      </c>
      <c r="F3088" s="1" t="s">
        <v>12</v>
      </c>
      <c r="G3088" s="1" t="s">
        <v>12</v>
      </c>
      <c r="H3088" s="1" t="s">
        <v>13</v>
      </c>
      <c r="I3088" s="1" t="s">
        <v>13</v>
      </c>
      <c r="J3088" s="1" t="s">
        <v>20</v>
      </c>
      <c r="K3088" s="1">
        <v>0</v>
      </c>
      <c r="L3088" s="1" t="s">
        <v>21</v>
      </c>
      <c r="M3088" s="1" t="str">
        <f t="shared" si="48"/>
        <v>Consistent</v>
      </c>
      <c r="N3088" s="1" t="str">
        <f>_xlfn.XLOOKUP(H3088, risk_score!A:A, risk_score!B:B, 0)</f>
        <v>Low Risk</v>
      </c>
    </row>
    <row r="3089" spans="1:14">
      <c r="A3089" s="2">
        <v>0.52082175925925922</v>
      </c>
      <c r="B3089" s="3">
        <v>44841</v>
      </c>
      <c r="C3089" s="1">
        <v>1270263723</v>
      </c>
      <c r="D3089" s="1">
        <v>8352571580</v>
      </c>
      <c r="E3089" s="1">
        <v>6058.46</v>
      </c>
      <c r="F3089" s="1" t="s">
        <v>12</v>
      </c>
      <c r="G3089" s="1" t="s">
        <v>12</v>
      </c>
      <c r="H3089" s="1" t="s">
        <v>13</v>
      </c>
      <c r="I3089" s="1" t="s">
        <v>13</v>
      </c>
      <c r="J3089" s="1" t="s">
        <v>27</v>
      </c>
      <c r="K3089" s="1">
        <v>0</v>
      </c>
      <c r="L3089" s="1" t="s">
        <v>23</v>
      </c>
      <c r="M3089" s="1" t="str">
        <f t="shared" si="48"/>
        <v>Consistent</v>
      </c>
      <c r="N3089" s="1" t="str">
        <f>_xlfn.XLOOKUP(H3089, risk_score!A:A, risk_score!B:B, 0)</f>
        <v>Low Risk</v>
      </c>
    </row>
    <row r="3090" spans="1:14">
      <c r="A3090" s="2">
        <v>0.52084490740740741</v>
      </c>
      <c r="B3090" s="3">
        <v>44841</v>
      </c>
      <c r="C3090" s="1">
        <v>4164568754</v>
      </c>
      <c r="D3090" s="1">
        <v>6953672776</v>
      </c>
      <c r="E3090" s="1">
        <v>31610.12</v>
      </c>
      <c r="F3090" s="1" t="s">
        <v>12</v>
      </c>
      <c r="G3090" s="1" t="s">
        <v>34</v>
      </c>
      <c r="H3090" s="1" t="s">
        <v>13</v>
      </c>
      <c r="I3090" s="1" t="s">
        <v>35</v>
      </c>
      <c r="J3090" s="1" t="s">
        <v>18</v>
      </c>
      <c r="K3090" s="1">
        <v>0</v>
      </c>
      <c r="L3090" s="1" t="s">
        <v>23</v>
      </c>
      <c r="M3090" s="1" t="str">
        <f t="shared" si="48"/>
        <v>Potential Layering</v>
      </c>
      <c r="N3090" s="1" t="str">
        <f>_xlfn.XLOOKUP(H3090, risk_score!A:A, risk_score!B:B, 0)</f>
        <v>Low Risk</v>
      </c>
    </row>
    <row r="3091" spans="1:14">
      <c r="A3091" s="2">
        <v>0.52089120370370368</v>
      </c>
      <c r="B3091" s="3">
        <v>44841</v>
      </c>
      <c r="C3091" s="1">
        <v>2698592594</v>
      </c>
      <c r="D3091" s="1">
        <v>3695545812</v>
      </c>
      <c r="E3091" s="1">
        <v>4525.92</v>
      </c>
      <c r="F3091" s="1" t="s">
        <v>12</v>
      </c>
      <c r="G3091" s="1" t="s">
        <v>12</v>
      </c>
      <c r="H3091" s="1" t="s">
        <v>13</v>
      </c>
      <c r="I3091" s="1" t="s">
        <v>13</v>
      </c>
      <c r="J3091" s="1" t="s">
        <v>27</v>
      </c>
      <c r="K3091" s="1">
        <v>0</v>
      </c>
      <c r="L3091" s="1" t="s">
        <v>23</v>
      </c>
      <c r="M3091" s="1" t="str">
        <f t="shared" si="48"/>
        <v>Consistent</v>
      </c>
      <c r="N3091" s="1" t="str">
        <f>_xlfn.XLOOKUP(H3091, risk_score!A:A, risk_score!B:B, 0)</f>
        <v>Low Risk</v>
      </c>
    </row>
    <row r="3092" spans="1:14">
      <c r="A3092" s="2">
        <v>0.52103009259259259</v>
      </c>
      <c r="B3092" s="3">
        <v>44841</v>
      </c>
      <c r="C3092" s="1">
        <v>9534729015</v>
      </c>
      <c r="D3092" s="1">
        <v>8950761727</v>
      </c>
      <c r="E3092" s="1">
        <v>6861.97</v>
      </c>
      <c r="F3092" s="1" t="s">
        <v>12</v>
      </c>
      <c r="G3092" s="1" t="s">
        <v>12</v>
      </c>
      <c r="H3092" s="1" t="s">
        <v>13</v>
      </c>
      <c r="I3092" s="1" t="s">
        <v>13</v>
      </c>
      <c r="J3092" s="1" t="s">
        <v>27</v>
      </c>
      <c r="K3092" s="1">
        <v>0</v>
      </c>
      <c r="L3092" s="1" t="s">
        <v>19</v>
      </c>
      <c r="M3092" s="1" t="str">
        <f t="shared" si="48"/>
        <v>Consistent</v>
      </c>
      <c r="N3092" s="1" t="str">
        <f>_xlfn.XLOOKUP(H3092, risk_score!A:A, risk_score!B:B, 0)</f>
        <v>Low Risk</v>
      </c>
    </row>
    <row r="3093" spans="1:14">
      <c r="A3093" s="2">
        <v>0.52103009259259259</v>
      </c>
      <c r="B3093" s="3">
        <v>44841</v>
      </c>
      <c r="C3093" s="1">
        <v>6148992716</v>
      </c>
      <c r="D3093" s="1">
        <v>5628674969</v>
      </c>
      <c r="E3093" s="1">
        <v>7444.86</v>
      </c>
      <c r="F3093" s="1" t="s">
        <v>12</v>
      </c>
      <c r="G3093" s="1" t="s">
        <v>12</v>
      </c>
      <c r="H3093" s="1" t="s">
        <v>13</v>
      </c>
      <c r="I3093" s="1" t="s">
        <v>13</v>
      </c>
      <c r="J3093" s="1" t="s">
        <v>20</v>
      </c>
      <c r="K3093" s="1">
        <v>0</v>
      </c>
      <c r="L3093" s="1" t="s">
        <v>23</v>
      </c>
      <c r="M3093" s="1" t="str">
        <f t="shared" si="48"/>
        <v>Consistent</v>
      </c>
      <c r="N3093" s="1" t="str">
        <f>_xlfn.XLOOKUP(H3093, risk_score!A:A, risk_score!B:B, 0)</f>
        <v>Low Risk</v>
      </c>
    </row>
    <row r="3094" spans="1:14">
      <c r="A3094" s="2">
        <v>0.52103009259259259</v>
      </c>
      <c r="B3094" s="3">
        <v>44841</v>
      </c>
      <c r="C3094" s="1">
        <v>4737367377</v>
      </c>
      <c r="D3094" s="1">
        <v>9600420220</v>
      </c>
      <c r="E3094" s="1">
        <v>7669.27</v>
      </c>
      <c r="F3094" s="1" t="s">
        <v>12</v>
      </c>
      <c r="G3094" s="1" t="s">
        <v>12</v>
      </c>
      <c r="H3094" s="1" t="s">
        <v>13</v>
      </c>
      <c r="I3094" s="1" t="s">
        <v>13</v>
      </c>
      <c r="J3094" s="1" t="s">
        <v>22</v>
      </c>
      <c r="K3094" s="1">
        <v>0</v>
      </c>
      <c r="L3094" s="1" t="s">
        <v>23</v>
      </c>
      <c r="M3094" s="1" t="str">
        <f t="shared" si="48"/>
        <v>Consistent</v>
      </c>
      <c r="N3094" s="1" t="str">
        <f>_xlfn.XLOOKUP(H3094, risk_score!A:A, risk_score!B:B, 0)</f>
        <v>Low Risk</v>
      </c>
    </row>
    <row r="3095" spans="1:14">
      <c r="A3095" s="2">
        <v>0.52103009259259259</v>
      </c>
      <c r="B3095" s="3">
        <v>44841</v>
      </c>
      <c r="C3095" s="1">
        <v>6150876634</v>
      </c>
      <c r="D3095" s="1">
        <v>6183867950</v>
      </c>
      <c r="E3095" s="1">
        <v>4460.46</v>
      </c>
      <c r="F3095" s="1" t="s">
        <v>12</v>
      </c>
      <c r="G3095" s="1" t="s">
        <v>12</v>
      </c>
      <c r="H3095" s="1" t="s">
        <v>13</v>
      </c>
      <c r="I3095" s="1" t="s">
        <v>13</v>
      </c>
      <c r="J3095" s="1" t="s">
        <v>25</v>
      </c>
      <c r="K3095" s="1">
        <v>0</v>
      </c>
      <c r="L3095" s="1" t="s">
        <v>24</v>
      </c>
      <c r="M3095" s="1" t="str">
        <f t="shared" si="48"/>
        <v>Consistent</v>
      </c>
      <c r="N3095" s="1" t="str">
        <f>_xlfn.XLOOKUP(H3095, risk_score!A:A, risk_score!B:B, 0)</f>
        <v>Low Risk</v>
      </c>
    </row>
    <row r="3096" spans="1:14">
      <c r="A3096" s="2">
        <v>0.52107638888888885</v>
      </c>
      <c r="B3096" s="3">
        <v>44841</v>
      </c>
      <c r="C3096" s="1">
        <v>6190217120</v>
      </c>
      <c r="D3096" s="1">
        <v>4154833225</v>
      </c>
      <c r="E3096" s="1">
        <v>14944</v>
      </c>
      <c r="F3096" s="1" t="s">
        <v>12</v>
      </c>
      <c r="G3096" s="1" t="s">
        <v>12</v>
      </c>
      <c r="H3096" s="1" t="s">
        <v>13</v>
      </c>
      <c r="I3096" s="1" t="s">
        <v>13</v>
      </c>
      <c r="J3096" s="1" t="s">
        <v>25</v>
      </c>
      <c r="K3096" s="1">
        <v>0</v>
      </c>
      <c r="L3096" s="1" t="s">
        <v>21</v>
      </c>
      <c r="M3096" s="1" t="str">
        <f t="shared" si="48"/>
        <v>Consistent</v>
      </c>
      <c r="N3096" s="1" t="str">
        <f>_xlfn.XLOOKUP(H3096, risk_score!A:A, risk_score!B:B, 0)</f>
        <v>Low Risk</v>
      </c>
    </row>
    <row r="3097" spans="1:14">
      <c r="A3097" s="2">
        <v>0.521087962962963</v>
      </c>
      <c r="B3097" s="3">
        <v>44841</v>
      </c>
      <c r="C3097" s="1">
        <v>8987848252</v>
      </c>
      <c r="D3097" s="1">
        <v>2297324653</v>
      </c>
      <c r="E3097" s="1">
        <v>312.45</v>
      </c>
      <c r="F3097" s="1" t="s">
        <v>12</v>
      </c>
      <c r="G3097" s="1" t="s">
        <v>12</v>
      </c>
      <c r="H3097" s="1" t="s">
        <v>13</v>
      </c>
      <c r="I3097" s="1" t="s">
        <v>13</v>
      </c>
      <c r="J3097" s="1" t="s">
        <v>22</v>
      </c>
      <c r="K3097" s="1">
        <v>0</v>
      </c>
      <c r="L3097" s="1" t="s">
        <v>21</v>
      </c>
      <c r="M3097" s="1" t="str">
        <f t="shared" si="48"/>
        <v>Consistent</v>
      </c>
      <c r="N3097" s="1" t="str">
        <f>_xlfn.XLOOKUP(H3097, risk_score!A:A, risk_score!B:B, 0)</f>
        <v>Low Risk</v>
      </c>
    </row>
    <row r="3098" spans="1:14">
      <c r="A3098" s="2">
        <v>0.52114583333333331</v>
      </c>
      <c r="B3098" s="3">
        <v>44841</v>
      </c>
      <c r="C3098" s="1">
        <v>2609955485</v>
      </c>
      <c r="D3098" s="1">
        <v>2591280855</v>
      </c>
      <c r="E3098" s="1">
        <v>5658.67</v>
      </c>
      <c r="F3098" s="1" t="s">
        <v>12</v>
      </c>
      <c r="G3098" s="1" t="s">
        <v>12</v>
      </c>
      <c r="H3098" s="1" t="s">
        <v>13</v>
      </c>
      <c r="I3098" s="1" t="s">
        <v>13</v>
      </c>
      <c r="J3098" s="1" t="s">
        <v>25</v>
      </c>
      <c r="K3098" s="1">
        <v>0</v>
      </c>
      <c r="L3098" s="1" t="s">
        <v>38</v>
      </c>
      <c r="M3098" s="1" t="str">
        <f t="shared" si="48"/>
        <v>Consistent</v>
      </c>
      <c r="N3098" s="1" t="str">
        <f>_xlfn.XLOOKUP(H3098, risk_score!A:A, risk_score!B:B, 0)</f>
        <v>Low Risk</v>
      </c>
    </row>
    <row r="3099" spans="1:14">
      <c r="A3099" s="2">
        <v>0.52115740740740746</v>
      </c>
      <c r="B3099" s="3">
        <v>44841</v>
      </c>
      <c r="C3099" s="1">
        <v>7651654102</v>
      </c>
      <c r="D3099" s="1">
        <v>5109623450</v>
      </c>
      <c r="E3099" s="1">
        <v>10199.790000000001</v>
      </c>
      <c r="F3099" s="1" t="s">
        <v>12</v>
      </c>
      <c r="G3099" s="1" t="s">
        <v>12</v>
      </c>
      <c r="H3099" s="1" t="s">
        <v>13</v>
      </c>
      <c r="I3099" s="1" t="s">
        <v>13</v>
      </c>
      <c r="J3099" s="1" t="s">
        <v>25</v>
      </c>
      <c r="K3099" s="1">
        <v>0</v>
      </c>
      <c r="L3099" s="1" t="s">
        <v>23</v>
      </c>
      <c r="M3099" s="1" t="str">
        <f t="shared" si="48"/>
        <v>Consistent</v>
      </c>
      <c r="N3099" s="1" t="str">
        <f>_xlfn.XLOOKUP(H3099, risk_score!A:A, risk_score!B:B, 0)</f>
        <v>Low Risk</v>
      </c>
    </row>
    <row r="3100" spans="1:14">
      <c r="A3100" s="2">
        <v>0.52115740740740746</v>
      </c>
      <c r="B3100" s="3">
        <v>44841</v>
      </c>
      <c r="C3100" s="1">
        <v>6057444675</v>
      </c>
      <c r="D3100" s="1">
        <v>8861171324</v>
      </c>
      <c r="E3100" s="1">
        <v>10643.02</v>
      </c>
      <c r="F3100" s="1" t="s">
        <v>12</v>
      </c>
      <c r="G3100" s="1" t="s">
        <v>12</v>
      </c>
      <c r="H3100" s="1" t="s">
        <v>13</v>
      </c>
      <c r="I3100" s="1" t="s">
        <v>13</v>
      </c>
      <c r="J3100" s="1" t="s">
        <v>27</v>
      </c>
      <c r="K3100" s="1">
        <v>0</v>
      </c>
      <c r="L3100" s="1" t="s">
        <v>19</v>
      </c>
      <c r="M3100" s="1" t="str">
        <f t="shared" si="48"/>
        <v>Consistent</v>
      </c>
      <c r="N3100" s="1" t="str">
        <f>_xlfn.XLOOKUP(H3100, risk_score!A:A, risk_score!B:B, 0)</f>
        <v>Low Risk</v>
      </c>
    </row>
    <row r="3101" spans="1:14">
      <c r="A3101" s="2">
        <v>0.52115740740740746</v>
      </c>
      <c r="B3101" s="3">
        <v>44841</v>
      </c>
      <c r="C3101" s="1">
        <v>6541552727</v>
      </c>
      <c r="D3101" s="1">
        <v>2877832458</v>
      </c>
      <c r="E3101" s="1">
        <v>6852.22</v>
      </c>
      <c r="F3101" s="1" t="s">
        <v>12</v>
      </c>
      <c r="G3101" s="1" t="s">
        <v>59</v>
      </c>
      <c r="H3101" s="1" t="s">
        <v>13</v>
      </c>
      <c r="I3101" s="1" t="s">
        <v>60</v>
      </c>
      <c r="J3101" s="1" t="s">
        <v>18</v>
      </c>
      <c r="K3101" s="1">
        <v>0</v>
      </c>
      <c r="L3101" s="1" t="s">
        <v>19</v>
      </c>
      <c r="M3101" s="1" t="str">
        <f t="shared" si="48"/>
        <v>Potential Layering</v>
      </c>
      <c r="N3101" s="1" t="str">
        <f>_xlfn.XLOOKUP(H3101, risk_score!A:A, risk_score!B:B, 0)</f>
        <v>Low Risk</v>
      </c>
    </row>
    <row r="3102" spans="1:14">
      <c r="A3102" s="2">
        <v>0.52115740740740746</v>
      </c>
      <c r="B3102" s="3">
        <v>44841</v>
      </c>
      <c r="C3102" s="1">
        <v>3691863684</v>
      </c>
      <c r="D3102" s="1">
        <v>6577488706</v>
      </c>
      <c r="E3102" s="1">
        <v>44895.22</v>
      </c>
      <c r="F3102" s="1" t="s">
        <v>12</v>
      </c>
      <c r="G3102" s="1" t="s">
        <v>12</v>
      </c>
      <c r="H3102" s="1" t="s">
        <v>13</v>
      </c>
      <c r="I3102" s="1" t="s">
        <v>13</v>
      </c>
      <c r="J3102" s="1" t="s">
        <v>22</v>
      </c>
      <c r="K3102" s="1">
        <v>0</v>
      </c>
      <c r="L3102" s="1" t="s">
        <v>49</v>
      </c>
      <c r="M3102" s="1" t="str">
        <f t="shared" si="48"/>
        <v>Consistent</v>
      </c>
      <c r="N3102" s="1" t="str">
        <f>_xlfn.XLOOKUP(H3102, risk_score!A:A, risk_score!B:B, 0)</f>
        <v>Low Risk</v>
      </c>
    </row>
    <row r="3103" spans="1:14">
      <c r="A3103" s="2">
        <v>0.52119212962962957</v>
      </c>
      <c r="B3103" s="3">
        <v>44841</v>
      </c>
      <c r="C3103" s="1">
        <v>6116657264</v>
      </c>
      <c r="D3103" s="1">
        <v>7749320382</v>
      </c>
      <c r="E3103" s="1">
        <v>10841.66</v>
      </c>
      <c r="F3103" s="1" t="s">
        <v>12</v>
      </c>
      <c r="G3103" s="1" t="s">
        <v>12</v>
      </c>
      <c r="H3103" s="1" t="s">
        <v>13</v>
      </c>
      <c r="I3103" s="1" t="s">
        <v>13</v>
      </c>
      <c r="J3103" s="1" t="s">
        <v>27</v>
      </c>
      <c r="K3103" s="1">
        <v>0</v>
      </c>
      <c r="L3103" s="1" t="s">
        <v>19</v>
      </c>
      <c r="M3103" s="1" t="str">
        <f t="shared" si="48"/>
        <v>Consistent</v>
      </c>
      <c r="N3103" s="1" t="str">
        <f>_xlfn.XLOOKUP(H3103, risk_score!A:A, risk_score!B:B, 0)</f>
        <v>Low Risk</v>
      </c>
    </row>
    <row r="3104" spans="1:14">
      <c r="A3104" s="2">
        <v>0.52120370370370372</v>
      </c>
      <c r="B3104" s="3">
        <v>44841</v>
      </c>
      <c r="C3104" s="1">
        <v>5691675777</v>
      </c>
      <c r="D3104" s="1">
        <v>6615179883</v>
      </c>
      <c r="E3104" s="1">
        <v>15915.12</v>
      </c>
      <c r="F3104" s="1" t="s">
        <v>12</v>
      </c>
      <c r="G3104" s="1" t="s">
        <v>12</v>
      </c>
      <c r="H3104" s="1" t="s">
        <v>13</v>
      </c>
      <c r="I3104" s="1" t="s">
        <v>13</v>
      </c>
      <c r="J3104" s="1" t="s">
        <v>22</v>
      </c>
      <c r="K3104" s="1">
        <v>0</v>
      </c>
      <c r="L3104" s="1" t="s">
        <v>38</v>
      </c>
      <c r="M3104" s="1" t="str">
        <f t="shared" si="48"/>
        <v>Consistent</v>
      </c>
      <c r="N3104" s="1" t="str">
        <f>_xlfn.XLOOKUP(H3104, risk_score!A:A, risk_score!B:B, 0)</f>
        <v>Low Risk</v>
      </c>
    </row>
    <row r="3105" spans="1:14">
      <c r="A3105" s="2">
        <v>0.5212268518518518</v>
      </c>
      <c r="B3105" s="3">
        <v>44841</v>
      </c>
      <c r="C3105" s="1">
        <v>462614523</v>
      </c>
      <c r="D3105" s="1">
        <v>1498907373</v>
      </c>
      <c r="E3105" s="1">
        <v>11775.29</v>
      </c>
      <c r="F3105" s="1" t="s">
        <v>12</v>
      </c>
      <c r="G3105" s="1" t="s">
        <v>12</v>
      </c>
      <c r="H3105" s="1" t="s">
        <v>13</v>
      </c>
      <c r="I3105" s="1" t="s">
        <v>13</v>
      </c>
      <c r="J3105" s="1" t="s">
        <v>22</v>
      </c>
      <c r="K3105" s="1">
        <v>0</v>
      </c>
      <c r="L3105" s="1" t="s">
        <v>21</v>
      </c>
      <c r="M3105" s="1" t="str">
        <f t="shared" si="48"/>
        <v>Consistent</v>
      </c>
      <c r="N3105" s="1" t="str">
        <f>_xlfn.XLOOKUP(H3105, risk_score!A:A, risk_score!B:B, 0)</f>
        <v>Low Risk</v>
      </c>
    </row>
    <row r="3106" spans="1:14">
      <c r="A3106" s="2">
        <v>0.52124999999999999</v>
      </c>
      <c r="B3106" s="3">
        <v>44841</v>
      </c>
      <c r="C3106" s="1">
        <v>8865872440</v>
      </c>
      <c r="D3106" s="1">
        <v>1431561040</v>
      </c>
      <c r="E3106" s="1">
        <v>11893.26</v>
      </c>
      <c r="F3106" s="1" t="s">
        <v>12</v>
      </c>
      <c r="G3106" s="1" t="s">
        <v>12</v>
      </c>
      <c r="H3106" s="1" t="s">
        <v>13</v>
      </c>
      <c r="I3106" s="1" t="s">
        <v>13</v>
      </c>
      <c r="J3106" s="1" t="s">
        <v>25</v>
      </c>
      <c r="K3106" s="1">
        <v>0</v>
      </c>
      <c r="L3106" s="1" t="s">
        <v>23</v>
      </c>
      <c r="M3106" s="1" t="str">
        <f t="shared" si="48"/>
        <v>Consistent</v>
      </c>
      <c r="N3106" s="1" t="str">
        <f>_xlfn.XLOOKUP(H3106, risk_score!A:A, risk_score!B:B, 0)</f>
        <v>Low Risk</v>
      </c>
    </row>
    <row r="3107" spans="1:14">
      <c r="A3107" s="2">
        <v>0.52135416666666667</v>
      </c>
      <c r="B3107" s="3">
        <v>44841</v>
      </c>
      <c r="C3107" s="1">
        <v>9204378472</v>
      </c>
      <c r="D3107" s="1">
        <v>5609423363</v>
      </c>
      <c r="E3107" s="1">
        <v>219.36</v>
      </c>
      <c r="F3107" s="1" t="s">
        <v>12</v>
      </c>
      <c r="G3107" s="1" t="s">
        <v>12</v>
      </c>
      <c r="H3107" s="1" t="s">
        <v>13</v>
      </c>
      <c r="I3107" s="1" t="s">
        <v>13</v>
      </c>
      <c r="J3107" s="1" t="s">
        <v>20</v>
      </c>
      <c r="K3107" s="1">
        <v>0</v>
      </c>
      <c r="L3107" s="1" t="s">
        <v>21</v>
      </c>
      <c r="M3107" s="1" t="str">
        <f t="shared" si="48"/>
        <v>Consistent</v>
      </c>
      <c r="N3107" s="1" t="str">
        <f>_xlfn.XLOOKUP(H3107, risk_score!A:A, risk_score!B:B, 0)</f>
        <v>Low Risk</v>
      </c>
    </row>
    <row r="3108" spans="1:14">
      <c r="A3108" s="2">
        <v>0.5213888888888889</v>
      </c>
      <c r="B3108" s="3">
        <v>44841</v>
      </c>
      <c r="C3108" s="1">
        <v>4738830567</v>
      </c>
      <c r="D3108" s="1">
        <v>9358720010</v>
      </c>
      <c r="E3108" s="1">
        <v>15926.2</v>
      </c>
      <c r="F3108" s="1" t="s">
        <v>12</v>
      </c>
      <c r="G3108" s="1" t="s">
        <v>12</v>
      </c>
      <c r="H3108" s="1" t="s">
        <v>13</v>
      </c>
      <c r="I3108" s="1" t="s">
        <v>13</v>
      </c>
      <c r="J3108" s="1" t="s">
        <v>22</v>
      </c>
      <c r="K3108" s="1">
        <v>0</v>
      </c>
      <c r="L3108" s="1" t="s">
        <v>21</v>
      </c>
      <c r="M3108" s="1" t="str">
        <f t="shared" si="48"/>
        <v>Consistent</v>
      </c>
      <c r="N3108" s="1" t="str">
        <f>_xlfn.XLOOKUP(H3108, risk_score!A:A, risk_score!B:B, 0)</f>
        <v>Low Risk</v>
      </c>
    </row>
    <row r="3109" spans="1:14">
      <c r="A3109" s="2">
        <v>0.5213888888888889</v>
      </c>
      <c r="B3109" s="3">
        <v>44841</v>
      </c>
      <c r="C3109" s="1">
        <v>9481318728</v>
      </c>
      <c r="D3109" s="1">
        <v>4270865741</v>
      </c>
      <c r="E3109" s="1">
        <v>8678.43</v>
      </c>
      <c r="F3109" s="1" t="s">
        <v>12</v>
      </c>
      <c r="G3109" s="1" t="s">
        <v>12</v>
      </c>
      <c r="H3109" s="1" t="s">
        <v>13</v>
      </c>
      <c r="I3109" s="1" t="s">
        <v>13</v>
      </c>
      <c r="J3109" s="1" t="s">
        <v>27</v>
      </c>
      <c r="K3109" s="1">
        <v>0</v>
      </c>
      <c r="L3109" s="1" t="s">
        <v>23</v>
      </c>
      <c r="M3109" s="1" t="str">
        <f t="shared" si="48"/>
        <v>Consistent</v>
      </c>
      <c r="N3109" s="1" t="str">
        <f>_xlfn.XLOOKUP(H3109, risk_score!A:A, risk_score!B:B, 0)</f>
        <v>Low Risk</v>
      </c>
    </row>
    <row r="3110" spans="1:14">
      <c r="A3110" s="2">
        <v>0.52142361111111113</v>
      </c>
      <c r="B3110" s="3">
        <v>44841</v>
      </c>
      <c r="C3110" s="1">
        <v>9305024478</v>
      </c>
      <c r="D3110" s="1">
        <v>8411156473</v>
      </c>
      <c r="E3110" s="1">
        <v>156.09</v>
      </c>
      <c r="F3110" s="1" t="s">
        <v>12</v>
      </c>
      <c r="G3110" s="1" t="s">
        <v>12</v>
      </c>
      <c r="H3110" s="1" t="s">
        <v>13</v>
      </c>
      <c r="I3110" s="1" t="s">
        <v>13</v>
      </c>
      <c r="J3110" s="1" t="s">
        <v>25</v>
      </c>
      <c r="K3110" s="1">
        <v>0</v>
      </c>
      <c r="L3110" s="1" t="s">
        <v>21</v>
      </c>
      <c r="M3110" s="1" t="str">
        <f t="shared" si="48"/>
        <v>Consistent</v>
      </c>
      <c r="N3110" s="1" t="str">
        <f>_xlfn.XLOOKUP(H3110, risk_score!A:A, risk_score!B:B, 0)</f>
        <v>Low Risk</v>
      </c>
    </row>
    <row r="3111" spans="1:14">
      <c r="A3111" s="2">
        <v>0.5214699074074074</v>
      </c>
      <c r="B3111" s="3">
        <v>44841</v>
      </c>
      <c r="C3111" s="1">
        <v>5754176205</v>
      </c>
      <c r="D3111" s="1">
        <v>7762846837</v>
      </c>
      <c r="E3111" s="1">
        <v>326.45</v>
      </c>
      <c r="F3111" s="1" t="s">
        <v>12</v>
      </c>
      <c r="G3111" s="1" t="s">
        <v>12</v>
      </c>
      <c r="H3111" s="1" t="s">
        <v>13</v>
      </c>
      <c r="I3111" s="1" t="s">
        <v>13</v>
      </c>
      <c r="J3111" s="1" t="s">
        <v>22</v>
      </c>
      <c r="K3111" s="1">
        <v>0</v>
      </c>
      <c r="L3111" s="1" t="s">
        <v>21</v>
      </c>
      <c r="M3111" s="1" t="str">
        <f t="shared" si="48"/>
        <v>Consistent</v>
      </c>
      <c r="N3111" s="1" t="str">
        <f>_xlfn.XLOOKUP(H3111, risk_score!A:A, risk_score!B:B, 0)</f>
        <v>Low Risk</v>
      </c>
    </row>
    <row r="3112" spans="1:14">
      <c r="A3112" s="2">
        <v>0.52149305555555558</v>
      </c>
      <c r="B3112" s="3">
        <v>44841</v>
      </c>
      <c r="C3112" s="1">
        <v>3709430533</v>
      </c>
      <c r="D3112" s="1">
        <v>2300358725</v>
      </c>
      <c r="E3112" s="1">
        <v>12545.06</v>
      </c>
      <c r="F3112" s="1" t="s">
        <v>12</v>
      </c>
      <c r="G3112" s="1" t="s">
        <v>12</v>
      </c>
      <c r="H3112" s="1" t="s">
        <v>13</v>
      </c>
      <c r="I3112" s="1" t="s">
        <v>13</v>
      </c>
      <c r="J3112" s="1" t="s">
        <v>27</v>
      </c>
      <c r="K3112" s="1">
        <v>0</v>
      </c>
      <c r="L3112" s="1" t="s">
        <v>19</v>
      </c>
      <c r="M3112" s="1" t="str">
        <f t="shared" si="48"/>
        <v>Consistent</v>
      </c>
      <c r="N3112" s="1" t="str">
        <f>_xlfn.XLOOKUP(H3112, risk_score!A:A, risk_score!B:B, 0)</f>
        <v>Low Risk</v>
      </c>
    </row>
    <row r="3113" spans="1:14">
      <c r="A3113" s="2">
        <v>0.52151620370370366</v>
      </c>
      <c r="B3113" s="3">
        <v>44841</v>
      </c>
      <c r="C3113" s="1">
        <v>5670763346</v>
      </c>
      <c r="D3113" s="1">
        <v>8088403108</v>
      </c>
      <c r="E3113" s="1">
        <v>3920.12</v>
      </c>
      <c r="F3113" s="1" t="s">
        <v>12</v>
      </c>
      <c r="G3113" s="1" t="s">
        <v>12</v>
      </c>
      <c r="H3113" s="1" t="s">
        <v>13</v>
      </c>
      <c r="I3113" s="1" t="s">
        <v>13</v>
      </c>
      <c r="J3113" s="1" t="s">
        <v>14</v>
      </c>
      <c r="K3113" s="1">
        <v>0</v>
      </c>
      <c r="L3113" s="1" t="s">
        <v>15</v>
      </c>
      <c r="M3113" s="1" t="str">
        <f t="shared" si="48"/>
        <v>Consistent</v>
      </c>
      <c r="N3113" s="1" t="str">
        <f>_xlfn.XLOOKUP(H3113, risk_score!A:A, risk_score!B:B, 0)</f>
        <v>Low Risk</v>
      </c>
    </row>
    <row r="3114" spans="1:14">
      <c r="A3114" s="2">
        <v>0.52155092592592589</v>
      </c>
      <c r="B3114" s="3">
        <v>44841</v>
      </c>
      <c r="C3114" s="1">
        <v>3614082527</v>
      </c>
      <c r="D3114" s="1">
        <v>9145896387</v>
      </c>
      <c r="E3114" s="1">
        <v>8307.5499999999993</v>
      </c>
      <c r="F3114" s="1" t="s">
        <v>12</v>
      </c>
      <c r="G3114" s="1" t="s">
        <v>12</v>
      </c>
      <c r="H3114" s="1" t="s">
        <v>13</v>
      </c>
      <c r="I3114" s="1" t="s">
        <v>13</v>
      </c>
      <c r="J3114" s="1" t="s">
        <v>25</v>
      </c>
      <c r="K3114" s="1">
        <v>0</v>
      </c>
      <c r="L3114" s="1" t="s">
        <v>19</v>
      </c>
      <c r="M3114" s="1" t="str">
        <f t="shared" si="48"/>
        <v>Consistent</v>
      </c>
      <c r="N3114" s="1" t="str">
        <f>_xlfn.XLOOKUP(H3114, risk_score!A:A, risk_score!B:B, 0)</f>
        <v>Low Risk</v>
      </c>
    </row>
    <row r="3115" spans="1:14">
      <c r="A3115" s="2">
        <v>0.52156250000000004</v>
      </c>
      <c r="B3115" s="3">
        <v>44841</v>
      </c>
      <c r="C3115" s="1">
        <v>7419021638</v>
      </c>
      <c r="D3115" s="1">
        <v>6066672865</v>
      </c>
      <c r="E3115" s="1">
        <v>2615.83</v>
      </c>
      <c r="F3115" s="1" t="s">
        <v>29</v>
      </c>
      <c r="G3115" s="1" t="s">
        <v>28</v>
      </c>
      <c r="H3115" s="1" t="s">
        <v>13</v>
      </c>
      <c r="I3115" s="1" t="s">
        <v>57</v>
      </c>
      <c r="J3115" s="1" t="s">
        <v>18</v>
      </c>
      <c r="K3115" s="1">
        <v>0</v>
      </c>
      <c r="L3115" s="1" t="s">
        <v>21</v>
      </c>
      <c r="M3115" s="1" t="str">
        <f t="shared" si="48"/>
        <v>Potential Layering</v>
      </c>
      <c r="N3115" s="1" t="str">
        <f>_xlfn.XLOOKUP(H3115, risk_score!A:A, risk_score!B:B, 0)</f>
        <v>Low Risk</v>
      </c>
    </row>
    <row r="3116" spans="1:14">
      <c r="A3116" s="2">
        <v>0.52158564814814812</v>
      </c>
      <c r="B3116" s="3">
        <v>44841</v>
      </c>
      <c r="C3116" s="1">
        <v>4700418700</v>
      </c>
      <c r="D3116" s="1">
        <v>5313805569</v>
      </c>
      <c r="E3116" s="1">
        <v>8804.16</v>
      </c>
      <c r="F3116" s="1" t="s">
        <v>12</v>
      </c>
      <c r="G3116" s="1" t="s">
        <v>12</v>
      </c>
      <c r="H3116" s="1" t="s">
        <v>13</v>
      </c>
      <c r="I3116" s="1" t="s">
        <v>13</v>
      </c>
      <c r="J3116" s="1" t="s">
        <v>20</v>
      </c>
      <c r="K3116" s="1">
        <v>0</v>
      </c>
      <c r="L3116" s="1" t="s">
        <v>21</v>
      </c>
      <c r="M3116" s="1" t="str">
        <f t="shared" si="48"/>
        <v>Consistent</v>
      </c>
      <c r="N3116" s="1" t="str">
        <f>_xlfn.XLOOKUP(H3116, risk_score!A:A, risk_score!B:B, 0)</f>
        <v>Low Risk</v>
      </c>
    </row>
    <row r="3117" spans="1:14">
      <c r="A3117" s="2">
        <v>0.52162037037037035</v>
      </c>
      <c r="B3117" s="3">
        <v>44841</v>
      </c>
      <c r="C3117" s="1">
        <v>9456514108</v>
      </c>
      <c r="D3117" s="1">
        <v>5109623450</v>
      </c>
      <c r="E3117" s="1">
        <v>8433.24</v>
      </c>
      <c r="F3117" s="1" t="s">
        <v>12</v>
      </c>
      <c r="G3117" s="1" t="s">
        <v>12</v>
      </c>
      <c r="H3117" s="1" t="s">
        <v>13</v>
      </c>
      <c r="I3117" s="1" t="s">
        <v>13</v>
      </c>
      <c r="J3117" s="1" t="s">
        <v>20</v>
      </c>
      <c r="K3117" s="1">
        <v>0</v>
      </c>
      <c r="L3117" s="1" t="s">
        <v>23</v>
      </c>
      <c r="M3117" s="1" t="str">
        <f t="shared" si="48"/>
        <v>Consistent</v>
      </c>
      <c r="N3117" s="1" t="str">
        <f>_xlfn.XLOOKUP(H3117, risk_score!A:A, risk_score!B:B, 0)</f>
        <v>Low Risk</v>
      </c>
    </row>
    <row r="3118" spans="1:14">
      <c r="A3118" s="2">
        <v>0.52162037037037035</v>
      </c>
      <c r="B3118" s="3">
        <v>44841</v>
      </c>
      <c r="C3118" s="1">
        <v>1806287031</v>
      </c>
      <c r="D3118" s="1">
        <v>8823232130</v>
      </c>
      <c r="E3118" s="1">
        <v>1780.12</v>
      </c>
      <c r="F3118" s="1" t="s">
        <v>12</v>
      </c>
      <c r="G3118" s="1" t="s">
        <v>12</v>
      </c>
      <c r="H3118" s="1" t="s">
        <v>13</v>
      </c>
      <c r="I3118" s="1" t="s">
        <v>13</v>
      </c>
      <c r="J3118" s="1" t="s">
        <v>27</v>
      </c>
      <c r="K3118" s="1">
        <v>0</v>
      </c>
      <c r="L3118" s="1" t="s">
        <v>24</v>
      </c>
      <c r="M3118" s="1" t="str">
        <f t="shared" si="48"/>
        <v>Consistent</v>
      </c>
      <c r="N3118" s="1" t="str">
        <f>_xlfn.XLOOKUP(H3118, risk_score!A:A, risk_score!B:B, 0)</f>
        <v>Low Risk</v>
      </c>
    </row>
    <row r="3119" spans="1:14">
      <c r="A3119" s="2">
        <v>0.52165509259259257</v>
      </c>
      <c r="B3119" s="3">
        <v>44841</v>
      </c>
      <c r="C3119" s="1">
        <v>9285172899</v>
      </c>
      <c r="D3119" s="1">
        <v>934605333</v>
      </c>
      <c r="E3119" s="1">
        <v>3286.1</v>
      </c>
      <c r="F3119" s="1" t="s">
        <v>12</v>
      </c>
      <c r="G3119" s="1" t="s">
        <v>51</v>
      </c>
      <c r="H3119" s="1" t="s">
        <v>13</v>
      </c>
      <c r="I3119" s="1" t="s">
        <v>52</v>
      </c>
      <c r="J3119" s="1" t="s">
        <v>18</v>
      </c>
      <c r="K3119" s="1">
        <v>0</v>
      </c>
      <c r="L3119" s="1" t="s">
        <v>21</v>
      </c>
      <c r="M3119" s="1" t="str">
        <f t="shared" si="48"/>
        <v>Potential Layering</v>
      </c>
      <c r="N3119" s="1" t="str">
        <f>_xlfn.XLOOKUP(H3119, risk_score!A:A, risk_score!B:B, 0)</f>
        <v>Low Risk</v>
      </c>
    </row>
    <row r="3120" spans="1:14">
      <c r="A3120" s="2">
        <v>0.52165509259259257</v>
      </c>
      <c r="B3120" s="3">
        <v>44841</v>
      </c>
      <c r="C3120" s="1">
        <v>1869219642</v>
      </c>
      <c r="D3120" s="1">
        <v>2543025128</v>
      </c>
      <c r="E3120" s="1">
        <v>5697.51</v>
      </c>
      <c r="F3120" s="1" t="s">
        <v>12</v>
      </c>
      <c r="G3120" s="1" t="s">
        <v>12</v>
      </c>
      <c r="H3120" s="1" t="s">
        <v>13</v>
      </c>
      <c r="I3120" s="1" t="s">
        <v>13</v>
      </c>
      <c r="J3120" s="1" t="s">
        <v>22</v>
      </c>
      <c r="K3120" s="1">
        <v>0</v>
      </c>
      <c r="L3120" s="1" t="s">
        <v>21</v>
      </c>
      <c r="M3120" s="1" t="str">
        <f t="shared" si="48"/>
        <v>Consistent</v>
      </c>
      <c r="N3120" s="1" t="str">
        <f>_xlfn.XLOOKUP(H3120, risk_score!A:A, risk_score!B:B, 0)</f>
        <v>Low Risk</v>
      </c>
    </row>
    <row r="3121" spans="1:14">
      <c r="A3121" s="2">
        <v>0.5216898148148148</v>
      </c>
      <c r="B3121" s="3">
        <v>44841</v>
      </c>
      <c r="C3121" s="1">
        <v>1491989064</v>
      </c>
      <c r="D3121" s="1">
        <v>5088960637</v>
      </c>
      <c r="E3121" s="1">
        <v>4473.09</v>
      </c>
      <c r="F3121" s="1" t="s">
        <v>12</v>
      </c>
      <c r="G3121" s="1" t="s">
        <v>46</v>
      </c>
      <c r="H3121" s="1" t="s">
        <v>13</v>
      </c>
      <c r="I3121" s="1" t="s">
        <v>47</v>
      </c>
      <c r="J3121" s="1" t="s">
        <v>18</v>
      </c>
      <c r="K3121" s="1">
        <v>0</v>
      </c>
      <c r="L3121" s="1" t="s">
        <v>19</v>
      </c>
      <c r="M3121" s="1" t="str">
        <f t="shared" si="48"/>
        <v>Potential Layering</v>
      </c>
      <c r="N3121" s="1" t="str">
        <f>_xlfn.XLOOKUP(H3121, risk_score!A:A, risk_score!B:B, 0)</f>
        <v>Low Risk</v>
      </c>
    </row>
    <row r="3122" spans="1:14">
      <c r="A3122" s="2">
        <v>0.5216898148148148</v>
      </c>
      <c r="B3122" s="3">
        <v>44841</v>
      </c>
      <c r="C3122" s="1">
        <v>7143010173</v>
      </c>
      <c r="D3122" s="1">
        <v>1493436023</v>
      </c>
      <c r="E3122" s="1">
        <v>5224.3</v>
      </c>
      <c r="F3122" s="1" t="s">
        <v>34</v>
      </c>
      <c r="G3122" s="1" t="s">
        <v>12</v>
      </c>
      <c r="H3122" s="1" t="s">
        <v>35</v>
      </c>
      <c r="I3122" s="1" t="s">
        <v>13</v>
      </c>
      <c r="J3122" s="1" t="s">
        <v>18</v>
      </c>
      <c r="K3122" s="1">
        <v>0</v>
      </c>
      <c r="L3122" s="1" t="s">
        <v>23</v>
      </c>
      <c r="M3122" s="1" t="str">
        <f t="shared" si="48"/>
        <v>Potential Layering</v>
      </c>
      <c r="N3122" s="1" t="str">
        <f>_xlfn.XLOOKUP(H3122, risk_score!A:A, risk_score!B:B, 0)</f>
        <v>High Risk</v>
      </c>
    </row>
    <row r="3123" spans="1:14">
      <c r="A3123" s="2">
        <v>0.52170138888888884</v>
      </c>
      <c r="B3123" s="3">
        <v>44841</v>
      </c>
      <c r="C3123" s="1">
        <v>7758268667</v>
      </c>
      <c r="D3123" s="1">
        <v>6000485397</v>
      </c>
      <c r="E3123" s="1">
        <v>9238.41</v>
      </c>
      <c r="F3123" s="1" t="s">
        <v>12</v>
      </c>
      <c r="G3123" s="1" t="s">
        <v>12</v>
      </c>
      <c r="H3123" s="1" t="s">
        <v>13</v>
      </c>
      <c r="I3123" s="1" t="s">
        <v>13</v>
      </c>
      <c r="J3123" s="1" t="s">
        <v>20</v>
      </c>
      <c r="K3123" s="1">
        <v>0</v>
      </c>
      <c r="L3123" s="1" t="s">
        <v>19</v>
      </c>
      <c r="M3123" s="1" t="str">
        <f t="shared" si="48"/>
        <v>Consistent</v>
      </c>
      <c r="N3123" s="1" t="str">
        <f>_xlfn.XLOOKUP(H3123, risk_score!A:A, risk_score!B:B, 0)</f>
        <v>Low Risk</v>
      </c>
    </row>
    <row r="3124" spans="1:14">
      <c r="A3124" s="2">
        <v>0.52175925925925926</v>
      </c>
      <c r="B3124" s="3">
        <v>44841</v>
      </c>
      <c r="C3124" s="1">
        <v>3513409608</v>
      </c>
      <c r="D3124" s="1">
        <v>6249003594</v>
      </c>
      <c r="E3124" s="1">
        <v>8397.15</v>
      </c>
      <c r="F3124" s="1" t="s">
        <v>12</v>
      </c>
      <c r="G3124" s="1" t="s">
        <v>12</v>
      </c>
      <c r="H3124" s="1" t="s">
        <v>13</v>
      </c>
      <c r="I3124" s="1" t="s">
        <v>13</v>
      </c>
      <c r="J3124" s="1" t="s">
        <v>25</v>
      </c>
      <c r="K3124" s="1">
        <v>0</v>
      </c>
      <c r="L3124" s="1" t="s">
        <v>21</v>
      </c>
      <c r="M3124" s="1" t="str">
        <f t="shared" si="48"/>
        <v>Consistent</v>
      </c>
      <c r="N3124" s="1" t="str">
        <f>_xlfn.XLOOKUP(H3124, risk_score!A:A, risk_score!B:B, 0)</f>
        <v>Low Risk</v>
      </c>
    </row>
    <row r="3125" spans="1:14">
      <c r="A3125" s="2">
        <v>0.52175925925925926</v>
      </c>
      <c r="B3125" s="3">
        <v>44841</v>
      </c>
      <c r="C3125" s="1">
        <v>3453070367</v>
      </c>
      <c r="D3125" s="1">
        <v>7227262964</v>
      </c>
      <c r="E3125" s="1">
        <v>3535.32</v>
      </c>
      <c r="F3125" s="1" t="s">
        <v>12</v>
      </c>
      <c r="G3125" s="1" t="s">
        <v>12</v>
      </c>
      <c r="H3125" s="1" t="s">
        <v>13</v>
      </c>
      <c r="I3125" s="1" t="s">
        <v>13</v>
      </c>
      <c r="J3125" s="1" t="s">
        <v>25</v>
      </c>
      <c r="K3125" s="1">
        <v>0</v>
      </c>
      <c r="L3125" s="1" t="s">
        <v>21</v>
      </c>
      <c r="M3125" s="1" t="str">
        <f t="shared" si="48"/>
        <v>Consistent</v>
      </c>
      <c r="N3125" s="1" t="str">
        <f>_xlfn.XLOOKUP(H3125, risk_score!A:A, risk_score!B:B, 0)</f>
        <v>Low Risk</v>
      </c>
    </row>
    <row r="3126" spans="1:14">
      <c r="A3126" s="2">
        <v>0.52178240740740744</v>
      </c>
      <c r="B3126" s="3">
        <v>44841</v>
      </c>
      <c r="C3126" s="1">
        <v>7758268667</v>
      </c>
      <c r="D3126" s="1">
        <v>9609750441</v>
      </c>
      <c r="E3126" s="1">
        <v>17071.37</v>
      </c>
      <c r="F3126" s="1" t="s">
        <v>12</v>
      </c>
      <c r="G3126" s="1" t="s">
        <v>44</v>
      </c>
      <c r="H3126" s="1" t="s">
        <v>13</v>
      </c>
      <c r="I3126" s="1" t="s">
        <v>45</v>
      </c>
      <c r="J3126" s="1" t="s">
        <v>18</v>
      </c>
      <c r="K3126" s="1">
        <v>0</v>
      </c>
      <c r="L3126" s="1" t="s">
        <v>19</v>
      </c>
      <c r="M3126" s="1" t="str">
        <f t="shared" si="48"/>
        <v>Potential Layering</v>
      </c>
      <c r="N3126" s="1" t="str">
        <f>_xlfn.XLOOKUP(H3126, risk_score!A:A, risk_score!B:B, 0)</f>
        <v>Low Risk</v>
      </c>
    </row>
    <row r="3127" spans="1:14">
      <c r="A3127" s="2">
        <v>0.52179398148148148</v>
      </c>
      <c r="B3127" s="3">
        <v>44841</v>
      </c>
      <c r="C3127" s="1">
        <v>1390806158</v>
      </c>
      <c r="D3127" s="1">
        <v>8673917867</v>
      </c>
      <c r="E3127" s="1">
        <v>8851.7999999999993</v>
      </c>
      <c r="F3127" s="1" t="s">
        <v>12</v>
      </c>
      <c r="G3127" s="1" t="s">
        <v>12</v>
      </c>
      <c r="H3127" s="1" t="s">
        <v>13</v>
      </c>
      <c r="I3127" s="1" t="s">
        <v>13</v>
      </c>
      <c r="J3127" s="1" t="s">
        <v>25</v>
      </c>
      <c r="K3127" s="1">
        <v>0</v>
      </c>
      <c r="L3127" s="1" t="s">
        <v>23</v>
      </c>
      <c r="M3127" s="1" t="str">
        <f t="shared" si="48"/>
        <v>Consistent</v>
      </c>
      <c r="N3127" s="1" t="str">
        <f>_xlfn.XLOOKUP(H3127, risk_score!A:A, risk_score!B:B, 0)</f>
        <v>Low Risk</v>
      </c>
    </row>
    <row r="3128" spans="1:14">
      <c r="A3128" s="2">
        <v>0.52182870370370371</v>
      </c>
      <c r="B3128" s="3">
        <v>44841</v>
      </c>
      <c r="C3128" s="1">
        <v>9337018014</v>
      </c>
      <c r="D3128" s="1">
        <v>3079818547</v>
      </c>
      <c r="E3128" s="1">
        <v>7786.97</v>
      </c>
      <c r="F3128" s="1" t="s">
        <v>12</v>
      </c>
      <c r="G3128" s="1" t="s">
        <v>12</v>
      </c>
      <c r="H3128" s="1" t="s">
        <v>13</v>
      </c>
      <c r="I3128" s="1" t="s">
        <v>13</v>
      </c>
      <c r="J3128" s="1" t="s">
        <v>25</v>
      </c>
      <c r="K3128" s="1">
        <v>0</v>
      </c>
      <c r="L3128" s="1" t="s">
        <v>23</v>
      </c>
      <c r="M3128" s="1" t="str">
        <f t="shared" si="48"/>
        <v>Consistent</v>
      </c>
      <c r="N3128" s="1" t="str">
        <f>_xlfn.XLOOKUP(H3128, risk_score!A:A, risk_score!B:B, 0)</f>
        <v>Low Risk</v>
      </c>
    </row>
    <row r="3129" spans="1:14">
      <c r="A3129" s="2">
        <v>0.5218518518518519</v>
      </c>
      <c r="B3129" s="3">
        <v>44841</v>
      </c>
      <c r="C3129" s="1">
        <v>8159507002</v>
      </c>
      <c r="D3129" s="1">
        <v>957638863</v>
      </c>
      <c r="E3129" s="1">
        <v>10874.91</v>
      </c>
      <c r="F3129" s="1" t="s">
        <v>12</v>
      </c>
      <c r="G3129" s="1" t="s">
        <v>12</v>
      </c>
      <c r="H3129" s="1" t="s">
        <v>13</v>
      </c>
      <c r="I3129" s="1" t="s">
        <v>13</v>
      </c>
      <c r="J3129" s="1" t="s">
        <v>20</v>
      </c>
      <c r="K3129" s="1">
        <v>0</v>
      </c>
      <c r="L3129" s="1" t="s">
        <v>21</v>
      </c>
      <c r="M3129" s="1" t="str">
        <f t="shared" si="48"/>
        <v>Consistent</v>
      </c>
      <c r="N3129" s="1" t="str">
        <f>_xlfn.XLOOKUP(H3129, risk_score!A:A, risk_score!B:B, 0)</f>
        <v>Low Risk</v>
      </c>
    </row>
    <row r="3130" spans="1:14">
      <c r="A3130" s="2">
        <v>0.52204861111111112</v>
      </c>
      <c r="B3130" s="3">
        <v>44841</v>
      </c>
      <c r="C3130" s="1">
        <v>5021785800</v>
      </c>
      <c r="D3130" s="1">
        <v>4135708880</v>
      </c>
      <c r="E3130" s="1">
        <v>7795.11</v>
      </c>
      <c r="F3130" s="1" t="s">
        <v>12</v>
      </c>
      <c r="G3130" s="1" t="s">
        <v>12</v>
      </c>
      <c r="H3130" s="1" t="s">
        <v>13</v>
      </c>
      <c r="I3130" s="1" t="s">
        <v>13</v>
      </c>
      <c r="J3130" s="1" t="s">
        <v>25</v>
      </c>
      <c r="K3130" s="1">
        <v>0</v>
      </c>
      <c r="L3130" s="1" t="s">
        <v>19</v>
      </c>
      <c r="M3130" s="1" t="str">
        <f t="shared" si="48"/>
        <v>Consistent</v>
      </c>
      <c r="N3130" s="1" t="str">
        <f>_xlfn.XLOOKUP(H3130, risk_score!A:A, risk_score!B:B, 0)</f>
        <v>Low Risk</v>
      </c>
    </row>
    <row r="3131" spans="1:14">
      <c r="A3131" s="2">
        <v>0.52209490740740738</v>
      </c>
      <c r="B3131" s="3">
        <v>44841</v>
      </c>
      <c r="C3131" s="1">
        <v>5552304606</v>
      </c>
      <c r="D3131" s="1">
        <v>3120350918</v>
      </c>
      <c r="E3131" s="1">
        <v>397.65</v>
      </c>
      <c r="F3131" s="1" t="s">
        <v>12</v>
      </c>
      <c r="G3131" s="1" t="s">
        <v>59</v>
      </c>
      <c r="H3131" s="1" t="s">
        <v>13</v>
      </c>
      <c r="I3131" s="1" t="s">
        <v>60</v>
      </c>
      <c r="J3131" s="1" t="s">
        <v>18</v>
      </c>
      <c r="K3131" s="1">
        <v>0</v>
      </c>
      <c r="L3131" s="1" t="s">
        <v>21</v>
      </c>
      <c r="M3131" s="1" t="str">
        <f t="shared" si="48"/>
        <v>Potential Layering</v>
      </c>
      <c r="N3131" s="1" t="str">
        <f>_xlfn.XLOOKUP(H3131, risk_score!A:A, risk_score!B:B, 0)</f>
        <v>Low Risk</v>
      </c>
    </row>
    <row r="3132" spans="1:14">
      <c r="A3132" s="2">
        <v>0.52210648148148153</v>
      </c>
      <c r="B3132" s="3">
        <v>44841</v>
      </c>
      <c r="C3132" s="1">
        <v>1304411851</v>
      </c>
      <c r="D3132" s="1">
        <v>5708936901</v>
      </c>
      <c r="E3132" s="1">
        <v>10438.15</v>
      </c>
      <c r="F3132" s="1" t="s">
        <v>12</v>
      </c>
      <c r="G3132" s="1" t="s">
        <v>12</v>
      </c>
      <c r="H3132" s="1" t="s">
        <v>13</v>
      </c>
      <c r="I3132" s="1" t="s">
        <v>13</v>
      </c>
      <c r="J3132" s="1" t="s">
        <v>22</v>
      </c>
      <c r="K3132" s="1">
        <v>0</v>
      </c>
      <c r="L3132" s="1" t="s">
        <v>23</v>
      </c>
      <c r="M3132" s="1" t="str">
        <f t="shared" si="48"/>
        <v>Consistent</v>
      </c>
      <c r="N3132" s="1" t="str">
        <f>_xlfn.XLOOKUP(H3132, risk_score!A:A, risk_score!B:B, 0)</f>
        <v>Low Risk</v>
      </c>
    </row>
    <row r="3133" spans="1:14">
      <c r="A3133" s="2">
        <v>0.52212962962962961</v>
      </c>
      <c r="B3133" s="3">
        <v>44841</v>
      </c>
      <c r="C3133" s="1">
        <v>5982914936</v>
      </c>
      <c r="D3133" s="1">
        <v>7927090992</v>
      </c>
      <c r="E3133" s="1">
        <v>9162.44</v>
      </c>
      <c r="F3133" s="1" t="s">
        <v>12</v>
      </c>
      <c r="G3133" s="1" t="s">
        <v>12</v>
      </c>
      <c r="H3133" s="1" t="s">
        <v>13</v>
      </c>
      <c r="I3133" s="1" t="s">
        <v>13</v>
      </c>
      <c r="J3133" s="1" t="s">
        <v>22</v>
      </c>
      <c r="K3133" s="1">
        <v>0</v>
      </c>
      <c r="L3133" s="1" t="s">
        <v>19</v>
      </c>
      <c r="M3133" s="1" t="str">
        <f t="shared" si="48"/>
        <v>Consistent</v>
      </c>
      <c r="N3133" s="1" t="str">
        <f>_xlfn.XLOOKUP(H3133, risk_score!A:A, risk_score!B:B, 0)</f>
        <v>Low Risk</v>
      </c>
    </row>
    <row r="3134" spans="1:14">
      <c r="A3134" s="2">
        <v>0.52214120370370365</v>
      </c>
      <c r="B3134" s="3">
        <v>44841</v>
      </c>
      <c r="C3134" s="1">
        <v>3792189465</v>
      </c>
      <c r="D3134" s="1">
        <v>7080357663</v>
      </c>
      <c r="E3134" s="1">
        <v>5475.38</v>
      </c>
      <c r="F3134" s="1" t="s">
        <v>34</v>
      </c>
      <c r="G3134" s="1" t="s">
        <v>12</v>
      </c>
      <c r="H3134" s="1" t="s">
        <v>35</v>
      </c>
      <c r="I3134" s="1" t="s">
        <v>13</v>
      </c>
      <c r="J3134" s="1" t="s">
        <v>18</v>
      </c>
      <c r="K3134" s="1">
        <v>0</v>
      </c>
      <c r="L3134" s="1" t="s">
        <v>23</v>
      </c>
      <c r="M3134" s="1" t="str">
        <f t="shared" si="48"/>
        <v>Potential Layering</v>
      </c>
      <c r="N3134" s="1" t="str">
        <f>_xlfn.XLOOKUP(H3134, risk_score!A:A, risk_score!B:B, 0)</f>
        <v>High Risk</v>
      </c>
    </row>
    <row r="3135" spans="1:14">
      <c r="A3135" s="2">
        <v>0.52216435185185184</v>
      </c>
      <c r="B3135" s="3">
        <v>44841</v>
      </c>
      <c r="C3135" s="1">
        <v>6854312496</v>
      </c>
      <c r="D3135" s="1">
        <v>7419883586</v>
      </c>
      <c r="E3135" s="1">
        <v>1608.18</v>
      </c>
      <c r="F3135" s="1" t="s">
        <v>12</v>
      </c>
      <c r="G3135" s="1" t="s">
        <v>51</v>
      </c>
      <c r="H3135" s="1" t="s">
        <v>13</v>
      </c>
      <c r="I3135" s="1" t="s">
        <v>52</v>
      </c>
      <c r="J3135" s="1" t="s">
        <v>18</v>
      </c>
      <c r="K3135" s="1">
        <v>0</v>
      </c>
      <c r="L3135" s="1" t="s">
        <v>21</v>
      </c>
      <c r="M3135" s="1" t="str">
        <f t="shared" si="48"/>
        <v>Potential Layering</v>
      </c>
      <c r="N3135" s="1" t="str">
        <f>_xlfn.XLOOKUP(H3135, risk_score!A:A, risk_score!B:B, 0)</f>
        <v>Low Risk</v>
      </c>
    </row>
    <row r="3136" spans="1:14">
      <c r="A3136" s="2">
        <v>0.52217592592592588</v>
      </c>
      <c r="B3136" s="3">
        <v>44841</v>
      </c>
      <c r="C3136" s="1">
        <v>6830607186</v>
      </c>
      <c r="D3136" s="1">
        <v>5445865285</v>
      </c>
      <c r="E3136" s="1">
        <v>2026.67</v>
      </c>
      <c r="F3136" s="1" t="s">
        <v>12</v>
      </c>
      <c r="G3136" s="1" t="s">
        <v>12</v>
      </c>
      <c r="H3136" s="1" t="s">
        <v>13</v>
      </c>
      <c r="I3136" s="1" t="s">
        <v>13</v>
      </c>
      <c r="J3136" s="1" t="s">
        <v>22</v>
      </c>
      <c r="K3136" s="1">
        <v>0</v>
      </c>
      <c r="L3136" s="1" t="s">
        <v>21</v>
      </c>
      <c r="M3136" s="1" t="str">
        <f t="shared" si="48"/>
        <v>Consistent</v>
      </c>
      <c r="N3136" s="1" t="str">
        <f>_xlfn.XLOOKUP(H3136, risk_score!A:A, risk_score!B:B, 0)</f>
        <v>Low Risk</v>
      </c>
    </row>
    <row r="3137" spans="1:14">
      <c r="A3137" s="2">
        <v>0.52217592592592588</v>
      </c>
      <c r="B3137" s="3">
        <v>44841</v>
      </c>
      <c r="C3137" s="1">
        <v>578839168</v>
      </c>
      <c r="D3137" s="1">
        <v>1377603863</v>
      </c>
      <c r="E3137" s="1">
        <v>5426.51</v>
      </c>
      <c r="F3137" s="1" t="s">
        <v>12</v>
      </c>
      <c r="G3137" s="1" t="s">
        <v>12</v>
      </c>
      <c r="H3137" s="1" t="s">
        <v>13</v>
      </c>
      <c r="I3137" s="1" t="s">
        <v>13</v>
      </c>
      <c r="J3137" s="1" t="s">
        <v>27</v>
      </c>
      <c r="K3137" s="1">
        <v>0</v>
      </c>
      <c r="L3137" s="1" t="s">
        <v>23</v>
      </c>
      <c r="M3137" s="1" t="str">
        <f t="shared" si="48"/>
        <v>Consistent</v>
      </c>
      <c r="N3137" s="1" t="str">
        <f>_xlfn.XLOOKUP(H3137, risk_score!A:A, risk_score!B:B, 0)</f>
        <v>Low Risk</v>
      </c>
    </row>
    <row r="3138" spans="1:14">
      <c r="A3138" s="2">
        <v>0.5222106481481481</v>
      </c>
      <c r="B3138" s="3">
        <v>44841</v>
      </c>
      <c r="C3138" s="1">
        <v>3680933929</v>
      </c>
      <c r="D3138" s="1">
        <v>9060628582</v>
      </c>
      <c r="E3138" s="1">
        <v>918.3</v>
      </c>
      <c r="F3138" s="1" t="s">
        <v>12</v>
      </c>
      <c r="G3138" s="1" t="s">
        <v>12</v>
      </c>
      <c r="H3138" s="1" t="s">
        <v>13</v>
      </c>
      <c r="I3138" s="1" t="s">
        <v>13</v>
      </c>
      <c r="J3138" s="1" t="s">
        <v>22</v>
      </c>
      <c r="K3138" s="1">
        <v>0</v>
      </c>
      <c r="L3138" s="1" t="s">
        <v>21</v>
      </c>
      <c r="M3138" s="1" t="str">
        <f t="shared" si="48"/>
        <v>Consistent</v>
      </c>
      <c r="N3138" s="1" t="str">
        <f>_xlfn.XLOOKUP(H3138, risk_score!A:A, risk_score!B:B, 0)</f>
        <v>Low Risk</v>
      </c>
    </row>
    <row r="3139" spans="1:14">
      <c r="A3139" s="2">
        <v>0.52226851851851852</v>
      </c>
      <c r="B3139" s="3">
        <v>44841</v>
      </c>
      <c r="C3139" s="1">
        <v>2466056232</v>
      </c>
      <c r="D3139" s="1">
        <v>8352571580</v>
      </c>
      <c r="E3139" s="1">
        <v>14685.12</v>
      </c>
      <c r="F3139" s="1" t="s">
        <v>12</v>
      </c>
      <c r="G3139" s="1" t="s">
        <v>12</v>
      </c>
      <c r="H3139" s="1" t="s">
        <v>13</v>
      </c>
      <c r="I3139" s="1" t="s">
        <v>13</v>
      </c>
      <c r="J3139" s="1" t="s">
        <v>20</v>
      </c>
      <c r="K3139" s="1">
        <v>0</v>
      </c>
      <c r="L3139" s="1" t="s">
        <v>23</v>
      </c>
      <c r="M3139" s="1" t="str">
        <f t="shared" ref="M3139:M3172" si="49">IF(F3139=G3139, "Consistent", "Potential Layering")</f>
        <v>Consistent</v>
      </c>
      <c r="N3139" s="1" t="str">
        <f>_xlfn.XLOOKUP(H3139, risk_score!A:A, risk_score!B:B, 0)</f>
        <v>Low Risk</v>
      </c>
    </row>
    <row r="3140" spans="1:14">
      <c r="A3140" s="2">
        <v>0.52226851851851852</v>
      </c>
      <c r="B3140" s="3">
        <v>44841</v>
      </c>
      <c r="C3140" s="1">
        <v>8533981991</v>
      </c>
      <c r="D3140" s="1">
        <v>1528028091</v>
      </c>
      <c r="E3140" s="1">
        <v>1202.97</v>
      </c>
      <c r="F3140" s="1" t="s">
        <v>12</v>
      </c>
      <c r="G3140" s="1" t="s">
        <v>12</v>
      </c>
      <c r="H3140" s="1" t="s">
        <v>13</v>
      </c>
      <c r="I3140" s="1" t="s">
        <v>13</v>
      </c>
      <c r="J3140" s="1" t="s">
        <v>27</v>
      </c>
      <c r="K3140" s="1">
        <v>0</v>
      </c>
      <c r="L3140" s="1" t="s">
        <v>21</v>
      </c>
      <c r="M3140" s="1" t="str">
        <f t="shared" si="49"/>
        <v>Consistent</v>
      </c>
      <c r="N3140" s="1" t="str">
        <f>_xlfn.XLOOKUP(H3140, risk_score!A:A, risk_score!B:B, 0)</f>
        <v>Low Risk</v>
      </c>
    </row>
    <row r="3141" spans="1:14">
      <c r="A3141" s="2">
        <v>0.52229166666666671</v>
      </c>
      <c r="B3141" s="3">
        <v>44841</v>
      </c>
      <c r="C3141" s="1">
        <v>7661827107</v>
      </c>
      <c r="D3141" s="1">
        <v>5745001680</v>
      </c>
      <c r="E3141" s="1">
        <v>4452.78</v>
      </c>
      <c r="F3141" s="1" t="s">
        <v>12</v>
      </c>
      <c r="G3141" s="1" t="s">
        <v>12</v>
      </c>
      <c r="H3141" s="1" t="s">
        <v>13</v>
      </c>
      <c r="I3141" s="1" t="s">
        <v>13</v>
      </c>
      <c r="J3141" s="1" t="s">
        <v>25</v>
      </c>
      <c r="K3141" s="1">
        <v>0</v>
      </c>
      <c r="L3141" s="1" t="s">
        <v>21</v>
      </c>
      <c r="M3141" s="1" t="str">
        <f t="shared" si="49"/>
        <v>Consistent</v>
      </c>
      <c r="N3141" s="1" t="str">
        <f>_xlfn.XLOOKUP(H3141, risk_score!A:A, risk_score!B:B, 0)</f>
        <v>Low Risk</v>
      </c>
    </row>
    <row r="3142" spans="1:14">
      <c r="A3142" s="2">
        <v>0.52234953703703701</v>
      </c>
      <c r="B3142" s="3">
        <v>44841</v>
      </c>
      <c r="C3142" s="1">
        <v>6184452609</v>
      </c>
      <c r="D3142" s="1">
        <v>8234466984</v>
      </c>
      <c r="E3142" s="1">
        <v>578.29999999999995</v>
      </c>
      <c r="F3142" s="1" t="s">
        <v>12</v>
      </c>
      <c r="G3142" s="1" t="s">
        <v>12</v>
      </c>
      <c r="H3142" s="1" t="s">
        <v>13</v>
      </c>
      <c r="I3142" s="1" t="s">
        <v>13</v>
      </c>
      <c r="J3142" s="1" t="s">
        <v>22</v>
      </c>
      <c r="K3142" s="1">
        <v>0</v>
      </c>
      <c r="L3142" s="1" t="s">
        <v>21</v>
      </c>
      <c r="M3142" s="1" t="str">
        <f t="shared" si="49"/>
        <v>Consistent</v>
      </c>
      <c r="N3142" s="1" t="str">
        <f>_xlfn.XLOOKUP(H3142, risk_score!A:A, risk_score!B:B, 0)</f>
        <v>Low Risk</v>
      </c>
    </row>
    <row r="3143" spans="1:14">
      <c r="A3143" s="2">
        <v>0.5223726851851852</v>
      </c>
      <c r="B3143" s="3">
        <v>44841</v>
      </c>
      <c r="C3143" s="1">
        <v>5276618736</v>
      </c>
      <c r="D3143" s="1">
        <v>8172080174</v>
      </c>
      <c r="E3143" s="1">
        <v>6214.75</v>
      </c>
      <c r="F3143" s="1" t="s">
        <v>12</v>
      </c>
      <c r="G3143" s="1" t="s">
        <v>12</v>
      </c>
      <c r="H3143" s="1" t="s">
        <v>13</v>
      </c>
      <c r="I3143" s="1" t="s">
        <v>13</v>
      </c>
      <c r="J3143" s="1" t="s">
        <v>27</v>
      </c>
      <c r="K3143" s="1">
        <v>0</v>
      </c>
      <c r="L3143" s="1" t="s">
        <v>23</v>
      </c>
      <c r="M3143" s="1" t="str">
        <f t="shared" si="49"/>
        <v>Consistent</v>
      </c>
      <c r="N3143" s="1" t="str">
        <f>_xlfn.XLOOKUP(H3143, risk_score!A:A, risk_score!B:B, 0)</f>
        <v>Low Risk</v>
      </c>
    </row>
    <row r="3144" spans="1:14">
      <c r="A3144" s="2">
        <v>0.52238425925925924</v>
      </c>
      <c r="B3144" s="3">
        <v>44841</v>
      </c>
      <c r="C3144" s="1">
        <v>2896677429</v>
      </c>
      <c r="D3144" s="1">
        <v>7352635472</v>
      </c>
      <c r="E3144" s="1">
        <v>19108.830000000002</v>
      </c>
      <c r="F3144" s="1" t="s">
        <v>12</v>
      </c>
      <c r="G3144" s="1" t="s">
        <v>12</v>
      </c>
      <c r="H3144" s="1" t="s">
        <v>13</v>
      </c>
      <c r="I3144" s="1" t="s">
        <v>13</v>
      </c>
      <c r="J3144" s="1" t="s">
        <v>27</v>
      </c>
      <c r="K3144" s="1">
        <v>0</v>
      </c>
      <c r="L3144" s="1" t="s">
        <v>49</v>
      </c>
      <c r="M3144" s="1" t="str">
        <f t="shared" si="49"/>
        <v>Consistent</v>
      </c>
      <c r="N3144" s="1" t="str">
        <f>_xlfn.XLOOKUP(H3144, risk_score!A:A, risk_score!B:B, 0)</f>
        <v>Low Risk</v>
      </c>
    </row>
    <row r="3145" spans="1:14">
      <c r="A3145" s="2">
        <v>0.52241898148148147</v>
      </c>
      <c r="B3145" s="3">
        <v>44841</v>
      </c>
      <c r="C3145" s="1">
        <v>6086421020</v>
      </c>
      <c r="D3145" s="1">
        <v>5033682319</v>
      </c>
      <c r="E3145" s="1">
        <v>14702.61</v>
      </c>
      <c r="F3145" s="1" t="s">
        <v>12</v>
      </c>
      <c r="G3145" s="1" t="s">
        <v>12</v>
      </c>
      <c r="H3145" s="1" t="s">
        <v>13</v>
      </c>
      <c r="I3145" s="1" t="s">
        <v>13</v>
      </c>
      <c r="J3145" s="1" t="s">
        <v>27</v>
      </c>
      <c r="K3145" s="1">
        <v>0</v>
      </c>
      <c r="L3145" s="1" t="s">
        <v>19</v>
      </c>
      <c r="M3145" s="1" t="str">
        <f t="shared" si="49"/>
        <v>Consistent</v>
      </c>
      <c r="N3145" s="1" t="str">
        <f>_xlfn.XLOOKUP(H3145, risk_score!A:A, risk_score!B:B, 0)</f>
        <v>Low Risk</v>
      </c>
    </row>
    <row r="3146" spans="1:14">
      <c r="A3146" s="2">
        <v>0.52243055555555551</v>
      </c>
      <c r="B3146" s="3">
        <v>44841</v>
      </c>
      <c r="C3146" s="1">
        <v>1225080541</v>
      </c>
      <c r="D3146" s="1">
        <v>6914782058</v>
      </c>
      <c r="E3146" s="1">
        <v>22921.52</v>
      </c>
      <c r="F3146" s="1" t="s">
        <v>12</v>
      </c>
      <c r="G3146" s="1" t="s">
        <v>12</v>
      </c>
      <c r="H3146" s="1" t="s">
        <v>13</v>
      </c>
      <c r="I3146" s="1" t="s">
        <v>13</v>
      </c>
      <c r="J3146" s="1" t="s">
        <v>25</v>
      </c>
      <c r="K3146" s="1">
        <v>0</v>
      </c>
      <c r="L3146" s="1" t="s">
        <v>21</v>
      </c>
      <c r="M3146" s="1" t="str">
        <f t="shared" si="49"/>
        <v>Consistent</v>
      </c>
      <c r="N3146" s="1" t="str">
        <f>_xlfn.XLOOKUP(H3146, risk_score!A:A, risk_score!B:B, 0)</f>
        <v>Low Risk</v>
      </c>
    </row>
    <row r="3147" spans="1:14">
      <c r="A3147" s="2">
        <v>0.52244212962962966</v>
      </c>
      <c r="B3147" s="3">
        <v>44841</v>
      </c>
      <c r="C3147" s="1">
        <v>8389148416</v>
      </c>
      <c r="D3147" s="1">
        <v>1363901484</v>
      </c>
      <c r="E3147" s="1">
        <v>10203.6</v>
      </c>
      <c r="F3147" s="1" t="s">
        <v>12</v>
      </c>
      <c r="G3147" s="1" t="s">
        <v>12</v>
      </c>
      <c r="H3147" s="1" t="s">
        <v>13</v>
      </c>
      <c r="I3147" s="1" t="s">
        <v>13</v>
      </c>
      <c r="J3147" s="1" t="s">
        <v>27</v>
      </c>
      <c r="K3147" s="1">
        <v>0</v>
      </c>
      <c r="L3147" s="1" t="s">
        <v>19</v>
      </c>
      <c r="M3147" s="1" t="str">
        <f t="shared" si="49"/>
        <v>Consistent</v>
      </c>
      <c r="N3147" s="1" t="str">
        <f>_xlfn.XLOOKUP(H3147, risk_score!A:A, risk_score!B:B, 0)</f>
        <v>Low Risk</v>
      </c>
    </row>
    <row r="3148" spans="1:14">
      <c r="A3148" s="2">
        <v>0.52244212962962966</v>
      </c>
      <c r="B3148" s="3">
        <v>44841</v>
      </c>
      <c r="C3148" s="1">
        <v>9225473763</v>
      </c>
      <c r="D3148" s="1">
        <v>7135352757</v>
      </c>
      <c r="E3148" s="1">
        <v>1863.07</v>
      </c>
      <c r="F3148" s="1" t="s">
        <v>12</v>
      </c>
      <c r="G3148" s="1" t="s">
        <v>12</v>
      </c>
      <c r="H3148" s="1" t="s">
        <v>13</v>
      </c>
      <c r="I3148" s="1" t="s">
        <v>13</v>
      </c>
      <c r="J3148" s="1" t="s">
        <v>25</v>
      </c>
      <c r="K3148" s="1">
        <v>0</v>
      </c>
      <c r="L3148" s="1" t="s">
        <v>21</v>
      </c>
      <c r="M3148" s="1" t="str">
        <f t="shared" si="49"/>
        <v>Consistent</v>
      </c>
      <c r="N3148" s="1" t="str">
        <f>_xlfn.XLOOKUP(H3148, risk_score!A:A, risk_score!B:B, 0)</f>
        <v>Low Risk</v>
      </c>
    </row>
    <row r="3149" spans="1:14">
      <c r="A3149" s="2">
        <v>0.52247685185185189</v>
      </c>
      <c r="B3149" s="3">
        <v>44841</v>
      </c>
      <c r="C3149" s="1">
        <v>5103484600</v>
      </c>
      <c r="D3149" s="1">
        <v>767910895</v>
      </c>
      <c r="E3149" s="1">
        <v>6346.16</v>
      </c>
      <c r="F3149" s="1" t="s">
        <v>12</v>
      </c>
      <c r="G3149" s="1" t="s">
        <v>12</v>
      </c>
      <c r="H3149" s="1" t="s">
        <v>13</v>
      </c>
      <c r="I3149" s="1" t="s">
        <v>13</v>
      </c>
      <c r="J3149" s="1" t="s">
        <v>20</v>
      </c>
      <c r="K3149" s="1">
        <v>0</v>
      </c>
      <c r="L3149" s="1" t="s">
        <v>21</v>
      </c>
      <c r="M3149" s="1" t="str">
        <f t="shared" si="49"/>
        <v>Consistent</v>
      </c>
      <c r="N3149" s="1" t="str">
        <f>_xlfn.XLOOKUP(H3149, risk_score!A:A, risk_score!B:B, 0)</f>
        <v>Low Risk</v>
      </c>
    </row>
    <row r="3150" spans="1:14">
      <c r="A3150" s="2">
        <v>0.52251157407407411</v>
      </c>
      <c r="B3150" s="3">
        <v>44841</v>
      </c>
      <c r="C3150" s="1">
        <v>8456279067</v>
      </c>
      <c r="D3150" s="1">
        <v>5344331047</v>
      </c>
      <c r="E3150" s="1">
        <v>4670.84</v>
      </c>
      <c r="F3150" s="1" t="s">
        <v>12</v>
      </c>
      <c r="G3150" s="1" t="s">
        <v>12</v>
      </c>
      <c r="H3150" s="1" t="s">
        <v>13</v>
      </c>
      <c r="I3150" s="1" t="s">
        <v>13</v>
      </c>
      <c r="J3150" s="1" t="s">
        <v>20</v>
      </c>
      <c r="K3150" s="1">
        <v>0</v>
      </c>
      <c r="L3150" s="1" t="s">
        <v>19</v>
      </c>
      <c r="M3150" s="1" t="str">
        <f t="shared" si="49"/>
        <v>Consistent</v>
      </c>
      <c r="N3150" s="1" t="str">
        <f>_xlfn.XLOOKUP(H3150, risk_score!A:A, risk_score!B:B, 0)</f>
        <v>Low Risk</v>
      </c>
    </row>
    <row r="3151" spans="1:14">
      <c r="A3151" s="2">
        <v>0.52255787037037038</v>
      </c>
      <c r="B3151" s="3">
        <v>44841</v>
      </c>
      <c r="C3151" s="1">
        <v>9588577727</v>
      </c>
      <c r="D3151" s="1">
        <v>3220735304</v>
      </c>
      <c r="E3151" s="1">
        <v>7948.85</v>
      </c>
      <c r="F3151" s="1" t="s">
        <v>12</v>
      </c>
      <c r="G3151" s="1" t="s">
        <v>12</v>
      </c>
      <c r="H3151" s="1" t="s">
        <v>13</v>
      </c>
      <c r="I3151" s="1" t="s">
        <v>13</v>
      </c>
      <c r="J3151" s="1" t="s">
        <v>27</v>
      </c>
      <c r="K3151" s="1">
        <v>0</v>
      </c>
      <c r="L3151" s="1" t="s">
        <v>23</v>
      </c>
      <c r="M3151" s="1" t="str">
        <f t="shared" si="49"/>
        <v>Consistent</v>
      </c>
      <c r="N3151" s="1" t="str">
        <f>_xlfn.XLOOKUP(H3151, risk_score!A:A, risk_score!B:B, 0)</f>
        <v>Low Risk</v>
      </c>
    </row>
    <row r="3152" spans="1:14">
      <c r="A3152" s="2">
        <v>0.52258101851851857</v>
      </c>
      <c r="B3152" s="3">
        <v>44841</v>
      </c>
      <c r="C3152" s="1">
        <v>4162973845</v>
      </c>
      <c r="D3152" s="1">
        <v>7171059697</v>
      </c>
      <c r="E3152" s="1">
        <v>4012.83</v>
      </c>
      <c r="F3152" s="1" t="s">
        <v>12</v>
      </c>
      <c r="G3152" s="1" t="s">
        <v>12</v>
      </c>
      <c r="H3152" s="1" t="s">
        <v>13</v>
      </c>
      <c r="I3152" s="1" t="s">
        <v>13</v>
      </c>
      <c r="J3152" s="1" t="s">
        <v>22</v>
      </c>
      <c r="K3152" s="1">
        <v>0</v>
      </c>
      <c r="L3152" s="1" t="s">
        <v>21</v>
      </c>
      <c r="M3152" s="1" t="str">
        <f t="shared" si="49"/>
        <v>Consistent</v>
      </c>
      <c r="N3152" s="1" t="str">
        <f>_xlfn.XLOOKUP(H3152, risk_score!A:A, risk_score!B:B, 0)</f>
        <v>Low Risk</v>
      </c>
    </row>
    <row r="3153" spans="1:14">
      <c r="A3153" s="2">
        <v>0.52259259259259261</v>
      </c>
      <c r="B3153" s="3">
        <v>44841</v>
      </c>
      <c r="C3153" s="1">
        <v>2659651684</v>
      </c>
      <c r="D3153" s="1">
        <v>2580810242</v>
      </c>
      <c r="E3153" s="1">
        <v>1384.29</v>
      </c>
      <c r="F3153" s="1" t="s">
        <v>12</v>
      </c>
      <c r="G3153" s="1" t="s">
        <v>12</v>
      </c>
      <c r="H3153" s="1" t="s">
        <v>13</v>
      </c>
      <c r="I3153" s="1" t="s">
        <v>13</v>
      </c>
      <c r="J3153" s="1" t="s">
        <v>14</v>
      </c>
      <c r="K3153" s="1">
        <v>0</v>
      </c>
      <c r="L3153" s="1" t="s">
        <v>15</v>
      </c>
      <c r="M3153" s="1" t="str">
        <f t="shared" si="49"/>
        <v>Consistent</v>
      </c>
      <c r="N3153" s="1" t="str">
        <f>_xlfn.XLOOKUP(H3153, risk_score!A:A, risk_score!B:B, 0)</f>
        <v>Low Risk</v>
      </c>
    </row>
    <row r="3154" spans="1:14">
      <c r="A3154" s="2">
        <v>0.52261574074074069</v>
      </c>
      <c r="B3154" s="3">
        <v>44841</v>
      </c>
      <c r="C3154" s="1">
        <v>3709430533</v>
      </c>
      <c r="D3154" s="1">
        <v>3402269996</v>
      </c>
      <c r="E3154" s="1">
        <v>8100.32</v>
      </c>
      <c r="F3154" s="1" t="s">
        <v>12</v>
      </c>
      <c r="G3154" s="1" t="s">
        <v>12</v>
      </c>
      <c r="H3154" s="1" t="s">
        <v>13</v>
      </c>
      <c r="I3154" s="1" t="s">
        <v>13</v>
      </c>
      <c r="J3154" s="1" t="s">
        <v>20</v>
      </c>
      <c r="K3154" s="1">
        <v>0</v>
      </c>
      <c r="L3154" s="1" t="s">
        <v>19</v>
      </c>
      <c r="M3154" s="1" t="str">
        <f t="shared" si="49"/>
        <v>Consistent</v>
      </c>
      <c r="N3154" s="1" t="str">
        <f>_xlfn.XLOOKUP(H3154, risk_score!A:A, risk_score!B:B, 0)</f>
        <v>Low Risk</v>
      </c>
    </row>
    <row r="3155" spans="1:14">
      <c r="A3155" s="2">
        <v>0.52263888888888888</v>
      </c>
      <c r="B3155" s="3">
        <v>44841</v>
      </c>
      <c r="C3155" s="1">
        <v>6621804796</v>
      </c>
      <c r="D3155" s="1">
        <v>3770534770</v>
      </c>
      <c r="E3155" s="1">
        <v>2028.1</v>
      </c>
      <c r="F3155" s="1" t="s">
        <v>12</v>
      </c>
      <c r="G3155" s="1" t="s">
        <v>12</v>
      </c>
      <c r="H3155" s="1" t="s">
        <v>13</v>
      </c>
      <c r="I3155" s="1" t="s">
        <v>13</v>
      </c>
      <c r="J3155" s="1" t="s">
        <v>25</v>
      </c>
      <c r="K3155" s="1">
        <v>0</v>
      </c>
      <c r="L3155" s="1" t="s">
        <v>24</v>
      </c>
      <c r="M3155" s="1" t="str">
        <f t="shared" si="49"/>
        <v>Consistent</v>
      </c>
      <c r="N3155" s="1" t="str">
        <f>_xlfn.XLOOKUP(H3155, risk_score!A:A, risk_score!B:B, 0)</f>
        <v>Low Risk</v>
      </c>
    </row>
    <row r="3156" spans="1:14">
      <c r="A3156" s="2">
        <v>0.52266203703703706</v>
      </c>
      <c r="B3156" s="3">
        <v>44841</v>
      </c>
      <c r="C3156" s="1">
        <v>7206133645</v>
      </c>
      <c r="D3156" s="1">
        <v>270790087</v>
      </c>
      <c r="E3156" s="1">
        <v>467.46</v>
      </c>
      <c r="F3156" s="1" t="s">
        <v>12</v>
      </c>
      <c r="G3156" s="1" t="s">
        <v>12</v>
      </c>
      <c r="H3156" s="1" t="s">
        <v>13</v>
      </c>
      <c r="I3156" s="1" t="s">
        <v>13</v>
      </c>
      <c r="J3156" s="1" t="s">
        <v>25</v>
      </c>
      <c r="K3156" s="1">
        <v>0</v>
      </c>
      <c r="L3156" s="1" t="s">
        <v>21</v>
      </c>
      <c r="M3156" s="1" t="str">
        <f t="shared" si="49"/>
        <v>Consistent</v>
      </c>
      <c r="N3156" s="1" t="str">
        <f>_xlfn.XLOOKUP(H3156, risk_score!A:A, risk_score!B:B, 0)</f>
        <v>Low Risk</v>
      </c>
    </row>
    <row r="3157" spans="1:14">
      <c r="A3157" s="2">
        <v>0.5226736111111111</v>
      </c>
      <c r="B3157" s="3">
        <v>44841</v>
      </c>
      <c r="C3157" s="1">
        <v>6838081010</v>
      </c>
      <c r="D3157" s="1">
        <v>6953672776</v>
      </c>
      <c r="E3157" s="1">
        <v>10473.18</v>
      </c>
      <c r="F3157" s="1" t="s">
        <v>12</v>
      </c>
      <c r="G3157" s="1" t="s">
        <v>34</v>
      </c>
      <c r="H3157" s="1" t="s">
        <v>13</v>
      </c>
      <c r="I3157" s="1" t="s">
        <v>35</v>
      </c>
      <c r="J3157" s="1" t="s">
        <v>18</v>
      </c>
      <c r="K3157" s="1">
        <v>0</v>
      </c>
      <c r="L3157" s="1" t="s">
        <v>23</v>
      </c>
      <c r="M3157" s="1" t="str">
        <f t="shared" si="49"/>
        <v>Potential Layering</v>
      </c>
      <c r="N3157" s="1" t="str">
        <f>_xlfn.XLOOKUP(H3157, risk_score!A:A, risk_score!B:B, 0)</f>
        <v>Low Risk</v>
      </c>
    </row>
    <row r="3158" spans="1:14">
      <c r="A3158" s="2">
        <v>0.52273148148148152</v>
      </c>
      <c r="B3158" s="3">
        <v>44841</v>
      </c>
      <c r="C3158" s="1">
        <v>9188654195</v>
      </c>
      <c r="D3158" s="1">
        <v>2449644566</v>
      </c>
      <c r="E3158" s="1">
        <v>932.33</v>
      </c>
      <c r="F3158" s="1" t="s">
        <v>12</v>
      </c>
      <c r="G3158" s="1" t="s">
        <v>12</v>
      </c>
      <c r="H3158" s="1" t="s">
        <v>13</v>
      </c>
      <c r="I3158" s="1" t="s">
        <v>13</v>
      </c>
      <c r="J3158" s="1" t="s">
        <v>20</v>
      </c>
      <c r="K3158" s="1">
        <v>0</v>
      </c>
      <c r="L3158" s="1" t="s">
        <v>21</v>
      </c>
      <c r="M3158" s="1" t="str">
        <f t="shared" si="49"/>
        <v>Consistent</v>
      </c>
      <c r="N3158" s="1" t="str">
        <f>_xlfn.XLOOKUP(H3158, risk_score!A:A, risk_score!B:B, 0)</f>
        <v>Low Risk</v>
      </c>
    </row>
    <row r="3159" spans="1:14">
      <c r="A3159" s="2">
        <v>0.52277777777777779</v>
      </c>
      <c r="B3159" s="3">
        <v>44841</v>
      </c>
      <c r="C3159" s="1">
        <v>2355147013</v>
      </c>
      <c r="D3159" s="1">
        <v>5418528318</v>
      </c>
      <c r="E3159" s="1">
        <v>3267.25</v>
      </c>
      <c r="F3159" s="1" t="s">
        <v>12</v>
      </c>
      <c r="G3159" s="1" t="s">
        <v>12</v>
      </c>
      <c r="H3159" s="1" t="s">
        <v>13</v>
      </c>
      <c r="I3159" s="1" t="s">
        <v>13</v>
      </c>
      <c r="J3159" s="1" t="s">
        <v>20</v>
      </c>
      <c r="K3159" s="1">
        <v>0</v>
      </c>
      <c r="L3159" s="1" t="s">
        <v>21</v>
      </c>
      <c r="M3159" s="1" t="str">
        <f t="shared" si="49"/>
        <v>Consistent</v>
      </c>
      <c r="N3159" s="1" t="str">
        <f>_xlfn.XLOOKUP(H3159, risk_score!A:A, risk_score!B:B, 0)</f>
        <v>Low Risk</v>
      </c>
    </row>
    <row r="3160" spans="1:14">
      <c r="A3160" s="2">
        <v>0.52277777777777779</v>
      </c>
      <c r="B3160" s="3">
        <v>44841</v>
      </c>
      <c r="C3160" s="1">
        <v>986486952</v>
      </c>
      <c r="D3160" s="1">
        <v>2442647982</v>
      </c>
      <c r="E3160" s="1">
        <v>276.35000000000002</v>
      </c>
      <c r="F3160" s="1" t="s">
        <v>12</v>
      </c>
      <c r="G3160" s="1" t="s">
        <v>12</v>
      </c>
      <c r="H3160" s="1" t="s">
        <v>13</v>
      </c>
      <c r="I3160" s="1" t="s">
        <v>13</v>
      </c>
      <c r="J3160" s="1" t="s">
        <v>22</v>
      </c>
      <c r="K3160" s="1">
        <v>0</v>
      </c>
      <c r="L3160" s="1" t="s">
        <v>21</v>
      </c>
      <c r="M3160" s="1" t="str">
        <f t="shared" si="49"/>
        <v>Consistent</v>
      </c>
      <c r="N3160" s="1" t="str">
        <f>_xlfn.XLOOKUP(H3160, risk_score!A:A, risk_score!B:B, 0)</f>
        <v>Low Risk</v>
      </c>
    </row>
    <row r="3161" spans="1:14">
      <c r="A3161" s="2">
        <v>0.52280092592592597</v>
      </c>
      <c r="B3161" s="3">
        <v>44841</v>
      </c>
      <c r="C3161" s="1">
        <v>2263768772</v>
      </c>
      <c r="D3161" s="1">
        <v>6940605997</v>
      </c>
      <c r="E3161" s="1">
        <v>3246.22</v>
      </c>
      <c r="F3161" s="1" t="s">
        <v>12</v>
      </c>
      <c r="G3161" s="1" t="s">
        <v>12</v>
      </c>
      <c r="H3161" s="1" t="s">
        <v>13</v>
      </c>
      <c r="I3161" s="1" t="s">
        <v>13</v>
      </c>
      <c r="J3161" s="1" t="s">
        <v>14</v>
      </c>
      <c r="K3161" s="1">
        <v>0</v>
      </c>
      <c r="L3161" s="1" t="s">
        <v>15</v>
      </c>
      <c r="M3161" s="1" t="str">
        <f t="shared" si="49"/>
        <v>Consistent</v>
      </c>
      <c r="N3161" s="1" t="str">
        <f>_xlfn.XLOOKUP(H3161, risk_score!A:A, risk_score!B:B, 0)</f>
        <v>Low Risk</v>
      </c>
    </row>
    <row r="3162" spans="1:14">
      <c r="A3162" s="2">
        <v>0.52281250000000001</v>
      </c>
      <c r="B3162" s="3">
        <v>44841</v>
      </c>
      <c r="C3162" s="1">
        <v>6898293814</v>
      </c>
      <c r="D3162" s="1">
        <v>7649191174</v>
      </c>
      <c r="E3162" s="1">
        <v>1412.34</v>
      </c>
      <c r="F3162" s="1" t="s">
        <v>12</v>
      </c>
      <c r="G3162" s="1" t="s">
        <v>12</v>
      </c>
      <c r="H3162" s="1" t="s">
        <v>13</v>
      </c>
      <c r="I3162" s="1" t="s">
        <v>13</v>
      </c>
      <c r="J3162" s="1" t="s">
        <v>20</v>
      </c>
      <c r="K3162" s="1">
        <v>0</v>
      </c>
      <c r="L3162" s="1" t="s">
        <v>24</v>
      </c>
      <c r="M3162" s="1" t="str">
        <f t="shared" si="49"/>
        <v>Consistent</v>
      </c>
      <c r="N3162" s="1" t="str">
        <f>_xlfn.XLOOKUP(H3162, risk_score!A:A, risk_score!B:B, 0)</f>
        <v>Low Risk</v>
      </c>
    </row>
    <row r="3163" spans="1:14">
      <c r="A3163" s="2">
        <v>0.5228356481481482</v>
      </c>
      <c r="B3163" s="3">
        <v>44841</v>
      </c>
      <c r="C3163" s="1">
        <v>8661262840</v>
      </c>
      <c r="D3163" s="1">
        <v>9350697921</v>
      </c>
      <c r="E3163" s="1">
        <v>338.2</v>
      </c>
      <c r="F3163" s="1" t="s">
        <v>12</v>
      </c>
      <c r="G3163" s="1" t="s">
        <v>12</v>
      </c>
      <c r="H3163" s="1" t="s">
        <v>13</v>
      </c>
      <c r="I3163" s="1" t="s">
        <v>13</v>
      </c>
      <c r="J3163" s="1" t="s">
        <v>22</v>
      </c>
      <c r="K3163" s="1">
        <v>0</v>
      </c>
      <c r="L3163" s="1" t="s">
        <v>21</v>
      </c>
      <c r="M3163" s="1" t="str">
        <f t="shared" si="49"/>
        <v>Consistent</v>
      </c>
      <c r="N3163" s="1" t="str">
        <f>_xlfn.XLOOKUP(H3163, risk_score!A:A, risk_score!B:B, 0)</f>
        <v>Low Risk</v>
      </c>
    </row>
    <row r="3164" spans="1:14">
      <c r="A3164" s="2">
        <v>0.5228356481481482</v>
      </c>
      <c r="B3164" s="3">
        <v>44841</v>
      </c>
      <c r="C3164" s="1">
        <v>8744916972</v>
      </c>
      <c r="D3164" s="1">
        <v>8352571580</v>
      </c>
      <c r="E3164" s="1">
        <v>4505.34</v>
      </c>
      <c r="F3164" s="1" t="s">
        <v>12</v>
      </c>
      <c r="G3164" s="1" t="s">
        <v>12</v>
      </c>
      <c r="H3164" s="1" t="s">
        <v>13</v>
      </c>
      <c r="I3164" s="1" t="s">
        <v>13</v>
      </c>
      <c r="J3164" s="1" t="s">
        <v>25</v>
      </c>
      <c r="K3164" s="1">
        <v>0</v>
      </c>
      <c r="L3164" s="1" t="s">
        <v>23</v>
      </c>
      <c r="M3164" s="1" t="str">
        <f t="shared" si="49"/>
        <v>Consistent</v>
      </c>
      <c r="N3164" s="1" t="str">
        <f>_xlfn.XLOOKUP(H3164, risk_score!A:A, risk_score!B:B, 0)</f>
        <v>Low Risk</v>
      </c>
    </row>
    <row r="3165" spans="1:14">
      <c r="A3165" s="2">
        <v>0.52287037037037032</v>
      </c>
      <c r="B3165" s="3">
        <v>44841</v>
      </c>
      <c r="C3165" s="1">
        <v>8456279067</v>
      </c>
      <c r="D3165" s="1">
        <v>1194597483</v>
      </c>
      <c r="E3165" s="1">
        <v>9289.7000000000007</v>
      </c>
      <c r="F3165" s="1" t="s">
        <v>12</v>
      </c>
      <c r="G3165" s="1" t="s">
        <v>12</v>
      </c>
      <c r="H3165" s="1" t="s">
        <v>13</v>
      </c>
      <c r="I3165" s="1" t="s">
        <v>13</v>
      </c>
      <c r="J3165" s="1" t="s">
        <v>22</v>
      </c>
      <c r="K3165" s="1">
        <v>0</v>
      </c>
      <c r="L3165" s="1" t="s">
        <v>19</v>
      </c>
      <c r="M3165" s="1" t="str">
        <f t="shared" si="49"/>
        <v>Consistent</v>
      </c>
      <c r="N3165" s="1" t="str">
        <f>_xlfn.XLOOKUP(H3165, risk_score!A:A, risk_score!B:B, 0)</f>
        <v>Low Risk</v>
      </c>
    </row>
    <row r="3166" spans="1:14">
      <c r="A3166" s="2">
        <v>0.52292824074074074</v>
      </c>
      <c r="B3166" s="3">
        <v>44841</v>
      </c>
      <c r="C3166" s="1">
        <v>1808188492</v>
      </c>
      <c r="D3166" s="1">
        <v>5012637680</v>
      </c>
      <c r="E3166" s="1">
        <v>2067.5300000000002</v>
      </c>
      <c r="F3166" s="1" t="s">
        <v>12</v>
      </c>
      <c r="G3166" s="1" t="s">
        <v>12</v>
      </c>
      <c r="H3166" s="1" t="s">
        <v>13</v>
      </c>
      <c r="I3166" s="1" t="s">
        <v>13</v>
      </c>
      <c r="J3166" s="1" t="s">
        <v>25</v>
      </c>
      <c r="K3166" s="1">
        <v>0</v>
      </c>
      <c r="L3166" s="1" t="s">
        <v>21</v>
      </c>
      <c r="M3166" s="1" t="str">
        <f t="shared" si="49"/>
        <v>Consistent</v>
      </c>
      <c r="N3166" s="1" t="str">
        <f>_xlfn.XLOOKUP(H3166, risk_score!A:A, risk_score!B:B, 0)</f>
        <v>Low Risk</v>
      </c>
    </row>
    <row r="3167" spans="1:14">
      <c r="A3167" s="2">
        <v>0.52293981481481477</v>
      </c>
      <c r="B3167" s="3">
        <v>44841</v>
      </c>
      <c r="C3167" s="1">
        <v>6086421020</v>
      </c>
      <c r="D3167" s="1">
        <v>4967072739</v>
      </c>
      <c r="E3167" s="1">
        <v>4850.04</v>
      </c>
      <c r="F3167" s="1" t="s">
        <v>12</v>
      </c>
      <c r="G3167" s="1" t="s">
        <v>12</v>
      </c>
      <c r="H3167" s="1" t="s">
        <v>13</v>
      </c>
      <c r="I3167" s="1" t="s">
        <v>13</v>
      </c>
      <c r="J3167" s="1" t="s">
        <v>25</v>
      </c>
      <c r="K3167" s="1">
        <v>0</v>
      </c>
      <c r="L3167" s="1" t="s">
        <v>19</v>
      </c>
      <c r="M3167" s="1" t="str">
        <f t="shared" si="49"/>
        <v>Consistent</v>
      </c>
      <c r="N3167" s="1" t="str">
        <f>_xlfn.XLOOKUP(H3167, risk_score!A:A, risk_score!B:B, 0)</f>
        <v>Low Risk</v>
      </c>
    </row>
    <row r="3168" spans="1:14">
      <c r="A3168" s="2">
        <v>0.52298611111111115</v>
      </c>
      <c r="B3168" s="3">
        <v>44841</v>
      </c>
      <c r="C3168" s="1">
        <v>8898696157</v>
      </c>
      <c r="D3168" s="1">
        <v>6646502650</v>
      </c>
      <c r="E3168" s="1">
        <v>10121.52</v>
      </c>
      <c r="F3168" s="1" t="s">
        <v>12</v>
      </c>
      <c r="G3168" s="1" t="s">
        <v>29</v>
      </c>
      <c r="H3168" s="1" t="s">
        <v>13</v>
      </c>
      <c r="I3168" s="1" t="s">
        <v>31</v>
      </c>
      <c r="J3168" s="1" t="s">
        <v>18</v>
      </c>
      <c r="K3168" s="1">
        <v>0</v>
      </c>
      <c r="L3168" s="1" t="s">
        <v>23</v>
      </c>
      <c r="M3168" s="1" t="str">
        <f t="shared" si="49"/>
        <v>Potential Layering</v>
      </c>
      <c r="N3168" s="1" t="str">
        <f>_xlfn.XLOOKUP(H3168, risk_score!A:A, risk_score!B:B, 0)</f>
        <v>Low Risk</v>
      </c>
    </row>
    <row r="3169" spans="1:14">
      <c r="A3169" s="2">
        <v>0.52300925925925923</v>
      </c>
      <c r="B3169" s="3">
        <v>44841</v>
      </c>
      <c r="C3169" s="1">
        <v>8615470871</v>
      </c>
      <c r="D3169" s="1">
        <v>5896180453</v>
      </c>
      <c r="E3169" s="1">
        <v>7008.86</v>
      </c>
      <c r="F3169" s="1" t="s">
        <v>12</v>
      </c>
      <c r="G3169" s="1" t="s">
        <v>12</v>
      </c>
      <c r="H3169" s="1" t="s">
        <v>13</v>
      </c>
      <c r="I3169" s="1" t="s">
        <v>13</v>
      </c>
      <c r="J3169" s="1" t="s">
        <v>20</v>
      </c>
      <c r="K3169" s="1">
        <v>0</v>
      </c>
      <c r="L3169" s="1" t="s">
        <v>23</v>
      </c>
      <c r="M3169" s="1" t="str">
        <f t="shared" si="49"/>
        <v>Consistent</v>
      </c>
      <c r="N3169" s="1" t="str">
        <f>_xlfn.XLOOKUP(H3169, risk_score!A:A, risk_score!B:B, 0)</f>
        <v>Low Risk</v>
      </c>
    </row>
    <row r="3170" spans="1:14">
      <c r="A3170" s="2">
        <v>0.52302083333333338</v>
      </c>
      <c r="B3170" s="3">
        <v>44841</v>
      </c>
      <c r="C3170" s="1">
        <v>2320387917</v>
      </c>
      <c r="D3170" s="1">
        <v>1465487567</v>
      </c>
      <c r="E3170" s="1">
        <v>17596.21</v>
      </c>
      <c r="F3170" s="1" t="s">
        <v>12</v>
      </c>
      <c r="G3170" s="1" t="s">
        <v>12</v>
      </c>
      <c r="H3170" s="1" t="s">
        <v>13</v>
      </c>
      <c r="I3170" s="1" t="s">
        <v>13</v>
      </c>
      <c r="J3170" s="1" t="s">
        <v>25</v>
      </c>
      <c r="K3170" s="1">
        <v>0</v>
      </c>
      <c r="L3170" s="1" t="s">
        <v>23</v>
      </c>
      <c r="M3170" s="1" t="str">
        <f t="shared" si="49"/>
        <v>Consistent</v>
      </c>
      <c r="N3170" s="1" t="str">
        <f>_xlfn.XLOOKUP(H3170, risk_score!A:A, risk_score!B:B, 0)</f>
        <v>Low Risk</v>
      </c>
    </row>
    <row r="3171" spans="1:14">
      <c r="A3171" s="2">
        <v>0.52303240740740742</v>
      </c>
      <c r="B3171" s="3">
        <v>44841</v>
      </c>
      <c r="C3171" s="1">
        <v>8687407314</v>
      </c>
      <c r="D3171" s="1">
        <v>1493436023</v>
      </c>
      <c r="E3171" s="1">
        <v>20801.07</v>
      </c>
      <c r="F3171" s="1" t="s">
        <v>12</v>
      </c>
      <c r="G3171" s="1" t="s">
        <v>12</v>
      </c>
      <c r="H3171" s="1" t="s">
        <v>13</v>
      </c>
      <c r="I3171" s="1" t="s">
        <v>13</v>
      </c>
      <c r="J3171" s="1" t="s">
        <v>25</v>
      </c>
      <c r="K3171" s="1">
        <v>0</v>
      </c>
      <c r="L3171" s="1" t="s">
        <v>23</v>
      </c>
      <c r="M3171" s="1" t="str">
        <f t="shared" si="49"/>
        <v>Consistent</v>
      </c>
      <c r="N3171" s="1" t="str">
        <f>_xlfn.XLOOKUP(H3171, risk_score!A:A, risk_score!B:B, 0)</f>
        <v>Low Risk</v>
      </c>
    </row>
    <row r="3172" spans="1:14">
      <c r="A3172" s="2">
        <v>0.52304398148148146</v>
      </c>
      <c r="B3172" s="3">
        <v>44841</v>
      </c>
      <c r="C3172" s="1">
        <v>8284983101</v>
      </c>
      <c r="D3172" s="1">
        <v>5896180453</v>
      </c>
      <c r="E3172" s="1">
        <v>9970.93</v>
      </c>
      <c r="F3172" s="1" t="s">
        <v>12</v>
      </c>
      <c r="G3172" s="1" t="s">
        <v>12</v>
      </c>
      <c r="H3172" s="1" t="s">
        <v>13</v>
      </c>
      <c r="I3172" s="1" t="s">
        <v>13</v>
      </c>
      <c r="J3172" s="1" t="s">
        <v>22</v>
      </c>
      <c r="K3172" s="1">
        <v>0</v>
      </c>
      <c r="L3172" s="1" t="s">
        <v>23</v>
      </c>
      <c r="M3172" s="1" t="str">
        <f t="shared" si="49"/>
        <v>Consistent</v>
      </c>
      <c r="N3172" s="1" t="str">
        <f>_xlfn.XLOOKUP(H3172, risk_score!A:A, risk_score!B:B, 0)</f>
        <v>Low Risk</v>
      </c>
    </row>
    <row r="3173" spans="1:14">
      <c r="A3173" s="2">
        <v>0.52304398148148146</v>
      </c>
      <c r="B3173" s="3">
        <v>44841</v>
      </c>
      <c r="C3173" s="1">
        <v>9398035791</v>
      </c>
      <c r="D3173" s="1">
        <v>7080357663</v>
      </c>
      <c r="E3173" s="1">
        <v>9537.39</v>
      </c>
      <c r="F3173" s="1" t="s">
        <v>12</v>
      </c>
      <c r="G3173" s="1" t="s">
        <v>12</v>
      </c>
      <c r="H3173" s="1" t="s">
        <v>13</v>
      </c>
      <c r="I3173" s="1" t="s">
        <v>13</v>
      </c>
      <c r="J3173" s="1" t="s">
        <v>20</v>
      </c>
      <c r="K3173" s="1">
        <v>0</v>
      </c>
      <c r="L3173" s="1" t="s">
        <v>23</v>
      </c>
      <c r="M3173" s="1" t="str">
        <f>IF(F3173=G3173, "Consistent", "Potential Layering")</f>
        <v>Consistent</v>
      </c>
      <c r="N3173" s="1" t="str">
        <f>_xlfn.XLOOKUP(H3173, risk_score!A:A, risk_score!B:B, 0)</f>
        <v>Low Risk</v>
      </c>
    </row>
    <row r="3174" spans="1:14">
      <c r="A3174" s="2">
        <v>0.52307870370370368</v>
      </c>
      <c r="B3174" s="3">
        <v>44841</v>
      </c>
      <c r="C3174" s="1">
        <v>1555311880</v>
      </c>
      <c r="D3174" s="1">
        <v>9056158417</v>
      </c>
      <c r="E3174" s="1">
        <v>1382.61</v>
      </c>
      <c r="F3174" s="1" t="s">
        <v>12</v>
      </c>
      <c r="G3174" s="1" t="s">
        <v>12</v>
      </c>
      <c r="H3174" s="1" t="s">
        <v>13</v>
      </c>
      <c r="I3174" s="1" t="s">
        <v>13</v>
      </c>
      <c r="J3174" s="1" t="s">
        <v>27</v>
      </c>
      <c r="K3174" s="1">
        <v>0</v>
      </c>
      <c r="L3174" s="1" t="s">
        <v>21</v>
      </c>
      <c r="M3174" s="1" t="str">
        <f t="shared" ref="M3174:M3237" si="50">IF(F3174=G3174, "Consistent", "Potential Layering")</f>
        <v>Consistent</v>
      </c>
      <c r="N3174" s="1" t="str">
        <f>_xlfn.XLOOKUP(H3174, risk_score!A:A, risk_score!B:B, 0)</f>
        <v>Low Risk</v>
      </c>
    </row>
    <row r="3175" spans="1:14">
      <c r="A3175" s="2">
        <v>0.52312499999999995</v>
      </c>
      <c r="B3175" s="3">
        <v>44841</v>
      </c>
      <c r="C3175" s="1">
        <v>5863574407</v>
      </c>
      <c r="D3175" s="1">
        <v>7607499593</v>
      </c>
      <c r="E3175" s="1">
        <v>4700.58</v>
      </c>
      <c r="F3175" s="1" t="s">
        <v>12</v>
      </c>
      <c r="G3175" s="1" t="s">
        <v>12</v>
      </c>
      <c r="H3175" s="1" t="s">
        <v>13</v>
      </c>
      <c r="I3175" s="1" t="s">
        <v>13</v>
      </c>
      <c r="J3175" s="1" t="s">
        <v>14</v>
      </c>
      <c r="K3175" s="1">
        <v>0</v>
      </c>
      <c r="L3175" s="1" t="s">
        <v>15</v>
      </c>
      <c r="M3175" s="1" t="str">
        <f t="shared" si="50"/>
        <v>Consistent</v>
      </c>
      <c r="N3175" s="1" t="str">
        <f>_xlfn.XLOOKUP(H3175, risk_score!A:A, risk_score!B:B, 0)</f>
        <v>Low Risk</v>
      </c>
    </row>
    <row r="3176" spans="1:14">
      <c r="A3176" s="2">
        <v>0.52314814814814814</v>
      </c>
      <c r="B3176" s="3">
        <v>44841</v>
      </c>
      <c r="C3176" s="1">
        <v>5982914936</v>
      </c>
      <c r="D3176" s="1">
        <v>5903480509</v>
      </c>
      <c r="E3176" s="1">
        <v>7936.72</v>
      </c>
      <c r="F3176" s="1" t="s">
        <v>12</v>
      </c>
      <c r="G3176" s="1" t="s">
        <v>29</v>
      </c>
      <c r="H3176" s="1" t="s">
        <v>13</v>
      </c>
      <c r="I3176" s="1" t="s">
        <v>48</v>
      </c>
      <c r="J3176" s="1" t="s">
        <v>18</v>
      </c>
      <c r="K3176" s="1">
        <v>0</v>
      </c>
      <c r="L3176" s="1" t="s">
        <v>19</v>
      </c>
      <c r="M3176" s="1" t="str">
        <f t="shared" si="50"/>
        <v>Potential Layering</v>
      </c>
      <c r="N3176" s="1" t="str">
        <f>_xlfn.XLOOKUP(H3176, risk_score!A:A, risk_score!B:B, 0)</f>
        <v>Low Risk</v>
      </c>
    </row>
    <row r="3177" spans="1:14">
      <c r="A3177" s="2">
        <v>0.52315972222222218</v>
      </c>
      <c r="B3177" s="3">
        <v>44841</v>
      </c>
      <c r="C3177" s="1">
        <v>8121952906</v>
      </c>
      <c r="D3177" s="1">
        <v>306152338</v>
      </c>
      <c r="E3177" s="1">
        <v>17761.05</v>
      </c>
      <c r="F3177" s="1" t="s">
        <v>12</v>
      </c>
      <c r="G3177" s="1" t="s">
        <v>12</v>
      </c>
      <c r="H3177" s="1" t="s">
        <v>13</v>
      </c>
      <c r="I3177" s="1" t="s">
        <v>13</v>
      </c>
      <c r="J3177" s="1" t="s">
        <v>27</v>
      </c>
      <c r="K3177" s="1">
        <v>0</v>
      </c>
      <c r="L3177" s="1" t="s">
        <v>21</v>
      </c>
      <c r="M3177" s="1" t="str">
        <f t="shared" si="50"/>
        <v>Consistent</v>
      </c>
      <c r="N3177" s="1" t="str">
        <f>_xlfn.XLOOKUP(H3177, risk_score!A:A, risk_score!B:B, 0)</f>
        <v>Low Risk</v>
      </c>
    </row>
    <row r="3178" spans="1:14">
      <c r="A3178" s="2">
        <v>0.52315972222222218</v>
      </c>
      <c r="B3178" s="3">
        <v>44841</v>
      </c>
      <c r="C3178" s="1">
        <v>8187541119</v>
      </c>
      <c r="D3178" s="1">
        <v>1702231858</v>
      </c>
      <c r="E3178" s="1">
        <v>3503.84</v>
      </c>
      <c r="F3178" s="1" t="s">
        <v>12</v>
      </c>
      <c r="G3178" s="1" t="s">
        <v>12</v>
      </c>
      <c r="H3178" s="1" t="s">
        <v>13</v>
      </c>
      <c r="I3178" s="1" t="s">
        <v>13</v>
      </c>
      <c r="J3178" s="1" t="s">
        <v>20</v>
      </c>
      <c r="K3178" s="1">
        <v>0</v>
      </c>
      <c r="L3178" s="1" t="s">
        <v>21</v>
      </c>
      <c r="M3178" s="1" t="str">
        <f t="shared" si="50"/>
        <v>Consistent</v>
      </c>
      <c r="N3178" s="1" t="str">
        <f>_xlfn.XLOOKUP(H3178, risk_score!A:A, risk_score!B:B, 0)</f>
        <v>Low Risk</v>
      </c>
    </row>
    <row r="3179" spans="1:14">
      <c r="A3179" s="2">
        <v>0.52317129629629633</v>
      </c>
      <c r="B3179" s="3">
        <v>44841</v>
      </c>
      <c r="C3179" s="1">
        <v>4353995266</v>
      </c>
      <c r="D3179" s="1">
        <v>6646502650</v>
      </c>
      <c r="E3179" s="1">
        <v>5210.79</v>
      </c>
      <c r="F3179" s="1" t="s">
        <v>12</v>
      </c>
      <c r="G3179" s="1" t="s">
        <v>29</v>
      </c>
      <c r="H3179" s="1" t="s">
        <v>13</v>
      </c>
      <c r="I3179" s="1" t="s">
        <v>31</v>
      </c>
      <c r="J3179" s="1" t="s">
        <v>18</v>
      </c>
      <c r="K3179" s="1">
        <v>0</v>
      </c>
      <c r="L3179" s="1" t="s">
        <v>23</v>
      </c>
      <c r="M3179" s="1" t="str">
        <f t="shared" si="50"/>
        <v>Potential Layering</v>
      </c>
      <c r="N3179" s="1" t="str">
        <f>_xlfn.XLOOKUP(H3179, risk_score!A:A, risk_score!B:B, 0)</f>
        <v>Low Risk</v>
      </c>
    </row>
    <row r="3180" spans="1:14">
      <c r="A3180" s="2">
        <v>0.52318287037037037</v>
      </c>
      <c r="B3180" s="3">
        <v>44841</v>
      </c>
      <c r="C3180" s="1">
        <v>4749719835</v>
      </c>
      <c r="D3180" s="1">
        <v>2967873171</v>
      </c>
      <c r="E3180" s="1">
        <v>1552.98</v>
      </c>
      <c r="F3180" s="1" t="s">
        <v>12</v>
      </c>
      <c r="G3180" s="1" t="s">
        <v>12</v>
      </c>
      <c r="H3180" s="1" t="s">
        <v>13</v>
      </c>
      <c r="I3180" s="1" t="s">
        <v>13</v>
      </c>
      <c r="J3180" s="1" t="s">
        <v>25</v>
      </c>
      <c r="K3180" s="1">
        <v>0</v>
      </c>
      <c r="L3180" s="1" t="s">
        <v>21</v>
      </c>
      <c r="M3180" s="1" t="str">
        <f t="shared" si="50"/>
        <v>Consistent</v>
      </c>
      <c r="N3180" s="1" t="str">
        <f>_xlfn.XLOOKUP(H3180, risk_score!A:A, risk_score!B:B, 0)</f>
        <v>Low Risk</v>
      </c>
    </row>
    <row r="3181" spans="1:14">
      <c r="A3181" s="2">
        <v>0.52325231481481482</v>
      </c>
      <c r="B3181" s="3">
        <v>44841</v>
      </c>
      <c r="C3181" s="1">
        <v>6541552727</v>
      </c>
      <c r="D3181" s="1">
        <v>7752965423</v>
      </c>
      <c r="E3181" s="1">
        <v>11219.98</v>
      </c>
      <c r="F3181" s="1" t="s">
        <v>12</v>
      </c>
      <c r="G3181" s="1" t="s">
        <v>12</v>
      </c>
      <c r="H3181" s="1" t="s">
        <v>13</v>
      </c>
      <c r="I3181" s="1" t="s">
        <v>13</v>
      </c>
      <c r="J3181" s="1" t="s">
        <v>25</v>
      </c>
      <c r="K3181" s="1">
        <v>0</v>
      </c>
      <c r="L3181" s="1" t="s">
        <v>19</v>
      </c>
      <c r="M3181" s="1" t="str">
        <f t="shared" si="50"/>
        <v>Consistent</v>
      </c>
      <c r="N3181" s="1" t="str">
        <f>_xlfn.XLOOKUP(H3181, risk_score!A:A, risk_score!B:B, 0)</f>
        <v>Low Risk</v>
      </c>
    </row>
    <row r="3182" spans="1:14">
      <c r="A3182" s="2">
        <v>0.52326388888888886</v>
      </c>
      <c r="B3182" s="3">
        <v>44841</v>
      </c>
      <c r="C3182" s="1">
        <v>4062313426</v>
      </c>
      <c r="D3182" s="1">
        <v>7186185892</v>
      </c>
      <c r="E3182" s="1">
        <v>1353.23</v>
      </c>
      <c r="F3182" s="1" t="s">
        <v>12</v>
      </c>
      <c r="G3182" s="1" t="s">
        <v>12</v>
      </c>
      <c r="H3182" s="1" t="s">
        <v>13</v>
      </c>
      <c r="I3182" s="1" t="s">
        <v>13</v>
      </c>
      <c r="J3182" s="1" t="s">
        <v>27</v>
      </c>
      <c r="K3182" s="1">
        <v>0</v>
      </c>
      <c r="L3182" s="1" t="s">
        <v>21</v>
      </c>
      <c r="M3182" s="1" t="str">
        <f t="shared" si="50"/>
        <v>Consistent</v>
      </c>
      <c r="N3182" s="1" t="str">
        <f>_xlfn.XLOOKUP(H3182, risk_score!A:A, risk_score!B:B, 0)</f>
        <v>Low Risk</v>
      </c>
    </row>
    <row r="3183" spans="1:14">
      <c r="A3183" s="2">
        <v>0.52329861111111109</v>
      </c>
      <c r="B3183" s="3">
        <v>44841</v>
      </c>
      <c r="C3183" s="1">
        <v>5982914936</v>
      </c>
      <c r="D3183" s="1">
        <v>5903480509</v>
      </c>
      <c r="E3183" s="1">
        <v>7898.95</v>
      </c>
      <c r="F3183" s="1" t="s">
        <v>12</v>
      </c>
      <c r="G3183" s="1" t="s">
        <v>29</v>
      </c>
      <c r="H3183" s="1" t="s">
        <v>13</v>
      </c>
      <c r="I3183" s="1" t="s">
        <v>48</v>
      </c>
      <c r="J3183" s="1" t="s">
        <v>18</v>
      </c>
      <c r="K3183" s="1">
        <v>0</v>
      </c>
      <c r="L3183" s="1" t="s">
        <v>19</v>
      </c>
      <c r="M3183" s="1" t="str">
        <f t="shared" si="50"/>
        <v>Potential Layering</v>
      </c>
      <c r="N3183" s="1" t="str">
        <f>_xlfn.XLOOKUP(H3183, risk_score!A:A, risk_score!B:B, 0)</f>
        <v>Low Risk</v>
      </c>
    </row>
    <row r="3184" spans="1:14">
      <c r="A3184" s="2">
        <v>0.52332175925925928</v>
      </c>
      <c r="B3184" s="3">
        <v>44841</v>
      </c>
      <c r="C3184" s="1">
        <v>7533282012</v>
      </c>
      <c r="D3184" s="1">
        <v>4775867787</v>
      </c>
      <c r="E3184" s="1">
        <v>6076.03</v>
      </c>
      <c r="F3184" s="1" t="s">
        <v>12</v>
      </c>
      <c r="G3184" s="1" t="s">
        <v>12</v>
      </c>
      <c r="H3184" s="1" t="s">
        <v>13</v>
      </c>
      <c r="I3184" s="1" t="s">
        <v>13</v>
      </c>
      <c r="J3184" s="1" t="s">
        <v>20</v>
      </c>
      <c r="K3184" s="1">
        <v>0</v>
      </c>
      <c r="L3184" s="1" t="s">
        <v>21</v>
      </c>
      <c r="M3184" s="1" t="str">
        <f t="shared" si="50"/>
        <v>Consistent</v>
      </c>
      <c r="N3184" s="1" t="str">
        <f>_xlfn.XLOOKUP(H3184, risk_score!A:A, risk_score!B:B, 0)</f>
        <v>Low Risk</v>
      </c>
    </row>
    <row r="3185" spans="1:14">
      <c r="A3185" s="2">
        <v>0.52332175925925928</v>
      </c>
      <c r="B3185" s="3">
        <v>44841</v>
      </c>
      <c r="C3185" s="1">
        <v>4887638854</v>
      </c>
      <c r="D3185" s="1">
        <v>4342674943</v>
      </c>
      <c r="E3185" s="1">
        <v>440.75</v>
      </c>
      <c r="F3185" s="1" t="s">
        <v>12</v>
      </c>
      <c r="G3185" s="1" t="s">
        <v>12</v>
      </c>
      <c r="H3185" s="1" t="s">
        <v>13</v>
      </c>
      <c r="I3185" s="1" t="s">
        <v>13</v>
      </c>
      <c r="J3185" s="1" t="s">
        <v>22</v>
      </c>
      <c r="K3185" s="1">
        <v>0</v>
      </c>
      <c r="L3185" s="1" t="s">
        <v>21</v>
      </c>
      <c r="M3185" s="1" t="str">
        <f t="shared" si="50"/>
        <v>Consistent</v>
      </c>
      <c r="N3185" s="1" t="str">
        <f>_xlfn.XLOOKUP(H3185, risk_score!A:A, risk_score!B:B, 0)</f>
        <v>Low Risk</v>
      </c>
    </row>
    <row r="3186" spans="1:14">
      <c r="A3186" s="2">
        <v>0.52333333333333332</v>
      </c>
      <c r="B3186" s="3">
        <v>44841</v>
      </c>
      <c r="C3186" s="1">
        <v>1797588236</v>
      </c>
      <c r="D3186" s="1">
        <v>3593843926</v>
      </c>
      <c r="E3186" s="1">
        <v>2679.02</v>
      </c>
      <c r="F3186" s="1" t="s">
        <v>12</v>
      </c>
      <c r="G3186" s="1" t="s">
        <v>12</v>
      </c>
      <c r="H3186" s="1" t="s">
        <v>13</v>
      </c>
      <c r="I3186" s="1" t="s">
        <v>13</v>
      </c>
      <c r="J3186" s="1" t="s">
        <v>25</v>
      </c>
      <c r="K3186" s="1">
        <v>0</v>
      </c>
      <c r="L3186" s="1" t="s">
        <v>21</v>
      </c>
      <c r="M3186" s="1" t="str">
        <f t="shared" si="50"/>
        <v>Consistent</v>
      </c>
      <c r="N3186" s="1" t="str">
        <f>_xlfn.XLOOKUP(H3186, risk_score!A:A, risk_score!B:B, 0)</f>
        <v>Low Risk</v>
      </c>
    </row>
    <row r="3187" spans="1:14">
      <c r="A3187" s="2">
        <v>0.52335648148148151</v>
      </c>
      <c r="B3187" s="3">
        <v>44841</v>
      </c>
      <c r="C3187" s="1">
        <v>1915450576</v>
      </c>
      <c r="D3187" s="1">
        <v>5162401694</v>
      </c>
      <c r="E3187" s="1">
        <v>10648.51</v>
      </c>
      <c r="F3187" s="1" t="s">
        <v>12</v>
      </c>
      <c r="G3187" s="1" t="s">
        <v>12</v>
      </c>
      <c r="H3187" s="1" t="s">
        <v>13</v>
      </c>
      <c r="I3187" s="1" t="s">
        <v>13</v>
      </c>
      <c r="J3187" s="1" t="s">
        <v>25</v>
      </c>
      <c r="K3187" s="1">
        <v>0</v>
      </c>
      <c r="L3187" s="1" t="s">
        <v>19</v>
      </c>
      <c r="M3187" s="1" t="str">
        <f t="shared" si="50"/>
        <v>Consistent</v>
      </c>
      <c r="N3187" s="1" t="str">
        <f>_xlfn.XLOOKUP(H3187, risk_score!A:A, risk_score!B:B, 0)</f>
        <v>Low Risk</v>
      </c>
    </row>
    <row r="3188" spans="1:14">
      <c r="A3188" s="2">
        <v>0.52335648148148151</v>
      </c>
      <c r="B3188" s="3">
        <v>44841</v>
      </c>
      <c r="C3188" s="1">
        <v>3179041680</v>
      </c>
      <c r="D3188" s="1">
        <v>6000644740</v>
      </c>
      <c r="E3188" s="1">
        <v>7237</v>
      </c>
      <c r="F3188" s="1" t="s">
        <v>12</v>
      </c>
      <c r="G3188" s="1" t="s">
        <v>12</v>
      </c>
      <c r="H3188" s="1" t="s">
        <v>13</v>
      </c>
      <c r="I3188" s="1" t="s">
        <v>13</v>
      </c>
      <c r="J3188" s="1" t="s">
        <v>25</v>
      </c>
      <c r="K3188" s="1">
        <v>0</v>
      </c>
      <c r="L3188" s="1" t="s">
        <v>21</v>
      </c>
      <c r="M3188" s="1" t="str">
        <f t="shared" si="50"/>
        <v>Consistent</v>
      </c>
      <c r="N3188" s="1" t="str">
        <f>_xlfn.XLOOKUP(H3188, risk_score!A:A, risk_score!B:B, 0)</f>
        <v>Low Risk</v>
      </c>
    </row>
    <row r="3189" spans="1:14">
      <c r="A3189" s="2">
        <v>0.52344907407407404</v>
      </c>
      <c r="B3189" s="3">
        <v>44841</v>
      </c>
      <c r="C3189" s="1">
        <v>2457069376</v>
      </c>
      <c r="D3189" s="1">
        <v>8673917867</v>
      </c>
      <c r="E3189" s="1">
        <v>7723.71</v>
      </c>
      <c r="F3189" s="1" t="s">
        <v>12</v>
      </c>
      <c r="G3189" s="1" t="s">
        <v>12</v>
      </c>
      <c r="H3189" s="1" t="s">
        <v>13</v>
      </c>
      <c r="I3189" s="1" t="s">
        <v>13</v>
      </c>
      <c r="J3189" s="1" t="s">
        <v>27</v>
      </c>
      <c r="K3189" s="1">
        <v>0</v>
      </c>
      <c r="L3189" s="1" t="s">
        <v>23</v>
      </c>
      <c r="M3189" s="1" t="str">
        <f t="shared" si="50"/>
        <v>Consistent</v>
      </c>
      <c r="N3189" s="1" t="str">
        <f>_xlfn.XLOOKUP(H3189, risk_score!A:A, risk_score!B:B, 0)</f>
        <v>Low Risk</v>
      </c>
    </row>
    <row r="3190" spans="1:14">
      <c r="A3190" s="2">
        <v>0.52350694444444446</v>
      </c>
      <c r="B3190" s="3">
        <v>44841</v>
      </c>
      <c r="C3190" s="1">
        <v>3168051873</v>
      </c>
      <c r="D3190" s="1">
        <v>9757535272</v>
      </c>
      <c r="E3190" s="1">
        <v>11183.09</v>
      </c>
      <c r="F3190" s="1" t="s">
        <v>12</v>
      </c>
      <c r="G3190" s="1" t="s">
        <v>12</v>
      </c>
      <c r="H3190" s="1" t="s">
        <v>13</v>
      </c>
      <c r="I3190" s="1" t="s">
        <v>13</v>
      </c>
      <c r="J3190" s="1" t="s">
        <v>20</v>
      </c>
      <c r="K3190" s="1">
        <v>0</v>
      </c>
      <c r="L3190" s="1" t="s">
        <v>19</v>
      </c>
      <c r="M3190" s="1" t="str">
        <f t="shared" si="50"/>
        <v>Consistent</v>
      </c>
      <c r="N3190" s="1" t="str">
        <f>_xlfn.XLOOKUP(H3190, risk_score!A:A, risk_score!B:B, 0)</f>
        <v>Low Risk</v>
      </c>
    </row>
    <row r="3191" spans="1:14">
      <c r="A3191" s="2">
        <v>0.52362268518518518</v>
      </c>
      <c r="B3191" s="3">
        <v>44841</v>
      </c>
      <c r="C3191" s="1">
        <v>7258479171</v>
      </c>
      <c r="D3191" s="1">
        <v>216432405</v>
      </c>
      <c r="E3191" s="1">
        <v>5588.14</v>
      </c>
      <c r="F3191" s="1" t="s">
        <v>12</v>
      </c>
      <c r="G3191" s="1" t="s">
        <v>12</v>
      </c>
      <c r="H3191" s="1" t="s">
        <v>13</v>
      </c>
      <c r="I3191" s="1" t="s">
        <v>13</v>
      </c>
      <c r="J3191" s="1" t="s">
        <v>27</v>
      </c>
      <c r="K3191" s="1">
        <v>0</v>
      </c>
      <c r="L3191" s="1" t="s">
        <v>21</v>
      </c>
      <c r="M3191" s="1" t="str">
        <f t="shared" si="50"/>
        <v>Consistent</v>
      </c>
      <c r="N3191" s="1" t="str">
        <f>_xlfn.XLOOKUP(H3191, risk_score!A:A, risk_score!B:B, 0)</f>
        <v>Low Risk</v>
      </c>
    </row>
    <row r="3192" spans="1:14">
      <c r="A3192" s="2">
        <v>0.52363425925925922</v>
      </c>
      <c r="B3192" s="3">
        <v>44841</v>
      </c>
      <c r="C3192" s="1">
        <v>9392700144</v>
      </c>
      <c r="D3192" s="1">
        <v>7713641622</v>
      </c>
      <c r="E3192" s="1">
        <v>10133.32</v>
      </c>
      <c r="F3192" s="1" t="s">
        <v>12</v>
      </c>
      <c r="G3192" s="1" t="s">
        <v>12</v>
      </c>
      <c r="H3192" s="1" t="s">
        <v>13</v>
      </c>
      <c r="I3192" s="1" t="s">
        <v>13</v>
      </c>
      <c r="J3192" s="1" t="s">
        <v>27</v>
      </c>
      <c r="K3192" s="1">
        <v>0</v>
      </c>
      <c r="L3192" s="1" t="s">
        <v>38</v>
      </c>
      <c r="M3192" s="1" t="str">
        <f t="shared" si="50"/>
        <v>Consistent</v>
      </c>
      <c r="N3192" s="1" t="str">
        <f>_xlfn.XLOOKUP(H3192, risk_score!A:A, risk_score!B:B, 0)</f>
        <v>Low Risk</v>
      </c>
    </row>
    <row r="3193" spans="1:14">
      <c r="A3193" s="2">
        <v>0.52364583333333337</v>
      </c>
      <c r="B3193" s="3">
        <v>44841</v>
      </c>
      <c r="C3193" s="1">
        <v>4892173989</v>
      </c>
      <c r="D3193" s="1">
        <v>3398200543</v>
      </c>
      <c r="E3193" s="1">
        <v>1221.5999999999999</v>
      </c>
      <c r="F3193" s="1" t="s">
        <v>12</v>
      </c>
      <c r="G3193" s="1" t="s">
        <v>12</v>
      </c>
      <c r="H3193" s="1" t="s">
        <v>13</v>
      </c>
      <c r="I3193" s="1" t="s">
        <v>13</v>
      </c>
      <c r="J3193" s="1" t="s">
        <v>27</v>
      </c>
      <c r="K3193" s="1">
        <v>0</v>
      </c>
      <c r="L3193" s="1" t="s">
        <v>21</v>
      </c>
      <c r="M3193" s="1" t="str">
        <f t="shared" si="50"/>
        <v>Consistent</v>
      </c>
      <c r="N3193" s="1" t="str">
        <f>_xlfn.XLOOKUP(H3193, risk_score!A:A, risk_score!B:B, 0)</f>
        <v>Low Risk</v>
      </c>
    </row>
    <row r="3194" spans="1:14">
      <c r="A3194" s="2">
        <v>0.52366898148148144</v>
      </c>
      <c r="B3194" s="3">
        <v>44841</v>
      </c>
      <c r="C3194" s="1">
        <v>5955159897</v>
      </c>
      <c r="D3194" s="1">
        <v>6034997194</v>
      </c>
      <c r="E3194" s="1">
        <v>13387.52</v>
      </c>
      <c r="F3194" s="1" t="s">
        <v>29</v>
      </c>
      <c r="G3194" s="1" t="s">
        <v>12</v>
      </c>
      <c r="H3194" s="1" t="s">
        <v>50</v>
      </c>
      <c r="I3194" s="1" t="s">
        <v>13</v>
      </c>
      <c r="J3194" s="1" t="s">
        <v>18</v>
      </c>
      <c r="K3194" s="1">
        <v>0</v>
      </c>
      <c r="L3194" s="1" t="s">
        <v>23</v>
      </c>
      <c r="M3194" s="1" t="str">
        <f t="shared" si="50"/>
        <v>Potential Layering</v>
      </c>
      <c r="N3194" s="1" t="str">
        <f>_xlfn.XLOOKUP(H3194, risk_score!A:A, risk_score!B:B, 0)</f>
        <v>Low Risk</v>
      </c>
    </row>
    <row r="3195" spans="1:14">
      <c r="A3195" s="2">
        <v>0.52368055555555559</v>
      </c>
      <c r="B3195" s="3">
        <v>44841</v>
      </c>
      <c r="C3195" s="1">
        <v>889096335</v>
      </c>
      <c r="D3195" s="1">
        <v>4173195094</v>
      </c>
      <c r="E3195" s="1">
        <v>9809.51</v>
      </c>
      <c r="F3195" s="1" t="s">
        <v>12</v>
      </c>
      <c r="G3195" s="1" t="s">
        <v>12</v>
      </c>
      <c r="H3195" s="1" t="s">
        <v>13</v>
      </c>
      <c r="I3195" s="1" t="s">
        <v>13</v>
      </c>
      <c r="J3195" s="1" t="s">
        <v>27</v>
      </c>
      <c r="K3195" s="1">
        <v>0</v>
      </c>
      <c r="L3195" s="1" t="s">
        <v>23</v>
      </c>
      <c r="M3195" s="1" t="str">
        <f t="shared" si="50"/>
        <v>Consistent</v>
      </c>
      <c r="N3195" s="1" t="str">
        <f>_xlfn.XLOOKUP(H3195, risk_score!A:A, risk_score!B:B, 0)</f>
        <v>Low Risk</v>
      </c>
    </row>
    <row r="3196" spans="1:14">
      <c r="A3196" s="2">
        <v>0.52368055555555559</v>
      </c>
      <c r="B3196" s="3">
        <v>44841</v>
      </c>
      <c r="C3196" s="1">
        <v>5793150429</v>
      </c>
      <c r="D3196" s="1">
        <v>5466123934</v>
      </c>
      <c r="E3196" s="1">
        <v>15340.92</v>
      </c>
      <c r="F3196" s="1" t="s">
        <v>12</v>
      </c>
      <c r="G3196" s="1" t="s">
        <v>12</v>
      </c>
      <c r="H3196" s="1" t="s">
        <v>13</v>
      </c>
      <c r="I3196" s="1" t="s">
        <v>13</v>
      </c>
      <c r="J3196" s="1" t="s">
        <v>25</v>
      </c>
      <c r="K3196" s="1">
        <v>0</v>
      </c>
      <c r="L3196" s="1" t="s">
        <v>23</v>
      </c>
      <c r="M3196" s="1" t="str">
        <f t="shared" si="50"/>
        <v>Consistent</v>
      </c>
      <c r="N3196" s="1" t="str">
        <f>_xlfn.XLOOKUP(H3196, risk_score!A:A, risk_score!B:B, 0)</f>
        <v>Low Risk</v>
      </c>
    </row>
    <row r="3197" spans="1:14">
      <c r="A3197" s="2">
        <v>0.52370370370370367</v>
      </c>
      <c r="B3197" s="3">
        <v>44841</v>
      </c>
      <c r="C3197" s="1">
        <v>6057444675</v>
      </c>
      <c r="D3197" s="1">
        <v>8861171324</v>
      </c>
      <c r="E3197" s="1">
        <v>10680.81</v>
      </c>
      <c r="F3197" s="1" t="s">
        <v>12</v>
      </c>
      <c r="G3197" s="1" t="s">
        <v>12</v>
      </c>
      <c r="H3197" s="1" t="s">
        <v>13</v>
      </c>
      <c r="I3197" s="1" t="s">
        <v>13</v>
      </c>
      <c r="J3197" s="1" t="s">
        <v>22</v>
      </c>
      <c r="K3197" s="1">
        <v>0</v>
      </c>
      <c r="L3197" s="1" t="s">
        <v>19</v>
      </c>
      <c r="M3197" s="1" t="str">
        <f t="shared" si="50"/>
        <v>Consistent</v>
      </c>
      <c r="N3197" s="1" t="str">
        <f>_xlfn.XLOOKUP(H3197, risk_score!A:A, risk_score!B:B, 0)</f>
        <v>Low Risk</v>
      </c>
    </row>
    <row r="3198" spans="1:14">
      <c r="A3198" s="2">
        <v>0.52380787037037035</v>
      </c>
      <c r="B3198" s="3">
        <v>44841</v>
      </c>
      <c r="C3198" s="1">
        <v>2455742548</v>
      </c>
      <c r="D3198" s="1">
        <v>4293580479</v>
      </c>
      <c r="E3198" s="1">
        <v>5556.64</v>
      </c>
      <c r="F3198" s="1" t="s">
        <v>12</v>
      </c>
      <c r="G3198" s="1" t="s">
        <v>12</v>
      </c>
      <c r="H3198" s="1" t="s">
        <v>13</v>
      </c>
      <c r="I3198" s="1" t="s">
        <v>13</v>
      </c>
      <c r="J3198" s="1" t="s">
        <v>20</v>
      </c>
      <c r="K3198" s="1">
        <v>0</v>
      </c>
      <c r="L3198" s="1" t="s">
        <v>23</v>
      </c>
      <c r="M3198" s="1" t="str">
        <f t="shared" si="50"/>
        <v>Consistent</v>
      </c>
      <c r="N3198" s="1" t="str">
        <f>_xlfn.XLOOKUP(H3198, risk_score!A:A, risk_score!B:B, 0)</f>
        <v>Low Risk</v>
      </c>
    </row>
    <row r="3199" spans="1:14">
      <c r="A3199" s="2">
        <v>0.52399305555555553</v>
      </c>
      <c r="B3199" s="3">
        <v>44841</v>
      </c>
      <c r="C3199" s="1">
        <v>190346689</v>
      </c>
      <c r="D3199" s="1">
        <v>5103043844</v>
      </c>
      <c r="E3199" s="1">
        <v>6508.27</v>
      </c>
      <c r="F3199" s="1" t="s">
        <v>12</v>
      </c>
      <c r="G3199" s="1" t="s">
        <v>44</v>
      </c>
      <c r="H3199" s="1" t="s">
        <v>13</v>
      </c>
      <c r="I3199" s="1" t="s">
        <v>45</v>
      </c>
      <c r="J3199" s="1" t="s">
        <v>18</v>
      </c>
      <c r="K3199" s="1">
        <v>0</v>
      </c>
      <c r="L3199" s="1" t="s">
        <v>23</v>
      </c>
      <c r="M3199" s="1" t="str">
        <f t="shared" si="50"/>
        <v>Potential Layering</v>
      </c>
      <c r="N3199" s="1" t="str">
        <f>_xlfn.XLOOKUP(H3199, risk_score!A:A, risk_score!B:B, 0)</f>
        <v>Low Risk</v>
      </c>
    </row>
    <row r="3200" spans="1:14">
      <c r="A3200" s="2">
        <v>0.52399305555555553</v>
      </c>
      <c r="B3200" s="3">
        <v>44841</v>
      </c>
      <c r="C3200" s="1">
        <v>5982914936</v>
      </c>
      <c r="D3200" s="1">
        <v>1509557999</v>
      </c>
      <c r="E3200" s="1">
        <v>15926.5</v>
      </c>
      <c r="F3200" s="1" t="s">
        <v>12</v>
      </c>
      <c r="G3200" s="1" t="s">
        <v>12</v>
      </c>
      <c r="H3200" s="1" t="s">
        <v>13</v>
      </c>
      <c r="I3200" s="1" t="s">
        <v>13</v>
      </c>
      <c r="J3200" s="1" t="s">
        <v>27</v>
      </c>
      <c r="K3200" s="1">
        <v>0</v>
      </c>
      <c r="L3200" s="1" t="s">
        <v>19</v>
      </c>
      <c r="M3200" s="1" t="str">
        <f t="shared" si="50"/>
        <v>Consistent</v>
      </c>
      <c r="N3200" s="1" t="str">
        <f>_xlfn.XLOOKUP(H3200, risk_score!A:A, risk_score!B:B, 0)</f>
        <v>Low Risk</v>
      </c>
    </row>
    <row r="3201" spans="1:14">
      <c r="A3201" s="2">
        <v>0.52399305555555553</v>
      </c>
      <c r="B3201" s="3">
        <v>44841</v>
      </c>
      <c r="C3201" s="1">
        <v>525950594</v>
      </c>
      <c r="D3201" s="1">
        <v>409707192</v>
      </c>
      <c r="E3201" s="1">
        <v>6141.15</v>
      </c>
      <c r="F3201" s="1" t="s">
        <v>12</v>
      </c>
      <c r="G3201" s="1" t="s">
        <v>12</v>
      </c>
      <c r="H3201" s="1" t="s">
        <v>13</v>
      </c>
      <c r="I3201" s="1" t="s">
        <v>13</v>
      </c>
      <c r="J3201" s="1" t="s">
        <v>22</v>
      </c>
      <c r="K3201" s="1">
        <v>0</v>
      </c>
      <c r="L3201" s="1" t="s">
        <v>23</v>
      </c>
      <c r="M3201" s="1" t="str">
        <f t="shared" si="50"/>
        <v>Consistent</v>
      </c>
      <c r="N3201" s="1" t="str">
        <f>_xlfn.XLOOKUP(H3201, risk_score!A:A, risk_score!B:B, 0)</f>
        <v>Low Risk</v>
      </c>
    </row>
    <row r="3202" spans="1:14">
      <c r="A3202" s="2">
        <v>0.52399305555555553</v>
      </c>
      <c r="B3202" s="3">
        <v>44841</v>
      </c>
      <c r="C3202" s="1">
        <v>7648831036</v>
      </c>
      <c r="D3202" s="1">
        <v>7344703677</v>
      </c>
      <c r="E3202" s="1">
        <v>3004.69</v>
      </c>
      <c r="F3202" s="1" t="s">
        <v>12</v>
      </c>
      <c r="G3202" s="1" t="s">
        <v>12</v>
      </c>
      <c r="H3202" s="1" t="s">
        <v>13</v>
      </c>
      <c r="I3202" s="1" t="s">
        <v>13</v>
      </c>
      <c r="J3202" s="1" t="s">
        <v>20</v>
      </c>
      <c r="K3202" s="1">
        <v>0</v>
      </c>
      <c r="L3202" s="1" t="s">
        <v>24</v>
      </c>
      <c r="M3202" s="1" t="str">
        <f t="shared" si="50"/>
        <v>Consistent</v>
      </c>
      <c r="N3202" s="1" t="str">
        <f>_xlfn.XLOOKUP(H3202, risk_score!A:A, risk_score!B:B, 0)</f>
        <v>Low Risk</v>
      </c>
    </row>
    <row r="3203" spans="1:14">
      <c r="A3203" s="2">
        <v>0.52400462962962968</v>
      </c>
      <c r="B3203" s="3">
        <v>44841</v>
      </c>
      <c r="C3203" s="1">
        <v>9152139918</v>
      </c>
      <c r="D3203" s="1">
        <v>7946546044</v>
      </c>
      <c r="E3203" s="1">
        <v>4988.75</v>
      </c>
      <c r="F3203" s="1" t="s">
        <v>12</v>
      </c>
      <c r="G3203" s="1" t="s">
        <v>12</v>
      </c>
      <c r="H3203" s="1" t="s">
        <v>13</v>
      </c>
      <c r="I3203" s="1" t="s">
        <v>13</v>
      </c>
      <c r="J3203" s="1" t="s">
        <v>22</v>
      </c>
      <c r="K3203" s="1">
        <v>0</v>
      </c>
      <c r="L3203" s="1" t="s">
        <v>21</v>
      </c>
      <c r="M3203" s="1" t="str">
        <f t="shared" si="50"/>
        <v>Consistent</v>
      </c>
      <c r="N3203" s="1" t="str">
        <f>_xlfn.XLOOKUP(H3203, risk_score!A:A, risk_score!B:B, 0)</f>
        <v>Low Risk</v>
      </c>
    </row>
    <row r="3204" spans="1:14">
      <c r="A3204" s="2">
        <v>0.52401620370370372</v>
      </c>
      <c r="B3204" s="3">
        <v>44841</v>
      </c>
      <c r="C3204" s="1">
        <v>6749080928</v>
      </c>
      <c r="D3204" s="1">
        <v>8939591778</v>
      </c>
      <c r="E3204" s="1">
        <v>476.1</v>
      </c>
      <c r="F3204" s="1" t="s">
        <v>12</v>
      </c>
      <c r="G3204" s="1" t="s">
        <v>12</v>
      </c>
      <c r="H3204" s="1" t="s">
        <v>13</v>
      </c>
      <c r="I3204" s="1" t="s">
        <v>13</v>
      </c>
      <c r="J3204" s="1" t="s">
        <v>27</v>
      </c>
      <c r="K3204" s="1">
        <v>0</v>
      </c>
      <c r="L3204" s="1" t="s">
        <v>21</v>
      </c>
      <c r="M3204" s="1" t="str">
        <f t="shared" si="50"/>
        <v>Consistent</v>
      </c>
      <c r="N3204" s="1" t="str">
        <f>_xlfn.XLOOKUP(H3204, risk_score!A:A, risk_score!B:B, 0)</f>
        <v>Low Risk</v>
      </c>
    </row>
    <row r="3205" spans="1:14">
      <c r="A3205" s="2">
        <v>0.52401620370370372</v>
      </c>
      <c r="B3205" s="3">
        <v>44841</v>
      </c>
      <c r="C3205" s="1">
        <v>7669236826</v>
      </c>
      <c r="D3205" s="1">
        <v>1675218057</v>
      </c>
      <c r="E3205" s="1">
        <v>7621.78</v>
      </c>
      <c r="F3205" s="1" t="s">
        <v>12</v>
      </c>
      <c r="G3205" s="1" t="s">
        <v>12</v>
      </c>
      <c r="H3205" s="1" t="s">
        <v>13</v>
      </c>
      <c r="I3205" s="1" t="s">
        <v>13</v>
      </c>
      <c r="J3205" s="1" t="s">
        <v>25</v>
      </c>
      <c r="K3205" s="1">
        <v>0</v>
      </c>
      <c r="L3205" s="1" t="s">
        <v>19</v>
      </c>
      <c r="M3205" s="1" t="str">
        <f t="shared" si="50"/>
        <v>Consistent</v>
      </c>
      <c r="N3205" s="1" t="str">
        <f>_xlfn.XLOOKUP(H3205, risk_score!A:A, risk_score!B:B, 0)</f>
        <v>Low Risk</v>
      </c>
    </row>
    <row r="3206" spans="1:14">
      <c r="A3206" s="2">
        <v>0.52405092592592595</v>
      </c>
      <c r="B3206" s="3">
        <v>44841</v>
      </c>
      <c r="C3206" s="1">
        <v>5088320814</v>
      </c>
      <c r="D3206" s="1">
        <v>8513822796</v>
      </c>
      <c r="E3206" s="1">
        <v>586.1</v>
      </c>
      <c r="F3206" s="1" t="s">
        <v>12</v>
      </c>
      <c r="G3206" s="1" t="s">
        <v>12</v>
      </c>
      <c r="H3206" s="1" t="s">
        <v>13</v>
      </c>
      <c r="I3206" s="1" t="s">
        <v>13</v>
      </c>
      <c r="J3206" s="1" t="s">
        <v>14</v>
      </c>
      <c r="K3206" s="1">
        <v>0</v>
      </c>
      <c r="L3206" s="1" t="s">
        <v>15</v>
      </c>
      <c r="M3206" s="1" t="str">
        <f t="shared" si="50"/>
        <v>Consistent</v>
      </c>
      <c r="N3206" s="1" t="str">
        <f>_xlfn.XLOOKUP(H3206, risk_score!A:A, risk_score!B:B, 0)</f>
        <v>Low Risk</v>
      </c>
    </row>
    <row r="3207" spans="1:14">
      <c r="A3207" s="2">
        <v>0.52405092592592595</v>
      </c>
      <c r="B3207" s="3">
        <v>44841</v>
      </c>
      <c r="C3207" s="1">
        <v>3977956775</v>
      </c>
      <c r="D3207" s="1">
        <v>5363117119</v>
      </c>
      <c r="E3207" s="1">
        <v>9551.59</v>
      </c>
      <c r="F3207" s="1" t="s">
        <v>12</v>
      </c>
      <c r="G3207" s="1" t="s">
        <v>12</v>
      </c>
      <c r="H3207" s="1" t="s">
        <v>13</v>
      </c>
      <c r="I3207" s="1" t="s">
        <v>13</v>
      </c>
      <c r="J3207" s="1" t="s">
        <v>27</v>
      </c>
      <c r="K3207" s="1">
        <v>0</v>
      </c>
      <c r="L3207" s="1" t="s">
        <v>23</v>
      </c>
      <c r="M3207" s="1" t="str">
        <f t="shared" si="50"/>
        <v>Consistent</v>
      </c>
      <c r="N3207" s="1" t="str">
        <f>_xlfn.XLOOKUP(H3207, risk_score!A:A, risk_score!B:B, 0)</f>
        <v>Low Risk</v>
      </c>
    </row>
    <row r="3208" spans="1:14">
      <c r="A3208" s="2">
        <v>0.52408564814814818</v>
      </c>
      <c r="B3208" s="3">
        <v>44841</v>
      </c>
      <c r="C3208" s="1">
        <v>8555342087</v>
      </c>
      <c r="D3208" s="1">
        <v>8770129427</v>
      </c>
      <c r="E3208" s="1">
        <v>156.38999999999999</v>
      </c>
      <c r="F3208" s="1" t="s">
        <v>12</v>
      </c>
      <c r="G3208" s="1" t="s">
        <v>12</v>
      </c>
      <c r="H3208" s="1" t="s">
        <v>13</v>
      </c>
      <c r="I3208" s="1" t="s">
        <v>13</v>
      </c>
      <c r="J3208" s="1" t="s">
        <v>22</v>
      </c>
      <c r="K3208" s="1">
        <v>0</v>
      </c>
      <c r="L3208" s="1" t="s">
        <v>21</v>
      </c>
      <c r="M3208" s="1" t="str">
        <f t="shared" si="50"/>
        <v>Consistent</v>
      </c>
      <c r="N3208" s="1" t="str">
        <f>_xlfn.XLOOKUP(H3208, risk_score!A:A, risk_score!B:B, 0)</f>
        <v>Low Risk</v>
      </c>
    </row>
    <row r="3209" spans="1:14">
      <c r="A3209" s="2">
        <v>0.52414351851851848</v>
      </c>
      <c r="B3209" s="3">
        <v>44841</v>
      </c>
      <c r="C3209" s="1">
        <v>6326118437</v>
      </c>
      <c r="D3209" s="1">
        <v>6844932076</v>
      </c>
      <c r="E3209" s="1">
        <v>3755.83</v>
      </c>
      <c r="F3209" s="1" t="s">
        <v>12</v>
      </c>
      <c r="G3209" s="1" t="s">
        <v>12</v>
      </c>
      <c r="H3209" s="1" t="s">
        <v>13</v>
      </c>
      <c r="I3209" s="1" t="s">
        <v>13</v>
      </c>
      <c r="J3209" s="1" t="s">
        <v>27</v>
      </c>
      <c r="K3209" s="1">
        <v>0</v>
      </c>
      <c r="L3209" s="1" t="s">
        <v>21</v>
      </c>
      <c r="M3209" s="1" t="str">
        <f t="shared" si="50"/>
        <v>Consistent</v>
      </c>
      <c r="N3209" s="1" t="str">
        <f>_xlfn.XLOOKUP(H3209, risk_score!A:A, risk_score!B:B, 0)</f>
        <v>Low Risk</v>
      </c>
    </row>
    <row r="3210" spans="1:14">
      <c r="A3210" s="2">
        <v>0.52414351851851848</v>
      </c>
      <c r="B3210" s="3">
        <v>44841</v>
      </c>
      <c r="C3210" s="1">
        <v>9728783647</v>
      </c>
      <c r="D3210" s="1">
        <v>1220741242</v>
      </c>
      <c r="E3210" s="1">
        <v>11100.77</v>
      </c>
      <c r="F3210" s="1" t="s">
        <v>12</v>
      </c>
      <c r="G3210" s="1" t="s">
        <v>12</v>
      </c>
      <c r="H3210" s="1" t="s">
        <v>13</v>
      </c>
      <c r="I3210" s="1" t="s">
        <v>13</v>
      </c>
      <c r="J3210" s="1" t="s">
        <v>25</v>
      </c>
      <c r="K3210" s="1">
        <v>0</v>
      </c>
      <c r="L3210" s="1" t="s">
        <v>21</v>
      </c>
      <c r="M3210" s="1" t="str">
        <f t="shared" si="50"/>
        <v>Consistent</v>
      </c>
      <c r="N3210" s="1" t="str">
        <f>_xlfn.XLOOKUP(H3210, risk_score!A:A, risk_score!B:B, 0)</f>
        <v>Low Risk</v>
      </c>
    </row>
    <row r="3211" spans="1:14">
      <c r="A3211" s="2">
        <v>0.52415509259259263</v>
      </c>
      <c r="B3211" s="3">
        <v>44841</v>
      </c>
      <c r="C3211" s="1">
        <v>3951053115</v>
      </c>
      <c r="D3211" s="1">
        <v>5708556305</v>
      </c>
      <c r="E3211" s="1">
        <v>739.64</v>
      </c>
      <c r="F3211" s="1" t="s">
        <v>12</v>
      </c>
      <c r="G3211" s="1" t="s">
        <v>12</v>
      </c>
      <c r="H3211" s="1" t="s">
        <v>13</v>
      </c>
      <c r="I3211" s="1" t="s">
        <v>13</v>
      </c>
      <c r="J3211" s="1" t="s">
        <v>25</v>
      </c>
      <c r="K3211" s="1">
        <v>0</v>
      </c>
      <c r="L3211" s="1" t="s">
        <v>21</v>
      </c>
      <c r="M3211" s="1" t="str">
        <f t="shared" si="50"/>
        <v>Consistent</v>
      </c>
      <c r="N3211" s="1" t="str">
        <f>_xlfn.XLOOKUP(H3211, risk_score!A:A, risk_score!B:B, 0)</f>
        <v>Low Risk</v>
      </c>
    </row>
    <row r="3212" spans="1:14">
      <c r="A3212" s="2">
        <v>0.52418981481481486</v>
      </c>
      <c r="B3212" s="3">
        <v>44841</v>
      </c>
      <c r="C3212" s="1">
        <v>5793273539</v>
      </c>
      <c r="D3212" s="1">
        <v>2710108791</v>
      </c>
      <c r="E3212" s="1">
        <v>8727.06</v>
      </c>
      <c r="F3212" s="1" t="s">
        <v>12</v>
      </c>
      <c r="G3212" s="1" t="s">
        <v>12</v>
      </c>
      <c r="H3212" s="1" t="s">
        <v>13</v>
      </c>
      <c r="I3212" s="1" t="s">
        <v>13</v>
      </c>
      <c r="J3212" s="1" t="s">
        <v>20</v>
      </c>
      <c r="K3212" s="1">
        <v>0</v>
      </c>
      <c r="L3212" s="1" t="s">
        <v>24</v>
      </c>
      <c r="M3212" s="1" t="str">
        <f t="shared" si="50"/>
        <v>Consistent</v>
      </c>
      <c r="N3212" s="1" t="str">
        <f>_xlfn.XLOOKUP(H3212, risk_score!A:A, risk_score!B:B, 0)</f>
        <v>Low Risk</v>
      </c>
    </row>
    <row r="3213" spans="1:14">
      <c r="A3213" s="2">
        <v>0.52418981481481486</v>
      </c>
      <c r="B3213" s="3">
        <v>44841</v>
      </c>
      <c r="C3213" s="1">
        <v>5129405951</v>
      </c>
      <c r="D3213" s="1">
        <v>9349227107</v>
      </c>
      <c r="E3213" s="1">
        <v>6302.02</v>
      </c>
      <c r="F3213" s="1" t="s">
        <v>12</v>
      </c>
      <c r="G3213" s="1" t="s">
        <v>12</v>
      </c>
      <c r="H3213" s="1" t="s">
        <v>13</v>
      </c>
      <c r="I3213" s="1" t="s">
        <v>13</v>
      </c>
      <c r="J3213" s="1" t="s">
        <v>20</v>
      </c>
      <c r="K3213" s="1">
        <v>0</v>
      </c>
      <c r="L3213" s="1" t="s">
        <v>24</v>
      </c>
      <c r="M3213" s="1" t="str">
        <f t="shared" si="50"/>
        <v>Consistent</v>
      </c>
      <c r="N3213" s="1" t="str">
        <f>_xlfn.XLOOKUP(H3213, risk_score!A:A, risk_score!B:B, 0)</f>
        <v>Low Risk</v>
      </c>
    </row>
    <row r="3214" spans="1:14">
      <c r="A3214" s="2">
        <v>0.52428240740740739</v>
      </c>
      <c r="B3214" s="3">
        <v>44841</v>
      </c>
      <c r="C3214" s="1">
        <v>7539982502</v>
      </c>
      <c r="D3214" s="1">
        <v>2138505015</v>
      </c>
      <c r="E3214" s="1">
        <v>5034.82</v>
      </c>
      <c r="F3214" s="1" t="s">
        <v>12</v>
      </c>
      <c r="G3214" s="1" t="s">
        <v>16</v>
      </c>
      <c r="H3214" s="1" t="s">
        <v>13</v>
      </c>
      <c r="I3214" s="1" t="s">
        <v>17</v>
      </c>
      <c r="J3214" s="1" t="s">
        <v>18</v>
      </c>
      <c r="K3214" s="1">
        <v>0</v>
      </c>
      <c r="L3214" s="1" t="s">
        <v>23</v>
      </c>
      <c r="M3214" s="1" t="str">
        <f t="shared" si="50"/>
        <v>Potential Layering</v>
      </c>
      <c r="N3214" s="1" t="str">
        <f>_xlfn.XLOOKUP(H3214, risk_score!A:A, risk_score!B:B, 0)</f>
        <v>Low Risk</v>
      </c>
    </row>
    <row r="3215" spans="1:14">
      <c r="A3215" s="2">
        <v>0.52428240740740739</v>
      </c>
      <c r="B3215" s="3">
        <v>44841</v>
      </c>
      <c r="C3215" s="1">
        <v>5021785800</v>
      </c>
      <c r="D3215" s="1">
        <v>4851478280</v>
      </c>
      <c r="E3215" s="1">
        <v>4476.57</v>
      </c>
      <c r="F3215" s="1" t="s">
        <v>12</v>
      </c>
      <c r="G3215" s="1" t="s">
        <v>12</v>
      </c>
      <c r="H3215" s="1" t="s">
        <v>13</v>
      </c>
      <c r="I3215" s="1" t="s">
        <v>13</v>
      </c>
      <c r="J3215" s="1" t="s">
        <v>27</v>
      </c>
      <c r="K3215" s="1">
        <v>0</v>
      </c>
      <c r="L3215" s="1" t="s">
        <v>19</v>
      </c>
      <c r="M3215" s="1" t="str">
        <f t="shared" si="50"/>
        <v>Consistent</v>
      </c>
      <c r="N3215" s="1" t="str">
        <f>_xlfn.XLOOKUP(H3215, risk_score!A:A, risk_score!B:B, 0)</f>
        <v>Low Risk</v>
      </c>
    </row>
    <row r="3216" spans="1:14">
      <c r="A3216" s="2">
        <v>0.52430555555555558</v>
      </c>
      <c r="B3216" s="3">
        <v>44841</v>
      </c>
      <c r="C3216" s="1">
        <v>4543595075</v>
      </c>
      <c r="D3216" s="1">
        <v>6034997194</v>
      </c>
      <c r="E3216" s="1">
        <v>15432.68</v>
      </c>
      <c r="F3216" s="1" t="s">
        <v>12</v>
      </c>
      <c r="G3216" s="1" t="s">
        <v>12</v>
      </c>
      <c r="H3216" s="1" t="s">
        <v>13</v>
      </c>
      <c r="I3216" s="1" t="s">
        <v>13</v>
      </c>
      <c r="J3216" s="1" t="s">
        <v>25</v>
      </c>
      <c r="K3216" s="1">
        <v>0</v>
      </c>
      <c r="L3216" s="1" t="s">
        <v>23</v>
      </c>
      <c r="M3216" s="1" t="str">
        <f t="shared" si="50"/>
        <v>Consistent</v>
      </c>
      <c r="N3216" s="1" t="str">
        <f>_xlfn.XLOOKUP(H3216, risk_score!A:A, risk_score!B:B, 0)</f>
        <v>Low Risk</v>
      </c>
    </row>
    <row r="3217" spans="1:14">
      <c r="A3217" s="2">
        <v>0.52431712962962962</v>
      </c>
      <c r="B3217" s="3">
        <v>44841</v>
      </c>
      <c r="C3217" s="1">
        <v>1965334248</v>
      </c>
      <c r="D3217" s="1">
        <v>5243319221</v>
      </c>
      <c r="E3217" s="1">
        <v>4678.43</v>
      </c>
      <c r="F3217" s="1" t="s">
        <v>12</v>
      </c>
      <c r="G3217" s="1" t="s">
        <v>12</v>
      </c>
      <c r="H3217" s="1" t="s">
        <v>13</v>
      </c>
      <c r="I3217" s="1" t="s">
        <v>13</v>
      </c>
      <c r="J3217" s="1" t="s">
        <v>25</v>
      </c>
      <c r="K3217" s="1">
        <v>0</v>
      </c>
      <c r="L3217" s="1" t="s">
        <v>21</v>
      </c>
      <c r="M3217" s="1" t="str">
        <f t="shared" si="50"/>
        <v>Consistent</v>
      </c>
      <c r="N3217" s="1" t="str">
        <f>_xlfn.XLOOKUP(H3217, risk_score!A:A, risk_score!B:B, 0)</f>
        <v>Low Risk</v>
      </c>
    </row>
    <row r="3218" spans="1:14">
      <c r="A3218" s="2">
        <v>0.52431712962962962</v>
      </c>
      <c r="B3218" s="3">
        <v>44841</v>
      </c>
      <c r="C3218" s="1">
        <v>8993724984</v>
      </c>
      <c r="D3218" s="1">
        <v>1493436023</v>
      </c>
      <c r="E3218" s="1">
        <v>10040.870000000001</v>
      </c>
      <c r="F3218" s="1" t="s">
        <v>12</v>
      </c>
      <c r="G3218" s="1" t="s">
        <v>12</v>
      </c>
      <c r="H3218" s="1" t="s">
        <v>13</v>
      </c>
      <c r="I3218" s="1" t="s">
        <v>13</v>
      </c>
      <c r="J3218" s="1" t="s">
        <v>25</v>
      </c>
      <c r="K3218" s="1">
        <v>0</v>
      </c>
      <c r="L3218" s="1" t="s">
        <v>23</v>
      </c>
      <c r="M3218" s="1" t="str">
        <f t="shared" si="50"/>
        <v>Consistent</v>
      </c>
      <c r="N3218" s="1" t="str">
        <f>_xlfn.XLOOKUP(H3218, risk_score!A:A, risk_score!B:B, 0)</f>
        <v>Low Risk</v>
      </c>
    </row>
    <row r="3219" spans="1:14">
      <c r="A3219" s="2">
        <v>0.52432870370370366</v>
      </c>
      <c r="B3219" s="3">
        <v>44841</v>
      </c>
      <c r="C3219" s="1">
        <v>8456279067</v>
      </c>
      <c r="D3219" s="1">
        <v>2341493832</v>
      </c>
      <c r="E3219" s="1">
        <v>7883.86</v>
      </c>
      <c r="F3219" s="1" t="s">
        <v>12</v>
      </c>
      <c r="G3219" s="1" t="s">
        <v>12</v>
      </c>
      <c r="H3219" s="1" t="s">
        <v>13</v>
      </c>
      <c r="I3219" s="1" t="s">
        <v>13</v>
      </c>
      <c r="J3219" s="1" t="s">
        <v>22</v>
      </c>
      <c r="K3219" s="1">
        <v>0</v>
      </c>
      <c r="L3219" s="1" t="s">
        <v>19</v>
      </c>
      <c r="M3219" s="1" t="str">
        <f t="shared" si="50"/>
        <v>Consistent</v>
      </c>
      <c r="N3219" s="1" t="str">
        <f>_xlfn.XLOOKUP(H3219, risk_score!A:A, risk_score!B:B, 0)</f>
        <v>Low Risk</v>
      </c>
    </row>
    <row r="3220" spans="1:14">
      <c r="A3220" s="2">
        <v>0.52435185185185185</v>
      </c>
      <c r="B3220" s="3">
        <v>44841</v>
      </c>
      <c r="C3220" s="1">
        <v>1730350525</v>
      </c>
      <c r="D3220" s="1">
        <v>4336977506</v>
      </c>
      <c r="E3220" s="1">
        <v>7234.39</v>
      </c>
      <c r="F3220" s="1" t="s">
        <v>12</v>
      </c>
      <c r="G3220" s="1" t="s">
        <v>12</v>
      </c>
      <c r="H3220" s="1" t="s">
        <v>13</v>
      </c>
      <c r="I3220" s="1" t="s">
        <v>13</v>
      </c>
      <c r="J3220" s="1" t="s">
        <v>25</v>
      </c>
      <c r="K3220" s="1">
        <v>0</v>
      </c>
      <c r="L3220" s="1" t="s">
        <v>23</v>
      </c>
      <c r="M3220" s="1" t="str">
        <f t="shared" si="50"/>
        <v>Consistent</v>
      </c>
      <c r="N3220" s="1" t="str">
        <f>_xlfn.XLOOKUP(H3220, risk_score!A:A, risk_score!B:B, 0)</f>
        <v>Low Risk</v>
      </c>
    </row>
    <row r="3221" spans="1:14">
      <c r="A3221" s="2">
        <v>0.52436342592592589</v>
      </c>
      <c r="B3221" s="3">
        <v>44841</v>
      </c>
      <c r="C3221" s="1">
        <v>8952177221</v>
      </c>
      <c r="D3221" s="1">
        <v>7715811349</v>
      </c>
      <c r="E3221" s="1">
        <v>6953.54</v>
      </c>
      <c r="F3221" s="1" t="s">
        <v>12</v>
      </c>
      <c r="G3221" s="1" t="s">
        <v>12</v>
      </c>
      <c r="H3221" s="1" t="s">
        <v>13</v>
      </c>
      <c r="I3221" s="1" t="s">
        <v>13</v>
      </c>
      <c r="J3221" s="1" t="s">
        <v>22</v>
      </c>
      <c r="K3221" s="1">
        <v>0</v>
      </c>
      <c r="L3221" s="1" t="s">
        <v>19</v>
      </c>
      <c r="M3221" s="1" t="str">
        <f t="shared" si="50"/>
        <v>Consistent</v>
      </c>
      <c r="N3221" s="1" t="str">
        <f>_xlfn.XLOOKUP(H3221, risk_score!A:A, risk_score!B:B, 0)</f>
        <v>Low Risk</v>
      </c>
    </row>
    <row r="3222" spans="1:14">
      <c r="A3222" s="2">
        <v>0.5244212962962963</v>
      </c>
      <c r="B3222" s="3">
        <v>44841</v>
      </c>
      <c r="C3222" s="1">
        <v>2057180320</v>
      </c>
      <c r="D3222" s="1">
        <v>5268552509</v>
      </c>
      <c r="E3222" s="1">
        <v>132.1</v>
      </c>
      <c r="F3222" s="1" t="s">
        <v>12</v>
      </c>
      <c r="G3222" s="1" t="s">
        <v>12</v>
      </c>
      <c r="H3222" s="1" t="s">
        <v>13</v>
      </c>
      <c r="I3222" s="1" t="s">
        <v>13</v>
      </c>
      <c r="J3222" s="1" t="s">
        <v>22</v>
      </c>
      <c r="K3222" s="1">
        <v>0</v>
      </c>
      <c r="L3222" s="1" t="s">
        <v>21</v>
      </c>
      <c r="M3222" s="1" t="str">
        <f t="shared" si="50"/>
        <v>Consistent</v>
      </c>
      <c r="N3222" s="1" t="str">
        <f>_xlfn.XLOOKUP(H3222, risk_score!A:A, risk_score!B:B, 0)</f>
        <v>Low Risk</v>
      </c>
    </row>
    <row r="3223" spans="1:14">
      <c r="A3223" s="2">
        <v>0.52445601851851853</v>
      </c>
      <c r="B3223" s="3">
        <v>44841</v>
      </c>
      <c r="C3223" s="1">
        <v>3510078932</v>
      </c>
      <c r="D3223" s="1">
        <v>2749487707</v>
      </c>
      <c r="E3223" s="1">
        <v>7984.9</v>
      </c>
      <c r="F3223" s="1" t="s">
        <v>12</v>
      </c>
      <c r="G3223" s="1" t="s">
        <v>29</v>
      </c>
      <c r="H3223" s="1" t="s">
        <v>13</v>
      </c>
      <c r="I3223" s="1" t="s">
        <v>31</v>
      </c>
      <c r="J3223" s="1" t="s">
        <v>18</v>
      </c>
      <c r="K3223" s="1">
        <v>0</v>
      </c>
      <c r="L3223" s="1" t="s">
        <v>19</v>
      </c>
      <c r="M3223" s="1" t="str">
        <f t="shared" si="50"/>
        <v>Potential Layering</v>
      </c>
      <c r="N3223" s="1" t="str">
        <f>_xlfn.XLOOKUP(H3223, risk_score!A:A, risk_score!B:B, 0)</f>
        <v>Low Risk</v>
      </c>
    </row>
    <row r="3224" spans="1:14">
      <c r="A3224" s="2">
        <v>0.52452546296296299</v>
      </c>
      <c r="B3224" s="3">
        <v>44841</v>
      </c>
      <c r="C3224" s="1">
        <v>9686132794</v>
      </c>
      <c r="D3224" s="1">
        <v>7198324572</v>
      </c>
      <c r="E3224" s="1">
        <v>197.59</v>
      </c>
      <c r="F3224" s="1" t="s">
        <v>12</v>
      </c>
      <c r="G3224" s="1" t="s">
        <v>12</v>
      </c>
      <c r="H3224" s="1" t="s">
        <v>13</v>
      </c>
      <c r="I3224" s="1" t="s">
        <v>13</v>
      </c>
      <c r="J3224" s="1" t="s">
        <v>36</v>
      </c>
      <c r="K3224" s="1">
        <v>0</v>
      </c>
      <c r="L3224" s="1" t="s">
        <v>37</v>
      </c>
      <c r="M3224" s="1" t="str">
        <f t="shared" si="50"/>
        <v>Consistent</v>
      </c>
      <c r="N3224" s="1" t="str">
        <f>_xlfn.XLOOKUP(H3224, risk_score!A:A, risk_score!B:B, 0)</f>
        <v>Low Risk</v>
      </c>
    </row>
    <row r="3225" spans="1:14">
      <c r="A3225" s="2">
        <v>0.52452546296296299</v>
      </c>
      <c r="B3225" s="3">
        <v>44841</v>
      </c>
      <c r="C3225" s="1">
        <v>3560118263</v>
      </c>
      <c r="D3225" s="1">
        <v>1945718877</v>
      </c>
      <c r="E3225" s="1">
        <v>2288.3000000000002</v>
      </c>
      <c r="F3225" s="1" t="s">
        <v>12</v>
      </c>
      <c r="G3225" s="1" t="s">
        <v>12</v>
      </c>
      <c r="H3225" s="1" t="s">
        <v>13</v>
      </c>
      <c r="I3225" s="1" t="s">
        <v>13</v>
      </c>
      <c r="J3225" s="1" t="s">
        <v>25</v>
      </c>
      <c r="K3225" s="1">
        <v>0</v>
      </c>
      <c r="L3225" s="1" t="s">
        <v>21</v>
      </c>
      <c r="M3225" s="1" t="str">
        <f t="shared" si="50"/>
        <v>Consistent</v>
      </c>
      <c r="N3225" s="1" t="str">
        <f>_xlfn.XLOOKUP(H3225, risk_score!A:A, risk_score!B:B, 0)</f>
        <v>Low Risk</v>
      </c>
    </row>
    <row r="3226" spans="1:14">
      <c r="A3226" s="2">
        <v>0.52454861111111106</v>
      </c>
      <c r="B3226" s="3">
        <v>44841</v>
      </c>
      <c r="C3226" s="1">
        <v>339957925</v>
      </c>
      <c r="D3226" s="1">
        <v>1238586959</v>
      </c>
      <c r="E3226" s="1">
        <v>27722.18</v>
      </c>
      <c r="F3226" s="1" t="s">
        <v>12</v>
      </c>
      <c r="G3226" s="1" t="s">
        <v>12</v>
      </c>
      <c r="H3226" s="1" t="s">
        <v>13</v>
      </c>
      <c r="I3226" s="1" t="s">
        <v>13</v>
      </c>
      <c r="J3226" s="1" t="s">
        <v>27</v>
      </c>
      <c r="K3226" s="1">
        <v>0</v>
      </c>
      <c r="L3226" s="1" t="s">
        <v>21</v>
      </c>
      <c r="M3226" s="1" t="str">
        <f t="shared" si="50"/>
        <v>Consistent</v>
      </c>
      <c r="N3226" s="1" t="str">
        <f>_xlfn.XLOOKUP(H3226, risk_score!A:A, risk_score!B:B, 0)</f>
        <v>Low Risk</v>
      </c>
    </row>
    <row r="3227" spans="1:14">
      <c r="A3227" s="2">
        <v>0.52457175925925925</v>
      </c>
      <c r="B3227" s="3">
        <v>44841</v>
      </c>
      <c r="C3227" s="1">
        <v>4145073965</v>
      </c>
      <c r="D3227" s="1">
        <v>5181479443</v>
      </c>
      <c r="E3227" s="1">
        <v>223.96</v>
      </c>
      <c r="F3227" s="1" t="s">
        <v>12</v>
      </c>
      <c r="G3227" s="1" t="s">
        <v>12</v>
      </c>
      <c r="H3227" s="1" t="s">
        <v>13</v>
      </c>
      <c r="I3227" s="1" t="s">
        <v>13</v>
      </c>
      <c r="J3227" s="1" t="s">
        <v>25</v>
      </c>
      <c r="K3227" s="1">
        <v>0</v>
      </c>
      <c r="L3227" s="1" t="s">
        <v>21</v>
      </c>
      <c r="M3227" s="1" t="str">
        <f t="shared" si="50"/>
        <v>Consistent</v>
      </c>
      <c r="N3227" s="1" t="str">
        <f>_xlfn.XLOOKUP(H3227, risk_score!A:A, risk_score!B:B, 0)</f>
        <v>Low Risk</v>
      </c>
    </row>
    <row r="3228" spans="1:14">
      <c r="A3228" s="2">
        <v>0.52462962962962967</v>
      </c>
      <c r="B3228" s="3">
        <v>44841</v>
      </c>
      <c r="C3228" s="1">
        <v>7669236826</v>
      </c>
      <c r="D3228" s="1">
        <v>3794172311</v>
      </c>
      <c r="E3228" s="1">
        <v>6986.29</v>
      </c>
      <c r="F3228" s="1" t="s">
        <v>12</v>
      </c>
      <c r="G3228" s="1" t="s">
        <v>12</v>
      </c>
      <c r="H3228" s="1" t="s">
        <v>13</v>
      </c>
      <c r="I3228" s="1" t="s">
        <v>13</v>
      </c>
      <c r="J3228" s="1" t="s">
        <v>20</v>
      </c>
      <c r="K3228" s="1">
        <v>0</v>
      </c>
      <c r="L3228" s="1" t="s">
        <v>19</v>
      </c>
      <c r="M3228" s="1" t="str">
        <f t="shared" si="50"/>
        <v>Consistent</v>
      </c>
      <c r="N3228" s="1" t="str">
        <f>_xlfn.XLOOKUP(H3228, risk_score!A:A, risk_score!B:B, 0)</f>
        <v>Low Risk</v>
      </c>
    </row>
    <row r="3229" spans="1:14">
      <c r="A3229" s="2">
        <v>0.52462962962962967</v>
      </c>
      <c r="B3229" s="3">
        <v>44841</v>
      </c>
      <c r="C3229" s="1">
        <v>8203229522</v>
      </c>
      <c r="D3229" s="1">
        <v>2176869707</v>
      </c>
      <c r="E3229" s="1">
        <v>18626.07</v>
      </c>
      <c r="F3229" s="1" t="s">
        <v>12</v>
      </c>
      <c r="G3229" s="1" t="s">
        <v>12</v>
      </c>
      <c r="H3229" s="1" t="s">
        <v>13</v>
      </c>
      <c r="I3229" s="1" t="s">
        <v>13</v>
      </c>
      <c r="J3229" s="1" t="s">
        <v>27</v>
      </c>
      <c r="K3229" s="1">
        <v>0</v>
      </c>
      <c r="L3229" s="1" t="s">
        <v>19</v>
      </c>
      <c r="M3229" s="1" t="str">
        <f t="shared" si="50"/>
        <v>Consistent</v>
      </c>
      <c r="N3229" s="1" t="str">
        <f>_xlfn.XLOOKUP(H3229, risk_score!A:A, risk_score!B:B, 0)</f>
        <v>Low Risk</v>
      </c>
    </row>
    <row r="3230" spans="1:14">
      <c r="A3230" s="2">
        <v>0.52465277777777775</v>
      </c>
      <c r="B3230" s="3">
        <v>44841</v>
      </c>
      <c r="C3230" s="1">
        <v>9670851538</v>
      </c>
      <c r="D3230" s="1">
        <v>3555966786</v>
      </c>
      <c r="E3230" s="1">
        <v>2200.6</v>
      </c>
      <c r="F3230" s="1" t="s">
        <v>12</v>
      </c>
      <c r="G3230" s="1" t="s">
        <v>12</v>
      </c>
      <c r="H3230" s="1" t="s">
        <v>13</v>
      </c>
      <c r="I3230" s="1" t="s">
        <v>13</v>
      </c>
      <c r="J3230" s="1" t="s">
        <v>22</v>
      </c>
      <c r="K3230" s="1">
        <v>0</v>
      </c>
      <c r="L3230" s="1" t="s">
        <v>38</v>
      </c>
      <c r="M3230" s="1" t="str">
        <f t="shared" si="50"/>
        <v>Consistent</v>
      </c>
      <c r="N3230" s="1" t="str">
        <f>_xlfn.XLOOKUP(H3230, risk_score!A:A, risk_score!B:B, 0)</f>
        <v>Low Risk</v>
      </c>
    </row>
    <row r="3231" spans="1:14">
      <c r="A3231" s="2">
        <v>0.5246643518518519</v>
      </c>
      <c r="B3231" s="3">
        <v>44841</v>
      </c>
      <c r="C3231" s="1">
        <v>4500643137</v>
      </c>
      <c r="D3231" s="1">
        <v>1347973695</v>
      </c>
      <c r="E3231" s="1">
        <v>431.7</v>
      </c>
      <c r="F3231" s="1" t="s">
        <v>12</v>
      </c>
      <c r="G3231" s="1" t="s">
        <v>12</v>
      </c>
      <c r="H3231" s="1" t="s">
        <v>13</v>
      </c>
      <c r="I3231" s="1" t="s">
        <v>13</v>
      </c>
      <c r="J3231" s="1" t="s">
        <v>22</v>
      </c>
      <c r="K3231" s="1">
        <v>0</v>
      </c>
      <c r="L3231" s="1" t="s">
        <v>21</v>
      </c>
      <c r="M3231" s="1" t="str">
        <f t="shared" si="50"/>
        <v>Consistent</v>
      </c>
      <c r="N3231" s="1" t="str">
        <f>_xlfn.XLOOKUP(H3231, risk_score!A:A, risk_score!B:B, 0)</f>
        <v>Low Risk</v>
      </c>
    </row>
    <row r="3232" spans="1:14">
      <c r="A3232" s="2">
        <v>0.52467592592592593</v>
      </c>
      <c r="B3232" s="3">
        <v>44841</v>
      </c>
      <c r="C3232" s="1">
        <v>1337312343</v>
      </c>
      <c r="D3232" s="1">
        <v>942819998</v>
      </c>
      <c r="E3232" s="1">
        <v>1045.47</v>
      </c>
      <c r="F3232" s="1" t="s">
        <v>12</v>
      </c>
      <c r="G3232" s="1" t="s">
        <v>12</v>
      </c>
      <c r="H3232" s="1" t="s">
        <v>13</v>
      </c>
      <c r="I3232" s="1" t="s">
        <v>13</v>
      </c>
      <c r="J3232" s="1" t="s">
        <v>20</v>
      </c>
      <c r="K3232" s="1">
        <v>0</v>
      </c>
      <c r="L3232" s="1" t="s">
        <v>21</v>
      </c>
      <c r="M3232" s="1" t="str">
        <f t="shared" si="50"/>
        <v>Consistent</v>
      </c>
      <c r="N3232" s="1" t="str">
        <f>_xlfn.XLOOKUP(H3232, risk_score!A:A, risk_score!B:B, 0)</f>
        <v>Low Risk</v>
      </c>
    </row>
    <row r="3233" spans="1:14">
      <c r="A3233" s="2">
        <v>0.52468749999999997</v>
      </c>
      <c r="B3233" s="3">
        <v>44841</v>
      </c>
      <c r="C3233" s="1">
        <v>1815528206</v>
      </c>
      <c r="D3233" s="1">
        <v>8789372878</v>
      </c>
      <c r="E3233" s="1">
        <v>581.73</v>
      </c>
      <c r="F3233" s="1" t="s">
        <v>12</v>
      </c>
      <c r="G3233" s="1" t="s">
        <v>12</v>
      </c>
      <c r="H3233" s="1" t="s">
        <v>13</v>
      </c>
      <c r="I3233" s="1" t="s">
        <v>13</v>
      </c>
      <c r="J3233" s="1" t="s">
        <v>20</v>
      </c>
      <c r="K3233" s="1">
        <v>0</v>
      </c>
      <c r="L3233" s="1" t="s">
        <v>21</v>
      </c>
      <c r="M3233" s="1" t="str">
        <f t="shared" si="50"/>
        <v>Consistent</v>
      </c>
      <c r="N3233" s="1" t="str">
        <f>_xlfn.XLOOKUP(H3233, risk_score!A:A, risk_score!B:B, 0)</f>
        <v>Low Risk</v>
      </c>
    </row>
    <row r="3234" spans="1:14">
      <c r="A3234" s="2">
        <v>0.5247222222222222</v>
      </c>
      <c r="B3234" s="3">
        <v>44841</v>
      </c>
      <c r="C3234" s="1">
        <v>7709701164</v>
      </c>
      <c r="D3234" s="1">
        <v>9222079021</v>
      </c>
      <c r="E3234" s="1">
        <v>879.43</v>
      </c>
      <c r="F3234" s="1" t="s">
        <v>12</v>
      </c>
      <c r="G3234" s="1" t="s">
        <v>12</v>
      </c>
      <c r="H3234" s="1" t="s">
        <v>13</v>
      </c>
      <c r="I3234" s="1" t="s">
        <v>13</v>
      </c>
      <c r="J3234" s="1" t="s">
        <v>27</v>
      </c>
      <c r="K3234" s="1">
        <v>0</v>
      </c>
      <c r="L3234" s="1" t="s">
        <v>21</v>
      </c>
      <c r="M3234" s="1" t="str">
        <f t="shared" si="50"/>
        <v>Consistent</v>
      </c>
      <c r="N3234" s="1" t="str">
        <f>_xlfn.XLOOKUP(H3234, risk_score!A:A, risk_score!B:B, 0)</f>
        <v>Low Risk</v>
      </c>
    </row>
    <row r="3235" spans="1:14">
      <c r="A3235" s="2">
        <v>0.52484953703703707</v>
      </c>
      <c r="B3235" s="3">
        <v>44841</v>
      </c>
      <c r="C3235" s="1">
        <v>5748154530</v>
      </c>
      <c r="D3235" s="1">
        <v>2327833614</v>
      </c>
      <c r="E3235" s="1">
        <v>3089.75</v>
      </c>
      <c r="F3235" s="1" t="s">
        <v>12</v>
      </c>
      <c r="G3235" s="1" t="s">
        <v>12</v>
      </c>
      <c r="H3235" s="1" t="s">
        <v>13</v>
      </c>
      <c r="I3235" s="1" t="s">
        <v>13</v>
      </c>
      <c r="J3235" s="1" t="s">
        <v>25</v>
      </c>
      <c r="K3235" s="1">
        <v>0</v>
      </c>
      <c r="L3235" s="1" t="s">
        <v>21</v>
      </c>
      <c r="M3235" s="1" t="str">
        <f t="shared" si="50"/>
        <v>Consistent</v>
      </c>
      <c r="N3235" s="1" t="str">
        <f>_xlfn.XLOOKUP(H3235, risk_score!A:A, risk_score!B:B, 0)</f>
        <v>Low Risk</v>
      </c>
    </row>
    <row r="3236" spans="1:14">
      <c r="A3236" s="2">
        <v>0.52486111111111111</v>
      </c>
      <c r="B3236" s="3">
        <v>44841</v>
      </c>
      <c r="C3236" s="1">
        <v>1564258752</v>
      </c>
      <c r="D3236" s="1">
        <v>6292966139</v>
      </c>
      <c r="E3236" s="1">
        <v>4213.1000000000004</v>
      </c>
      <c r="F3236" s="1" t="s">
        <v>12</v>
      </c>
      <c r="G3236" s="1" t="s">
        <v>12</v>
      </c>
      <c r="H3236" s="1" t="s">
        <v>13</v>
      </c>
      <c r="I3236" s="1" t="s">
        <v>13</v>
      </c>
      <c r="J3236" s="1" t="s">
        <v>27</v>
      </c>
      <c r="K3236" s="1">
        <v>0</v>
      </c>
      <c r="L3236" s="1" t="s">
        <v>21</v>
      </c>
      <c r="M3236" s="1" t="str">
        <f t="shared" si="50"/>
        <v>Consistent</v>
      </c>
      <c r="N3236" s="1" t="str">
        <f>_xlfn.XLOOKUP(H3236, risk_score!A:A, risk_score!B:B, 0)</f>
        <v>Low Risk</v>
      </c>
    </row>
    <row r="3237" spans="1:14">
      <c r="A3237" s="2">
        <v>0.52489583333333334</v>
      </c>
      <c r="B3237" s="3">
        <v>44841</v>
      </c>
      <c r="C3237" s="1">
        <v>6962511404</v>
      </c>
      <c r="D3237" s="1">
        <v>3040951732</v>
      </c>
      <c r="E3237" s="1">
        <v>1374.47</v>
      </c>
      <c r="F3237" s="1" t="s">
        <v>12</v>
      </c>
      <c r="G3237" s="1" t="s">
        <v>12</v>
      </c>
      <c r="H3237" s="1" t="s">
        <v>13</v>
      </c>
      <c r="I3237" s="1" t="s">
        <v>13</v>
      </c>
      <c r="J3237" s="1" t="s">
        <v>14</v>
      </c>
      <c r="K3237" s="1">
        <v>0</v>
      </c>
      <c r="L3237" s="1" t="s">
        <v>15</v>
      </c>
      <c r="M3237" s="1" t="str">
        <f t="shared" si="50"/>
        <v>Consistent</v>
      </c>
      <c r="N3237" s="1" t="str">
        <f>_xlfn.XLOOKUP(H3237, risk_score!A:A, risk_score!B:B, 0)</f>
        <v>Low Risk</v>
      </c>
    </row>
    <row r="3238" spans="1:14">
      <c r="A3238" s="2">
        <v>0.52490740740740738</v>
      </c>
      <c r="B3238" s="3">
        <v>44841</v>
      </c>
      <c r="C3238" s="1">
        <v>5865178435</v>
      </c>
      <c r="D3238" s="1">
        <v>4464729965</v>
      </c>
      <c r="E3238" s="1">
        <v>4124.07</v>
      </c>
      <c r="F3238" s="1" t="s">
        <v>12</v>
      </c>
      <c r="G3238" s="1" t="s">
        <v>12</v>
      </c>
      <c r="H3238" s="1" t="s">
        <v>13</v>
      </c>
      <c r="I3238" s="1" t="s">
        <v>13</v>
      </c>
      <c r="J3238" s="1" t="s">
        <v>14</v>
      </c>
      <c r="K3238" s="1">
        <v>0</v>
      </c>
      <c r="L3238" s="1" t="s">
        <v>15</v>
      </c>
      <c r="M3238" s="1" t="str">
        <f t="shared" ref="M3238:M3301" si="51">IF(F3238=G3238, "Consistent", "Potential Layering")</f>
        <v>Consistent</v>
      </c>
      <c r="N3238" s="1" t="str">
        <f>_xlfn.XLOOKUP(H3238, risk_score!A:A, risk_score!B:B, 0)</f>
        <v>Low Risk</v>
      </c>
    </row>
    <row r="3239" spans="1:14">
      <c r="A3239" s="2">
        <v>0.52494212962962961</v>
      </c>
      <c r="B3239" s="3">
        <v>44841</v>
      </c>
      <c r="C3239" s="1">
        <v>8689820995</v>
      </c>
      <c r="D3239" s="1">
        <v>9376574500</v>
      </c>
      <c r="E3239" s="1">
        <v>53663.92</v>
      </c>
      <c r="F3239" s="1" t="s">
        <v>12</v>
      </c>
      <c r="G3239" s="1" t="s">
        <v>12</v>
      </c>
      <c r="H3239" s="1" t="s">
        <v>13</v>
      </c>
      <c r="I3239" s="1" t="s">
        <v>13</v>
      </c>
      <c r="J3239" s="1" t="s">
        <v>27</v>
      </c>
      <c r="K3239" s="1">
        <v>0</v>
      </c>
      <c r="L3239" s="1" t="s">
        <v>49</v>
      </c>
      <c r="M3239" s="1" t="str">
        <f t="shared" si="51"/>
        <v>Consistent</v>
      </c>
      <c r="N3239" s="1" t="str">
        <f>_xlfn.XLOOKUP(H3239, risk_score!A:A, risk_score!B:B, 0)</f>
        <v>Low Risk</v>
      </c>
    </row>
    <row r="3240" spans="1:14">
      <c r="A3240" s="2">
        <v>0.52495370370370376</v>
      </c>
      <c r="B3240" s="3">
        <v>44841</v>
      </c>
      <c r="C3240" s="1">
        <v>100386724</v>
      </c>
      <c r="D3240" s="1">
        <v>5800480436</v>
      </c>
      <c r="E3240" s="1">
        <v>750.54</v>
      </c>
      <c r="F3240" s="1" t="s">
        <v>12</v>
      </c>
      <c r="G3240" s="1" t="s">
        <v>12</v>
      </c>
      <c r="H3240" s="1" t="s">
        <v>13</v>
      </c>
      <c r="I3240" s="1" t="s">
        <v>13</v>
      </c>
      <c r="J3240" s="1" t="s">
        <v>25</v>
      </c>
      <c r="K3240" s="1">
        <v>0</v>
      </c>
      <c r="L3240" s="1" t="s">
        <v>21</v>
      </c>
      <c r="M3240" s="1" t="str">
        <f t="shared" si="51"/>
        <v>Consistent</v>
      </c>
      <c r="N3240" s="1" t="str">
        <f>_xlfn.XLOOKUP(H3240, risk_score!A:A, risk_score!B:B, 0)</f>
        <v>Low Risk</v>
      </c>
    </row>
    <row r="3241" spans="1:14">
      <c r="A3241" s="2">
        <v>0.52496527777777779</v>
      </c>
      <c r="B3241" s="3">
        <v>44841</v>
      </c>
      <c r="C3241" s="1">
        <v>7849241516</v>
      </c>
      <c r="D3241" s="1">
        <v>1465487567</v>
      </c>
      <c r="E3241" s="1">
        <v>7008.08</v>
      </c>
      <c r="F3241" s="1" t="s">
        <v>12</v>
      </c>
      <c r="G3241" s="1" t="s">
        <v>12</v>
      </c>
      <c r="H3241" s="1" t="s">
        <v>13</v>
      </c>
      <c r="I3241" s="1" t="s">
        <v>13</v>
      </c>
      <c r="J3241" s="1" t="s">
        <v>27</v>
      </c>
      <c r="K3241" s="1">
        <v>0</v>
      </c>
      <c r="L3241" s="1" t="s">
        <v>23</v>
      </c>
      <c r="M3241" s="1" t="str">
        <f t="shared" si="51"/>
        <v>Consistent</v>
      </c>
      <c r="N3241" s="1" t="str">
        <f>_xlfn.XLOOKUP(H3241, risk_score!A:A, risk_score!B:B, 0)</f>
        <v>Low Risk</v>
      </c>
    </row>
    <row r="3242" spans="1:14">
      <c r="A3242" s="2">
        <v>0.52498842592592587</v>
      </c>
      <c r="B3242" s="3">
        <v>44841</v>
      </c>
      <c r="C3242" s="1">
        <v>1359170155</v>
      </c>
      <c r="D3242" s="1">
        <v>3291329620</v>
      </c>
      <c r="E3242" s="1">
        <v>5197.9799999999996</v>
      </c>
      <c r="F3242" s="1" t="s">
        <v>12</v>
      </c>
      <c r="G3242" s="1" t="s">
        <v>12</v>
      </c>
      <c r="H3242" s="1" t="s">
        <v>13</v>
      </c>
      <c r="I3242" s="1" t="s">
        <v>13</v>
      </c>
      <c r="J3242" s="1" t="s">
        <v>20</v>
      </c>
      <c r="K3242" s="1">
        <v>0</v>
      </c>
      <c r="L3242" s="1" t="s">
        <v>21</v>
      </c>
      <c r="M3242" s="1" t="str">
        <f t="shared" si="51"/>
        <v>Consistent</v>
      </c>
      <c r="N3242" s="1" t="str">
        <f>_xlfn.XLOOKUP(H3242, risk_score!A:A, risk_score!B:B, 0)</f>
        <v>Low Risk</v>
      </c>
    </row>
    <row r="3243" spans="1:14">
      <c r="A3243" s="2">
        <v>0.52498842592592587</v>
      </c>
      <c r="B3243" s="3">
        <v>44841</v>
      </c>
      <c r="C3243" s="1">
        <v>7548422007</v>
      </c>
      <c r="D3243" s="1">
        <v>4270865741</v>
      </c>
      <c r="E3243" s="1">
        <v>7722.08</v>
      </c>
      <c r="F3243" s="1" t="s">
        <v>12</v>
      </c>
      <c r="G3243" s="1" t="s">
        <v>12</v>
      </c>
      <c r="H3243" s="1" t="s">
        <v>13</v>
      </c>
      <c r="I3243" s="1" t="s">
        <v>13</v>
      </c>
      <c r="J3243" s="1" t="s">
        <v>27</v>
      </c>
      <c r="K3243" s="1">
        <v>0</v>
      </c>
      <c r="L3243" s="1" t="s">
        <v>23</v>
      </c>
      <c r="M3243" s="1" t="str">
        <f t="shared" si="51"/>
        <v>Consistent</v>
      </c>
      <c r="N3243" s="1" t="str">
        <f>_xlfn.XLOOKUP(H3243, risk_score!A:A, risk_score!B:B, 0)</f>
        <v>Low Risk</v>
      </c>
    </row>
    <row r="3244" spans="1:14">
      <c r="A3244" s="2">
        <v>0.52500000000000002</v>
      </c>
      <c r="B3244" s="3">
        <v>44841</v>
      </c>
      <c r="C3244" s="1">
        <v>3308841790</v>
      </c>
      <c r="D3244" s="1">
        <v>6718144837</v>
      </c>
      <c r="E3244" s="1">
        <v>8892.2000000000007</v>
      </c>
      <c r="F3244" s="1" t="s">
        <v>12</v>
      </c>
      <c r="G3244" s="1" t="s">
        <v>34</v>
      </c>
      <c r="H3244" s="1" t="s">
        <v>13</v>
      </c>
      <c r="I3244" s="1" t="s">
        <v>35</v>
      </c>
      <c r="J3244" s="1" t="s">
        <v>18</v>
      </c>
      <c r="K3244" s="1">
        <v>0</v>
      </c>
      <c r="L3244" s="1" t="s">
        <v>21</v>
      </c>
      <c r="M3244" s="1" t="str">
        <f t="shared" si="51"/>
        <v>Potential Layering</v>
      </c>
      <c r="N3244" s="1" t="str">
        <f>_xlfn.XLOOKUP(H3244, risk_score!A:A, risk_score!B:B, 0)</f>
        <v>Low Risk</v>
      </c>
    </row>
    <row r="3245" spans="1:14">
      <c r="A3245" s="2">
        <v>0.5250231481481481</v>
      </c>
      <c r="B3245" s="3">
        <v>44841</v>
      </c>
      <c r="C3245" s="1">
        <v>5264015348</v>
      </c>
      <c r="D3245" s="1">
        <v>6646502650</v>
      </c>
      <c r="E3245" s="1">
        <v>8512.52</v>
      </c>
      <c r="F3245" s="1" t="s">
        <v>12</v>
      </c>
      <c r="G3245" s="1" t="s">
        <v>29</v>
      </c>
      <c r="H3245" s="1" t="s">
        <v>13</v>
      </c>
      <c r="I3245" s="1" t="s">
        <v>31</v>
      </c>
      <c r="J3245" s="1" t="s">
        <v>18</v>
      </c>
      <c r="K3245" s="1">
        <v>0</v>
      </c>
      <c r="L3245" s="1" t="s">
        <v>23</v>
      </c>
      <c r="M3245" s="1" t="str">
        <f t="shared" si="51"/>
        <v>Potential Layering</v>
      </c>
      <c r="N3245" s="1" t="str">
        <f>_xlfn.XLOOKUP(H3245, risk_score!A:A, risk_score!B:B, 0)</f>
        <v>Low Risk</v>
      </c>
    </row>
    <row r="3246" spans="1:14">
      <c r="A3246" s="2">
        <v>0.52505787037037033</v>
      </c>
      <c r="B3246" s="3">
        <v>44841</v>
      </c>
      <c r="C3246" s="1">
        <v>4952073568</v>
      </c>
      <c r="D3246" s="1">
        <v>2934751586</v>
      </c>
      <c r="E3246" s="1">
        <v>2405.12</v>
      </c>
      <c r="F3246" s="1" t="s">
        <v>12</v>
      </c>
      <c r="G3246" s="1" t="s">
        <v>12</v>
      </c>
      <c r="H3246" s="1" t="s">
        <v>13</v>
      </c>
      <c r="I3246" s="1" t="s">
        <v>13</v>
      </c>
      <c r="J3246" s="1" t="s">
        <v>14</v>
      </c>
      <c r="K3246" s="1">
        <v>0</v>
      </c>
      <c r="L3246" s="1" t="s">
        <v>15</v>
      </c>
      <c r="M3246" s="1" t="str">
        <f t="shared" si="51"/>
        <v>Consistent</v>
      </c>
      <c r="N3246" s="1" t="str">
        <f>_xlfn.XLOOKUP(H3246, risk_score!A:A, risk_score!B:B, 0)</f>
        <v>Low Risk</v>
      </c>
    </row>
    <row r="3247" spans="1:14">
      <c r="A3247" s="2">
        <v>0.52509259259259256</v>
      </c>
      <c r="B3247" s="3">
        <v>44841</v>
      </c>
      <c r="C3247" s="1">
        <v>2267057254</v>
      </c>
      <c r="D3247" s="1">
        <v>3353913084</v>
      </c>
      <c r="E3247" s="1">
        <v>1391.86</v>
      </c>
      <c r="F3247" s="1" t="s">
        <v>12</v>
      </c>
      <c r="G3247" s="1" t="s">
        <v>12</v>
      </c>
      <c r="H3247" s="1" t="s">
        <v>13</v>
      </c>
      <c r="I3247" s="1" t="s">
        <v>13</v>
      </c>
      <c r="J3247" s="1" t="s">
        <v>25</v>
      </c>
      <c r="K3247" s="1">
        <v>0</v>
      </c>
      <c r="L3247" s="1" t="s">
        <v>38</v>
      </c>
      <c r="M3247" s="1" t="str">
        <f t="shared" si="51"/>
        <v>Consistent</v>
      </c>
      <c r="N3247" s="1" t="str">
        <f>_xlfn.XLOOKUP(H3247, risk_score!A:A, risk_score!B:B, 0)</f>
        <v>Low Risk</v>
      </c>
    </row>
    <row r="3248" spans="1:14">
      <c r="A3248" s="2">
        <v>0.52511574074074074</v>
      </c>
      <c r="B3248" s="3">
        <v>44841</v>
      </c>
      <c r="C3248" s="1">
        <v>9968770590</v>
      </c>
      <c r="D3248" s="1">
        <v>1657787062</v>
      </c>
      <c r="E3248" s="1">
        <v>99.44</v>
      </c>
      <c r="F3248" s="1" t="s">
        <v>12</v>
      </c>
      <c r="G3248" s="1" t="s">
        <v>12</v>
      </c>
      <c r="H3248" s="1" t="s">
        <v>13</v>
      </c>
      <c r="I3248" s="1" t="s">
        <v>13</v>
      </c>
      <c r="J3248" s="1" t="s">
        <v>25</v>
      </c>
      <c r="K3248" s="1">
        <v>0</v>
      </c>
      <c r="L3248" s="1" t="s">
        <v>21</v>
      </c>
      <c r="M3248" s="1" t="str">
        <f t="shared" si="51"/>
        <v>Consistent</v>
      </c>
      <c r="N3248" s="1" t="str">
        <f>_xlfn.XLOOKUP(H3248, risk_score!A:A, risk_score!B:B, 0)</f>
        <v>Low Risk</v>
      </c>
    </row>
    <row r="3249" spans="1:14">
      <c r="A3249" s="2">
        <v>0.52513888888888893</v>
      </c>
      <c r="B3249" s="3">
        <v>44841</v>
      </c>
      <c r="C3249" s="1">
        <v>9580371702</v>
      </c>
      <c r="D3249" s="1">
        <v>6646502650</v>
      </c>
      <c r="E3249" s="1">
        <v>6284.79</v>
      </c>
      <c r="F3249" s="1" t="s">
        <v>12</v>
      </c>
      <c r="G3249" s="1" t="s">
        <v>29</v>
      </c>
      <c r="H3249" s="1" t="s">
        <v>13</v>
      </c>
      <c r="I3249" s="1" t="s">
        <v>31</v>
      </c>
      <c r="J3249" s="1" t="s">
        <v>18</v>
      </c>
      <c r="K3249" s="1">
        <v>0</v>
      </c>
      <c r="L3249" s="1" t="s">
        <v>23</v>
      </c>
      <c r="M3249" s="1" t="str">
        <f t="shared" si="51"/>
        <v>Potential Layering</v>
      </c>
      <c r="N3249" s="1" t="str">
        <f>_xlfn.XLOOKUP(H3249, risk_score!A:A, risk_score!B:B, 0)</f>
        <v>Low Risk</v>
      </c>
    </row>
    <row r="3250" spans="1:14">
      <c r="A3250" s="2">
        <v>0.5251851851851852</v>
      </c>
      <c r="B3250" s="3">
        <v>44841</v>
      </c>
      <c r="C3250" s="1">
        <v>8866386856</v>
      </c>
      <c r="D3250" s="1">
        <v>9371425801</v>
      </c>
      <c r="E3250" s="1">
        <v>9597.0300000000007</v>
      </c>
      <c r="F3250" s="1" t="s">
        <v>12</v>
      </c>
      <c r="G3250" s="1" t="s">
        <v>12</v>
      </c>
      <c r="H3250" s="1" t="s">
        <v>13</v>
      </c>
      <c r="I3250" s="1" t="s">
        <v>13</v>
      </c>
      <c r="J3250" s="1" t="s">
        <v>20</v>
      </c>
      <c r="K3250" s="1">
        <v>0</v>
      </c>
      <c r="L3250" s="1" t="s">
        <v>21</v>
      </c>
      <c r="M3250" s="1" t="str">
        <f t="shared" si="51"/>
        <v>Consistent</v>
      </c>
      <c r="N3250" s="1" t="str">
        <f>_xlfn.XLOOKUP(H3250, risk_score!A:A, risk_score!B:B, 0)</f>
        <v>Low Risk</v>
      </c>
    </row>
    <row r="3251" spans="1:14">
      <c r="A3251" s="2">
        <v>0.52520833333333339</v>
      </c>
      <c r="B3251" s="3">
        <v>44841</v>
      </c>
      <c r="C3251" s="1">
        <v>3147484450</v>
      </c>
      <c r="D3251" s="1">
        <v>1978540456</v>
      </c>
      <c r="E3251" s="1">
        <v>3485.33</v>
      </c>
      <c r="F3251" s="1" t="s">
        <v>12</v>
      </c>
      <c r="G3251" s="1" t="s">
        <v>12</v>
      </c>
      <c r="H3251" s="1" t="s">
        <v>13</v>
      </c>
      <c r="I3251" s="1" t="s">
        <v>13</v>
      </c>
      <c r="J3251" s="1" t="s">
        <v>14</v>
      </c>
      <c r="K3251" s="1">
        <v>0</v>
      </c>
      <c r="L3251" s="1" t="s">
        <v>15</v>
      </c>
      <c r="M3251" s="1" t="str">
        <f t="shared" si="51"/>
        <v>Consistent</v>
      </c>
      <c r="N3251" s="1" t="str">
        <f>_xlfn.XLOOKUP(H3251, risk_score!A:A, risk_score!B:B, 0)</f>
        <v>Low Risk</v>
      </c>
    </row>
    <row r="3252" spans="1:14">
      <c r="A3252" s="2">
        <v>0.52526620370370369</v>
      </c>
      <c r="B3252" s="3">
        <v>44841</v>
      </c>
      <c r="C3252" s="1">
        <v>1538302188</v>
      </c>
      <c r="D3252" s="1">
        <v>8334222412</v>
      </c>
      <c r="E3252" s="1">
        <v>1962.56</v>
      </c>
      <c r="F3252" s="1" t="s">
        <v>12</v>
      </c>
      <c r="G3252" s="1" t="s">
        <v>12</v>
      </c>
      <c r="H3252" s="1" t="s">
        <v>13</v>
      </c>
      <c r="I3252" s="1" t="s">
        <v>13</v>
      </c>
      <c r="J3252" s="1" t="s">
        <v>20</v>
      </c>
      <c r="K3252" s="1">
        <v>0</v>
      </c>
      <c r="L3252" s="1" t="s">
        <v>21</v>
      </c>
      <c r="M3252" s="1" t="str">
        <f t="shared" si="51"/>
        <v>Consistent</v>
      </c>
      <c r="N3252" s="1" t="str">
        <f>_xlfn.XLOOKUP(H3252, risk_score!A:A, risk_score!B:B, 0)</f>
        <v>Low Risk</v>
      </c>
    </row>
    <row r="3253" spans="1:14">
      <c r="A3253" s="2">
        <v>0.52532407407407411</v>
      </c>
      <c r="B3253" s="3">
        <v>44841</v>
      </c>
      <c r="C3253" s="1">
        <v>11999416</v>
      </c>
      <c r="D3253" s="1">
        <v>6223365730</v>
      </c>
      <c r="E3253" s="1">
        <v>5924.72</v>
      </c>
      <c r="F3253" s="1" t="s">
        <v>12</v>
      </c>
      <c r="G3253" s="1" t="s">
        <v>12</v>
      </c>
      <c r="H3253" s="1" t="s">
        <v>13</v>
      </c>
      <c r="I3253" s="1" t="s">
        <v>13</v>
      </c>
      <c r="J3253" s="1" t="s">
        <v>22</v>
      </c>
      <c r="K3253" s="1">
        <v>0</v>
      </c>
      <c r="L3253" s="1" t="s">
        <v>23</v>
      </c>
      <c r="M3253" s="1" t="str">
        <f t="shared" si="51"/>
        <v>Consistent</v>
      </c>
      <c r="N3253" s="1" t="str">
        <f>_xlfn.XLOOKUP(H3253, risk_score!A:A, risk_score!B:B, 0)</f>
        <v>Low Risk</v>
      </c>
    </row>
    <row r="3254" spans="1:14">
      <c r="A3254" s="2">
        <v>0.52532407407407411</v>
      </c>
      <c r="B3254" s="3">
        <v>44841</v>
      </c>
      <c r="C3254" s="1">
        <v>8012186699</v>
      </c>
      <c r="D3254" s="1">
        <v>6797815376</v>
      </c>
      <c r="E3254" s="1">
        <v>2918.54</v>
      </c>
      <c r="F3254" s="1" t="s">
        <v>12</v>
      </c>
      <c r="G3254" s="1" t="s">
        <v>12</v>
      </c>
      <c r="H3254" s="1" t="s">
        <v>13</v>
      </c>
      <c r="I3254" s="1" t="s">
        <v>13</v>
      </c>
      <c r="J3254" s="1" t="s">
        <v>20</v>
      </c>
      <c r="K3254" s="1">
        <v>0</v>
      </c>
      <c r="L3254" s="1" t="s">
        <v>24</v>
      </c>
      <c r="M3254" s="1" t="str">
        <f t="shared" si="51"/>
        <v>Consistent</v>
      </c>
      <c r="N3254" s="1" t="str">
        <f>_xlfn.XLOOKUP(H3254, risk_score!A:A, risk_score!B:B, 0)</f>
        <v>Low Risk</v>
      </c>
    </row>
    <row r="3255" spans="1:14">
      <c r="A3255" s="2">
        <v>0.52541666666666664</v>
      </c>
      <c r="B3255" s="3">
        <v>44841</v>
      </c>
      <c r="C3255" s="1">
        <v>4927151607</v>
      </c>
      <c r="D3255" s="1">
        <v>7634251729</v>
      </c>
      <c r="E3255" s="1">
        <v>573.54999999999995</v>
      </c>
      <c r="F3255" s="1" t="s">
        <v>12</v>
      </c>
      <c r="G3255" s="1" t="s">
        <v>12</v>
      </c>
      <c r="H3255" s="1" t="s">
        <v>13</v>
      </c>
      <c r="I3255" s="1" t="s">
        <v>13</v>
      </c>
      <c r="J3255" s="1" t="s">
        <v>14</v>
      </c>
      <c r="K3255" s="1">
        <v>0</v>
      </c>
      <c r="L3255" s="1" t="s">
        <v>15</v>
      </c>
      <c r="M3255" s="1" t="str">
        <f t="shared" si="51"/>
        <v>Consistent</v>
      </c>
      <c r="N3255" s="1" t="str">
        <f>_xlfn.XLOOKUP(H3255, risk_score!A:A, risk_score!B:B, 0)</f>
        <v>Low Risk</v>
      </c>
    </row>
    <row r="3256" spans="1:14">
      <c r="A3256" s="2">
        <v>0.52541666666666664</v>
      </c>
      <c r="B3256" s="3">
        <v>44841</v>
      </c>
      <c r="C3256" s="1">
        <v>5982914936</v>
      </c>
      <c r="D3256" s="1">
        <v>4409725873</v>
      </c>
      <c r="E3256" s="1">
        <v>8226.9500000000007</v>
      </c>
      <c r="F3256" s="1" t="s">
        <v>12</v>
      </c>
      <c r="G3256" s="1" t="s">
        <v>12</v>
      </c>
      <c r="H3256" s="1" t="s">
        <v>13</v>
      </c>
      <c r="I3256" s="1" t="s">
        <v>13</v>
      </c>
      <c r="J3256" s="1" t="s">
        <v>22</v>
      </c>
      <c r="K3256" s="1">
        <v>0</v>
      </c>
      <c r="L3256" s="1" t="s">
        <v>19</v>
      </c>
      <c r="M3256" s="1" t="str">
        <f t="shared" si="51"/>
        <v>Consistent</v>
      </c>
      <c r="N3256" s="1" t="str">
        <f>_xlfn.XLOOKUP(H3256, risk_score!A:A, risk_score!B:B, 0)</f>
        <v>Low Risk</v>
      </c>
    </row>
    <row r="3257" spans="1:14">
      <c r="A3257" s="2">
        <v>0.52542824074074079</v>
      </c>
      <c r="B3257" s="3">
        <v>44841</v>
      </c>
      <c r="C3257" s="1">
        <v>3614082527</v>
      </c>
      <c r="D3257" s="1">
        <v>4917300261</v>
      </c>
      <c r="E3257" s="1">
        <v>6163.57</v>
      </c>
      <c r="F3257" s="1" t="s">
        <v>12</v>
      </c>
      <c r="G3257" s="1" t="s">
        <v>12</v>
      </c>
      <c r="H3257" s="1" t="s">
        <v>13</v>
      </c>
      <c r="I3257" s="1" t="s">
        <v>13</v>
      </c>
      <c r="J3257" s="1" t="s">
        <v>22</v>
      </c>
      <c r="K3257" s="1">
        <v>0</v>
      </c>
      <c r="L3257" s="1" t="s">
        <v>19</v>
      </c>
      <c r="M3257" s="1" t="str">
        <f t="shared" si="51"/>
        <v>Consistent</v>
      </c>
      <c r="N3257" s="1" t="str">
        <f>_xlfn.XLOOKUP(H3257, risk_score!A:A, risk_score!B:B, 0)</f>
        <v>Low Risk</v>
      </c>
    </row>
    <row r="3258" spans="1:14">
      <c r="A3258" s="2">
        <v>0.52543981481481483</v>
      </c>
      <c r="B3258" s="3">
        <v>44841</v>
      </c>
      <c r="C3258" s="1">
        <v>324610061</v>
      </c>
      <c r="D3258" s="1">
        <v>5701859955</v>
      </c>
      <c r="E3258" s="1">
        <v>2525.9299999999998</v>
      </c>
      <c r="F3258" s="1" t="s">
        <v>12</v>
      </c>
      <c r="G3258" s="1" t="s">
        <v>12</v>
      </c>
      <c r="H3258" s="1" t="s">
        <v>13</v>
      </c>
      <c r="I3258" s="1" t="s">
        <v>13</v>
      </c>
      <c r="J3258" s="1" t="s">
        <v>25</v>
      </c>
      <c r="K3258" s="1">
        <v>0</v>
      </c>
      <c r="L3258" s="1" t="s">
        <v>24</v>
      </c>
      <c r="M3258" s="1" t="str">
        <f t="shared" si="51"/>
        <v>Consistent</v>
      </c>
      <c r="N3258" s="1" t="str">
        <f>_xlfn.XLOOKUP(H3258, risk_score!A:A, risk_score!B:B, 0)</f>
        <v>Low Risk</v>
      </c>
    </row>
    <row r="3259" spans="1:14">
      <c r="A3259" s="2">
        <v>0.52547453703703706</v>
      </c>
      <c r="B3259" s="3">
        <v>44841</v>
      </c>
      <c r="C3259" s="1">
        <v>7508298158</v>
      </c>
      <c r="D3259" s="1">
        <v>8609841521</v>
      </c>
      <c r="E3259" s="1">
        <v>1363</v>
      </c>
      <c r="F3259" s="1" t="s">
        <v>12</v>
      </c>
      <c r="G3259" s="1" t="s">
        <v>12</v>
      </c>
      <c r="H3259" s="1" t="s">
        <v>13</v>
      </c>
      <c r="I3259" s="1" t="s">
        <v>13</v>
      </c>
      <c r="J3259" s="1" t="s">
        <v>25</v>
      </c>
      <c r="K3259" s="1">
        <v>0</v>
      </c>
      <c r="L3259" s="1" t="s">
        <v>21</v>
      </c>
      <c r="M3259" s="1" t="str">
        <f t="shared" si="51"/>
        <v>Consistent</v>
      </c>
      <c r="N3259" s="1" t="str">
        <f>_xlfn.XLOOKUP(H3259, risk_score!A:A, risk_score!B:B, 0)</f>
        <v>Low Risk</v>
      </c>
    </row>
    <row r="3260" spans="1:14">
      <c r="A3260" s="2">
        <v>0.52555555555555555</v>
      </c>
      <c r="B3260" s="3">
        <v>44841</v>
      </c>
      <c r="C3260" s="1">
        <v>5191624277</v>
      </c>
      <c r="D3260" s="1">
        <v>8803744387</v>
      </c>
      <c r="E3260" s="1">
        <v>10032.94</v>
      </c>
      <c r="F3260" s="1" t="s">
        <v>12</v>
      </c>
      <c r="G3260" s="1" t="s">
        <v>12</v>
      </c>
      <c r="H3260" s="1" t="s">
        <v>13</v>
      </c>
      <c r="I3260" s="1" t="s">
        <v>13</v>
      </c>
      <c r="J3260" s="1" t="s">
        <v>25</v>
      </c>
      <c r="K3260" s="1">
        <v>0</v>
      </c>
      <c r="L3260" s="1" t="s">
        <v>21</v>
      </c>
      <c r="M3260" s="1" t="str">
        <f t="shared" si="51"/>
        <v>Consistent</v>
      </c>
      <c r="N3260" s="1" t="str">
        <f>_xlfn.XLOOKUP(H3260, risk_score!A:A, risk_score!B:B, 0)</f>
        <v>Low Risk</v>
      </c>
    </row>
    <row r="3261" spans="1:14">
      <c r="A3261" s="2">
        <v>0.52556712962962959</v>
      </c>
      <c r="B3261" s="3">
        <v>44841</v>
      </c>
      <c r="C3261" s="1">
        <v>2797271466</v>
      </c>
      <c r="D3261" s="1">
        <v>1984629662</v>
      </c>
      <c r="E3261" s="1">
        <v>6852.19</v>
      </c>
      <c r="F3261" s="1" t="s">
        <v>12</v>
      </c>
      <c r="G3261" s="1" t="s">
        <v>29</v>
      </c>
      <c r="H3261" s="1" t="s">
        <v>13</v>
      </c>
      <c r="I3261" s="1" t="s">
        <v>55</v>
      </c>
      <c r="J3261" s="1" t="s">
        <v>18</v>
      </c>
      <c r="K3261" s="1">
        <v>0</v>
      </c>
      <c r="L3261" s="1" t="s">
        <v>19</v>
      </c>
      <c r="M3261" s="1" t="str">
        <f t="shared" si="51"/>
        <v>Potential Layering</v>
      </c>
      <c r="N3261" s="1" t="str">
        <f>_xlfn.XLOOKUP(H3261, risk_score!A:A, risk_score!B:B, 0)</f>
        <v>Low Risk</v>
      </c>
    </row>
    <row r="3262" spans="1:14">
      <c r="A3262" s="2">
        <v>0.52560185185185182</v>
      </c>
      <c r="B3262" s="3">
        <v>44841</v>
      </c>
      <c r="C3262" s="1">
        <v>9474817546</v>
      </c>
      <c r="D3262" s="1">
        <v>1493436023</v>
      </c>
      <c r="E3262" s="1">
        <v>33221.06</v>
      </c>
      <c r="F3262" s="1" t="s">
        <v>12</v>
      </c>
      <c r="G3262" s="1" t="s">
        <v>12</v>
      </c>
      <c r="H3262" s="1" t="s">
        <v>13</v>
      </c>
      <c r="I3262" s="1" t="s">
        <v>13</v>
      </c>
      <c r="J3262" s="1" t="s">
        <v>20</v>
      </c>
      <c r="K3262" s="1">
        <v>0</v>
      </c>
      <c r="L3262" s="1" t="s">
        <v>23</v>
      </c>
      <c r="M3262" s="1" t="str">
        <f t="shared" si="51"/>
        <v>Consistent</v>
      </c>
      <c r="N3262" s="1" t="str">
        <f>_xlfn.XLOOKUP(H3262, risk_score!A:A, risk_score!B:B, 0)</f>
        <v>Low Risk</v>
      </c>
    </row>
    <row r="3263" spans="1:14">
      <c r="A3263" s="2">
        <v>0.52562500000000001</v>
      </c>
      <c r="B3263" s="3">
        <v>44841</v>
      </c>
      <c r="C3263" s="1">
        <v>3243835895</v>
      </c>
      <c r="D3263" s="1">
        <v>7075009013</v>
      </c>
      <c r="E3263" s="1">
        <v>665.78</v>
      </c>
      <c r="F3263" s="1" t="s">
        <v>12</v>
      </c>
      <c r="G3263" s="1" t="s">
        <v>12</v>
      </c>
      <c r="H3263" s="1" t="s">
        <v>13</v>
      </c>
      <c r="I3263" s="1" t="s">
        <v>13</v>
      </c>
      <c r="J3263" s="1" t="s">
        <v>22</v>
      </c>
      <c r="K3263" s="1">
        <v>0</v>
      </c>
      <c r="L3263" s="1" t="s">
        <v>21</v>
      </c>
      <c r="M3263" s="1" t="str">
        <f t="shared" si="51"/>
        <v>Consistent</v>
      </c>
      <c r="N3263" s="1" t="str">
        <f>_xlfn.XLOOKUP(H3263, risk_score!A:A, risk_score!B:B, 0)</f>
        <v>Low Risk</v>
      </c>
    </row>
    <row r="3264" spans="1:14">
      <c r="A3264" s="2">
        <v>0.52568287037037043</v>
      </c>
      <c r="B3264" s="3">
        <v>44841</v>
      </c>
      <c r="C3264" s="1">
        <v>5906035370</v>
      </c>
      <c r="D3264" s="1">
        <v>5363117119</v>
      </c>
      <c r="E3264" s="1">
        <v>12764.79</v>
      </c>
      <c r="F3264" s="1" t="s">
        <v>12</v>
      </c>
      <c r="G3264" s="1" t="s">
        <v>12</v>
      </c>
      <c r="H3264" s="1" t="s">
        <v>13</v>
      </c>
      <c r="I3264" s="1" t="s">
        <v>13</v>
      </c>
      <c r="J3264" s="1" t="s">
        <v>20</v>
      </c>
      <c r="K3264" s="1">
        <v>0</v>
      </c>
      <c r="L3264" s="1" t="s">
        <v>23</v>
      </c>
      <c r="M3264" s="1" t="str">
        <f t="shared" si="51"/>
        <v>Consistent</v>
      </c>
      <c r="N3264" s="1" t="str">
        <f>_xlfn.XLOOKUP(H3264, risk_score!A:A, risk_score!B:B, 0)</f>
        <v>Low Risk</v>
      </c>
    </row>
    <row r="3265" spans="1:14">
      <c r="A3265" s="2">
        <v>0.525787037037037</v>
      </c>
      <c r="B3265" s="3">
        <v>44841</v>
      </c>
      <c r="C3265" s="1">
        <v>5982914936</v>
      </c>
      <c r="D3265" s="1">
        <v>1509557999</v>
      </c>
      <c r="E3265" s="1">
        <v>15842.18</v>
      </c>
      <c r="F3265" s="1" t="s">
        <v>12</v>
      </c>
      <c r="G3265" s="1" t="s">
        <v>12</v>
      </c>
      <c r="H3265" s="1" t="s">
        <v>13</v>
      </c>
      <c r="I3265" s="1" t="s">
        <v>13</v>
      </c>
      <c r="J3265" s="1" t="s">
        <v>25</v>
      </c>
      <c r="K3265" s="1">
        <v>0</v>
      </c>
      <c r="L3265" s="1" t="s">
        <v>19</v>
      </c>
      <c r="M3265" s="1" t="str">
        <f t="shared" si="51"/>
        <v>Consistent</v>
      </c>
      <c r="N3265" s="1" t="str">
        <f>_xlfn.XLOOKUP(H3265, risk_score!A:A, risk_score!B:B, 0)</f>
        <v>Low Risk</v>
      </c>
    </row>
    <row r="3266" spans="1:14">
      <c r="A3266" s="2">
        <v>0.5258680555555556</v>
      </c>
      <c r="B3266" s="3">
        <v>44841</v>
      </c>
      <c r="C3266" s="1">
        <v>5802257583</v>
      </c>
      <c r="D3266" s="1">
        <v>5466123934</v>
      </c>
      <c r="E3266" s="1">
        <v>7732.96</v>
      </c>
      <c r="F3266" s="1" t="s">
        <v>12</v>
      </c>
      <c r="G3266" s="1" t="s">
        <v>12</v>
      </c>
      <c r="H3266" s="1" t="s">
        <v>13</v>
      </c>
      <c r="I3266" s="1" t="s">
        <v>13</v>
      </c>
      <c r="J3266" s="1" t="s">
        <v>25</v>
      </c>
      <c r="K3266" s="1">
        <v>0</v>
      </c>
      <c r="L3266" s="1" t="s">
        <v>23</v>
      </c>
      <c r="M3266" s="1" t="str">
        <f t="shared" si="51"/>
        <v>Consistent</v>
      </c>
      <c r="N3266" s="1" t="str">
        <f>_xlfn.XLOOKUP(H3266, risk_score!A:A, risk_score!B:B, 0)</f>
        <v>Low Risk</v>
      </c>
    </row>
    <row r="3267" spans="1:14">
      <c r="A3267" s="2">
        <v>0.52590277777777783</v>
      </c>
      <c r="B3267" s="3">
        <v>44841</v>
      </c>
      <c r="C3267" s="1">
        <v>2786215633</v>
      </c>
      <c r="D3267" s="1">
        <v>5267203008</v>
      </c>
      <c r="E3267" s="1">
        <v>15249.93</v>
      </c>
      <c r="F3267" s="1" t="s">
        <v>12</v>
      </c>
      <c r="G3267" s="1" t="s">
        <v>12</v>
      </c>
      <c r="H3267" s="1" t="s">
        <v>13</v>
      </c>
      <c r="I3267" s="1" t="s">
        <v>13</v>
      </c>
      <c r="J3267" s="1" t="s">
        <v>27</v>
      </c>
      <c r="K3267" s="1">
        <v>0</v>
      </c>
      <c r="L3267" s="1" t="s">
        <v>21</v>
      </c>
      <c r="M3267" s="1" t="str">
        <f t="shared" si="51"/>
        <v>Consistent</v>
      </c>
      <c r="N3267" s="1" t="str">
        <f>_xlfn.XLOOKUP(H3267, risk_score!A:A, risk_score!B:B, 0)</f>
        <v>Low Risk</v>
      </c>
    </row>
    <row r="3268" spans="1:14">
      <c r="A3268" s="2">
        <v>0.52590277777777783</v>
      </c>
      <c r="B3268" s="3">
        <v>44841</v>
      </c>
      <c r="C3268" s="1">
        <v>3213805967</v>
      </c>
      <c r="D3268" s="1">
        <v>9600420220</v>
      </c>
      <c r="E3268" s="1">
        <v>14143.32</v>
      </c>
      <c r="F3268" s="1" t="s">
        <v>12</v>
      </c>
      <c r="G3268" s="1" t="s">
        <v>12</v>
      </c>
      <c r="H3268" s="1" t="s">
        <v>13</v>
      </c>
      <c r="I3268" s="1" t="s">
        <v>13</v>
      </c>
      <c r="J3268" s="1" t="s">
        <v>20</v>
      </c>
      <c r="K3268" s="1">
        <v>0</v>
      </c>
      <c r="L3268" s="1" t="s">
        <v>23</v>
      </c>
      <c r="M3268" s="1" t="str">
        <f t="shared" si="51"/>
        <v>Consistent</v>
      </c>
      <c r="N3268" s="1" t="str">
        <f>_xlfn.XLOOKUP(H3268, risk_score!A:A, risk_score!B:B, 0)</f>
        <v>Low Risk</v>
      </c>
    </row>
    <row r="3269" spans="1:14">
      <c r="A3269" s="2">
        <v>0.52597222222222217</v>
      </c>
      <c r="B3269" s="3">
        <v>44841</v>
      </c>
      <c r="C3269" s="1">
        <v>6054455317</v>
      </c>
      <c r="D3269" s="1">
        <v>6186231810</v>
      </c>
      <c r="E3269" s="1">
        <v>82452.72</v>
      </c>
      <c r="F3269" s="1" t="s">
        <v>12</v>
      </c>
      <c r="G3269" s="1" t="s">
        <v>12</v>
      </c>
      <c r="H3269" s="1" t="s">
        <v>13</v>
      </c>
      <c r="I3269" s="1" t="s">
        <v>13</v>
      </c>
      <c r="J3269" s="1" t="s">
        <v>27</v>
      </c>
      <c r="K3269" s="1">
        <v>0</v>
      </c>
      <c r="L3269" s="1" t="s">
        <v>61</v>
      </c>
      <c r="M3269" s="1" t="str">
        <f t="shared" si="51"/>
        <v>Consistent</v>
      </c>
      <c r="N3269" s="1" t="str">
        <f>_xlfn.XLOOKUP(H3269, risk_score!A:A, risk_score!B:B, 0)</f>
        <v>Low Risk</v>
      </c>
    </row>
    <row r="3270" spans="1:14">
      <c r="A3270" s="2">
        <v>0.52605324074074078</v>
      </c>
      <c r="B3270" s="3">
        <v>44841</v>
      </c>
      <c r="C3270" s="1">
        <v>8187541119</v>
      </c>
      <c r="D3270" s="1">
        <v>4083711024</v>
      </c>
      <c r="E3270" s="1">
        <v>2084.25</v>
      </c>
      <c r="F3270" s="1" t="s">
        <v>12</v>
      </c>
      <c r="G3270" s="1" t="s">
        <v>12</v>
      </c>
      <c r="H3270" s="1" t="s">
        <v>13</v>
      </c>
      <c r="I3270" s="1" t="s">
        <v>13</v>
      </c>
      <c r="J3270" s="1" t="s">
        <v>27</v>
      </c>
      <c r="K3270" s="1">
        <v>0</v>
      </c>
      <c r="L3270" s="1" t="s">
        <v>21</v>
      </c>
      <c r="M3270" s="1" t="str">
        <f t="shared" si="51"/>
        <v>Consistent</v>
      </c>
      <c r="N3270" s="1" t="str">
        <f>_xlfn.XLOOKUP(H3270, risk_score!A:A, risk_score!B:B, 0)</f>
        <v>Low Risk</v>
      </c>
    </row>
    <row r="3271" spans="1:14">
      <c r="A3271" s="2">
        <v>0.52612268518518523</v>
      </c>
      <c r="B3271" s="3">
        <v>44841</v>
      </c>
      <c r="C3271" s="1">
        <v>6321560452</v>
      </c>
      <c r="D3271" s="1">
        <v>1627096143</v>
      </c>
      <c r="E3271" s="1">
        <v>809.76</v>
      </c>
      <c r="F3271" s="1" t="s">
        <v>12</v>
      </c>
      <c r="G3271" s="1" t="s">
        <v>12</v>
      </c>
      <c r="H3271" s="1" t="s">
        <v>13</v>
      </c>
      <c r="I3271" s="1" t="s">
        <v>13</v>
      </c>
      <c r="J3271" s="1" t="s">
        <v>27</v>
      </c>
      <c r="K3271" s="1">
        <v>0</v>
      </c>
      <c r="L3271" s="1" t="s">
        <v>24</v>
      </c>
      <c r="M3271" s="1" t="str">
        <f t="shared" si="51"/>
        <v>Consistent</v>
      </c>
      <c r="N3271" s="1" t="str">
        <f>_xlfn.XLOOKUP(H3271, risk_score!A:A, risk_score!B:B, 0)</f>
        <v>Low Risk</v>
      </c>
    </row>
    <row r="3272" spans="1:14">
      <c r="A3272" s="2">
        <v>0.52615740740740746</v>
      </c>
      <c r="B3272" s="3">
        <v>44841</v>
      </c>
      <c r="C3272" s="1">
        <v>8121014003</v>
      </c>
      <c r="D3272" s="1">
        <v>1316458123</v>
      </c>
      <c r="E3272" s="1">
        <v>6450.64</v>
      </c>
      <c r="F3272" s="1" t="s">
        <v>12</v>
      </c>
      <c r="G3272" s="1" t="s">
        <v>34</v>
      </c>
      <c r="H3272" s="1" t="s">
        <v>13</v>
      </c>
      <c r="I3272" s="1" t="s">
        <v>35</v>
      </c>
      <c r="J3272" s="1" t="s">
        <v>18</v>
      </c>
      <c r="K3272" s="1">
        <v>0</v>
      </c>
      <c r="L3272" s="1" t="s">
        <v>23</v>
      </c>
      <c r="M3272" s="1" t="str">
        <f t="shared" si="51"/>
        <v>Potential Layering</v>
      </c>
      <c r="N3272" s="1" t="str">
        <f>_xlfn.XLOOKUP(H3272, risk_score!A:A, risk_score!B:B, 0)</f>
        <v>Low Risk</v>
      </c>
    </row>
    <row r="3273" spans="1:14">
      <c r="A3273" s="2">
        <v>0.5261689814814815</v>
      </c>
      <c r="B3273" s="3">
        <v>44841</v>
      </c>
      <c r="C3273" s="1">
        <v>8600542721</v>
      </c>
      <c r="D3273" s="1">
        <v>2915325387</v>
      </c>
      <c r="E3273" s="1">
        <v>2873.47</v>
      </c>
      <c r="F3273" s="1" t="s">
        <v>12</v>
      </c>
      <c r="G3273" s="1" t="s">
        <v>12</v>
      </c>
      <c r="H3273" s="1" t="s">
        <v>13</v>
      </c>
      <c r="I3273" s="1" t="s">
        <v>13</v>
      </c>
      <c r="J3273" s="1" t="s">
        <v>22</v>
      </c>
      <c r="K3273" s="1">
        <v>0</v>
      </c>
      <c r="L3273" s="1" t="s">
        <v>24</v>
      </c>
      <c r="M3273" s="1" t="str">
        <f t="shared" si="51"/>
        <v>Consistent</v>
      </c>
      <c r="N3273" s="1" t="str">
        <f>_xlfn.XLOOKUP(H3273, risk_score!A:A, risk_score!B:B, 0)</f>
        <v>Low Risk</v>
      </c>
    </row>
    <row r="3274" spans="1:14">
      <c r="A3274" s="2">
        <v>0.52618055555555554</v>
      </c>
      <c r="B3274" s="3">
        <v>44841</v>
      </c>
      <c r="C3274" s="1">
        <v>4691637817</v>
      </c>
      <c r="D3274" s="1">
        <v>72498599</v>
      </c>
      <c r="E3274" s="1">
        <v>15382.01</v>
      </c>
      <c r="F3274" s="1" t="s">
        <v>12</v>
      </c>
      <c r="G3274" s="1" t="s">
        <v>12</v>
      </c>
      <c r="H3274" s="1" t="s">
        <v>13</v>
      </c>
      <c r="I3274" s="1" t="s">
        <v>13</v>
      </c>
      <c r="J3274" s="1" t="s">
        <v>25</v>
      </c>
      <c r="K3274" s="1">
        <v>0</v>
      </c>
      <c r="L3274" s="1" t="s">
        <v>21</v>
      </c>
      <c r="M3274" s="1" t="str">
        <f t="shared" si="51"/>
        <v>Consistent</v>
      </c>
      <c r="N3274" s="1" t="str">
        <f>_xlfn.XLOOKUP(H3274, risk_score!A:A, risk_score!B:B, 0)</f>
        <v>Low Risk</v>
      </c>
    </row>
    <row r="3275" spans="1:14">
      <c r="A3275" s="2">
        <v>0.52618055555555554</v>
      </c>
      <c r="B3275" s="3">
        <v>44841</v>
      </c>
      <c r="C3275" s="1">
        <v>983401335</v>
      </c>
      <c r="D3275" s="1">
        <v>6937779697</v>
      </c>
      <c r="E3275" s="1">
        <v>981.49</v>
      </c>
      <c r="F3275" s="1" t="s">
        <v>12</v>
      </c>
      <c r="G3275" s="1" t="s">
        <v>12</v>
      </c>
      <c r="H3275" s="1" t="s">
        <v>13</v>
      </c>
      <c r="I3275" s="1" t="s">
        <v>13</v>
      </c>
      <c r="J3275" s="1" t="s">
        <v>27</v>
      </c>
      <c r="K3275" s="1">
        <v>0</v>
      </c>
      <c r="L3275" s="1" t="s">
        <v>21</v>
      </c>
      <c r="M3275" s="1" t="str">
        <f t="shared" si="51"/>
        <v>Consistent</v>
      </c>
      <c r="N3275" s="1" t="str">
        <f>_xlfn.XLOOKUP(H3275, risk_score!A:A, risk_score!B:B, 0)</f>
        <v>Low Risk</v>
      </c>
    </row>
    <row r="3276" spans="1:14">
      <c r="A3276" s="2">
        <v>0.52618055555555554</v>
      </c>
      <c r="B3276" s="3">
        <v>44841</v>
      </c>
      <c r="C3276" s="1">
        <v>5695441068</v>
      </c>
      <c r="D3276" s="1">
        <v>1316458123</v>
      </c>
      <c r="E3276" s="1">
        <v>12963.47</v>
      </c>
      <c r="F3276" s="1" t="s">
        <v>12</v>
      </c>
      <c r="G3276" s="1" t="s">
        <v>34</v>
      </c>
      <c r="H3276" s="1" t="s">
        <v>13</v>
      </c>
      <c r="I3276" s="1" t="s">
        <v>35</v>
      </c>
      <c r="J3276" s="1" t="s">
        <v>18</v>
      </c>
      <c r="K3276" s="1">
        <v>0</v>
      </c>
      <c r="L3276" s="1" t="s">
        <v>23</v>
      </c>
      <c r="M3276" s="1" t="str">
        <f t="shared" si="51"/>
        <v>Potential Layering</v>
      </c>
      <c r="N3276" s="1" t="str">
        <f>_xlfn.XLOOKUP(H3276, risk_score!A:A, risk_score!B:B, 0)</f>
        <v>Low Risk</v>
      </c>
    </row>
    <row r="3277" spans="1:14">
      <c r="A3277" s="2">
        <v>0.52623842592592596</v>
      </c>
      <c r="B3277" s="3">
        <v>44841</v>
      </c>
      <c r="C3277" s="1">
        <v>1732704880</v>
      </c>
      <c r="D3277" s="1">
        <v>9716435258</v>
      </c>
      <c r="E3277" s="1">
        <v>28896.22</v>
      </c>
      <c r="F3277" s="1" t="s">
        <v>12</v>
      </c>
      <c r="G3277" s="1" t="s">
        <v>12</v>
      </c>
      <c r="H3277" s="1" t="s">
        <v>13</v>
      </c>
      <c r="I3277" s="1" t="s">
        <v>13</v>
      </c>
      <c r="J3277" s="1" t="s">
        <v>22</v>
      </c>
      <c r="K3277" s="1">
        <v>0</v>
      </c>
      <c r="L3277" s="1" t="s">
        <v>49</v>
      </c>
      <c r="M3277" s="1" t="str">
        <f t="shared" si="51"/>
        <v>Consistent</v>
      </c>
      <c r="N3277" s="1" t="str">
        <f>_xlfn.XLOOKUP(H3277, risk_score!A:A, risk_score!B:B, 0)</f>
        <v>Low Risk</v>
      </c>
    </row>
    <row r="3278" spans="1:14">
      <c r="A3278" s="2">
        <v>0.52623842592592596</v>
      </c>
      <c r="B3278" s="3">
        <v>44841</v>
      </c>
      <c r="C3278" s="1">
        <v>7349364425</v>
      </c>
      <c r="D3278" s="1">
        <v>1667302057</v>
      </c>
      <c r="E3278" s="1">
        <v>8677.59</v>
      </c>
      <c r="F3278" s="1" t="s">
        <v>12</v>
      </c>
      <c r="G3278" s="1" t="s">
        <v>12</v>
      </c>
      <c r="H3278" s="1" t="s">
        <v>13</v>
      </c>
      <c r="I3278" s="1" t="s">
        <v>13</v>
      </c>
      <c r="J3278" s="1" t="s">
        <v>25</v>
      </c>
      <c r="K3278" s="1">
        <v>0</v>
      </c>
      <c r="L3278" s="1" t="s">
        <v>21</v>
      </c>
      <c r="M3278" s="1" t="str">
        <f t="shared" si="51"/>
        <v>Consistent</v>
      </c>
      <c r="N3278" s="1" t="str">
        <f>_xlfn.XLOOKUP(H3278, risk_score!A:A, risk_score!B:B, 0)</f>
        <v>Low Risk</v>
      </c>
    </row>
    <row r="3279" spans="1:14">
      <c r="A3279" s="2">
        <v>0.52623842592592596</v>
      </c>
      <c r="B3279" s="3">
        <v>44841</v>
      </c>
      <c r="C3279" s="1">
        <v>7924551009</v>
      </c>
      <c r="D3279" s="1">
        <v>7199625988</v>
      </c>
      <c r="E3279" s="1">
        <v>15648.6</v>
      </c>
      <c r="F3279" s="1" t="s">
        <v>12</v>
      </c>
      <c r="G3279" s="1" t="s">
        <v>12</v>
      </c>
      <c r="H3279" s="1" t="s">
        <v>13</v>
      </c>
      <c r="I3279" s="1" t="s">
        <v>13</v>
      </c>
      <c r="J3279" s="1" t="s">
        <v>22</v>
      </c>
      <c r="K3279" s="1">
        <v>0</v>
      </c>
      <c r="L3279" s="1" t="s">
        <v>23</v>
      </c>
      <c r="M3279" s="1" t="str">
        <f t="shared" si="51"/>
        <v>Consistent</v>
      </c>
      <c r="N3279" s="1" t="str">
        <f>_xlfn.XLOOKUP(H3279, risk_score!A:A, risk_score!B:B, 0)</f>
        <v>Low Risk</v>
      </c>
    </row>
    <row r="3280" spans="1:14">
      <c r="A3280" s="2">
        <v>0.52625</v>
      </c>
      <c r="B3280" s="3">
        <v>44841</v>
      </c>
      <c r="C3280" s="1">
        <v>2365007895</v>
      </c>
      <c r="D3280" s="1">
        <v>5745861775</v>
      </c>
      <c r="E3280" s="1">
        <v>9123.48</v>
      </c>
      <c r="F3280" s="1" t="s">
        <v>12</v>
      </c>
      <c r="G3280" s="1" t="s">
        <v>12</v>
      </c>
      <c r="H3280" s="1" t="s">
        <v>13</v>
      </c>
      <c r="I3280" s="1" t="s">
        <v>13</v>
      </c>
      <c r="J3280" s="1" t="s">
        <v>27</v>
      </c>
      <c r="K3280" s="1">
        <v>0</v>
      </c>
      <c r="L3280" s="1" t="s">
        <v>19</v>
      </c>
      <c r="M3280" s="1" t="str">
        <f t="shared" si="51"/>
        <v>Consistent</v>
      </c>
      <c r="N3280" s="1" t="str">
        <f>_xlfn.XLOOKUP(H3280, risk_score!A:A, risk_score!B:B, 0)</f>
        <v>Low Risk</v>
      </c>
    </row>
    <row r="3281" spans="1:14">
      <c r="A3281" s="2">
        <v>0.52631944444444445</v>
      </c>
      <c r="B3281" s="3">
        <v>44841</v>
      </c>
      <c r="C3281" s="1">
        <v>9408251254</v>
      </c>
      <c r="D3281" s="1">
        <v>6393572288</v>
      </c>
      <c r="E3281" s="1">
        <v>649.91</v>
      </c>
      <c r="F3281" s="1" t="s">
        <v>12</v>
      </c>
      <c r="G3281" s="1" t="s">
        <v>12</v>
      </c>
      <c r="H3281" s="1" t="s">
        <v>13</v>
      </c>
      <c r="I3281" s="1" t="s">
        <v>13</v>
      </c>
      <c r="J3281" s="1" t="s">
        <v>20</v>
      </c>
      <c r="K3281" s="1">
        <v>0</v>
      </c>
      <c r="L3281" s="1" t="s">
        <v>21</v>
      </c>
      <c r="M3281" s="1" t="str">
        <f t="shared" si="51"/>
        <v>Consistent</v>
      </c>
      <c r="N3281" s="1" t="str">
        <f>_xlfn.XLOOKUP(H3281, risk_score!A:A, risk_score!B:B, 0)</f>
        <v>Low Risk</v>
      </c>
    </row>
    <row r="3282" spans="1:14">
      <c r="A3282" s="2">
        <v>0.52634259259259264</v>
      </c>
      <c r="B3282" s="3">
        <v>44841</v>
      </c>
      <c r="C3282" s="1">
        <v>7501327339</v>
      </c>
      <c r="D3282" s="1">
        <v>3230579354</v>
      </c>
      <c r="E3282" s="1">
        <v>11100.69</v>
      </c>
      <c r="F3282" s="1" t="s">
        <v>12</v>
      </c>
      <c r="G3282" s="1" t="s">
        <v>12</v>
      </c>
      <c r="H3282" s="1" t="s">
        <v>13</v>
      </c>
      <c r="I3282" s="1" t="s">
        <v>13</v>
      </c>
      <c r="J3282" s="1" t="s">
        <v>27</v>
      </c>
      <c r="K3282" s="1">
        <v>0</v>
      </c>
      <c r="L3282" s="1" t="s">
        <v>19</v>
      </c>
      <c r="M3282" s="1" t="str">
        <f t="shared" si="51"/>
        <v>Consistent</v>
      </c>
      <c r="N3282" s="1" t="str">
        <f>_xlfn.XLOOKUP(H3282, risk_score!A:A, risk_score!B:B, 0)</f>
        <v>Low Risk</v>
      </c>
    </row>
    <row r="3283" spans="1:14">
      <c r="A3283" s="2">
        <v>0.52636574074074072</v>
      </c>
      <c r="B3283" s="3">
        <v>44841</v>
      </c>
      <c r="C3283" s="1">
        <v>8073629092</v>
      </c>
      <c r="D3283" s="1">
        <v>5051270513</v>
      </c>
      <c r="E3283" s="1">
        <v>993.41</v>
      </c>
      <c r="F3283" s="1" t="s">
        <v>12</v>
      </c>
      <c r="G3283" s="1" t="s">
        <v>12</v>
      </c>
      <c r="H3283" s="1" t="s">
        <v>13</v>
      </c>
      <c r="I3283" s="1" t="s">
        <v>13</v>
      </c>
      <c r="J3283" s="1" t="s">
        <v>20</v>
      </c>
      <c r="K3283" s="1">
        <v>0</v>
      </c>
      <c r="L3283" s="1" t="s">
        <v>21</v>
      </c>
      <c r="M3283" s="1" t="str">
        <f t="shared" si="51"/>
        <v>Consistent</v>
      </c>
      <c r="N3283" s="1" t="str">
        <f>_xlfn.XLOOKUP(H3283, risk_score!A:A, risk_score!B:B, 0)</f>
        <v>Low Risk</v>
      </c>
    </row>
    <row r="3284" spans="1:14">
      <c r="A3284" s="2">
        <v>0.52638888888888891</v>
      </c>
      <c r="B3284" s="3">
        <v>44841</v>
      </c>
      <c r="C3284" s="1">
        <v>8887153354</v>
      </c>
      <c r="D3284" s="1">
        <v>834478594</v>
      </c>
      <c r="E3284" s="1">
        <v>3534.79</v>
      </c>
      <c r="F3284" s="1" t="s">
        <v>12</v>
      </c>
      <c r="G3284" s="1" t="s">
        <v>12</v>
      </c>
      <c r="H3284" s="1" t="s">
        <v>13</v>
      </c>
      <c r="I3284" s="1" t="s">
        <v>13</v>
      </c>
      <c r="J3284" s="1" t="s">
        <v>27</v>
      </c>
      <c r="K3284" s="1">
        <v>0</v>
      </c>
      <c r="L3284" s="1" t="s">
        <v>21</v>
      </c>
      <c r="M3284" s="1" t="str">
        <f t="shared" si="51"/>
        <v>Consistent</v>
      </c>
      <c r="N3284" s="1" t="str">
        <f>_xlfn.XLOOKUP(H3284, risk_score!A:A, risk_score!B:B, 0)</f>
        <v>Low Risk</v>
      </c>
    </row>
    <row r="3285" spans="1:14">
      <c r="A3285" s="2">
        <v>0.52638888888888891</v>
      </c>
      <c r="B3285" s="3">
        <v>44841</v>
      </c>
      <c r="C3285" s="1">
        <v>3134325878</v>
      </c>
      <c r="D3285" s="1">
        <v>6904830786</v>
      </c>
      <c r="E3285" s="1">
        <v>11646.09</v>
      </c>
      <c r="F3285" s="1" t="s">
        <v>12</v>
      </c>
      <c r="G3285" s="1" t="s">
        <v>12</v>
      </c>
      <c r="H3285" s="1" t="s">
        <v>13</v>
      </c>
      <c r="I3285" s="1" t="s">
        <v>13</v>
      </c>
      <c r="J3285" s="1" t="s">
        <v>27</v>
      </c>
      <c r="K3285" s="1">
        <v>0</v>
      </c>
      <c r="L3285" s="1" t="s">
        <v>24</v>
      </c>
      <c r="M3285" s="1" t="str">
        <f t="shared" si="51"/>
        <v>Consistent</v>
      </c>
      <c r="N3285" s="1" t="str">
        <f>_xlfn.XLOOKUP(H3285, risk_score!A:A, risk_score!B:B, 0)</f>
        <v>Low Risk</v>
      </c>
    </row>
    <row r="3286" spans="1:14">
      <c r="A3286" s="2">
        <v>0.52643518518518517</v>
      </c>
      <c r="B3286" s="3">
        <v>44841</v>
      </c>
      <c r="C3286" s="1">
        <v>1706196950</v>
      </c>
      <c r="D3286" s="1">
        <v>3695545812</v>
      </c>
      <c r="E3286" s="1">
        <v>4876.1899999999996</v>
      </c>
      <c r="F3286" s="1" t="s">
        <v>12</v>
      </c>
      <c r="G3286" s="1" t="s">
        <v>12</v>
      </c>
      <c r="H3286" s="1" t="s">
        <v>13</v>
      </c>
      <c r="I3286" s="1" t="s">
        <v>13</v>
      </c>
      <c r="J3286" s="1" t="s">
        <v>27</v>
      </c>
      <c r="K3286" s="1">
        <v>0</v>
      </c>
      <c r="L3286" s="1" t="s">
        <v>23</v>
      </c>
      <c r="M3286" s="1" t="str">
        <f t="shared" si="51"/>
        <v>Consistent</v>
      </c>
      <c r="N3286" s="1" t="str">
        <f>_xlfn.XLOOKUP(H3286, risk_score!A:A, risk_score!B:B, 0)</f>
        <v>Low Risk</v>
      </c>
    </row>
    <row r="3287" spans="1:14">
      <c r="A3287" s="2">
        <v>0.5264699074074074</v>
      </c>
      <c r="B3287" s="3">
        <v>44841</v>
      </c>
      <c r="C3287" s="1">
        <v>4043588367</v>
      </c>
      <c r="D3287" s="1">
        <v>8190226676</v>
      </c>
      <c r="E3287" s="1">
        <v>1994.9</v>
      </c>
      <c r="F3287" s="1" t="s">
        <v>12</v>
      </c>
      <c r="G3287" s="1" t="s">
        <v>12</v>
      </c>
      <c r="H3287" s="1" t="s">
        <v>13</v>
      </c>
      <c r="I3287" s="1" t="s">
        <v>13</v>
      </c>
      <c r="J3287" s="1" t="s">
        <v>27</v>
      </c>
      <c r="K3287" s="1">
        <v>0</v>
      </c>
      <c r="L3287" s="1" t="s">
        <v>21</v>
      </c>
      <c r="M3287" s="1" t="str">
        <f t="shared" si="51"/>
        <v>Consistent</v>
      </c>
      <c r="N3287" s="1" t="str">
        <f>_xlfn.XLOOKUP(H3287, risk_score!A:A, risk_score!B:B, 0)</f>
        <v>Low Risk</v>
      </c>
    </row>
    <row r="3288" spans="1:14">
      <c r="A3288" s="2">
        <v>0.52652777777777782</v>
      </c>
      <c r="B3288" s="3">
        <v>44841</v>
      </c>
      <c r="C3288" s="1">
        <v>8309395542</v>
      </c>
      <c r="D3288" s="1">
        <v>9402378660</v>
      </c>
      <c r="E3288" s="1">
        <v>304.45999999999998</v>
      </c>
      <c r="F3288" s="1" t="s">
        <v>12</v>
      </c>
      <c r="G3288" s="1" t="s">
        <v>12</v>
      </c>
      <c r="H3288" s="1" t="s">
        <v>13</v>
      </c>
      <c r="I3288" s="1" t="s">
        <v>13</v>
      </c>
      <c r="J3288" s="1" t="s">
        <v>27</v>
      </c>
      <c r="K3288" s="1">
        <v>0</v>
      </c>
      <c r="L3288" s="1" t="s">
        <v>21</v>
      </c>
      <c r="M3288" s="1" t="str">
        <f t="shared" si="51"/>
        <v>Consistent</v>
      </c>
      <c r="N3288" s="1" t="str">
        <f>_xlfn.XLOOKUP(H3288, risk_score!A:A, risk_score!B:B, 0)</f>
        <v>Low Risk</v>
      </c>
    </row>
    <row r="3289" spans="1:14">
      <c r="A3289" s="2">
        <v>0.52653935185185186</v>
      </c>
      <c r="B3289" s="3">
        <v>44841</v>
      </c>
      <c r="C3289" s="1">
        <v>8055704435</v>
      </c>
      <c r="D3289" s="1">
        <v>9358088952</v>
      </c>
      <c r="E3289" s="1">
        <v>3901.45</v>
      </c>
      <c r="F3289" s="1" t="s">
        <v>12</v>
      </c>
      <c r="G3289" s="1" t="s">
        <v>12</v>
      </c>
      <c r="H3289" s="1" t="s">
        <v>13</v>
      </c>
      <c r="I3289" s="1" t="s">
        <v>13</v>
      </c>
      <c r="J3289" s="1" t="s">
        <v>20</v>
      </c>
      <c r="K3289" s="1">
        <v>0</v>
      </c>
      <c r="L3289" s="1" t="s">
        <v>21</v>
      </c>
      <c r="M3289" s="1" t="str">
        <f t="shared" si="51"/>
        <v>Consistent</v>
      </c>
      <c r="N3289" s="1" t="str">
        <f>_xlfn.XLOOKUP(H3289, risk_score!A:A, risk_score!B:B, 0)</f>
        <v>Low Risk</v>
      </c>
    </row>
    <row r="3290" spans="1:14">
      <c r="A3290" s="2">
        <v>0.52655092592592589</v>
      </c>
      <c r="B3290" s="3">
        <v>44841</v>
      </c>
      <c r="C3290" s="1">
        <v>5715062029</v>
      </c>
      <c r="D3290" s="1">
        <v>9640437025</v>
      </c>
      <c r="E3290" s="1">
        <v>165.77</v>
      </c>
      <c r="F3290" s="1" t="s">
        <v>12</v>
      </c>
      <c r="G3290" s="1" t="s">
        <v>12</v>
      </c>
      <c r="H3290" s="1" t="s">
        <v>13</v>
      </c>
      <c r="I3290" s="1" t="s">
        <v>13</v>
      </c>
      <c r="J3290" s="1" t="s">
        <v>36</v>
      </c>
      <c r="K3290" s="1">
        <v>0</v>
      </c>
      <c r="L3290" s="1" t="s">
        <v>37</v>
      </c>
      <c r="M3290" s="1" t="str">
        <f t="shared" si="51"/>
        <v>Consistent</v>
      </c>
      <c r="N3290" s="1" t="str">
        <f>_xlfn.XLOOKUP(H3290, risk_score!A:A, risk_score!B:B, 0)</f>
        <v>Low Risk</v>
      </c>
    </row>
    <row r="3291" spans="1:14">
      <c r="A3291" s="2">
        <v>0.52662037037037035</v>
      </c>
      <c r="B3291" s="3">
        <v>44841</v>
      </c>
      <c r="C3291" s="1">
        <v>3030213922</v>
      </c>
      <c r="D3291" s="1">
        <v>1377603863</v>
      </c>
      <c r="E3291" s="1">
        <v>7040.12</v>
      </c>
      <c r="F3291" s="1" t="s">
        <v>12</v>
      </c>
      <c r="G3291" s="1" t="s">
        <v>12</v>
      </c>
      <c r="H3291" s="1" t="s">
        <v>13</v>
      </c>
      <c r="I3291" s="1" t="s">
        <v>13</v>
      </c>
      <c r="J3291" s="1" t="s">
        <v>25</v>
      </c>
      <c r="K3291" s="1">
        <v>0</v>
      </c>
      <c r="L3291" s="1" t="s">
        <v>23</v>
      </c>
      <c r="M3291" s="1" t="str">
        <f t="shared" si="51"/>
        <v>Consistent</v>
      </c>
      <c r="N3291" s="1" t="str">
        <f>_xlfn.XLOOKUP(H3291, risk_score!A:A, risk_score!B:B, 0)</f>
        <v>Low Risk</v>
      </c>
    </row>
    <row r="3292" spans="1:14">
      <c r="A3292" s="2">
        <v>0.52673611111111107</v>
      </c>
      <c r="B3292" s="3">
        <v>44841</v>
      </c>
      <c r="C3292" s="1">
        <v>7869784702</v>
      </c>
      <c r="D3292" s="1">
        <v>8089060569</v>
      </c>
      <c r="E3292" s="1">
        <v>3867.74</v>
      </c>
      <c r="F3292" s="1" t="s">
        <v>12</v>
      </c>
      <c r="G3292" s="1" t="s">
        <v>12</v>
      </c>
      <c r="H3292" s="1" t="s">
        <v>13</v>
      </c>
      <c r="I3292" s="1" t="s">
        <v>13</v>
      </c>
      <c r="J3292" s="1" t="s">
        <v>22</v>
      </c>
      <c r="K3292" s="1">
        <v>0</v>
      </c>
      <c r="L3292" s="1" t="s">
        <v>21</v>
      </c>
      <c r="M3292" s="1" t="str">
        <f t="shared" si="51"/>
        <v>Consistent</v>
      </c>
      <c r="N3292" s="1" t="str">
        <f>_xlfn.XLOOKUP(H3292, risk_score!A:A, risk_score!B:B, 0)</f>
        <v>Low Risk</v>
      </c>
    </row>
    <row r="3293" spans="1:14">
      <c r="A3293" s="2">
        <v>0.52675925925925926</v>
      </c>
      <c r="B3293" s="3">
        <v>44841</v>
      </c>
      <c r="C3293" s="1">
        <v>704705451</v>
      </c>
      <c r="D3293" s="1">
        <v>5337146715</v>
      </c>
      <c r="E3293" s="1">
        <v>9381.09</v>
      </c>
      <c r="F3293" s="1" t="s">
        <v>12</v>
      </c>
      <c r="G3293" s="1" t="s">
        <v>12</v>
      </c>
      <c r="H3293" s="1" t="s">
        <v>13</v>
      </c>
      <c r="I3293" s="1" t="s">
        <v>13</v>
      </c>
      <c r="J3293" s="1" t="s">
        <v>22</v>
      </c>
      <c r="K3293" s="1">
        <v>0</v>
      </c>
      <c r="L3293" s="1" t="s">
        <v>21</v>
      </c>
      <c r="M3293" s="1" t="str">
        <f t="shared" si="51"/>
        <v>Consistent</v>
      </c>
      <c r="N3293" s="1" t="str">
        <f>_xlfn.XLOOKUP(H3293, risk_score!A:A, risk_score!B:B, 0)</f>
        <v>Low Risk</v>
      </c>
    </row>
    <row r="3294" spans="1:14">
      <c r="A3294" s="2">
        <v>0.52679398148148149</v>
      </c>
      <c r="B3294" s="3">
        <v>44841</v>
      </c>
      <c r="C3294" s="1">
        <v>6119196251</v>
      </c>
      <c r="D3294" s="1">
        <v>3079818547</v>
      </c>
      <c r="E3294" s="1">
        <v>7945.57</v>
      </c>
      <c r="F3294" s="1" t="s">
        <v>12</v>
      </c>
      <c r="G3294" s="1" t="s">
        <v>12</v>
      </c>
      <c r="H3294" s="1" t="s">
        <v>13</v>
      </c>
      <c r="I3294" s="1" t="s">
        <v>13</v>
      </c>
      <c r="J3294" s="1" t="s">
        <v>22</v>
      </c>
      <c r="K3294" s="1">
        <v>0</v>
      </c>
      <c r="L3294" s="1" t="s">
        <v>23</v>
      </c>
      <c r="M3294" s="1" t="str">
        <f t="shared" si="51"/>
        <v>Consistent</v>
      </c>
      <c r="N3294" s="1" t="str">
        <f>_xlfn.XLOOKUP(H3294, risk_score!A:A, risk_score!B:B, 0)</f>
        <v>Low Risk</v>
      </c>
    </row>
    <row r="3295" spans="1:14">
      <c r="A3295" s="2">
        <v>0.52679398148148149</v>
      </c>
      <c r="B3295" s="3">
        <v>44841</v>
      </c>
      <c r="C3295" s="1">
        <v>1491989064</v>
      </c>
      <c r="D3295" s="1">
        <v>4658438113</v>
      </c>
      <c r="E3295" s="1">
        <v>8746.8799999999992</v>
      </c>
      <c r="F3295" s="1" t="s">
        <v>12</v>
      </c>
      <c r="G3295" s="1" t="s">
        <v>12</v>
      </c>
      <c r="H3295" s="1" t="s">
        <v>13</v>
      </c>
      <c r="I3295" s="1" t="s">
        <v>13</v>
      </c>
      <c r="J3295" s="1" t="s">
        <v>22</v>
      </c>
      <c r="K3295" s="1">
        <v>0</v>
      </c>
      <c r="L3295" s="1" t="s">
        <v>19</v>
      </c>
      <c r="M3295" s="1" t="str">
        <f t="shared" si="51"/>
        <v>Consistent</v>
      </c>
      <c r="N3295" s="1" t="str">
        <f>_xlfn.XLOOKUP(H3295, risk_score!A:A, risk_score!B:B, 0)</f>
        <v>Low Risk</v>
      </c>
    </row>
    <row r="3296" spans="1:14">
      <c r="A3296" s="2">
        <v>0.52681712962962968</v>
      </c>
      <c r="B3296" s="3">
        <v>44841</v>
      </c>
      <c r="C3296" s="1">
        <v>8203229522</v>
      </c>
      <c r="D3296" s="1">
        <v>8818164834</v>
      </c>
      <c r="E3296" s="1">
        <v>4707.24</v>
      </c>
      <c r="F3296" s="1" t="s">
        <v>12</v>
      </c>
      <c r="G3296" s="1" t="s">
        <v>12</v>
      </c>
      <c r="H3296" s="1" t="s">
        <v>13</v>
      </c>
      <c r="I3296" s="1" t="s">
        <v>13</v>
      </c>
      <c r="J3296" s="1" t="s">
        <v>22</v>
      </c>
      <c r="K3296" s="1">
        <v>0</v>
      </c>
      <c r="L3296" s="1" t="s">
        <v>19</v>
      </c>
      <c r="M3296" s="1" t="str">
        <f t="shared" si="51"/>
        <v>Consistent</v>
      </c>
      <c r="N3296" s="1" t="str">
        <f>_xlfn.XLOOKUP(H3296, risk_score!A:A, risk_score!B:B, 0)</f>
        <v>Low Risk</v>
      </c>
    </row>
    <row r="3297" spans="1:14">
      <c r="A3297" s="2">
        <v>0.52688657407407402</v>
      </c>
      <c r="B3297" s="3">
        <v>44841</v>
      </c>
      <c r="C3297" s="1">
        <v>1645558162</v>
      </c>
      <c r="D3297" s="1">
        <v>8172080174</v>
      </c>
      <c r="E3297" s="1">
        <v>10980.35</v>
      </c>
      <c r="F3297" s="1" t="s">
        <v>12</v>
      </c>
      <c r="G3297" s="1" t="s">
        <v>12</v>
      </c>
      <c r="H3297" s="1" t="s">
        <v>13</v>
      </c>
      <c r="I3297" s="1" t="s">
        <v>13</v>
      </c>
      <c r="J3297" s="1" t="s">
        <v>22</v>
      </c>
      <c r="K3297" s="1">
        <v>0</v>
      </c>
      <c r="L3297" s="1" t="s">
        <v>23</v>
      </c>
      <c r="M3297" s="1" t="str">
        <f t="shared" si="51"/>
        <v>Consistent</v>
      </c>
      <c r="N3297" s="1" t="str">
        <f>_xlfn.XLOOKUP(H3297, risk_score!A:A, risk_score!B:B, 0)</f>
        <v>Low Risk</v>
      </c>
    </row>
    <row r="3298" spans="1:14">
      <c r="A3298" s="2">
        <v>0.52688657407407402</v>
      </c>
      <c r="B3298" s="3">
        <v>44841</v>
      </c>
      <c r="C3298" s="1">
        <v>2365007895</v>
      </c>
      <c r="D3298" s="1">
        <v>8015553278</v>
      </c>
      <c r="E3298" s="1">
        <v>6957.05</v>
      </c>
      <c r="F3298" s="1" t="s">
        <v>12</v>
      </c>
      <c r="G3298" s="1" t="s">
        <v>12</v>
      </c>
      <c r="H3298" s="1" t="s">
        <v>13</v>
      </c>
      <c r="I3298" s="1" t="s">
        <v>13</v>
      </c>
      <c r="J3298" s="1" t="s">
        <v>25</v>
      </c>
      <c r="K3298" s="1">
        <v>0</v>
      </c>
      <c r="L3298" s="1" t="s">
        <v>19</v>
      </c>
      <c r="M3298" s="1" t="str">
        <f t="shared" si="51"/>
        <v>Consistent</v>
      </c>
      <c r="N3298" s="1" t="str">
        <f>_xlfn.XLOOKUP(H3298, risk_score!A:A, risk_score!B:B, 0)</f>
        <v>Low Risk</v>
      </c>
    </row>
    <row r="3299" spans="1:14">
      <c r="A3299" s="2">
        <v>0.52690972222222221</v>
      </c>
      <c r="B3299" s="3">
        <v>44841</v>
      </c>
      <c r="C3299" s="1">
        <v>4111999698</v>
      </c>
      <c r="D3299" s="1">
        <v>5648962768</v>
      </c>
      <c r="E3299" s="1">
        <v>1632.2</v>
      </c>
      <c r="F3299" s="1" t="s">
        <v>12</v>
      </c>
      <c r="G3299" s="1" t="s">
        <v>12</v>
      </c>
      <c r="H3299" s="1" t="s">
        <v>13</v>
      </c>
      <c r="I3299" s="1" t="s">
        <v>13</v>
      </c>
      <c r="J3299" s="1" t="s">
        <v>22</v>
      </c>
      <c r="K3299" s="1">
        <v>0</v>
      </c>
      <c r="L3299" s="1" t="s">
        <v>21</v>
      </c>
      <c r="M3299" s="1" t="str">
        <f t="shared" si="51"/>
        <v>Consistent</v>
      </c>
      <c r="N3299" s="1" t="str">
        <f>_xlfn.XLOOKUP(H3299, risk_score!A:A, risk_score!B:B, 0)</f>
        <v>Low Risk</v>
      </c>
    </row>
    <row r="3300" spans="1:14">
      <c r="A3300" s="2">
        <v>0.52690972222222221</v>
      </c>
      <c r="B3300" s="3">
        <v>44841</v>
      </c>
      <c r="C3300" s="1">
        <v>7207395469</v>
      </c>
      <c r="D3300" s="1">
        <v>1316458123</v>
      </c>
      <c r="E3300" s="1">
        <v>7492.17</v>
      </c>
      <c r="F3300" s="1" t="s">
        <v>12</v>
      </c>
      <c r="G3300" s="1" t="s">
        <v>34</v>
      </c>
      <c r="H3300" s="1" t="s">
        <v>13</v>
      </c>
      <c r="I3300" s="1" t="s">
        <v>35</v>
      </c>
      <c r="J3300" s="1" t="s">
        <v>18</v>
      </c>
      <c r="K3300" s="1">
        <v>0</v>
      </c>
      <c r="L3300" s="1" t="s">
        <v>23</v>
      </c>
      <c r="M3300" s="1" t="str">
        <f t="shared" si="51"/>
        <v>Potential Layering</v>
      </c>
      <c r="N3300" s="1" t="str">
        <f>_xlfn.XLOOKUP(H3300, risk_score!A:A, risk_score!B:B, 0)</f>
        <v>Low Risk</v>
      </c>
    </row>
    <row r="3301" spans="1:14">
      <c r="A3301" s="2">
        <v>0.52697916666666667</v>
      </c>
      <c r="B3301" s="3">
        <v>44841</v>
      </c>
      <c r="C3301" s="1">
        <v>1365245330</v>
      </c>
      <c r="D3301" s="1">
        <v>6453321674</v>
      </c>
      <c r="E3301" s="1">
        <v>1675.76</v>
      </c>
      <c r="F3301" s="1" t="s">
        <v>12</v>
      </c>
      <c r="G3301" s="1" t="s">
        <v>12</v>
      </c>
      <c r="H3301" s="1" t="s">
        <v>13</v>
      </c>
      <c r="I3301" s="1" t="s">
        <v>13</v>
      </c>
      <c r="J3301" s="1" t="s">
        <v>22</v>
      </c>
      <c r="K3301" s="1">
        <v>0</v>
      </c>
      <c r="L3301" s="1" t="s">
        <v>21</v>
      </c>
      <c r="M3301" s="1" t="str">
        <f t="shared" si="51"/>
        <v>Consistent</v>
      </c>
      <c r="N3301" s="1" t="str">
        <f>_xlfn.XLOOKUP(H3301, risk_score!A:A, risk_score!B:B, 0)</f>
        <v>Low Risk</v>
      </c>
    </row>
    <row r="3302" spans="1:14">
      <c r="A3302" s="2">
        <v>0.52697916666666667</v>
      </c>
      <c r="B3302" s="3">
        <v>44841</v>
      </c>
      <c r="C3302" s="1">
        <v>9894842506</v>
      </c>
      <c r="D3302" s="1">
        <v>6171001766</v>
      </c>
      <c r="E3302" s="1">
        <v>715.74</v>
      </c>
      <c r="F3302" s="1" t="s">
        <v>12</v>
      </c>
      <c r="G3302" s="1" t="s">
        <v>12</v>
      </c>
      <c r="H3302" s="1" t="s">
        <v>13</v>
      </c>
      <c r="I3302" s="1" t="s">
        <v>13</v>
      </c>
      <c r="J3302" s="1" t="s">
        <v>20</v>
      </c>
      <c r="K3302" s="1">
        <v>0</v>
      </c>
      <c r="L3302" s="1" t="s">
        <v>21</v>
      </c>
      <c r="M3302" s="1" t="str">
        <f t="shared" ref="M3302:M3365" si="52">IF(F3302=G3302, "Consistent", "Potential Layering")</f>
        <v>Consistent</v>
      </c>
      <c r="N3302" s="1" t="str">
        <f>_xlfn.XLOOKUP(H3302, risk_score!A:A, risk_score!B:B, 0)</f>
        <v>Low Risk</v>
      </c>
    </row>
    <row r="3303" spans="1:14">
      <c r="A3303" s="2">
        <v>0.52704861111111112</v>
      </c>
      <c r="B3303" s="3">
        <v>44841</v>
      </c>
      <c r="C3303" s="1">
        <v>4703595147</v>
      </c>
      <c r="D3303" s="1">
        <v>7080357663</v>
      </c>
      <c r="E3303" s="1">
        <v>5892.34</v>
      </c>
      <c r="F3303" s="1" t="s">
        <v>12</v>
      </c>
      <c r="G3303" s="1" t="s">
        <v>12</v>
      </c>
      <c r="H3303" s="1" t="s">
        <v>13</v>
      </c>
      <c r="I3303" s="1" t="s">
        <v>13</v>
      </c>
      <c r="J3303" s="1" t="s">
        <v>20</v>
      </c>
      <c r="K3303" s="1">
        <v>0</v>
      </c>
      <c r="L3303" s="1" t="s">
        <v>23</v>
      </c>
      <c r="M3303" s="1" t="str">
        <f t="shared" si="52"/>
        <v>Consistent</v>
      </c>
      <c r="N3303" s="1" t="str">
        <f>_xlfn.XLOOKUP(H3303, risk_score!A:A, risk_score!B:B, 0)</f>
        <v>Low Risk</v>
      </c>
    </row>
    <row r="3304" spans="1:14">
      <c r="A3304" s="2">
        <v>0.52709490740740739</v>
      </c>
      <c r="B3304" s="3">
        <v>44841</v>
      </c>
      <c r="C3304" s="1">
        <v>5790532900</v>
      </c>
      <c r="D3304" s="1">
        <v>2559054396</v>
      </c>
      <c r="E3304" s="1">
        <v>8645.83</v>
      </c>
      <c r="F3304" s="1" t="s">
        <v>12</v>
      </c>
      <c r="G3304" s="1" t="s">
        <v>12</v>
      </c>
      <c r="H3304" s="1" t="s">
        <v>13</v>
      </c>
      <c r="I3304" s="1" t="s">
        <v>13</v>
      </c>
      <c r="J3304" s="1" t="s">
        <v>22</v>
      </c>
      <c r="K3304" s="1">
        <v>0</v>
      </c>
      <c r="L3304" s="1" t="s">
        <v>21</v>
      </c>
      <c r="M3304" s="1" t="str">
        <f t="shared" si="52"/>
        <v>Consistent</v>
      </c>
      <c r="N3304" s="1" t="str">
        <f>_xlfn.XLOOKUP(H3304, risk_score!A:A, risk_score!B:B, 0)</f>
        <v>Low Risk</v>
      </c>
    </row>
    <row r="3305" spans="1:14">
      <c r="A3305" s="2">
        <v>0.52710648148148154</v>
      </c>
      <c r="B3305" s="3">
        <v>44841</v>
      </c>
      <c r="C3305" s="1">
        <v>4024921053</v>
      </c>
      <c r="D3305" s="1">
        <v>1431561040</v>
      </c>
      <c r="E3305" s="1">
        <v>7014.92</v>
      </c>
      <c r="F3305" s="1" t="s">
        <v>12</v>
      </c>
      <c r="G3305" s="1" t="s">
        <v>12</v>
      </c>
      <c r="H3305" s="1" t="s">
        <v>13</v>
      </c>
      <c r="I3305" s="1" t="s">
        <v>13</v>
      </c>
      <c r="J3305" s="1" t="s">
        <v>22</v>
      </c>
      <c r="K3305" s="1">
        <v>0</v>
      </c>
      <c r="L3305" s="1" t="s">
        <v>23</v>
      </c>
      <c r="M3305" s="1" t="str">
        <f t="shared" si="52"/>
        <v>Consistent</v>
      </c>
      <c r="N3305" s="1" t="str">
        <f>_xlfn.XLOOKUP(H3305, risk_score!A:A, risk_score!B:B, 0)</f>
        <v>Low Risk</v>
      </c>
    </row>
    <row r="3306" spans="1:14">
      <c r="A3306" s="2">
        <v>0.52711805555555558</v>
      </c>
      <c r="B3306" s="3">
        <v>44841</v>
      </c>
      <c r="C3306" s="1">
        <v>2758469152</v>
      </c>
      <c r="D3306" s="1">
        <v>2987279234</v>
      </c>
      <c r="E3306" s="1">
        <v>7832.41</v>
      </c>
      <c r="F3306" s="1" t="s">
        <v>12</v>
      </c>
      <c r="G3306" s="1" t="s">
        <v>12</v>
      </c>
      <c r="H3306" s="1" t="s">
        <v>13</v>
      </c>
      <c r="I3306" s="1" t="s">
        <v>13</v>
      </c>
      <c r="J3306" s="1" t="s">
        <v>27</v>
      </c>
      <c r="K3306" s="4">
        <v>1</v>
      </c>
      <c r="L3306" s="1" t="s">
        <v>64</v>
      </c>
      <c r="M3306" s="1" t="str">
        <f t="shared" si="52"/>
        <v>Consistent</v>
      </c>
      <c r="N3306" s="1" t="str">
        <f>_xlfn.XLOOKUP(H3306, risk_score!A:A, risk_score!B:B, 0)</f>
        <v>Low Risk</v>
      </c>
    </row>
    <row r="3307" spans="1:14">
      <c r="A3307" s="2">
        <v>0.5271527777777778</v>
      </c>
      <c r="B3307" s="3">
        <v>44841</v>
      </c>
      <c r="C3307" s="1">
        <v>5021785800</v>
      </c>
      <c r="D3307" s="1">
        <v>737679962</v>
      </c>
      <c r="E3307" s="1">
        <v>4504.43</v>
      </c>
      <c r="F3307" s="1" t="s">
        <v>12</v>
      </c>
      <c r="G3307" s="1" t="s">
        <v>12</v>
      </c>
      <c r="H3307" s="1" t="s">
        <v>13</v>
      </c>
      <c r="I3307" s="1" t="s">
        <v>13</v>
      </c>
      <c r="J3307" s="1" t="s">
        <v>22</v>
      </c>
      <c r="K3307" s="1">
        <v>0</v>
      </c>
      <c r="L3307" s="1" t="s">
        <v>19</v>
      </c>
      <c r="M3307" s="1" t="str">
        <f t="shared" si="52"/>
        <v>Consistent</v>
      </c>
      <c r="N3307" s="1" t="str">
        <f>_xlfn.XLOOKUP(H3307, risk_score!A:A, risk_score!B:B, 0)</f>
        <v>Low Risk</v>
      </c>
    </row>
    <row r="3308" spans="1:14">
      <c r="A3308" s="2">
        <v>0.52716435185185184</v>
      </c>
      <c r="B3308" s="3">
        <v>44841</v>
      </c>
      <c r="C3308" s="1">
        <v>3168051873</v>
      </c>
      <c r="D3308" s="1">
        <v>6883932008</v>
      </c>
      <c r="E3308" s="1">
        <v>10276.75</v>
      </c>
      <c r="F3308" s="1" t="s">
        <v>12</v>
      </c>
      <c r="G3308" s="1" t="s">
        <v>12</v>
      </c>
      <c r="H3308" s="1" t="s">
        <v>13</v>
      </c>
      <c r="I3308" s="1" t="s">
        <v>13</v>
      </c>
      <c r="J3308" s="1" t="s">
        <v>22</v>
      </c>
      <c r="K3308" s="1">
        <v>0</v>
      </c>
      <c r="L3308" s="1" t="s">
        <v>19</v>
      </c>
      <c r="M3308" s="1" t="str">
        <f t="shared" si="52"/>
        <v>Consistent</v>
      </c>
      <c r="N3308" s="1" t="str">
        <f>_xlfn.XLOOKUP(H3308, risk_score!A:A, risk_score!B:B, 0)</f>
        <v>Low Risk</v>
      </c>
    </row>
    <row r="3309" spans="1:14">
      <c r="A3309" s="2">
        <v>0.52716435185185184</v>
      </c>
      <c r="B3309" s="3">
        <v>44841</v>
      </c>
      <c r="C3309" s="1">
        <v>7758268667</v>
      </c>
      <c r="D3309" s="1">
        <v>7778416970</v>
      </c>
      <c r="E3309" s="1">
        <v>7199.97</v>
      </c>
      <c r="F3309" s="1" t="s">
        <v>12</v>
      </c>
      <c r="G3309" s="1" t="s">
        <v>12</v>
      </c>
      <c r="H3309" s="1" t="s">
        <v>13</v>
      </c>
      <c r="I3309" s="1" t="s">
        <v>13</v>
      </c>
      <c r="J3309" s="1" t="s">
        <v>25</v>
      </c>
      <c r="K3309" s="1">
        <v>0</v>
      </c>
      <c r="L3309" s="1" t="s">
        <v>19</v>
      </c>
      <c r="M3309" s="1" t="str">
        <f t="shared" si="52"/>
        <v>Consistent</v>
      </c>
      <c r="N3309" s="1" t="str">
        <f>_xlfn.XLOOKUP(H3309, risk_score!A:A, risk_score!B:B, 0)</f>
        <v>Low Risk</v>
      </c>
    </row>
    <row r="3310" spans="1:14">
      <c r="A3310" s="2">
        <v>0.52717592592592588</v>
      </c>
      <c r="B3310" s="3">
        <v>44841</v>
      </c>
      <c r="C3310" s="1">
        <v>4092935105</v>
      </c>
      <c r="D3310" s="1">
        <v>460441499</v>
      </c>
      <c r="E3310" s="1">
        <v>3466.61</v>
      </c>
      <c r="F3310" s="1" t="s">
        <v>12</v>
      </c>
      <c r="G3310" s="1" t="s">
        <v>12</v>
      </c>
      <c r="H3310" s="1" t="s">
        <v>13</v>
      </c>
      <c r="I3310" s="1" t="s">
        <v>13</v>
      </c>
      <c r="J3310" s="1" t="s">
        <v>22</v>
      </c>
      <c r="K3310" s="1">
        <v>0</v>
      </c>
      <c r="L3310" s="1" t="s">
        <v>21</v>
      </c>
      <c r="M3310" s="1" t="str">
        <f t="shared" si="52"/>
        <v>Consistent</v>
      </c>
      <c r="N3310" s="1" t="str">
        <f>_xlfn.XLOOKUP(H3310, risk_score!A:A, risk_score!B:B, 0)</f>
        <v>Low Risk</v>
      </c>
    </row>
    <row r="3311" spans="1:14">
      <c r="A3311" s="2">
        <v>0.52718750000000003</v>
      </c>
      <c r="B3311" s="3">
        <v>44841</v>
      </c>
      <c r="C3311" s="1">
        <v>6119952125</v>
      </c>
      <c r="D3311" s="1">
        <v>9904448700</v>
      </c>
      <c r="E3311" s="1">
        <v>2453.75</v>
      </c>
      <c r="F3311" s="1" t="s">
        <v>12</v>
      </c>
      <c r="G3311" s="1" t="s">
        <v>12</v>
      </c>
      <c r="H3311" s="1" t="s">
        <v>13</v>
      </c>
      <c r="I3311" s="1" t="s">
        <v>13</v>
      </c>
      <c r="J3311" s="1" t="s">
        <v>20</v>
      </c>
      <c r="K3311" s="1">
        <v>0</v>
      </c>
      <c r="L3311" s="1" t="s">
        <v>21</v>
      </c>
      <c r="M3311" s="1" t="str">
        <f t="shared" si="52"/>
        <v>Consistent</v>
      </c>
      <c r="N3311" s="1" t="str">
        <f>_xlfn.XLOOKUP(H3311, risk_score!A:A, risk_score!B:B, 0)</f>
        <v>Low Risk</v>
      </c>
    </row>
    <row r="3312" spans="1:14">
      <c r="A3312" s="2">
        <v>0.52722222222222226</v>
      </c>
      <c r="B3312" s="3">
        <v>44841</v>
      </c>
      <c r="C3312" s="1">
        <v>4264578680</v>
      </c>
      <c r="D3312" s="1">
        <v>2747976171</v>
      </c>
      <c r="E3312" s="1">
        <v>2597.1799999999998</v>
      </c>
      <c r="F3312" s="1" t="s">
        <v>12</v>
      </c>
      <c r="G3312" s="1" t="s">
        <v>12</v>
      </c>
      <c r="H3312" s="1" t="s">
        <v>13</v>
      </c>
      <c r="I3312" s="1" t="s">
        <v>13</v>
      </c>
      <c r="J3312" s="1" t="s">
        <v>27</v>
      </c>
      <c r="K3312" s="1">
        <v>0</v>
      </c>
      <c r="L3312" s="1" t="s">
        <v>21</v>
      </c>
      <c r="M3312" s="1" t="str">
        <f t="shared" si="52"/>
        <v>Consistent</v>
      </c>
      <c r="N3312" s="1" t="str">
        <f>_xlfn.XLOOKUP(H3312, risk_score!A:A, risk_score!B:B, 0)</f>
        <v>Low Risk</v>
      </c>
    </row>
    <row r="3313" spans="1:14">
      <c r="A3313" s="2">
        <v>0.52722222222222226</v>
      </c>
      <c r="B3313" s="3">
        <v>44841</v>
      </c>
      <c r="C3313" s="1">
        <v>1471451496</v>
      </c>
      <c r="D3313" s="1">
        <v>1773720798</v>
      </c>
      <c r="E3313" s="1">
        <v>1137.7</v>
      </c>
      <c r="F3313" s="1" t="s">
        <v>12</v>
      </c>
      <c r="G3313" s="1" t="s">
        <v>44</v>
      </c>
      <c r="H3313" s="1" t="s">
        <v>13</v>
      </c>
      <c r="I3313" s="1" t="s">
        <v>45</v>
      </c>
      <c r="J3313" s="1" t="s">
        <v>18</v>
      </c>
      <c r="K3313" s="1">
        <v>0</v>
      </c>
      <c r="L3313" s="1" t="s">
        <v>21</v>
      </c>
      <c r="M3313" s="1" t="str">
        <f t="shared" si="52"/>
        <v>Potential Layering</v>
      </c>
      <c r="N3313" s="1" t="str">
        <f>_xlfn.XLOOKUP(H3313, risk_score!A:A, risk_score!B:B, 0)</f>
        <v>Low Risk</v>
      </c>
    </row>
    <row r="3314" spans="1:14">
      <c r="A3314" s="2">
        <v>0.5272337962962963</v>
      </c>
      <c r="B3314" s="3">
        <v>44841</v>
      </c>
      <c r="C3314" s="1">
        <v>8939036585</v>
      </c>
      <c r="D3314" s="1">
        <v>1511822968</v>
      </c>
      <c r="E3314" s="1">
        <v>307.58</v>
      </c>
      <c r="F3314" s="1" t="s">
        <v>12</v>
      </c>
      <c r="G3314" s="1" t="s">
        <v>12</v>
      </c>
      <c r="H3314" s="1" t="s">
        <v>13</v>
      </c>
      <c r="I3314" s="1" t="s">
        <v>13</v>
      </c>
      <c r="J3314" s="1" t="s">
        <v>27</v>
      </c>
      <c r="K3314" s="1">
        <v>0</v>
      </c>
      <c r="L3314" s="1" t="s">
        <v>24</v>
      </c>
      <c r="M3314" s="1" t="str">
        <f t="shared" si="52"/>
        <v>Consistent</v>
      </c>
      <c r="N3314" s="1" t="str">
        <f>_xlfn.XLOOKUP(H3314, risk_score!A:A, risk_score!B:B, 0)</f>
        <v>Low Risk</v>
      </c>
    </row>
    <row r="3315" spans="1:14">
      <c r="A3315" s="2">
        <v>0.52725694444444449</v>
      </c>
      <c r="B3315" s="3">
        <v>44841</v>
      </c>
      <c r="C3315" s="1">
        <v>51167102</v>
      </c>
      <c r="D3315" s="1">
        <v>9611218127</v>
      </c>
      <c r="E3315" s="1">
        <v>2787.91</v>
      </c>
      <c r="F3315" s="1" t="s">
        <v>12</v>
      </c>
      <c r="G3315" s="1" t="s">
        <v>12</v>
      </c>
      <c r="H3315" s="1" t="s">
        <v>13</v>
      </c>
      <c r="I3315" s="1" t="s">
        <v>13</v>
      </c>
      <c r="J3315" s="1" t="s">
        <v>14</v>
      </c>
      <c r="K3315" s="1">
        <v>0</v>
      </c>
      <c r="L3315" s="1" t="s">
        <v>15</v>
      </c>
      <c r="M3315" s="1" t="str">
        <f t="shared" si="52"/>
        <v>Consistent</v>
      </c>
      <c r="N3315" s="1" t="str">
        <f>_xlfn.XLOOKUP(H3315, risk_score!A:A, risk_score!B:B, 0)</f>
        <v>Low Risk</v>
      </c>
    </row>
    <row r="3316" spans="1:14">
      <c r="A3316" s="2">
        <v>0.52731481481481479</v>
      </c>
      <c r="B3316" s="3">
        <v>44841</v>
      </c>
      <c r="C3316" s="1">
        <v>8302459397</v>
      </c>
      <c r="D3316" s="1">
        <v>9906556450</v>
      </c>
      <c r="E3316" s="1">
        <v>5218.2299999999996</v>
      </c>
      <c r="F3316" s="1" t="s">
        <v>12</v>
      </c>
      <c r="G3316" s="1" t="s">
        <v>12</v>
      </c>
      <c r="H3316" s="1" t="s">
        <v>13</v>
      </c>
      <c r="I3316" s="1" t="s">
        <v>13</v>
      </c>
      <c r="J3316" s="1" t="s">
        <v>14</v>
      </c>
      <c r="K3316" s="1">
        <v>0</v>
      </c>
      <c r="L3316" s="1" t="s">
        <v>15</v>
      </c>
      <c r="M3316" s="1" t="str">
        <f t="shared" si="52"/>
        <v>Consistent</v>
      </c>
      <c r="N3316" s="1" t="str">
        <f>_xlfn.XLOOKUP(H3316, risk_score!A:A, risk_score!B:B, 0)</f>
        <v>Low Risk</v>
      </c>
    </row>
    <row r="3317" spans="1:14">
      <c r="A3317" s="2">
        <v>0.52739583333333329</v>
      </c>
      <c r="B3317" s="3">
        <v>44841</v>
      </c>
      <c r="C3317" s="1">
        <v>2365007895</v>
      </c>
      <c r="D3317" s="1">
        <v>3353965610</v>
      </c>
      <c r="E3317" s="1">
        <v>7145.85</v>
      </c>
      <c r="F3317" s="1" t="s">
        <v>12</v>
      </c>
      <c r="G3317" s="1" t="s">
        <v>12</v>
      </c>
      <c r="H3317" s="1" t="s">
        <v>13</v>
      </c>
      <c r="I3317" s="1" t="s">
        <v>13</v>
      </c>
      <c r="J3317" s="1" t="s">
        <v>27</v>
      </c>
      <c r="K3317" s="1">
        <v>0</v>
      </c>
      <c r="L3317" s="1" t="s">
        <v>19</v>
      </c>
      <c r="M3317" s="1" t="str">
        <f t="shared" si="52"/>
        <v>Consistent</v>
      </c>
      <c r="N3317" s="1" t="str">
        <f>_xlfn.XLOOKUP(H3317, risk_score!A:A, risk_score!B:B, 0)</f>
        <v>Low Risk</v>
      </c>
    </row>
    <row r="3318" spans="1:14">
      <c r="A3318" s="2">
        <v>0.52740740740740744</v>
      </c>
      <c r="B3318" s="3">
        <v>44841</v>
      </c>
      <c r="C3318" s="1">
        <v>9508689417</v>
      </c>
      <c r="D3318" s="1">
        <v>5103043844</v>
      </c>
      <c r="E3318" s="1">
        <v>7431.41</v>
      </c>
      <c r="F3318" s="1" t="s">
        <v>12</v>
      </c>
      <c r="G3318" s="1" t="s">
        <v>44</v>
      </c>
      <c r="H3318" s="1" t="s">
        <v>13</v>
      </c>
      <c r="I3318" s="1" t="s">
        <v>45</v>
      </c>
      <c r="J3318" s="1" t="s">
        <v>18</v>
      </c>
      <c r="K3318" s="1">
        <v>0</v>
      </c>
      <c r="L3318" s="1" t="s">
        <v>23</v>
      </c>
      <c r="M3318" s="1" t="str">
        <f t="shared" si="52"/>
        <v>Potential Layering</v>
      </c>
      <c r="N3318" s="1" t="str">
        <f>_xlfn.XLOOKUP(H3318, risk_score!A:A, risk_score!B:B, 0)</f>
        <v>Low Risk</v>
      </c>
    </row>
    <row r="3319" spans="1:14">
      <c r="A3319" s="2">
        <v>0.52744212962962966</v>
      </c>
      <c r="B3319" s="3">
        <v>44841</v>
      </c>
      <c r="C3319" s="1">
        <v>8737588993</v>
      </c>
      <c r="D3319" s="1">
        <v>9090924093</v>
      </c>
      <c r="E3319" s="1">
        <v>6108.1</v>
      </c>
      <c r="F3319" s="1" t="s">
        <v>12</v>
      </c>
      <c r="G3319" s="1" t="s">
        <v>12</v>
      </c>
      <c r="H3319" s="1" t="s">
        <v>13</v>
      </c>
      <c r="I3319" s="1" t="s">
        <v>13</v>
      </c>
      <c r="J3319" s="1" t="s">
        <v>25</v>
      </c>
      <c r="K3319" s="1">
        <v>0</v>
      </c>
      <c r="L3319" s="1" t="s">
        <v>21</v>
      </c>
      <c r="M3319" s="1" t="str">
        <f t="shared" si="52"/>
        <v>Consistent</v>
      </c>
      <c r="N3319" s="1" t="str">
        <f>_xlfn.XLOOKUP(H3319, risk_score!A:A, risk_score!B:B, 0)</f>
        <v>Low Risk</v>
      </c>
    </row>
    <row r="3320" spans="1:14">
      <c r="A3320" s="2">
        <v>0.52747685185185189</v>
      </c>
      <c r="B3320" s="3">
        <v>44841</v>
      </c>
      <c r="C3320" s="1">
        <v>1167651209</v>
      </c>
      <c r="D3320" s="1">
        <v>3550331525</v>
      </c>
      <c r="E3320" s="1">
        <v>34089.800000000003</v>
      </c>
      <c r="F3320" s="1" t="s">
        <v>12</v>
      </c>
      <c r="G3320" s="1" t="s">
        <v>12</v>
      </c>
      <c r="H3320" s="1" t="s">
        <v>13</v>
      </c>
      <c r="I3320" s="1" t="s">
        <v>13</v>
      </c>
      <c r="J3320" s="1" t="s">
        <v>25</v>
      </c>
      <c r="K3320" s="1">
        <v>0</v>
      </c>
      <c r="L3320" s="1" t="s">
        <v>21</v>
      </c>
      <c r="M3320" s="1" t="str">
        <f t="shared" si="52"/>
        <v>Consistent</v>
      </c>
      <c r="N3320" s="1" t="str">
        <f>_xlfn.XLOOKUP(H3320, risk_score!A:A, risk_score!B:B, 0)</f>
        <v>Low Risk</v>
      </c>
    </row>
    <row r="3321" spans="1:14">
      <c r="A3321" s="2">
        <v>0.52747685185185189</v>
      </c>
      <c r="B3321" s="3">
        <v>44841</v>
      </c>
      <c r="C3321" s="1">
        <v>2797271466</v>
      </c>
      <c r="D3321" s="1">
        <v>4525312913</v>
      </c>
      <c r="E3321" s="1">
        <v>12554.81</v>
      </c>
      <c r="F3321" s="1" t="s">
        <v>12</v>
      </c>
      <c r="G3321" s="1" t="s">
        <v>12</v>
      </c>
      <c r="H3321" s="1" t="s">
        <v>13</v>
      </c>
      <c r="I3321" s="1" t="s">
        <v>13</v>
      </c>
      <c r="J3321" s="1" t="s">
        <v>27</v>
      </c>
      <c r="K3321" s="1">
        <v>0</v>
      </c>
      <c r="L3321" s="1" t="s">
        <v>19</v>
      </c>
      <c r="M3321" s="1" t="str">
        <f t="shared" si="52"/>
        <v>Consistent</v>
      </c>
      <c r="N3321" s="1" t="str">
        <f>_xlfn.XLOOKUP(H3321, risk_score!A:A, risk_score!B:B, 0)</f>
        <v>Low Risk</v>
      </c>
    </row>
    <row r="3322" spans="1:14">
      <c r="A3322" s="2">
        <v>0.52754629629629635</v>
      </c>
      <c r="B3322" s="3">
        <v>44841</v>
      </c>
      <c r="C3322" s="1">
        <v>9572566560</v>
      </c>
      <c r="D3322" s="1">
        <v>8764266930</v>
      </c>
      <c r="E3322" s="1">
        <v>1440.22</v>
      </c>
      <c r="F3322" s="1" t="s">
        <v>12</v>
      </c>
      <c r="G3322" s="1" t="s">
        <v>12</v>
      </c>
      <c r="H3322" s="1" t="s">
        <v>13</v>
      </c>
      <c r="I3322" s="1" t="s">
        <v>13</v>
      </c>
      <c r="J3322" s="1" t="s">
        <v>25</v>
      </c>
      <c r="K3322" s="1">
        <v>0</v>
      </c>
      <c r="L3322" s="1" t="s">
        <v>21</v>
      </c>
      <c r="M3322" s="1" t="str">
        <f t="shared" si="52"/>
        <v>Consistent</v>
      </c>
      <c r="N3322" s="1" t="str">
        <f>_xlfn.XLOOKUP(H3322, risk_score!A:A, risk_score!B:B, 0)</f>
        <v>Low Risk</v>
      </c>
    </row>
    <row r="3323" spans="1:14">
      <c r="A3323" s="2">
        <v>0.52756944444444442</v>
      </c>
      <c r="B3323" s="3">
        <v>44841</v>
      </c>
      <c r="C3323" s="1">
        <v>1841229694</v>
      </c>
      <c r="D3323" s="1">
        <v>3576141507</v>
      </c>
      <c r="E3323" s="1">
        <v>1074.79</v>
      </c>
      <c r="F3323" s="1" t="s">
        <v>12</v>
      </c>
      <c r="G3323" s="1" t="s">
        <v>12</v>
      </c>
      <c r="H3323" s="1" t="s">
        <v>13</v>
      </c>
      <c r="I3323" s="1" t="s">
        <v>13</v>
      </c>
      <c r="J3323" s="1" t="s">
        <v>25</v>
      </c>
      <c r="K3323" s="1">
        <v>0</v>
      </c>
      <c r="L3323" s="1" t="s">
        <v>21</v>
      </c>
      <c r="M3323" s="1" t="str">
        <f t="shared" si="52"/>
        <v>Consistent</v>
      </c>
      <c r="N3323" s="1" t="str">
        <f>_xlfn.XLOOKUP(H3323, risk_score!A:A, risk_score!B:B, 0)</f>
        <v>Low Risk</v>
      </c>
    </row>
    <row r="3324" spans="1:14">
      <c r="A3324" s="2">
        <v>0.52756944444444442</v>
      </c>
      <c r="B3324" s="3">
        <v>44841</v>
      </c>
      <c r="C3324" s="1">
        <v>8952177221</v>
      </c>
      <c r="D3324" s="1">
        <v>6424463145</v>
      </c>
      <c r="E3324" s="1">
        <v>12517.79</v>
      </c>
      <c r="F3324" s="1" t="s">
        <v>12</v>
      </c>
      <c r="G3324" s="1" t="s">
        <v>12</v>
      </c>
      <c r="H3324" s="1" t="s">
        <v>13</v>
      </c>
      <c r="I3324" s="1" t="s">
        <v>13</v>
      </c>
      <c r="J3324" s="1" t="s">
        <v>25</v>
      </c>
      <c r="K3324" s="1">
        <v>0</v>
      </c>
      <c r="L3324" s="1" t="s">
        <v>19</v>
      </c>
      <c r="M3324" s="1" t="str">
        <f t="shared" si="52"/>
        <v>Consistent</v>
      </c>
      <c r="N3324" s="1" t="str">
        <f>_xlfn.XLOOKUP(H3324, risk_score!A:A, risk_score!B:B, 0)</f>
        <v>Low Risk</v>
      </c>
    </row>
    <row r="3325" spans="1:14">
      <c r="A3325" s="2">
        <v>0.52758101851851846</v>
      </c>
      <c r="B3325" s="3">
        <v>44841</v>
      </c>
      <c r="C3325" s="1">
        <v>385482166</v>
      </c>
      <c r="D3325" s="1">
        <v>1279455312</v>
      </c>
      <c r="E3325" s="1">
        <v>4042.85</v>
      </c>
      <c r="F3325" s="1" t="s">
        <v>12</v>
      </c>
      <c r="G3325" s="1" t="s">
        <v>12</v>
      </c>
      <c r="H3325" s="1" t="s">
        <v>13</v>
      </c>
      <c r="I3325" s="1" t="s">
        <v>13</v>
      </c>
      <c r="J3325" s="1" t="s">
        <v>20</v>
      </c>
      <c r="K3325" s="1">
        <v>0</v>
      </c>
      <c r="L3325" s="1" t="s">
        <v>21</v>
      </c>
      <c r="M3325" s="1" t="str">
        <f t="shared" si="52"/>
        <v>Consistent</v>
      </c>
      <c r="N3325" s="1" t="str">
        <f>_xlfn.XLOOKUP(H3325, risk_score!A:A, risk_score!B:B, 0)</f>
        <v>Low Risk</v>
      </c>
    </row>
    <row r="3326" spans="1:14">
      <c r="A3326" s="2">
        <v>0.52760416666666665</v>
      </c>
      <c r="B3326" s="3">
        <v>44841</v>
      </c>
      <c r="C3326" s="1">
        <v>4003695330</v>
      </c>
      <c r="D3326" s="1">
        <v>2373413974</v>
      </c>
      <c r="E3326" s="1">
        <v>2120.7199999999998</v>
      </c>
      <c r="F3326" s="1" t="s">
        <v>12</v>
      </c>
      <c r="G3326" s="1" t="s">
        <v>12</v>
      </c>
      <c r="H3326" s="1" t="s">
        <v>13</v>
      </c>
      <c r="I3326" s="1" t="s">
        <v>13</v>
      </c>
      <c r="J3326" s="1" t="s">
        <v>14</v>
      </c>
      <c r="K3326" s="1">
        <v>0</v>
      </c>
      <c r="L3326" s="1" t="s">
        <v>15</v>
      </c>
      <c r="M3326" s="1" t="str">
        <f t="shared" si="52"/>
        <v>Consistent</v>
      </c>
      <c r="N3326" s="1" t="str">
        <f>_xlfn.XLOOKUP(H3326, risk_score!A:A, risk_score!B:B, 0)</f>
        <v>Low Risk</v>
      </c>
    </row>
    <row r="3327" spans="1:14">
      <c r="A3327" s="2">
        <v>0.52765046296296292</v>
      </c>
      <c r="B3327" s="3">
        <v>44841</v>
      </c>
      <c r="C3327" s="1">
        <v>6904668523</v>
      </c>
      <c r="D3327" s="1">
        <v>1546051426</v>
      </c>
      <c r="E3327" s="1">
        <v>5768.2</v>
      </c>
      <c r="F3327" s="1" t="s">
        <v>12</v>
      </c>
      <c r="G3327" s="1" t="s">
        <v>12</v>
      </c>
      <c r="H3327" s="1" t="s">
        <v>13</v>
      </c>
      <c r="I3327" s="1" t="s">
        <v>13</v>
      </c>
      <c r="J3327" s="1" t="s">
        <v>20</v>
      </c>
      <c r="K3327" s="1">
        <v>0</v>
      </c>
      <c r="L3327" s="1" t="s">
        <v>19</v>
      </c>
      <c r="M3327" s="1" t="str">
        <f t="shared" si="52"/>
        <v>Consistent</v>
      </c>
      <c r="N3327" s="1" t="str">
        <f>_xlfn.XLOOKUP(H3327, risk_score!A:A, risk_score!B:B, 0)</f>
        <v>Low Risk</v>
      </c>
    </row>
    <row r="3328" spans="1:14">
      <c r="A3328" s="2">
        <v>0.52767361111111111</v>
      </c>
      <c r="B3328" s="3">
        <v>44841</v>
      </c>
      <c r="C3328" s="1">
        <v>9815218118</v>
      </c>
      <c r="D3328" s="1">
        <v>2279038656</v>
      </c>
      <c r="E3328" s="1">
        <v>10199.6</v>
      </c>
      <c r="F3328" s="1" t="s">
        <v>12</v>
      </c>
      <c r="G3328" s="1" t="s">
        <v>12</v>
      </c>
      <c r="H3328" s="1" t="s">
        <v>13</v>
      </c>
      <c r="I3328" s="1" t="s">
        <v>13</v>
      </c>
      <c r="J3328" s="1" t="s">
        <v>22</v>
      </c>
      <c r="K3328" s="1">
        <v>0</v>
      </c>
      <c r="L3328" s="1" t="s">
        <v>21</v>
      </c>
      <c r="M3328" s="1" t="str">
        <f t="shared" si="52"/>
        <v>Consistent</v>
      </c>
      <c r="N3328" s="1" t="str">
        <f>_xlfn.XLOOKUP(H3328, risk_score!A:A, risk_score!B:B, 0)</f>
        <v>Low Risk</v>
      </c>
    </row>
    <row r="3329" spans="1:14">
      <c r="A3329" s="2">
        <v>0.52768518518518515</v>
      </c>
      <c r="B3329" s="3">
        <v>44841</v>
      </c>
      <c r="C3329" s="1">
        <v>2365007895</v>
      </c>
      <c r="D3329" s="1">
        <v>3606979593</v>
      </c>
      <c r="E3329" s="1">
        <v>5047.09</v>
      </c>
      <c r="F3329" s="1" t="s">
        <v>12</v>
      </c>
      <c r="G3329" s="1" t="s">
        <v>12</v>
      </c>
      <c r="H3329" s="1" t="s">
        <v>13</v>
      </c>
      <c r="I3329" s="1" t="s">
        <v>13</v>
      </c>
      <c r="J3329" s="1" t="s">
        <v>27</v>
      </c>
      <c r="K3329" s="1">
        <v>0</v>
      </c>
      <c r="L3329" s="1" t="s">
        <v>19</v>
      </c>
      <c r="M3329" s="1" t="str">
        <f t="shared" si="52"/>
        <v>Consistent</v>
      </c>
      <c r="N3329" s="1" t="str">
        <f>_xlfn.XLOOKUP(H3329, risk_score!A:A, risk_score!B:B, 0)</f>
        <v>Low Risk</v>
      </c>
    </row>
    <row r="3330" spans="1:14">
      <c r="A3330" s="2">
        <v>0.52768518518518515</v>
      </c>
      <c r="B3330" s="3">
        <v>44841</v>
      </c>
      <c r="C3330" s="1">
        <v>1544260073</v>
      </c>
      <c r="D3330" s="1">
        <v>1257410521</v>
      </c>
      <c r="E3330" s="1">
        <v>6804.84</v>
      </c>
      <c r="F3330" s="1" t="s">
        <v>12</v>
      </c>
      <c r="G3330" s="1" t="s">
        <v>12</v>
      </c>
      <c r="H3330" s="1" t="s">
        <v>13</v>
      </c>
      <c r="I3330" s="1" t="s">
        <v>13</v>
      </c>
      <c r="J3330" s="1" t="s">
        <v>20</v>
      </c>
      <c r="K3330" s="1">
        <v>0</v>
      </c>
      <c r="L3330" s="1" t="s">
        <v>21</v>
      </c>
      <c r="M3330" s="1" t="str">
        <f t="shared" si="52"/>
        <v>Consistent</v>
      </c>
      <c r="N3330" s="1" t="str">
        <f>_xlfn.XLOOKUP(H3330, risk_score!A:A, risk_score!B:B, 0)</f>
        <v>Low Risk</v>
      </c>
    </row>
    <row r="3331" spans="1:14">
      <c r="A3331" s="2">
        <v>0.52771990740740737</v>
      </c>
      <c r="B3331" s="3">
        <v>44841</v>
      </c>
      <c r="C3331" s="1">
        <v>7421451752</v>
      </c>
      <c r="D3331" s="1">
        <v>804519509</v>
      </c>
      <c r="E3331" s="1">
        <v>6154.6</v>
      </c>
      <c r="F3331" s="1" t="s">
        <v>12</v>
      </c>
      <c r="G3331" s="1" t="s">
        <v>12</v>
      </c>
      <c r="H3331" s="1" t="s">
        <v>13</v>
      </c>
      <c r="I3331" s="1" t="s">
        <v>13</v>
      </c>
      <c r="J3331" s="1" t="s">
        <v>22</v>
      </c>
      <c r="K3331" s="1">
        <v>0</v>
      </c>
      <c r="L3331" s="1" t="s">
        <v>19</v>
      </c>
      <c r="M3331" s="1" t="str">
        <f t="shared" si="52"/>
        <v>Consistent</v>
      </c>
      <c r="N3331" s="1" t="str">
        <f>_xlfn.XLOOKUP(H3331, risk_score!A:A, risk_score!B:B, 0)</f>
        <v>Low Risk</v>
      </c>
    </row>
    <row r="3332" spans="1:14">
      <c r="A3332" s="2">
        <v>0.52774305555555556</v>
      </c>
      <c r="B3332" s="3">
        <v>44841</v>
      </c>
      <c r="C3332" s="1">
        <v>390559734</v>
      </c>
      <c r="D3332" s="1">
        <v>8398957312</v>
      </c>
      <c r="E3332" s="1">
        <v>1087.1099999999999</v>
      </c>
      <c r="F3332" s="1" t="s">
        <v>12</v>
      </c>
      <c r="G3332" s="1" t="s">
        <v>12</v>
      </c>
      <c r="H3332" s="1" t="s">
        <v>13</v>
      </c>
      <c r="I3332" s="1" t="s">
        <v>13</v>
      </c>
      <c r="J3332" s="1" t="s">
        <v>20</v>
      </c>
      <c r="K3332" s="1">
        <v>0</v>
      </c>
      <c r="L3332" s="1" t="s">
        <v>21</v>
      </c>
      <c r="M3332" s="1" t="str">
        <f t="shared" si="52"/>
        <v>Consistent</v>
      </c>
      <c r="N3332" s="1" t="str">
        <f>_xlfn.XLOOKUP(H3332, risk_score!A:A, risk_score!B:B, 0)</f>
        <v>Low Risk</v>
      </c>
    </row>
    <row r="3333" spans="1:14">
      <c r="A3333" s="2">
        <v>0.52774305555555556</v>
      </c>
      <c r="B3333" s="3">
        <v>44841</v>
      </c>
      <c r="C3333" s="1">
        <v>8889352506</v>
      </c>
      <c r="D3333" s="1">
        <v>8317083727</v>
      </c>
      <c r="E3333" s="1">
        <v>4428.18</v>
      </c>
      <c r="F3333" s="1" t="s">
        <v>12</v>
      </c>
      <c r="G3333" s="1" t="s">
        <v>12</v>
      </c>
      <c r="H3333" s="1" t="s">
        <v>13</v>
      </c>
      <c r="I3333" s="1" t="s">
        <v>13</v>
      </c>
      <c r="J3333" s="1" t="s">
        <v>22</v>
      </c>
      <c r="K3333" s="1">
        <v>0</v>
      </c>
      <c r="L3333" s="1" t="s">
        <v>21</v>
      </c>
      <c r="M3333" s="1" t="str">
        <f t="shared" si="52"/>
        <v>Consistent</v>
      </c>
      <c r="N3333" s="1" t="str">
        <f>_xlfn.XLOOKUP(H3333, risk_score!A:A, risk_score!B:B, 0)</f>
        <v>Low Risk</v>
      </c>
    </row>
    <row r="3334" spans="1:14">
      <c r="A3334" s="2">
        <v>0.52778935185185183</v>
      </c>
      <c r="B3334" s="3">
        <v>44841</v>
      </c>
      <c r="C3334" s="1">
        <v>5982914936</v>
      </c>
      <c r="D3334" s="1">
        <v>7927090992</v>
      </c>
      <c r="E3334" s="1">
        <v>9518.5400000000009</v>
      </c>
      <c r="F3334" s="1" t="s">
        <v>12</v>
      </c>
      <c r="G3334" s="1" t="s">
        <v>12</v>
      </c>
      <c r="H3334" s="1" t="s">
        <v>13</v>
      </c>
      <c r="I3334" s="1" t="s">
        <v>13</v>
      </c>
      <c r="J3334" s="1" t="s">
        <v>25</v>
      </c>
      <c r="K3334" s="1">
        <v>0</v>
      </c>
      <c r="L3334" s="1" t="s">
        <v>19</v>
      </c>
      <c r="M3334" s="1" t="str">
        <f t="shared" si="52"/>
        <v>Consistent</v>
      </c>
      <c r="N3334" s="1" t="str">
        <f>_xlfn.XLOOKUP(H3334, risk_score!A:A, risk_score!B:B, 0)</f>
        <v>Low Risk</v>
      </c>
    </row>
    <row r="3335" spans="1:14">
      <c r="A3335" s="2">
        <v>0.52778935185185183</v>
      </c>
      <c r="B3335" s="3">
        <v>44841</v>
      </c>
      <c r="C3335" s="1">
        <v>3507801402</v>
      </c>
      <c r="D3335" s="1">
        <v>339957925</v>
      </c>
      <c r="E3335" s="1">
        <v>1292.74</v>
      </c>
      <c r="F3335" s="1" t="s">
        <v>12</v>
      </c>
      <c r="G3335" s="1" t="s">
        <v>12</v>
      </c>
      <c r="H3335" s="1" t="s">
        <v>13</v>
      </c>
      <c r="I3335" s="1" t="s">
        <v>13</v>
      </c>
      <c r="J3335" s="1" t="s">
        <v>14</v>
      </c>
      <c r="K3335" s="1">
        <v>0</v>
      </c>
      <c r="L3335" s="1" t="s">
        <v>15</v>
      </c>
      <c r="M3335" s="1" t="str">
        <f t="shared" si="52"/>
        <v>Consistent</v>
      </c>
      <c r="N3335" s="1" t="str">
        <f>_xlfn.XLOOKUP(H3335, risk_score!A:A, risk_score!B:B, 0)</f>
        <v>Low Risk</v>
      </c>
    </row>
    <row r="3336" spans="1:14">
      <c r="A3336" s="2">
        <v>0.52781250000000002</v>
      </c>
      <c r="B3336" s="3">
        <v>44841</v>
      </c>
      <c r="C3336" s="1">
        <v>957360795</v>
      </c>
      <c r="D3336" s="1">
        <v>9875305912</v>
      </c>
      <c r="E3336" s="1">
        <v>3671.77</v>
      </c>
      <c r="F3336" s="1" t="s">
        <v>12</v>
      </c>
      <c r="G3336" s="1" t="s">
        <v>12</v>
      </c>
      <c r="H3336" s="1" t="s">
        <v>13</v>
      </c>
      <c r="I3336" s="1" t="s">
        <v>13</v>
      </c>
      <c r="J3336" s="1" t="s">
        <v>14</v>
      </c>
      <c r="K3336" s="1">
        <v>0</v>
      </c>
      <c r="L3336" s="1" t="s">
        <v>15</v>
      </c>
      <c r="M3336" s="1" t="str">
        <f t="shared" si="52"/>
        <v>Consistent</v>
      </c>
      <c r="N3336" s="1" t="str">
        <f>_xlfn.XLOOKUP(H3336, risk_score!A:A, risk_score!B:B, 0)</f>
        <v>Low Risk</v>
      </c>
    </row>
    <row r="3337" spans="1:14">
      <c r="A3337" s="2">
        <v>0.52781250000000002</v>
      </c>
      <c r="B3337" s="3">
        <v>44841</v>
      </c>
      <c r="C3337" s="1">
        <v>4584816078</v>
      </c>
      <c r="D3337" s="1">
        <v>1567901533</v>
      </c>
      <c r="E3337" s="1">
        <v>11575.8</v>
      </c>
      <c r="F3337" s="1" t="s">
        <v>12</v>
      </c>
      <c r="G3337" s="1" t="s">
        <v>12</v>
      </c>
      <c r="H3337" s="1" t="s">
        <v>13</v>
      </c>
      <c r="I3337" s="1" t="s">
        <v>13</v>
      </c>
      <c r="J3337" s="1" t="s">
        <v>20</v>
      </c>
      <c r="K3337" s="1">
        <v>0</v>
      </c>
      <c r="L3337" s="1" t="s">
        <v>21</v>
      </c>
      <c r="M3337" s="1" t="str">
        <f t="shared" si="52"/>
        <v>Consistent</v>
      </c>
      <c r="N3337" s="1" t="str">
        <f>_xlfn.XLOOKUP(H3337, risk_score!A:A, risk_score!B:B, 0)</f>
        <v>Low Risk</v>
      </c>
    </row>
    <row r="3338" spans="1:14">
      <c r="A3338" s="2">
        <v>0.52781250000000002</v>
      </c>
      <c r="B3338" s="3">
        <v>44841</v>
      </c>
      <c r="C3338" s="1">
        <v>1187466972</v>
      </c>
      <c r="D3338" s="1">
        <v>4327749491</v>
      </c>
      <c r="E3338" s="1">
        <v>3945.09</v>
      </c>
      <c r="F3338" s="1" t="s">
        <v>12</v>
      </c>
      <c r="G3338" s="1" t="s">
        <v>12</v>
      </c>
      <c r="H3338" s="1" t="s">
        <v>13</v>
      </c>
      <c r="I3338" s="1" t="s">
        <v>13</v>
      </c>
      <c r="J3338" s="1" t="s">
        <v>22</v>
      </c>
      <c r="K3338" s="1">
        <v>0</v>
      </c>
      <c r="L3338" s="1" t="s">
        <v>21</v>
      </c>
      <c r="M3338" s="1" t="str">
        <f t="shared" si="52"/>
        <v>Consistent</v>
      </c>
      <c r="N3338" s="1" t="str">
        <f>_xlfn.XLOOKUP(H3338, risk_score!A:A, risk_score!B:B, 0)</f>
        <v>Low Risk</v>
      </c>
    </row>
    <row r="3339" spans="1:14">
      <c r="A3339" s="2">
        <v>0.5278356481481481</v>
      </c>
      <c r="B3339" s="3">
        <v>44841</v>
      </c>
      <c r="C3339" s="1">
        <v>6001865154</v>
      </c>
      <c r="D3339" s="1">
        <v>3171998828</v>
      </c>
      <c r="E3339" s="1">
        <v>2457.77</v>
      </c>
      <c r="F3339" s="1" t="s">
        <v>12</v>
      </c>
      <c r="G3339" s="1" t="s">
        <v>12</v>
      </c>
      <c r="H3339" s="1" t="s">
        <v>13</v>
      </c>
      <c r="I3339" s="1" t="s">
        <v>13</v>
      </c>
      <c r="J3339" s="1" t="s">
        <v>27</v>
      </c>
      <c r="K3339" s="1">
        <v>0</v>
      </c>
      <c r="L3339" s="1" t="s">
        <v>21</v>
      </c>
      <c r="M3339" s="1" t="str">
        <f t="shared" si="52"/>
        <v>Consistent</v>
      </c>
      <c r="N3339" s="1" t="str">
        <f>_xlfn.XLOOKUP(H3339, risk_score!A:A, risk_score!B:B, 0)</f>
        <v>Low Risk</v>
      </c>
    </row>
    <row r="3340" spans="1:14">
      <c r="A3340" s="2">
        <v>0.5278356481481481</v>
      </c>
      <c r="B3340" s="3">
        <v>44841</v>
      </c>
      <c r="C3340" s="1">
        <v>2439706215</v>
      </c>
      <c r="D3340" s="1">
        <v>3590124164</v>
      </c>
      <c r="E3340" s="1">
        <v>7353.07</v>
      </c>
      <c r="F3340" s="1" t="s">
        <v>12</v>
      </c>
      <c r="G3340" s="1" t="s">
        <v>12</v>
      </c>
      <c r="H3340" s="1" t="s">
        <v>13</v>
      </c>
      <c r="I3340" s="1" t="s">
        <v>13</v>
      </c>
      <c r="J3340" s="1" t="s">
        <v>25</v>
      </c>
      <c r="K3340" s="1">
        <v>0</v>
      </c>
      <c r="L3340" s="1" t="s">
        <v>21</v>
      </c>
      <c r="M3340" s="1" t="str">
        <f t="shared" si="52"/>
        <v>Consistent</v>
      </c>
      <c r="N3340" s="1" t="str">
        <f>_xlfn.XLOOKUP(H3340, risk_score!A:A, risk_score!B:B, 0)</f>
        <v>Low Risk</v>
      </c>
    </row>
    <row r="3341" spans="1:14">
      <c r="A3341" s="2">
        <v>0.52785879629629628</v>
      </c>
      <c r="B3341" s="3">
        <v>44841</v>
      </c>
      <c r="C3341" s="1">
        <v>3709430533</v>
      </c>
      <c r="D3341" s="1">
        <v>8223450970</v>
      </c>
      <c r="E3341" s="1">
        <v>5144.6899999999996</v>
      </c>
      <c r="F3341" s="1" t="s">
        <v>12</v>
      </c>
      <c r="G3341" s="1" t="s">
        <v>12</v>
      </c>
      <c r="H3341" s="1" t="s">
        <v>13</v>
      </c>
      <c r="I3341" s="1" t="s">
        <v>13</v>
      </c>
      <c r="J3341" s="1" t="s">
        <v>25</v>
      </c>
      <c r="K3341" s="1">
        <v>0</v>
      </c>
      <c r="L3341" s="1" t="s">
        <v>19</v>
      </c>
      <c r="M3341" s="1" t="str">
        <f t="shared" si="52"/>
        <v>Consistent</v>
      </c>
      <c r="N3341" s="1" t="str">
        <f>_xlfn.XLOOKUP(H3341, risk_score!A:A, risk_score!B:B, 0)</f>
        <v>Low Risk</v>
      </c>
    </row>
    <row r="3342" spans="1:14">
      <c r="A3342" s="2">
        <v>0.52787037037037032</v>
      </c>
      <c r="B3342" s="3">
        <v>44841</v>
      </c>
      <c r="C3342" s="1">
        <v>1915450576</v>
      </c>
      <c r="D3342" s="1">
        <v>6338941383</v>
      </c>
      <c r="E3342" s="1">
        <v>6274.52</v>
      </c>
      <c r="F3342" s="1" t="s">
        <v>12</v>
      </c>
      <c r="G3342" s="1" t="s">
        <v>12</v>
      </c>
      <c r="H3342" s="1" t="s">
        <v>13</v>
      </c>
      <c r="I3342" s="1" t="s">
        <v>13</v>
      </c>
      <c r="J3342" s="1" t="s">
        <v>25</v>
      </c>
      <c r="K3342" s="1">
        <v>0</v>
      </c>
      <c r="L3342" s="1" t="s">
        <v>19</v>
      </c>
      <c r="M3342" s="1" t="str">
        <f t="shared" si="52"/>
        <v>Consistent</v>
      </c>
      <c r="N3342" s="1" t="str">
        <f>_xlfn.XLOOKUP(H3342, risk_score!A:A, risk_score!B:B, 0)</f>
        <v>Low Risk</v>
      </c>
    </row>
    <row r="3343" spans="1:14">
      <c r="A3343" s="2">
        <v>0.52792824074074074</v>
      </c>
      <c r="B3343" s="3">
        <v>44841</v>
      </c>
      <c r="C3343" s="1">
        <v>6141867583</v>
      </c>
      <c r="D3343" s="1">
        <v>7395120841</v>
      </c>
      <c r="E3343" s="1">
        <v>329.68</v>
      </c>
      <c r="F3343" s="1" t="s">
        <v>12</v>
      </c>
      <c r="G3343" s="1" t="s">
        <v>12</v>
      </c>
      <c r="H3343" s="1" t="s">
        <v>13</v>
      </c>
      <c r="I3343" s="1" t="s">
        <v>13</v>
      </c>
      <c r="J3343" s="1" t="s">
        <v>22</v>
      </c>
      <c r="K3343" s="1">
        <v>0</v>
      </c>
      <c r="L3343" s="1" t="s">
        <v>21</v>
      </c>
      <c r="M3343" s="1" t="str">
        <f t="shared" si="52"/>
        <v>Consistent</v>
      </c>
      <c r="N3343" s="1" t="str">
        <f>_xlfn.XLOOKUP(H3343, risk_score!A:A, risk_score!B:B, 0)</f>
        <v>Low Risk</v>
      </c>
    </row>
    <row r="3344" spans="1:14">
      <c r="A3344" s="2">
        <v>0.52795138888888893</v>
      </c>
      <c r="B3344" s="3">
        <v>44841</v>
      </c>
      <c r="C3344" s="1">
        <v>675669049</v>
      </c>
      <c r="D3344" s="1">
        <v>6744312059</v>
      </c>
      <c r="E3344" s="1">
        <v>9517.66</v>
      </c>
      <c r="F3344" s="1" t="s">
        <v>12</v>
      </c>
      <c r="G3344" s="1" t="s">
        <v>12</v>
      </c>
      <c r="H3344" s="1" t="s">
        <v>13</v>
      </c>
      <c r="I3344" s="1" t="s">
        <v>13</v>
      </c>
      <c r="J3344" s="1" t="s">
        <v>27</v>
      </c>
      <c r="K3344" s="1">
        <v>0</v>
      </c>
      <c r="L3344" s="1" t="s">
        <v>19</v>
      </c>
      <c r="M3344" s="1" t="str">
        <f t="shared" si="52"/>
        <v>Consistent</v>
      </c>
      <c r="N3344" s="1" t="str">
        <f>_xlfn.XLOOKUP(H3344, risk_score!A:A, risk_score!B:B, 0)</f>
        <v>Low Risk</v>
      </c>
    </row>
    <row r="3345" spans="1:14">
      <c r="A3345" s="2">
        <v>0.52798611111111116</v>
      </c>
      <c r="B3345" s="3">
        <v>44841</v>
      </c>
      <c r="C3345" s="1">
        <v>1518281622</v>
      </c>
      <c r="D3345" s="1">
        <v>2304768092</v>
      </c>
      <c r="E3345" s="1">
        <v>2843.77</v>
      </c>
      <c r="F3345" s="1" t="s">
        <v>46</v>
      </c>
      <c r="G3345" s="1" t="s">
        <v>12</v>
      </c>
      <c r="H3345" s="1" t="s">
        <v>13</v>
      </c>
      <c r="I3345" s="1" t="s">
        <v>13</v>
      </c>
      <c r="J3345" s="1" t="s">
        <v>20</v>
      </c>
      <c r="K3345" s="1">
        <v>0</v>
      </c>
      <c r="L3345" s="1" t="s">
        <v>21</v>
      </c>
      <c r="M3345" s="1" t="str">
        <f t="shared" si="52"/>
        <v>Potential Layering</v>
      </c>
      <c r="N3345" s="1" t="str">
        <f>_xlfn.XLOOKUP(H3345, risk_score!A:A, risk_score!B:B, 0)</f>
        <v>Low Risk</v>
      </c>
    </row>
    <row r="3346" spans="1:14">
      <c r="A3346" s="2">
        <v>0.52800925925925923</v>
      </c>
      <c r="B3346" s="3">
        <v>44841</v>
      </c>
      <c r="C3346" s="1">
        <v>2561021789</v>
      </c>
      <c r="D3346" s="1">
        <v>9019488892</v>
      </c>
      <c r="E3346" s="1">
        <v>521.4</v>
      </c>
      <c r="F3346" s="1" t="s">
        <v>12</v>
      </c>
      <c r="G3346" s="1" t="s">
        <v>12</v>
      </c>
      <c r="H3346" s="1" t="s">
        <v>13</v>
      </c>
      <c r="I3346" s="1" t="s">
        <v>13</v>
      </c>
      <c r="J3346" s="1" t="s">
        <v>27</v>
      </c>
      <c r="K3346" s="1">
        <v>0</v>
      </c>
      <c r="L3346" s="1" t="s">
        <v>21</v>
      </c>
      <c r="M3346" s="1" t="str">
        <f t="shared" si="52"/>
        <v>Consistent</v>
      </c>
      <c r="N3346" s="1" t="str">
        <f>_xlfn.XLOOKUP(H3346, risk_score!A:A, risk_score!B:B, 0)</f>
        <v>Low Risk</v>
      </c>
    </row>
    <row r="3347" spans="1:14">
      <c r="A3347" s="2">
        <v>0.52804398148148146</v>
      </c>
      <c r="B3347" s="3">
        <v>44841</v>
      </c>
      <c r="C3347" s="1">
        <v>5033058785</v>
      </c>
      <c r="D3347" s="1">
        <v>5501451179</v>
      </c>
      <c r="E3347" s="1">
        <v>461.66</v>
      </c>
      <c r="F3347" s="1" t="s">
        <v>12</v>
      </c>
      <c r="G3347" s="1" t="s">
        <v>12</v>
      </c>
      <c r="H3347" s="1" t="s">
        <v>13</v>
      </c>
      <c r="I3347" s="1" t="s">
        <v>13</v>
      </c>
      <c r="J3347" s="1" t="s">
        <v>22</v>
      </c>
      <c r="K3347" s="1">
        <v>0</v>
      </c>
      <c r="L3347" s="1" t="s">
        <v>21</v>
      </c>
      <c r="M3347" s="1" t="str">
        <f t="shared" si="52"/>
        <v>Consistent</v>
      </c>
      <c r="N3347" s="1" t="str">
        <f>_xlfn.XLOOKUP(H3347, risk_score!A:A, risk_score!B:B, 0)</f>
        <v>Low Risk</v>
      </c>
    </row>
    <row r="3348" spans="1:14">
      <c r="A3348" s="2">
        <v>0.52807870370370369</v>
      </c>
      <c r="B3348" s="3">
        <v>44841</v>
      </c>
      <c r="C3348" s="1">
        <v>5333549678</v>
      </c>
      <c r="D3348" s="1">
        <v>7160736915</v>
      </c>
      <c r="E3348" s="1">
        <v>13483.43</v>
      </c>
      <c r="F3348" s="1" t="s">
        <v>12</v>
      </c>
      <c r="G3348" s="1" t="s">
        <v>12</v>
      </c>
      <c r="H3348" s="1" t="s">
        <v>13</v>
      </c>
      <c r="I3348" s="1" t="s">
        <v>13</v>
      </c>
      <c r="J3348" s="1" t="s">
        <v>27</v>
      </c>
      <c r="K3348" s="1">
        <v>0</v>
      </c>
      <c r="L3348" s="1" t="s">
        <v>23</v>
      </c>
      <c r="M3348" s="1" t="str">
        <f t="shared" si="52"/>
        <v>Consistent</v>
      </c>
      <c r="N3348" s="1" t="str">
        <f>_xlfn.XLOOKUP(H3348, risk_score!A:A, risk_score!B:B, 0)</f>
        <v>Low Risk</v>
      </c>
    </row>
    <row r="3349" spans="1:14">
      <c r="A3349" s="2">
        <v>0.52809027777777773</v>
      </c>
      <c r="B3349" s="3">
        <v>44841</v>
      </c>
      <c r="C3349" s="1">
        <v>6057444675</v>
      </c>
      <c r="D3349" s="1">
        <v>8237840407</v>
      </c>
      <c r="E3349" s="1">
        <v>7653.13</v>
      </c>
      <c r="F3349" s="1" t="s">
        <v>12</v>
      </c>
      <c r="G3349" s="1" t="s">
        <v>12</v>
      </c>
      <c r="H3349" s="1" t="s">
        <v>13</v>
      </c>
      <c r="I3349" s="1" t="s">
        <v>13</v>
      </c>
      <c r="J3349" s="1" t="s">
        <v>22</v>
      </c>
      <c r="K3349" s="1">
        <v>0</v>
      </c>
      <c r="L3349" s="1" t="s">
        <v>19</v>
      </c>
      <c r="M3349" s="1" t="str">
        <f t="shared" si="52"/>
        <v>Consistent</v>
      </c>
      <c r="N3349" s="1" t="str">
        <f>_xlfn.XLOOKUP(H3349, risk_score!A:A, risk_score!B:B, 0)</f>
        <v>Low Risk</v>
      </c>
    </row>
    <row r="3350" spans="1:14">
      <c r="A3350" s="2">
        <v>0.52810185185185188</v>
      </c>
      <c r="B3350" s="3">
        <v>44841</v>
      </c>
      <c r="C3350" s="1">
        <v>7421451752</v>
      </c>
      <c r="D3350" s="1">
        <v>6790400322</v>
      </c>
      <c r="E3350" s="1">
        <v>11809.66</v>
      </c>
      <c r="F3350" s="1" t="s">
        <v>12</v>
      </c>
      <c r="G3350" s="1" t="s">
        <v>12</v>
      </c>
      <c r="H3350" s="1" t="s">
        <v>13</v>
      </c>
      <c r="I3350" s="1" t="s">
        <v>13</v>
      </c>
      <c r="J3350" s="1" t="s">
        <v>27</v>
      </c>
      <c r="K3350" s="1">
        <v>0</v>
      </c>
      <c r="L3350" s="1" t="s">
        <v>19</v>
      </c>
      <c r="M3350" s="1" t="str">
        <f t="shared" si="52"/>
        <v>Consistent</v>
      </c>
      <c r="N3350" s="1" t="str">
        <f>_xlfn.XLOOKUP(H3350, risk_score!A:A, risk_score!B:B, 0)</f>
        <v>Low Risk</v>
      </c>
    </row>
    <row r="3351" spans="1:14">
      <c r="A3351" s="2">
        <v>0.52810185185185188</v>
      </c>
      <c r="B3351" s="3">
        <v>44841</v>
      </c>
      <c r="C3351" s="1">
        <v>4438801630</v>
      </c>
      <c r="D3351" s="1">
        <v>6354878016</v>
      </c>
      <c r="E3351" s="1">
        <v>7406.96</v>
      </c>
      <c r="F3351" s="1" t="s">
        <v>12</v>
      </c>
      <c r="G3351" s="1" t="s">
        <v>12</v>
      </c>
      <c r="H3351" s="1" t="s">
        <v>13</v>
      </c>
      <c r="I3351" s="1" t="s">
        <v>13</v>
      </c>
      <c r="J3351" s="1" t="s">
        <v>27</v>
      </c>
      <c r="K3351" s="1">
        <v>0</v>
      </c>
      <c r="L3351" s="1" t="s">
        <v>49</v>
      </c>
      <c r="M3351" s="1" t="str">
        <f t="shared" si="52"/>
        <v>Consistent</v>
      </c>
      <c r="N3351" s="1" t="str">
        <f>_xlfn.XLOOKUP(H3351, risk_score!A:A, risk_score!B:B, 0)</f>
        <v>Low Risk</v>
      </c>
    </row>
    <row r="3352" spans="1:14">
      <c r="A3352" s="2">
        <v>0.52814814814814814</v>
      </c>
      <c r="B3352" s="3">
        <v>44841</v>
      </c>
      <c r="C3352" s="1">
        <v>7512140206</v>
      </c>
      <c r="D3352" s="1">
        <v>6646502650</v>
      </c>
      <c r="E3352" s="1">
        <v>7942.08</v>
      </c>
      <c r="F3352" s="1" t="s">
        <v>12</v>
      </c>
      <c r="G3352" s="1" t="s">
        <v>29</v>
      </c>
      <c r="H3352" s="1" t="s">
        <v>13</v>
      </c>
      <c r="I3352" s="1" t="s">
        <v>31</v>
      </c>
      <c r="J3352" s="1" t="s">
        <v>18</v>
      </c>
      <c r="K3352" s="1">
        <v>0</v>
      </c>
      <c r="L3352" s="1" t="s">
        <v>23</v>
      </c>
      <c r="M3352" s="1" t="str">
        <f t="shared" si="52"/>
        <v>Potential Layering</v>
      </c>
      <c r="N3352" s="1" t="str">
        <f>_xlfn.XLOOKUP(H3352, risk_score!A:A, risk_score!B:B, 0)</f>
        <v>Low Risk</v>
      </c>
    </row>
    <row r="3353" spans="1:14">
      <c r="A3353" s="2">
        <v>0.52818287037037037</v>
      </c>
      <c r="B3353" s="3">
        <v>44841</v>
      </c>
      <c r="C3353" s="1">
        <v>8685260830</v>
      </c>
      <c r="D3353" s="1">
        <v>6992076226</v>
      </c>
      <c r="E3353" s="1">
        <v>1234.1099999999999</v>
      </c>
      <c r="F3353" s="1" t="s">
        <v>12</v>
      </c>
      <c r="G3353" s="1" t="s">
        <v>12</v>
      </c>
      <c r="H3353" s="1" t="s">
        <v>13</v>
      </c>
      <c r="I3353" s="1" t="s">
        <v>13</v>
      </c>
      <c r="J3353" s="1" t="s">
        <v>25</v>
      </c>
      <c r="K3353" s="1">
        <v>0</v>
      </c>
      <c r="L3353" s="1" t="s">
        <v>21</v>
      </c>
      <c r="M3353" s="1" t="str">
        <f t="shared" si="52"/>
        <v>Consistent</v>
      </c>
      <c r="N3353" s="1" t="str">
        <f>_xlfn.XLOOKUP(H3353, risk_score!A:A, risk_score!B:B, 0)</f>
        <v>Low Risk</v>
      </c>
    </row>
    <row r="3354" spans="1:14">
      <c r="A3354" s="2">
        <v>0.52819444444444441</v>
      </c>
      <c r="B3354" s="3">
        <v>44841</v>
      </c>
      <c r="C3354" s="1">
        <v>5693489866</v>
      </c>
      <c r="D3354" s="1">
        <v>3933371170</v>
      </c>
      <c r="E3354" s="1">
        <v>219.37</v>
      </c>
      <c r="F3354" s="1" t="s">
        <v>12</v>
      </c>
      <c r="G3354" s="1" t="s">
        <v>28</v>
      </c>
      <c r="H3354" s="1" t="s">
        <v>13</v>
      </c>
      <c r="I3354" s="1" t="s">
        <v>57</v>
      </c>
      <c r="J3354" s="1" t="s">
        <v>18</v>
      </c>
      <c r="K3354" s="1">
        <v>0</v>
      </c>
      <c r="L3354" s="1" t="s">
        <v>21</v>
      </c>
      <c r="M3354" s="1" t="str">
        <f t="shared" si="52"/>
        <v>Potential Layering</v>
      </c>
      <c r="N3354" s="1" t="str">
        <f>_xlfn.XLOOKUP(H3354, risk_score!A:A, risk_score!B:B, 0)</f>
        <v>Low Risk</v>
      </c>
    </row>
    <row r="3355" spans="1:14">
      <c r="A3355" s="2">
        <v>0.52820601851851856</v>
      </c>
      <c r="B3355" s="3">
        <v>44841</v>
      </c>
      <c r="C3355" s="1">
        <v>7996008706</v>
      </c>
      <c r="D3355" s="1">
        <v>300937002</v>
      </c>
      <c r="E3355" s="1">
        <v>174.8</v>
      </c>
      <c r="F3355" s="1" t="s">
        <v>12</v>
      </c>
      <c r="G3355" s="1" t="s">
        <v>12</v>
      </c>
      <c r="H3355" s="1" t="s">
        <v>13</v>
      </c>
      <c r="I3355" s="1" t="s">
        <v>13</v>
      </c>
      <c r="J3355" s="1" t="s">
        <v>22</v>
      </c>
      <c r="K3355" s="1">
        <v>0</v>
      </c>
      <c r="L3355" s="1" t="s">
        <v>21</v>
      </c>
      <c r="M3355" s="1" t="str">
        <f t="shared" si="52"/>
        <v>Consistent</v>
      </c>
      <c r="N3355" s="1" t="str">
        <f>_xlfn.XLOOKUP(H3355, risk_score!A:A, risk_score!B:B, 0)</f>
        <v>Low Risk</v>
      </c>
    </row>
    <row r="3356" spans="1:14">
      <c r="A3356" s="2">
        <v>0.52820601851851856</v>
      </c>
      <c r="B3356" s="3">
        <v>44841</v>
      </c>
      <c r="C3356" s="1">
        <v>957585424</v>
      </c>
      <c r="D3356" s="1">
        <v>5723255582</v>
      </c>
      <c r="E3356" s="1">
        <v>1856.16</v>
      </c>
      <c r="F3356" s="1" t="s">
        <v>12</v>
      </c>
      <c r="G3356" s="1" t="s">
        <v>12</v>
      </c>
      <c r="H3356" s="1" t="s">
        <v>13</v>
      </c>
      <c r="I3356" s="1" t="s">
        <v>13</v>
      </c>
      <c r="J3356" s="1" t="s">
        <v>20</v>
      </c>
      <c r="K3356" s="1">
        <v>0</v>
      </c>
      <c r="L3356" s="1" t="s">
        <v>21</v>
      </c>
      <c r="M3356" s="1" t="str">
        <f t="shared" si="52"/>
        <v>Consistent</v>
      </c>
      <c r="N3356" s="1" t="str">
        <f>_xlfn.XLOOKUP(H3356, risk_score!A:A, risk_score!B:B, 0)</f>
        <v>Low Risk</v>
      </c>
    </row>
    <row r="3357" spans="1:14">
      <c r="A3357" s="2">
        <v>0.52825231481481483</v>
      </c>
      <c r="B3357" s="3">
        <v>44841</v>
      </c>
      <c r="C3357" s="1">
        <v>3067677162</v>
      </c>
      <c r="D3357" s="1">
        <v>2391437347</v>
      </c>
      <c r="E3357" s="1">
        <v>952.95</v>
      </c>
      <c r="F3357" s="1" t="s">
        <v>12</v>
      </c>
      <c r="G3357" s="1" t="s">
        <v>12</v>
      </c>
      <c r="H3357" s="1" t="s">
        <v>13</v>
      </c>
      <c r="I3357" s="1" t="s">
        <v>13</v>
      </c>
      <c r="J3357" s="1" t="s">
        <v>14</v>
      </c>
      <c r="K3357" s="1">
        <v>0</v>
      </c>
      <c r="L3357" s="1" t="s">
        <v>15</v>
      </c>
      <c r="M3357" s="1" t="str">
        <f t="shared" si="52"/>
        <v>Consistent</v>
      </c>
      <c r="N3357" s="1" t="str">
        <f>_xlfn.XLOOKUP(H3357, risk_score!A:A, risk_score!B:B, 0)</f>
        <v>Low Risk</v>
      </c>
    </row>
    <row r="3358" spans="1:14">
      <c r="A3358" s="2">
        <v>0.52828703703703705</v>
      </c>
      <c r="B3358" s="3">
        <v>44841</v>
      </c>
      <c r="C3358" s="1">
        <v>8389148416</v>
      </c>
      <c r="D3358" s="1">
        <v>5320133137</v>
      </c>
      <c r="E3358" s="1">
        <v>7640.98</v>
      </c>
      <c r="F3358" s="1" t="s">
        <v>12</v>
      </c>
      <c r="G3358" s="1" t="s">
        <v>12</v>
      </c>
      <c r="H3358" s="1" t="s">
        <v>13</v>
      </c>
      <c r="I3358" s="1" t="s">
        <v>13</v>
      </c>
      <c r="J3358" s="1" t="s">
        <v>27</v>
      </c>
      <c r="K3358" s="1">
        <v>0</v>
      </c>
      <c r="L3358" s="1" t="s">
        <v>19</v>
      </c>
      <c r="M3358" s="1" t="str">
        <f t="shared" si="52"/>
        <v>Consistent</v>
      </c>
      <c r="N3358" s="1" t="str">
        <f>_xlfn.XLOOKUP(H3358, risk_score!A:A, risk_score!B:B, 0)</f>
        <v>Low Risk</v>
      </c>
    </row>
    <row r="3359" spans="1:14">
      <c r="A3359" s="2">
        <v>0.52829861111111109</v>
      </c>
      <c r="B3359" s="3">
        <v>44841</v>
      </c>
      <c r="C3359" s="1">
        <v>4326773828</v>
      </c>
      <c r="D3359" s="1">
        <v>7208985535</v>
      </c>
      <c r="E3359" s="1">
        <v>2039.3</v>
      </c>
      <c r="F3359" s="1" t="s">
        <v>42</v>
      </c>
      <c r="G3359" s="1" t="s">
        <v>12</v>
      </c>
      <c r="H3359" s="1" t="s">
        <v>43</v>
      </c>
      <c r="I3359" s="1" t="s">
        <v>13</v>
      </c>
      <c r="J3359" s="1" t="s">
        <v>18</v>
      </c>
      <c r="K3359" s="1">
        <v>0</v>
      </c>
      <c r="L3359" s="1" t="s">
        <v>21</v>
      </c>
      <c r="M3359" s="1" t="str">
        <f t="shared" si="52"/>
        <v>Potential Layering</v>
      </c>
      <c r="N3359" s="1" t="str">
        <f>_xlfn.XLOOKUP(H3359, risk_score!A:A, risk_score!B:B, 0)</f>
        <v>High Risk</v>
      </c>
    </row>
    <row r="3360" spans="1:14">
      <c r="A3360" s="2">
        <v>0.52840277777777778</v>
      </c>
      <c r="B3360" s="3">
        <v>44841</v>
      </c>
      <c r="C3360" s="1">
        <v>1915450576</v>
      </c>
      <c r="D3360" s="1">
        <v>9424448642</v>
      </c>
      <c r="E3360" s="1">
        <v>6204</v>
      </c>
      <c r="F3360" s="1" t="s">
        <v>12</v>
      </c>
      <c r="G3360" s="1" t="s">
        <v>12</v>
      </c>
      <c r="H3360" s="1" t="s">
        <v>13</v>
      </c>
      <c r="I3360" s="1" t="s">
        <v>13</v>
      </c>
      <c r="J3360" s="1" t="s">
        <v>22</v>
      </c>
      <c r="K3360" s="1">
        <v>0</v>
      </c>
      <c r="L3360" s="1" t="s">
        <v>19</v>
      </c>
      <c r="M3360" s="1" t="str">
        <f t="shared" si="52"/>
        <v>Consistent</v>
      </c>
      <c r="N3360" s="1" t="str">
        <f>_xlfn.XLOOKUP(H3360, risk_score!A:A, risk_score!B:B, 0)</f>
        <v>Low Risk</v>
      </c>
    </row>
    <row r="3361" spans="1:14">
      <c r="A3361" s="2">
        <v>0.52840277777777778</v>
      </c>
      <c r="B3361" s="3">
        <v>44841</v>
      </c>
      <c r="C3361" s="1">
        <v>3844336299</v>
      </c>
      <c r="D3361" s="1">
        <v>7160736915</v>
      </c>
      <c r="E3361" s="1">
        <v>10932.16</v>
      </c>
      <c r="F3361" s="1" t="s">
        <v>12</v>
      </c>
      <c r="G3361" s="1" t="s">
        <v>12</v>
      </c>
      <c r="H3361" s="1" t="s">
        <v>13</v>
      </c>
      <c r="I3361" s="1" t="s">
        <v>13</v>
      </c>
      <c r="J3361" s="1" t="s">
        <v>25</v>
      </c>
      <c r="K3361" s="1">
        <v>0</v>
      </c>
      <c r="L3361" s="1" t="s">
        <v>23</v>
      </c>
      <c r="M3361" s="1" t="str">
        <f t="shared" si="52"/>
        <v>Consistent</v>
      </c>
      <c r="N3361" s="1" t="str">
        <f>_xlfn.XLOOKUP(H3361, risk_score!A:A, risk_score!B:B, 0)</f>
        <v>Low Risk</v>
      </c>
    </row>
    <row r="3362" spans="1:14">
      <c r="A3362" s="2">
        <v>0.52841435185185182</v>
      </c>
      <c r="B3362" s="3">
        <v>44841</v>
      </c>
      <c r="C3362" s="1">
        <v>3082885021</v>
      </c>
      <c r="D3362" s="1">
        <v>6096982439</v>
      </c>
      <c r="E3362" s="1">
        <v>4647.53</v>
      </c>
      <c r="F3362" s="1" t="s">
        <v>12</v>
      </c>
      <c r="G3362" s="1" t="s">
        <v>12</v>
      </c>
      <c r="H3362" s="1" t="s">
        <v>13</v>
      </c>
      <c r="I3362" s="1" t="s">
        <v>13</v>
      </c>
      <c r="J3362" s="1" t="s">
        <v>20</v>
      </c>
      <c r="K3362" s="1">
        <v>0</v>
      </c>
      <c r="L3362" s="1" t="s">
        <v>21</v>
      </c>
      <c r="M3362" s="1" t="str">
        <f t="shared" si="52"/>
        <v>Consistent</v>
      </c>
      <c r="N3362" s="1" t="str">
        <f>_xlfn.XLOOKUP(H3362, risk_score!A:A, risk_score!B:B, 0)</f>
        <v>Low Risk</v>
      </c>
    </row>
    <row r="3363" spans="1:14">
      <c r="A3363" s="2">
        <v>0.52842592592592597</v>
      </c>
      <c r="B3363" s="3">
        <v>44841</v>
      </c>
      <c r="C3363" s="1">
        <v>9543957546</v>
      </c>
      <c r="D3363" s="1">
        <v>2508215300</v>
      </c>
      <c r="E3363" s="1">
        <v>1528.57</v>
      </c>
      <c r="F3363" s="1" t="s">
        <v>12</v>
      </c>
      <c r="G3363" s="1" t="s">
        <v>12</v>
      </c>
      <c r="H3363" s="1" t="s">
        <v>13</v>
      </c>
      <c r="I3363" s="1" t="s">
        <v>13</v>
      </c>
      <c r="J3363" s="1" t="s">
        <v>14</v>
      </c>
      <c r="K3363" s="1">
        <v>0</v>
      </c>
      <c r="L3363" s="1" t="s">
        <v>15</v>
      </c>
      <c r="M3363" s="1" t="str">
        <f t="shared" si="52"/>
        <v>Consistent</v>
      </c>
      <c r="N3363" s="1" t="str">
        <f>_xlfn.XLOOKUP(H3363, risk_score!A:A, risk_score!B:B, 0)</f>
        <v>Low Risk</v>
      </c>
    </row>
    <row r="3364" spans="1:14">
      <c r="A3364" s="2">
        <v>0.52844907407407404</v>
      </c>
      <c r="B3364" s="3">
        <v>44841</v>
      </c>
      <c r="C3364" s="1">
        <v>8066978010</v>
      </c>
      <c r="D3364" s="1">
        <v>6271161687</v>
      </c>
      <c r="E3364" s="1">
        <v>7250.37</v>
      </c>
      <c r="F3364" s="1" t="s">
        <v>12</v>
      </c>
      <c r="G3364" s="1" t="s">
        <v>12</v>
      </c>
      <c r="H3364" s="1" t="s">
        <v>13</v>
      </c>
      <c r="I3364" s="1" t="s">
        <v>13</v>
      </c>
      <c r="J3364" s="1" t="s">
        <v>22</v>
      </c>
      <c r="K3364" s="1">
        <v>0</v>
      </c>
      <c r="L3364" s="1" t="s">
        <v>24</v>
      </c>
      <c r="M3364" s="1" t="str">
        <f t="shared" si="52"/>
        <v>Consistent</v>
      </c>
      <c r="N3364" s="1" t="str">
        <f>_xlfn.XLOOKUP(H3364, risk_score!A:A, risk_score!B:B, 0)</f>
        <v>Low Risk</v>
      </c>
    </row>
    <row r="3365" spans="1:14">
      <c r="A3365" s="2">
        <v>0.52846064814814819</v>
      </c>
      <c r="B3365" s="3">
        <v>44841</v>
      </c>
      <c r="C3365" s="1">
        <v>6904668523</v>
      </c>
      <c r="D3365" s="1">
        <v>3540529623</v>
      </c>
      <c r="E3365" s="1">
        <v>9373.31</v>
      </c>
      <c r="F3365" s="1" t="s">
        <v>12</v>
      </c>
      <c r="G3365" s="1" t="s">
        <v>12</v>
      </c>
      <c r="H3365" s="1" t="s">
        <v>13</v>
      </c>
      <c r="I3365" s="1" t="s">
        <v>13</v>
      </c>
      <c r="J3365" s="1" t="s">
        <v>27</v>
      </c>
      <c r="K3365" s="1">
        <v>0</v>
      </c>
      <c r="L3365" s="1" t="s">
        <v>19</v>
      </c>
      <c r="M3365" s="1" t="str">
        <f t="shared" si="52"/>
        <v>Consistent</v>
      </c>
      <c r="N3365" s="1" t="str">
        <f>_xlfn.XLOOKUP(H3365, risk_score!A:A, risk_score!B:B, 0)</f>
        <v>Low Risk</v>
      </c>
    </row>
    <row r="3366" spans="1:14">
      <c r="A3366" s="2">
        <v>0.52850694444444446</v>
      </c>
      <c r="B3366" s="3">
        <v>44841</v>
      </c>
      <c r="C3366" s="1">
        <v>5979365359</v>
      </c>
      <c r="D3366" s="1">
        <v>409707192</v>
      </c>
      <c r="E3366" s="1">
        <v>9698.9599999999991</v>
      </c>
      <c r="F3366" s="1" t="s">
        <v>12</v>
      </c>
      <c r="G3366" s="1" t="s">
        <v>12</v>
      </c>
      <c r="H3366" s="1" t="s">
        <v>13</v>
      </c>
      <c r="I3366" s="1" t="s">
        <v>13</v>
      </c>
      <c r="J3366" s="1" t="s">
        <v>25</v>
      </c>
      <c r="K3366" s="1">
        <v>0</v>
      </c>
      <c r="L3366" s="1" t="s">
        <v>23</v>
      </c>
      <c r="M3366" s="1" t="str">
        <f t="shared" ref="M3366:M3429" si="53">IF(F3366=G3366, "Consistent", "Potential Layering")</f>
        <v>Consistent</v>
      </c>
      <c r="N3366" s="1" t="str">
        <f>_xlfn.XLOOKUP(H3366, risk_score!A:A, risk_score!B:B, 0)</f>
        <v>Low Risk</v>
      </c>
    </row>
    <row r="3367" spans="1:14">
      <c r="A3367" s="2">
        <v>0.52857638888888892</v>
      </c>
      <c r="B3367" s="3">
        <v>44841</v>
      </c>
      <c r="C3367" s="1">
        <v>9762796943</v>
      </c>
      <c r="D3367" s="1">
        <v>1493436023</v>
      </c>
      <c r="E3367" s="1">
        <v>7901.8</v>
      </c>
      <c r="F3367" s="1" t="s">
        <v>12</v>
      </c>
      <c r="G3367" s="1" t="s">
        <v>12</v>
      </c>
      <c r="H3367" s="1" t="s">
        <v>13</v>
      </c>
      <c r="I3367" s="1" t="s">
        <v>13</v>
      </c>
      <c r="J3367" s="1" t="s">
        <v>22</v>
      </c>
      <c r="K3367" s="1">
        <v>0</v>
      </c>
      <c r="L3367" s="1" t="s">
        <v>23</v>
      </c>
      <c r="M3367" s="1" t="str">
        <f t="shared" si="53"/>
        <v>Consistent</v>
      </c>
      <c r="N3367" s="1" t="str">
        <f>_xlfn.XLOOKUP(H3367, risk_score!A:A, risk_score!B:B, 0)</f>
        <v>Low Risk</v>
      </c>
    </row>
    <row r="3368" spans="1:14">
      <c r="A3368" s="2">
        <v>0.52861111111111114</v>
      </c>
      <c r="B3368" s="3">
        <v>44841</v>
      </c>
      <c r="C3368" s="1">
        <v>1151435915</v>
      </c>
      <c r="D3368" s="1">
        <v>7049235868</v>
      </c>
      <c r="E3368" s="1">
        <v>1025.68</v>
      </c>
      <c r="F3368" s="1" t="s">
        <v>12</v>
      </c>
      <c r="G3368" s="1" t="s">
        <v>12</v>
      </c>
      <c r="H3368" s="1" t="s">
        <v>13</v>
      </c>
      <c r="I3368" s="1" t="s">
        <v>13</v>
      </c>
      <c r="J3368" s="1" t="s">
        <v>22</v>
      </c>
      <c r="K3368" s="1">
        <v>0</v>
      </c>
      <c r="L3368" s="1" t="s">
        <v>21</v>
      </c>
      <c r="M3368" s="1" t="str">
        <f t="shared" si="53"/>
        <v>Consistent</v>
      </c>
      <c r="N3368" s="1" t="str">
        <f>_xlfn.XLOOKUP(H3368, risk_score!A:A, risk_score!B:B, 0)</f>
        <v>Low Risk</v>
      </c>
    </row>
    <row r="3369" spans="1:14">
      <c r="A3369" s="2">
        <v>0.52865740740740741</v>
      </c>
      <c r="B3369" s="3">
        <v>44841</v>
      </c>
      <c r="C3369" s="1">
        <v>4121324384</v>
      </c>
      <c r="D3369" s="1">
        <v>148220861</v>
      </c>
      <c r="E3369" s="1">
        <v>4666.17</v>
      </c>
      <c r="F3369" s="1" t="s">
        <v>16</v>
      </c>
      <c r="G3369" s="1" t="s">
        <v>29</v>
      </c>
      <c r="H3369" s="1" t="s">
        <v>30</v>
      </c>
      <c r="I3369" s="1" t="s">
        <v>31</v>
      </c>
      <c r="J3369" s="1" t="s">
        <v>18</v>
      </c>
      <c r="K3369" s="1">
        <v>0</v>
      </c>
      <c r="L3369" s="1" t="s">
        <v>19</v>
      </c>
      <c r="M3369" s="1" t="str">
        <f t="shared" si="53"/>
        <v>Potential Layering</v>
      </c>
      <c r="N3369" s="1" t="str">
        <f>_xlfn.XLOOKUP(H3369, risk_score!A:A, risk_score!B:B, 0)</f>
        <v>Low Risk</v>
      </c>
    </row>
    <row r="3370" spans="1:14">
      <c r="A3370" s="2">
        <v>0.52872685185185186</v>
      </c>
      <c r="B3370" s="3">
        <v>44841</v>
      </c>
      <c r="C3370" s="1">
        <v>2729900088</v>
      </c>
      <c r="D3370" s="1">
        <v>700368446</v>
      </c>
      <c r="E3370" s="1">
        <v>1736.85</v>
      </c>
      <c r="F3370" s="1" t="s">
        <v>12</v>
      </c>
      <c r="G3370" s="1" t="s">
        <v>12</v>
      </c>
      <c r="H3370" s="1" t="s">
        <v>13</v>
      </c>
      <c r="I3370" s="1" t="s">
        <v>13</v>
      </c>
      <c r="J3370" s="1" t="s">
        <v>22</v>
      </c>
      <c r="K3370" s="1">
        <v>0</v>
      </c>
      <c r="L3370" s="1" t="s">
        <v>21</v>
      </c>
      <c r="M3370" s="1" t="str">
        <f t="shared" si="53"/>
        <v>Consistent</v>
      </c>
      <c r="N3370" s="1" t="str">
        <f>_xlfn.XLOOKUP(H3370, risk_score!A:A, risk_score!B:B, 0)</f>
        <v>Low Risk</v>
      </c>
    </row>
    <row r="3371" spans="1:14">
      <c r="A3371" s="2">
        <v>0.5287384259259259</v>
      </c>
      <c r="B3371" s="3">
        <v>44841</v>
      </c>
      <c r="C3371" s="1">
        <v>9945801937</v>
      </c>
      <c r="D3371" s="1">
        <v>3542584170</v>
      </c>
      <c r="E3371" s="1">
        <v>98.52</v>
      </c>
      <c r="F3371" s="1" t="s">
        <v>12</v>
      </c>
      <c r="G3371" s="1" t="s">
        <v>12</v>
      </c>
      <c r="H3371" s="1" t="s">
        <v>13</v>
      </c>
      <c r="I3371" s="1" t="s">
        <v>13</v>
      </c>
      <c r="J3371" s="1" t="s">
        <v>27</v>
      </c>
      <c r="K3371" s="1">
        <v>0</v>
      </c>
      <c r="L3371" s="1" t="s">
        <v>21</v>
      </c>
      <c r="M3371" s="1" t="str">
        <f t="shared" si="53"/>
        <v>Consistent</v>
      </c>
      <c r="N3371" s="1" t="str">
        <f>_xlfn.XLOOKUP(H3371, risk_score!A:A, risk_score!B:B, 0)</f>
        <v>Low Risk</v>
      </c>
    </row>
    <row r="3372" spans="1:14">
      <c r="A3372" s="2">
        <v>0.5287384259259259</v>
      </c>
      <c r="B3372" s="3">
        <v>44841</v>
      </c>
      <c r="C3372" s="1">
        <v>3741000234</v>
      </c>
      <c r="D3372" s="1">
        <v>1377603863</v>
      </c>
      <c r="E3372" s="1">
        <v>22118.65</v>
      </c>
      <c r="F3372" s="1" t="s">
        <v>12</v>
      </c>
      <c r="G3372" s="1" t="s">
        <v>12</v>
      </c>
      <c r="H3372" s="1" t="s">
        <v>13</v>
      </c>
      <c r="I3372" s="1" t="s">
        <v>13</v>
      </c>
      <c r="J3372" s="1" t="s">
        <v>22</v>
      </c>
      <c r="K3372" s="1">
        <v>0</v>
      </c>
      <c r="L3372" s="1" t="s">
        <v>23</v>
      </c>
      <c r="M3372" s="1" t="str">
        <f t="shared" si="53"/>
        <v>Consistent</v>
      </c>
      <c r="N3372" s="1" t="str">
        <f>_xlfn.XLOOKUP(H3372, risk_score!A:A, risk_score!B:B, 0)</f>
        <v>Low Risk</v>
      </c>
    </row>
    <row r="3373" spans="1:14">
      <c r="A3373" s="2">
        <v>0.52883101851851855</v>
      </c>
      <c r="B3373" s="3">
        <v>44841</v>
      </c>
      <c r="C3373" s="1">
        <v>9466225507</v>
      </c>
      <c r="D3373" s="1">
        <v>9752465441</v>
      </c>
      <c r="E3373" s="1">
        <v>6406.29</v>
      </c>
      <c r="F3373" s="1" t="s">
        <v>12</v>
      </c>
      <c r="G3373" s="1" t="s">
        <v>12</v>
      </c>
      <c r="H3373" s="1" t="s">
        <v>13</v>
      </c>
      <c r="I3373" s="1" t="s">
        <v>13</v>
      </c>
      <c r="J3373" s="1" t="s">
        <v>25</v>
      </c>
      <c r="K3373" s="1">
        <v>0</v>
      </c>
      <c r="L3373" s="1" t="s">
        <v>21</v>
      </c>
      <c r="M3373" s="1" t="str">
        <f t="shared" si="53"/>
        <v>Consistent</v>
      </c>
      <c r="N3373" s="1" t="str">
        <f>_xlfn.XLOOKUP(H3373, risk_score!A:A, risk_score!B:B, 0)</f>
        <v>Low Risk</v>
      </c>
    </row>
    <row r="3374" spans="1:14">
      <c r="A3374" s="2">
        <v>0.52887731481481481</v>
      </c>
      <c r="B3374" s="3">
        <v>44841</v>
      </c>
      <c r="C3374" s="1">
        <v>5628028704</v>
      </c>
      <c r="D3374" s="1">
        <v>2416232398</v>
      </c>
      <c r="E3374" s="1">
        <v>418029.64</v>
      </c>
      <c r="F3374" s="1" t="s">
        <v>12</v>
      </c>
      <c r="G3374" s="1" t="s">
        <v>12</v>
      </c>
      <c r="H3374" s="1" t="s">
        <v>13</v>
      </c>
      <c r="I3374" s="1" t="s">
        <v>13</v>
      </c>
      <c r="J3374" s="1" t="s">
        <v>22</v>
      </c>
      <c r="K3374" s="1">
        <v>0</v>
      </c>
      <c r="L3374" s="1" t="s">
        <v>58</v>
      </c>
      <c r="M3374" s="1" t="str">
        <f t="shared" si="53"/>
        <v>Consistent</v>
      </c>
      <c r="N3374" s="1" t="str">
        <f>_xlfn.XLOOKUP(H3374, risk_score!A:A, risk_score!B:B, 0)</f>
        <v>Low Risk</v>
      </c>
    </row>
    <row r="3375" spans="1:14">
      <c r="A3375" s="2">
        <v>0.52892361111111108</v>
      </c>
      <c r="B3375" s="3">
        <v>44841</v>
      </c>
      <c r="C3375" s="1">
        <v>6551259656</v>
      </c>
      <c r="D3375" s="1">
        <v>1269148386</v>
      </c>
      <c r="E3375" s="1">
        <v>118.31</v>
      </c>
      <c r="F3375" s="1" t="s">
        <v>12</v>
      </c>
      <c r="G3375" s="1" t="s">
        <v>12</v>
      </c>
      <c r="H3375" s="1" t="s">
        <v>13</v>
      </c>
      <c r="I3375" s="1" t="s">
        <v>13</v>
      </c>
      <c r="J3375" s="1" t="s">
        <v>25</v>
      </c>
      <c r="K3375" s="1">
        <v>0</v>
      </c>
      <c r="L3375" s="1" t="s">
        <v>21</v>
      </c>
      <c r="M3375" s="1" t="str">
        <f t="shared" si="53"/>
        <v>Consistent</v>
      </c>
      <c r="N3375" s="1" t="str">
        <f>_xlfn.XLOOKUP(H3375, risk_score!A:A, risk_score!B:B, 0)</f>
        <v>Low Risk</v>
      </c>
    </row>
    <row r="3376" spans="1:14">
      <c r="A3376" s="2">
        <v>0.52892361111111108</v>
      </c>
      <c r="B3376" s="3">
        <v>44841</v>
      </c>
      <c r="C3376" s="1">
        <v>964226904</v>
      </c>
      <c r="D3376" s="1">
        <v>1320927231</v>
      </c>
      <c r="E3376" s="1">
        <v>7236.4</v>
      </c>
      <c r="F3376" s="1" t="s">
        <v>12</v>
      </c>
      <c r="G3376" s="1" t="s">
        <v>12</v>
      </c>
      <c r="H3376" s="1" t="s">
        <v>13</v>
      </c>
      <c r="I3376" s="1" t="s">
        <v>13</v>
      </c>
      <c r="J3376" s="1" t="s">
        <v>25</v>
      </c>
      <c r="K3376" s="1">
        <v>0</v>
      </c>
      <c r="L3376" s="1" t="s">
        <v>23</v>
      </c>
      <c r="M3376" s="1" t="str">
        <f t="shared" si="53"/>
        <v>Consistent</v>
      </c>
      <c r="N3376" s="1" t="str">
        <f>_xlfn.XLOOKUP(H3376, risk_score!A:A, risk_score!B:B, 0)</f>
        <v>Low Risk</v>
      </c>
    </row>
    <row r="3377" spans="1:14">
      <c r="A3377" s="2">
        <v>0.52894675925925927</v>
      </c>
      <c r="B3377" s="3">
        <v>44841</v>
      </c>
      <c r="C3377" s="1">
        <v>3168051873</v>
      </c>
      <c r="D3377" s="1">
        <v>6883932008</v>
      </c>
      <c r="E3377" s="1">
        <v>10199.870000000001</v>
      </c>
      <c r="F3377" s="1" t="s">
        <v>12</v>
      </c>
      <c r="G3377" s="1" t="s">
        <v>12</v>
      </c>
      <c r="H3377" s="1" t="s">
        <v>13</v>
      </c>
      <c r="I3377" s="1" t="s">
        <v>13</v>
      </c>
      <c r="J3377" s="1" t="s">
        <v>22</v>
      </c>
      <c r="K3377" s="1">
        <v>0</v>
      </c>
      <c r="L3377" s="1" t="s">
        <v>19</v>
      </c>
      <c r="M3377" s="1" t="str">
        <f t="shared" si="53"/>
        <v>Consistent</v>
      </c>
      <c r="N3377" s="1" t="str">
        <f>_xlfn.XLOOKUP(H3377, risk_score!A:A, risk_score!B:B, 0)</f>
        <v>Low Risk</v>
      </c>
    </row>
    <row r="3378" spans="1:14">
      <c r="A3378" s="2">
        <v>0.52896990740740746</v>
      </c>
      <c r="B3378" s="3">
        <v>44841</v>
      </c>
      <c r="C3378" s="1">
        <v>8865872440</v>
      </c>
      <c r="D3378" s="1">
        <v>1431561040</v>
      </c>
      <c r="E3378" s="1">
        <v>11868.1</v>
      </c>
      <c r="F3378" s="1" t="s">
        <v>12</v>
      </c>
      <c r="G3378" s="1" t="s">
        <v>12</v>
      </c>
      <c r="H3378" s="1" t="s">
        <v>13</v>
      </c>
      <c r="I3378" s="1" t="s">
        <v>13</v>
      </c>
      <c r="J3378" s="1" t="s">
        <v>27</v>
      </c>
      <c r="K3378" s="1">
        <v>0</v>
      </c>
      <c r="L3378" s="1" t="s">
        <v>23</v>
      </c>
      <c r="M3378" s="1" t="str">
        <f t="shared" si="53"/>
        <v>Consistent</v>
      </c>
      <c r="N3378" s="1" t="str">
        <f>_xlfn.XLOOKUP(H3378, risk_score!A:A, risk_score!B:B, 0)</f>
        <v>Low Risk</v>
      </c>
    </row>
    <row r="3379" spans="1:14">
      <c r="A3379" s="2">
        <v>0.52900462962962957</v>
      </c>
      <c r="B3379" s="3">
        <v>44841</v>
      </c>
      <c r="C3379" s="1">
        <v>3614082527</v>
      </c>
      <c r="D3379" s="1">
        <v>7590986319</v>
      </c>
      <c r="E3379" s="1">
        <v>5451.84</v>
      </c>
      <c r="F3379" s="1" t="s">
        <v>12</v>
      </c>
      <c r="G3379" s="1" t="s">
        <v>29</v>
      </c>
      <c r="H3379" s="1" t="s">
        <v>13</v>
      </c>
      <c r="I3379" s="1" t="s">
        <v>30</v>
      </c>
      <c r="J3379" s="1" t="s">
        <v>18</v>
      </c>
      <c r="K3379" s="1">
        <v>0</v>
      </c>
      <c r="L3379" s="1" t="s">
        <v>19</v>
      </c>
      <c r="M3379" s="1" t="str">
        <f t="shared" si="53"/>
        <v>Potential Layering</v>
      </c>
      <c r="N3379" s="1" t="str">
        <f>_xlfn.XLOOKUP(H3379, risk_score!A:A, risk_score!B:B, 0)</f>
        <v>Low Risk</v>
      </c>
    </row>
    <row r="3380" spans="1:14">
      <c r="A3380" s="2">
        <v>0.52900462962962957</v>
      </c>
      <c r="B3380" s="3">
        <v>44841</v>
      </c>
      <c r="C3380" s="1">
        <v>5607688477</v>
      </c>
      <c r="D3380" s="1">
        <v>5858369125</v>
      </c>
      <c r="E3380" s="1">
        <v>9188.9599999999991</v>
      </c>
      <c r="F3380" s="1" t="s">
        <v>12</v>
      </c>
      <c r="G3380" s="1" t="s">
        <v>12</v>
      </c>
      <c r="H3380" s="1" t="s">
        <v>13</v>
      </c>
      <c r="I3380" s="1" t="s">
        <v>13</v>
      </c>
      <c r="J3380" s="1" t="s">
        <v>25</v>
      </c>
      <c r="K3380" s="1">
        <v>0</v>
      </c>
      <c r="L3380" s="1" t="s">
        <v>23</v>
      </c>
      <c r="M3380" s="1" t="str">
        <f t="shared" si="53"/>
        <v>Consistent</v>
      </c>
      <c r="N3380" s="1" t="str">
        <f>_xlfn.XLOOKUP(H3380, risk_score!A:A, risk_score!B:B, 0)</f>
        <v>Low Risk</v>
      </c>
    </row>
    <row r="3381" spans="1:14">
      <c r="A3381" s="2">
        <v>0.5290393518518518</v>
      </c>
      <c r="B3381" s="3">
        <v>44841</v>
      </c>
      <c r="C3381" s="1">
        <v>3639442932</v>
      </c>
      <c r="D3381" s="1">
        <v>3528830157</v>
      </c>
      <c r="E3381" s="1">
        <v>855.89</v>
      </c>
      <c r="F3381" s="1" t="s">
        <v>12</v>
      </c>
      <c r="G3381" s="1" t="s">
        <v>12</v>
      </c>
      <c r="H3381" s="1" t="s">
        <v>13</v>
      </c>
      <c r="I3381" s="1" t="s">
        <v>13</v>
      </c>
      <c r="J3381" s="1" t="s">
        <v>20</v>
      </c>
      <c r="K3381" s="1">
        <v>0</v>
      </c>
      <c r="L3381" s="1" t="s">
        <v>21</v>
      </c>
      <c r="M3381" s="1" t="str">
        <f t="shared" si="53"/>
        <v>Consistent</v>
      </c>
      <c r="N3381" s="1" t="str">
        <f>_xlfn.XLOOKUP(H3381, risk_score!A:A, risk_score!B:B, 0)</f>
        <v>Low Risk</v>
      </c>
    </row>
    <row r="3382" spans="1:14">
      <c r="A3382" s="2">
        <v>0.52905092592592595</v>
      </c>
      <c r="B3382" s="3">
        <v>44841</v>
      </c>
      <c r="C3382" s="1">
        <v>795274746</v>
      </c>
      <c r="D3382" s="1">
        <v>2138505015</v>
      </c>
      <c r="E3382" s="1">
        <v>8543.65</v>
      </c>
      <c r="F3382" s="1" t="s">
        <v>12</v>
      </c>
      <c r="G3382" s="1" t="s">
        <v>16</v>
      </c>
      <c r="H3382" s="1" t="s">
        <v>13</v>
      </c>
      <c r="I3382" s="1" t="s">
        <v>17</v>
      </c>
      <c r="J3382" s="1" t="s">
        <v>18</v>
      </c>
      <c r="K3382" s="1">
        <v>0</v>
      </c>
      <c r="L3382" s="1" t="s">
        <v>23</v>
      </c>
      <c r="M3382" s="1" t="str">
        <f t="shared" si="53"/>
        <v>Potential Layering</v>
      </c>
      <c r="N3382" s="1" t="str">
        <f>_xlfn.XLOOKUP(H3382, risk_score!A:A, risk_score!B:B, 0)</f>
        <v>Low Risk</v>
      </c>
    </row>
    <row r="3383" spans="1:14">
      <c r="A3383" s="2">
        <v>0.52906249999999999</v>
      </c>
      <c r="B3383" s="3">
        <v>44841</v>
      </c>
      <c r="C3383" s="1">
        <v>8282676132</v>
      </c>
      <c r="D3383" s="1">
        <v>1720474513</v>
      </c>
      <c r="E3383" s="1">
        <v>259.48</v>
      </c>
      <c r="F3383" s="1" t="s">
        <v>12</v>
      </c>
      <c r="G3383" s="1" t="s">
        <v>12</v>
      </c>
      <c r="H3383" s="1" t="s">
        <v>13</v>
      </c>
      <c r="I3383" s="1" t="s">
        <v>13</v>
      </c>
      <c r="J3383" s="1" t="s">
        <v>36</v>
      </c>
      <c r="K3383" s="1">
        <v>0</v>
      </c>
      <c r="L3383" s="1" t="s">
        <v>37</v>
      </c>
      <c r="M3383" s="1" t="str">
        <f t="shared" si="53"/>
        <v>Consistent</v>
      </c>
      <c r="N3383" s="1" t="str">
        <f>_xlfn.XLOOKUP(H3383, risk_score!A:A, risk_score!B:B, 0)</f>
        <v>Low Risk</v>
      </c>
    </row>
    <row r="3384" spans="1:14">
      <c r="A3384" s="2">
        <v>0.52908564814814818</v>
      </c>
      <c r="B3384" s="3">
        <v>44841</v>
      </c>
      <c r="C3384" s="1">
        <v>6172939481</v>
      </c>
      <c r="D3384" s="1">
        <v>17166864</v>
      </c>
      <c r="E3384" s="1">
        <v>8531.51</v>
      </c>
      <c r="F3384" s="1" t="s">
        <v>12</v>
      </c>
      <c r="G3384" s="1" t="s">
        <v>12</v>
      </c>
      <c r="H3384" s="1" t="s">
        <v>13</v>
      </c>
      <c r="I3384" s="1" t="s">
        <v>13</v>
      </c>
      <c r="J3384" s="1" t="s">
        <v>25</v>
      </c>
      <c r="K3384" s="1">
        <v>0</v>
      </c>
      <c r="L3384" s="1" t="s">
        <v>21</v>
      </c>
      <c r="M3384" s="1" t="str">
        <f t="shared" si="53"/>
        <v>Consistent</v>
      </c>
      <c r="N3384" s="1" t="str">
        <f>_xlfn.XLOOKUP(H3384, risk_score!A:A, risk_score!B:B, 0)</f>
        <v>Low Risk</v>
      </c>
    </row>
    <row r="3385" spans="1:14">
      <c r="A3385" s="2">
        <v>0.52908564814814818</v>
      </c>
      <c r="B3385" s="3">
        <v>44841</v>
      </c>
      <c r="C3385" s="1">
        <v>373961304</v>
      </c>
      <c r="D3385" s="1">
        <v>1873218023</v>
      </c>
      <c r="E3385" s="1">
        <v>644.30999999999995</v>
      </c>
      <c r="F3385" s="1" t="s">
        <v>12</v>
      </c>
      <c r="G3385" s="1" t="s">
        <v>12</v>
      </c>
      <c r="H3385" s="1" t="s">
        <v>13</v>
      </c>
      <c r="I3385" s="1" t="s">
        <v>13</v>
      </c>
      <c r="J3385" s="1" t="s">
        <v>27</v>
      </c>
      <c r="K3385" s="1">
        <v>0</v>
      </c>
      <c r="L3385" s="1" t="s">
        <v>21</v>
      </c>
      <c r="M3385" s="1" t="str">
        <f t="shared" si="53"/>
        <v>Consistent</v>
      </c>
      <c r="N3385" s="1" t="str">
        <f>_xlfn.XLOOKUP(H3385, risk_score!A:A, risk_score!B:B, 0)</f>
        <v>Low Risk</v>
      </c>
    </row>
    <row r="3386" spans="1:14">
      <c r="A3386" s="2">
        <v>0.52910879629629626</v>
      </c>
      <c r="B3386" s="3">
        <v>44841</v>
      </c>
      <c r="C3386" s="1">
        <v>7442759421</v>
      </c>
      <c r="D3386" s="1">
        <v>8150681561</v>
      </c>
      <c r="E3386" s="1">
        <v>33009.370000000003</v>
      </c>
      <c r="F3386" s="1" t="s">
        <v>12</v>
      </c>
      <c r="G3386" s="1" t="s">
        <v>12</v>
      </c>
      <c r="H3386" s="1" t="s">
        <v>13</v>
      </c>
      <c r="I3386" s="1" t="s">
        <v>13</v>
      </c>
      <c r="J3386" s="1" t="s">
        <v>27</v>
      </c>
      <c r="K3386" s="1">
        <v>0</v>
      </c>
      <c r="L3386" s="1" t="s">
        <v>49</v>
      </c>
      <c r="M3386" s="1" t="str">
        <f t="shared" si="53"/>
        <v>Consistent</v>
      </c>
      <c r="N3386" s="1" t="str">
        <f>_xlfn.XLOOKUP(H3386, risk_score!A:A, risk_score!B:B, 0)</f>
        <v>Low Risk</v>
      </c>
    </row>
    <row r="3387" spans="1:14">
      <c r="A3387" s="2">
        <v>0.52912037037037041</v>
      </c>
      <c r="B3387" s="3">
        <v>44841</v>
      </c>
      <c r="C3387" s="1">
        <v>3796256660</v>
      </c>
      <c r="D3387" s="1">
        <v>3190615169</v>
      </c>
      <c r="E3387" s="1">
        <v>2988.94</v>
      </c>
      <c r="F3387" s="1" t="s">
        <v>12</v>
      </c>
      <c r="G3387" s="1" t="s">
        <v>12</v>
      </c>
      <c r="H3387" s="1" t="s">
        <v>13</v>
      </c>
      <c r="I3387" s="1" t="s">
        <v>13</v>
      </c>
      <c r="J3387" s="1" t="s">
        <v>20</v>
      </c>
      <c r="K3387" s="1">
        <v>0</v>
      </c>
      <c r="L3387" s="1" t="s">
        <v>21</v>
      </c>
      <c r="M3387" s="1" t="str">
        <f t="shared" si="53"/>
        <v>Consistent</v>
      </c>
      <c r="N3387" s="1" t="str">
        <f>_xlfn.XLOOKUP(H3387, risk_score!A:A, risk_score!B:B, 0)</f>
        <v>Low Risk</v>
      </c>
    </row>
    <row r="3388" spans="1:14">
      <c r="A3388" s="2">
        <v>0.52914351851851849</v>
      </c>
      <c r="B3388" s="3">
        <v>44841</v>
      </c>
      <c r="C3388" s="1">
        <v>4271271664</v>
      </c>
      <c r="D3388" s="1">
        <v>6309560791</v>
      </c>
      <c r="E3388" s="1">
        <v>2562.1799999999998</v>
      </c>
      <c r="F3388" s="1" t="s">
        <v>12</v>
      </c>
      <c r="G3388" s="1" t="s">
        <v>12</v>
      </c>
      <c r="H3388" s="1" t="s">
        <v>13</v>
      </c>
      <c r="I3388" s="1" t="s">
        <v>13</v>
      </c>
      <c r="J3388" s="1" t="s">
        <v>25</v>
      </c>
      <c r="K3388" s="1">
        <v>0</v>
      </c>
      <c r="L3388" s="1" t="s">
        <v>21</v>
      </c>
      <c r="M3388" s="1" t="str">
        <f t="shared" si="53"/>
        <v>Consistent</v>
      </c>
      <c r="N3388" s="1" t="str">
        <f>_xlfn.XLOOKUP(H3388, risk_score!A:A, risk_score!B:B, 0)</f>
        <v>Low Risk</v>
      </c>
    </row>
    <row r="3389" spans="1:14">
      <c r="A3389" s="2">
        <v>0.52918981481481486</v>
      </c>
      <c r="B3389" s="3">
        <v>44841</v>
      </c>
      <c r="C3389" s="1">
        <v>348392039</v>
      </c>
      <c r="D3389" s="1">
        <v>4977123092</v>
      </c>
      <c r="E3389" s="1">
        <v>1032.1099999999999</v>
      </c>
      <c r="F3389" s="1" t="s">
        <v>12</v>
      </c>
      <c r="G3389" s="1" t="s">
        <v>12</v>
      </c>
      <c r="H3389" s="1" t="s">
        <v>13</v>
      </c>
      <c r="I3389" s="1" t="s">
        <v>13</v>
      </c>
      <c r="J3389" s="1" t="s">
        <v>20</v>
      </c>
      <c r="K3389" s="1">
        <v>0</v>
      </c>
      <c r="L3389" s="1" t="s">
        <v>24</v>
      </c>
      <c r="M3389" s="1" t="str">
        <f t="shared" si="53"/>
        <v>Consistent</v>
      </c>
      <c r="N3389" s="1" t="str">
        <f>_xlfn.XLOOKUP(H3389, risk_score!A:A, risk_score!B:B, 0)</f>
        <v>Low Risk</v>
      </c>
    </row>
    <row r="3390" spans="1:14">
      <c r="A3390" s="2">
        <v>0.52921296296296294</v>
      </c>
      <c r="B3390" s="3">
        <v>44841</v>
      </c>
      <c r="C3390" s="1">
        <v>8053683950</v>
      </c>
      <c r="D3390" s="1">
        <v>6522784509</v>
      </c>
      <c r="E3390" s="1">
        <v>5956.67</v>
      </c>
      <c r="F3390" s="1" t="s">
        <v>12</v>
      </c>
      <c r="G3390" s="1" t="s">
        <v>12</v>
      </c>
      <c r="H3390" s="1" t="s">
        <v>13</v>
      </c>
      <c r="I3390" s="1" t="s">
        <v>13</v>
      </c>
      <c r="J3390" s="1" t="s">
        <v>22</v>
      </c>
      <c r="K3390" s="1">
        <v>0</v>
      </c>
      <c r="L3390" s="1" t="s">
        <v>38</v>
      </c>
      <c r="M3390" s="1" t="str">
        <f t="shared" si="53"/>
        <v>Consistent</v>
      </c>
      <c r="N3390" s="1" t="str">
        <f>_xlfn.XLOOKUP(H3390, risk_score!A:A, risk_score!B:B, 0)</f>
        <v>Low Risk</v>
      </c>
    </row>
    <row r="3391" spans="1:14">
      <c r="A3391" s="2">
        <v>0.52922453703703709</v>
      </c>
      <c r="B3391" s="3">
        <v>44841</v>
      </c>
      <c r="C3391" s="1">
        <v>5708559613</v>
      </c>
      <c r="D3391" s="1">
        <v>5741860810</v>
      </c>
      <c r="E3391" s="1">
        <v>32184.44</v>
      </c>
      <c r="F3391" s="1" t="s">
        <v>12</v>
      </c>
      <c r="G3391" s="1" t="s">
        <v>12</v>
      </c>
      <c r="H3391" s="1" t="s">
        <v>13</v>
      </c>
      <c r="I3391" s="1" t="s">
        <v>13</v>
      </c>
      <c r="J3391" s="1" t="s">
        <v>25</v>
      </c>
      <c r="K3391" s="1">
        <v>0</v>
      </c>
      <c r="L3391" s="1" t="s">
        <v>21</v>
      </c>
      <c r="M3391" s="1" t="str">
        <f t="shared" si="53"/>
        <v>Consistent</v>
      </c>
      <c r="N3391" s="1" t="str">
        <f>_xlfn.XLOOKUP(H3391, risk_score!A:A, risk_score!B:B, 0)</f>
        <v>Low Risk</v>
      </c>
    </row>
    <row r="3392" spans="1:14">
      <c r="A3392" s="2">
        <v>0.52924768518518517</v>
      </c>
      <c r="B3392" s="3">
        <v>44841</v>
      </c>
      <c r="C3392" s="1">
        <v>6665591208</v>
      </c>
      <c r="D3392" s="1">
        <v>9710838491</v>
      </c>
      <c r="E3392" s="1">
        <v>2644.87</v>
      </c>
      <c r="F3392" s="1" t="s">
        <v>12</v>
      </c>
      <c r="G3392" s="1" t="s">
        <v>12</v>
      </c>
      <c r="H3392" s="1" t="s">
        <v>13</v>
      </c>
      <c r="I3392" s="1" t="s">
        <v>13</v>
      </c>
      <c r="J3392" s="1" t="s">
        <v>14</v>
      </c>
      <c r="K3392" s="1">
        <v>0</v>
      </c>
      <c r="L3392" s="1" t="s">
        <v>15</v>
      </c>
      <c r="M3392" s="1" t="str">
        <f t="shared" si="53"/>
        <v>Consistent</v>
      </c>
      <c r="N3392" s="1" t="str">
        <f>_xlfn.XLOOKUP(H3392, risk_score!A:A, risk_score!B:B, 0)</f>
        <v>Low Risk</v>
      </c>
    </row>
    <row r="3393" spans="1:14">
      <c r="A3393" s="2">
        <v>0.52925925925925921</v>
      </c>
      <c r="B3393" s="3">
        <v>44841</v>
      </c>
      <c r="C3393" s="1">
        <v>8572310683</v>
      </c>
      <c r="D3393" s="1">
        <v>5896180453</v>
      </c>
      <c r="E3393" s="1">
        <v>6158.11</v>
      </c>
      <c r="F3393" s="1" t="s">
        <v>12</v>
      </c>
      <c r="G3393" s="1" t="s">
        <v>12</v>
      </c>
      <c r="H3393" s="1" t="s">
        <v>13</v>
      </c>
      <c r="I3393" s="1" t="s">
        <v>13</v>
      </c>
      <c r="J3393" s="1" t="s">
        <v>25</v>
      </c>
      <c r="K3393" s="1">
        <v>0</v>
      </c>
      <c r="L3393" s="1" t="s">
        <v>23</v>
      </c>
      <c r="M3393" s="1" t="str">
        <f t="shared" si="53"/>
        <v>Consistent</v>
      </c>
      <c r="N3393" s="1" t="str">
        <f>_xlfn.XLOOKUP(H3393, risk_score!A:A, risk_score!B:B, 0)</f>
        <v>Low Risk</v>
      </c>
    </row>
    <row r="3394" spans="1:14">
      <c r="A3394" s="2">
        <v>0.52925925925925921</v>
      </c>
      <c r="B3394" s="3">
        <v>44841</v>
      </c>
      <c r="C3394" s="1">
        <v>1918087522</v>
      </c>
      <c r="D3394" s="1">
        <v>3538220260</v>
      </c>
      <c r="E3394" s="1">
        <v>2815.43</v>
      </c>
      <c r="F3394" s="1" t="s">
        <v>12</v>
      </c>
      <c r="G3394" s="1" t="s">
        <v>12</v>
      </c>
      <c r="H3394" s="1" t="s">
        <v>13</v>
      </c>
      <c r="I3394" s="1" t="s">
        <v>13</v>
      </c>
      <c r="J3394" s="1" t="s">
        <v>20</v>
      </c>
      <c r="K3394" s="1">
        <v>0</v>
      </c>
      <c r="L3394" s="1" t="s">
        <v>21</v>
      </c>
      <c r="M3394" s="1" t="str">
        <f t="shared" si="53"/>
        <v>Consistent</v>
      </c>
      <c r="N3394" s="1" t="str">
        <f>_xlfn.XLOOKUP(H3394, risk_score!A:A, risk_score!B:B, 0)</f>
        <v>Low Risk</v>
      </c>
    </row>
    <row r="3395" spans="1:14">
      <c r="A3395" s="2">
        <v>0.52929398148148143</v>
      </c>
      <c r="B3395" s="3">
        <v>44841</v>
      </c>
      <c r="C3395" s="1">
        <v>8493100501</v>
      </c>
      <c r="D3395" s="1">
        <v>5182741221</v>
      </c>
      <c r="E3395" s="1">
        <v>946.99</v>
      </c>
      <c r="F3395" s="1" t="s">
        <v>12</v>
      </c>
      <c r="G3395" s="1" t="s">
        <v>12</v>
      </c>
      <c r="H3395" s="1" t="s">
        <v>13</v>
      </c>
      <c r="I3395" s="1" t="s">
        <v>13</v>
      </c>
      <c r="J3395" s="1" t="s">
        <v>22</v>
      </c>
      <c r="K3395" s="1">
        <v>0</v>
      </c>
      <c r="L3395" s="1" t="s">
        <v>21</v>
      </c>
      <c r="M3395" s="1" t="str">
        <f t="shared" si="53"/>
        <v>Consistent</v>
      </c>
      <c r="N3395" s="1" t="str">
        <f>_xlfn.XLOOKUP(H3395, risk_score!A:A, risk_score!B:B, 0)</f>
        <v>Low Risk</v>
      </c>
    </row>
    <row r="3396" spans="1:14">
      <c r="A3396" s="2">
        <v>0.52931712962962962</v>
      </c>
      <c r="B3396" s="3">
        <v>44841</v>
      </c>
      <c r="C3396" s="1">
        <v>4784991805</v>
      </c>
      <c r="D3396" s="1">
        <v>1520019731</v>
      </c>
      <c r="E3396" s="1">
        <v>4425.66</v>
      </c>
      <c r="F3396" s="1" t="s">
        <v>12</v>
      </c>
      <c r="G3396" s="1" t="s">
        <v>12</v>
      </c>
      <c r="H3396" s="1" t="s">
        <v>13</v>
      </c>
      <c r="I3396" s="1" t="s">
        <v>13</v>
      </c>
      <c r="J3396" s="1" t="s">
        <v>25</v>
      </c>
      <c r="K3396" s="1">
        <v>0</v>
      </c>
      <c r="L3396" s="1" t="s">
        <v>24</v>
      </c>
      <c r="M3396" s="1" t="str">
        <f t="shared" si="53"/>
        <v>Consistent</v>
      </c>
      <c r="N3396" s="1" t="str">
        <f>_xlfn.XLOOKUP(H3396, risk_score!A:A, risk_score!B:B, 0)</f>
        <v>Low Risk</v>
      </c>
    </row>
    <row r="3397" spans="1:14">
      <c r="A3397" s="2">
        <v>0.52936342592592589</v>
      </c>
      <c r="B3397" s="3">
        <v>44841</v>
      </c>
      <c r="C3397" s="1">
        <v>6803873546</v>
      </c>
      <c r="D3397" s="1">
        <v>7548582439</v>
      </c>
      <c r="E3397" s="1">
        <v>6238.28</v>
      </c>
      <c r="F3397" s="1" t="s">
        <v>12</v>
      </c>
      <c r="G3397" s="1" t="s">
        <v>12</v>
      </c>
      <c r="H3397" s="1" t="s">
        <v>13</v>
      </c>
      <c r="I3397" s="1" t="s">
        <v>13</v>
      </c>
      <c r="J3397" s="1" t="s">
        <v>22</v>
      </c>
      <c r="K3397" s="1">
        <v>0</v>
      </c>
      <c r="L3397" s="1" t="s">
        <v>21</v>
      </c>
      <c r="M3397" s="1" t="str">
        <f t="shared" si="53"/>
        <v>Consistent</v>
      </c>
      <c r="N3397" s="1" t="str">
        <f>_xlfn.XLOOKUP(H3397, risk_score!A:A, risk_score!B:B, 0)</f>
        <v>Low Risk</v>
      </c>
    </row>
    <row r="3398" spans="1:14">
      <c r="A3398" s="2">
        <v>0.52936342592592589</v>
      </c>
      <c r="B3398" s="3">
        <v>44841</v>
      </c>
      <c r="C3398" s="1">
        <v>9909574335</v>
      </c>
      <c r="D3398" s="1">
        <v>2897508498</v>
      </c>
      <c r="E3398" s="1">
        <v>4347.68</v>
      </c>
      <c r="F3398" s="1" t="s">
        <v>12</v>
      </c>
      <c r="G3398" s="1" t="s">
        <v>12</v>
      </c>
      <c r="H3398" s="1" t="s">
        <v>13</v>
      </c>
      <c r="I3398" s="1" t="s">
        <v>13</v>
      </c>
      <c r="J3398" s="1" t="s">
        <v>27</v>
      </c>
      <c r="K3398" s="1">
        <v>0</v>
      </c>
      <c r="L3398" s="1" t="s">
        <v>21</v>
      </c>
      <c r="M3398" s="1" t="str">
        <f t="shared" si="53"/>
        <v>Consistent</v>
      </c>
      <c r="N3398" s="1" t="str">
        <f>_xlfn.XLOOKUP(H3398, risk_score!A:A, risk_score!B:B, 0)</f>
        <v>Low Risk</v>
      </c>
    </row>
    <row r="3399" spans="1:14">
      <c r="A3399" s="2">
        <v>0.52937500000000004</v>
      </c>
      <c r="B3399" s="3">
        <v>44841</v>
      </c>
      <c r="C3399" s="1">
        <v>91914997</v>
      </c>
      <c r="D3399" s="1">
        <v>3661467253</v>
      </c>
      <c r="E3399" s="1">
        <v>273.70999999999998</v>
      </c>
      <c r="F3399" s="1" t="s">
        <v>12</v>
      </c>
      <c r="G3399" s="1" t="s">
        <v>12</v>
      </c>
      <c r="H3399" s="1" t="s">
        <v>13</v>
      </c>
      <c r="I3399" s="1" t="s">
        <v>13</v>
      </c>
      <c r="J3399" s="1" t="s">
        <v>22</v>
      </c>
      <c r="K3399" s="1">
        <v>0</v>
      </c>
      <c r="L3399" s="1" t="s">
        <v>21</v>
      </c>
      <c r="M3399" s="1" t="str">
        <f t="shared" si="53"/>
        <v>Consistent</v>
      </c>
      <c r="N3399" s="1" t="str">
        <f>_xlfn.XLOOKUP(H3399, risk_score!A:A, risk_score!B:B, 0)</f>
        <v>Low Risk</v>
      </c>
    </row>
    <row r="3400" spans="1:14">
      <c r="A3400" s="2">
        <v>0.52943287037037035</v>
      </c>
      <c r="B3400" s="3">
        <v>44841</v>
      </c>
      <c r="C3400" s="1">
        <v>735534497</v>
      </c>
      <c r="D3400" s="1">
        <v>2922700745</v>
      </c>
      <c r="E3400" s="1">
        <v>3279.28</v>
      </c>
      <c r="F3400" s="1" t="s">
        <v>12</v>
      </c>
      <c r="G3400" s="1" t="s">
        <v>12</v>
      </c>
      <c r="H3400" s="1" t="s">
        <v>13</v>
      </c>
      <c r="I3400" s="1" t="s">
        <v>13</v>
      </c>
      <c r="J3400" s="1" t="s">
        <v>27</v>
      </c>
      <c r="K3400" s="1">
        <v>0</v>
      </c>
      <c r="L3400" s="1" t="s">
        <v>24</v>
      </c>
      <c r="M3400" s="1" t="str">
        <f t="shared" si="53"/>
        <v>Consistent</v>
      </c>
      <c r="N3400" s="1" t="str">
        <f>_xlfn.XLOOKUP(H3400, risk_score!A:A, risk_score!B:B, 0)</f>
        <v>Low Risk</v>
      </c>
    </row>
    <row r="3401" spans="1:14">
      <c r="A3401" s="2">
        <v>0.52946759259259257</v>
      </c>
      <c r="B3401" s="3">
        <v>44841</v>
      </c>
      <c r="C3401" s="1">
        <v>3510078932</v>
      </c>
      <c r="D3401" s="1">
        <v>1625701030</v>
      </c>
      <c r="E3401" s="1">
        <v>6292.38</v>
      </c>
      <c r="F3401" s="1" t="s">
        <v>12</v>
      </c>
      <c r="G3401" s="1" t="s">
        <v>12</v>
      </c>
      <c r="H3401" s="1" t="s">
        <v>13</v>
      </c>
      <c r="I3401" s="1" t="s">
        <v>13</v>
      </c>
      <c r="J3401" s="1" t="s">
        <v>22</v>
      </c>
      <c r="K3401" s="1">
        <v>0</v>
      </c>
      <c r="L3401" s="1" t="s">
        <v>19</v>
      </c>
      <c r="M3401" s="1" t="str">
        <f t="shared" si="53"/>
        <v>Consistent</v>
      </c>
      <c r="N3401" s="1" t="str">
        <f>_xlfn.XLOOKUP(H3401, risk_score!A:A, risk_score!B:B, 0)</f>
        <v>Low Risk</v>
      </c>
    </row>
    <row r="3402" spans="1:14">
      <c r="A3402" s="2">
        <v>0.52954861111111107</v>
      </c>
      <c r="B3402" s="3">
        <v>44841</v>
      </c>
      <c r="C3402" s="1">
        <v>8121014003</v>
      </c>
      <c r="D3402" s="1">
        <v>1316458123</v>
      </c>
      <c r="E3402" s="1">
        <v>6559.7</v>
      </c>
      <c r="F3402" s="1" t="s">
        <v>12</v>
      </c>
      <c r="G3402" s="1" t="s">
        <v>34</v>
      </c>
      <c r="H3402" s="1" t="s">
        <v>13</v>
      </c>
      <c r="I3402" s="1" t="s">
        <v>35</v>
      </c>
      <c r="J3402" s="1" t="s">
        <v>18</v>
      </c>
      <c r="K3402" s="1">
        <v>0</v>
      </c>
      <c r="L3402" s="1" t="s">
        <v>23</v>
      </c>
      <c r="M3402" s="1" t="str">
        <f t="shared" si="53"/>
        <v>Potential Layering</v>
      </c>
      <c r="N3402" s="1" t="str">
        <f>_xlfn.XLOOKUP(H3402, risk_score!A:A, risk_score!B:B, 0)</f>
        <v>Low Risk</v>
      </c>
    </row>
    <row r="3403" spans="1:14">
      <c r="A3403" s="2">
        <v>0.52961805555555552</v>
      </c>
      <c r="B3403" s="3">
        <v>44841</v>
      </c>
      <c r="C3403" s="1">
        <v>7758268667</v>
      </c>
      <c r="D3403" s="1">
        <v>9781013421</v>
      </c>
      <c r="E3403" s="1">
        <v>9687.92</v>
      </c>
      <c r="F3403" s="1" t="s">
        <v>12</v>
      </c>
      <c r="G3403" s="1" t="s">
        <v>12</v>
      </c>
      <c r="H3403" s="1" t="s">
        <v>13</v>
      </c>
      <c r="I3403" s="1" t="s">
        <v>13</v>
      </c>
      <c r="J3403" s="1" t="s">
        <v>22</v>
      </c>
      <c r="K3403" s="1">
        <v>0</v>
      </c>
      <c r="L3403" s="1" t="s">
        <v>19</v>
      </c>
      <c r="M3403" s="1" t="str">
        <f t="shared" si="53"/>
        <v>Consistent</v>
      </c>
      <c r="N3403" s="1" t="str">
        <f>_xlfn.XLOOKUP(H3403, risk_score!A:A, risk_score!B:B, 0)</f>
        <v>Low Risk</v>
      </c>
    </row>
    <row r="3404" spans="1:14">
      <c r="A3404" s="2">
        <v>0.52964120370370371</v>
      </c>
      <c r="B3404" s="3">
        <v>44841</v>
      </c>
      <c r="C3404" s="1">
        <v>3670139601</v>
      </c>
      <c r="D3404" s="1">
        <v>9284374487</v>
      </c>
      <c r="E3404" s="1">
        <v>3542.15</v>
      </c>
      <c r="F3404" s="1" t="s">
        <v>12</v>
      </c>
      <c r="G3404" s="1" t="s">
        <v>12</v>
      </c>
      <c r="H3404" s="1" t="s">
        <v>13</v>
      </c>
      <c r="I3404" s="1" t="s">
        <v>13</v>
      </c>
      <c r="J3404" s="1" t="s">
        <v>20</v>
      </c>
      <c r="K3404" s="1">
        <v>0</v>
      </c>
      <c r="L3404" s="1" t="s">
        <v>21</v>
      </c>
      <c r="M3404" s="1" t="str">
        <f t="shared" si="53"/>
        <v>Consistent</v>
      </c>
      <c r="N3404" s="1" t="str">
        <f>_xlfn.XLOOKUP(H3404, risk_score!A:A, risk_score!B:B, 0)</f>
        <v>Low Risk</v>
      </c>
    </row>
    <row r="3405" spans="1:14">
      <c r="A3405" s="2">
        <v>0.52964120370370371</v>
      </c>
      <c r="B3405" s="3">
        <v>44841</v>
      </c>
      <c r="C3405" s="1">
        <v>7192588619</v>
      </c>
      <c r="D3405" s="1">
        <v>5784381078</v>
      </c>
      <c r="E3405" s="1">
        <v>1193.72</v>
      </c>
      <c r="F3405" s="1" t="s">
        <v>12</v>
      </c>
      <c r="G3405" s="1" t="s">
        <v>12</v>
      </c>
      <c r="H3405" s="1" t="s">
        <v>13</v>
      </c>
      <c r="I3405" s="1" t="s">
        <v>13</v>
      </c>
      <c r="J3405" s="1" t="s">
        <v>27</v>
      </c>
      <c r="K3405" s="1">
        <v>0</v>
      </c>
      <c r="L3405" s="1" t="s">
        <v>24</v>
      </c>
      <c r="M3405" s="1" t="str">
        <f t="shared" si="53"/>
        <v>Consistent</v>
      </c>
      <c r="N3405" s="1" t="str">
        <f>_xlfn.XLOOKUP(H3405, risk_score!A:A, risk_score!B:B, 0)</f>
        <v>Low Risk</v>
      </c>
    </row>
    <row r="3406" spans="1:14">
      <c r="A3406" s="2">
        <v>0.52967592592592594</v>
      </c>
      <c r="B3406" s="3">
        <v>44841</v>
      </c>
      <c r="C3406" s="1">
        <v>6116657264</v>
      </c>
      <c r="D3406" s="1">
        <v>1672288255</v>
      </c>
      <c r="E3406" s="1">
        <v>7289.47</v>
      </c>
      <c r="F3406" s="1" t="s">
        <v>12</v>
      </c>
      <c r="G3406" s="1" t="s">
        <v>12</v>
      </c>
      <c r="H3406" s="1" t="s">
        <v>13</v>
      </c>
      <c r="I3406" s="1" t="s">
        <v>13</v>
      </c>
      <c r="J3406" s="1" t="s">
        <v>25</v>
      </c>
      <c r="K3406" s="1">
        <v>0</v>
      </c>
      <c r="L3406" s="1" t="s">
        <v>19</v>
      </c>
      <c r="M3406" s="1" t="str">
        <f t="shared" si="53"/>
        <v>Consistent</v>
      </c>
      <c r="N3406" s="1" t="str">
        <f>_xlfn.XLOOKUP(H3406, risk_score!A:A, risk_score!B:B, 0)</f>
        <v>Low Risk</v>
      </c>
    </row>
    <row r="3407" spans="1:14">
      <c r="A3407" s="2">
        <v>0.52974537037037039</v>
      </c>
      <c r="B3407" s="3">
        <v>44841</v>
      </c>
      <c r="C3407" s="1">
        <v>3238526156</v>
      </c>
      <c r="D3407" s="1">
        <v>1465487567</v>
      </c>
      <c r="E3407" s="1">
        <v>21203.91</v>
      </c>
      <c r="F3407" s="1" t="s">
        <v>12</v>
      </c>
      <c r="G3407" s="1" t="s">
        <v>12</v>
      </c>
      <c r="H3407" s="1" t="s">
        <v>13</v>
      </c>
      <c r="I3407" s="1" t="s">
        <v>13</v>
      </c>
      <c r="J3407" s="1" t="s">
        <v>20</v>
      </c>
      <c r="K3407" s="1">
        <v>0</v>
      </c>
      <c r="L3407" s="1" t="s">
        <v>23</v>
      </c>
      <c r="M3407" s="1" t="str">
        <f t="shared" si="53"/>
        <v>Consistent</v>
      </c>
      <c r="N3407" s="1" t="str">
        <f>_xlfn.XLOOKUP(H3407, risk_score!A:A, risk_score!B:B, 0)</f>
        <v>Low Risk</v>
      </c>
    </row>
    <row r="3408" spans="1:14">
      <c r="A3408" s="2">
        <v>0.52974537037037039</v>
      </c>
      <c r="B3408" s="3">
        <v>44841</v>
      </c>
      <c r="C3408" s="1">
        <v>3459228011</v>
      </c>
      <c r="D3408" s="1">
        <v>9420023151</v>
      </c>
      <c r="E3408" s="1">
        <v>79.77</v>
      </c>
      <c r="F3408" s="1" t="s">
        <v>12</v>
      </c>
      <c r="G3408" s="1" t="s">
        <v>12</v>
      </c>
      <c r="H3408" s="1" t="s">
        <v>13</v>
      </c>
      <c r="I3408" s="1" t="s">
        <v>13</v>
      </c>
      <c r="J3408" s="1" t="s">
        <v>22</v>
      </c>
      <c r="K3408" s="1">
        <v>0</v>
      </c>
      <c r="L3408" s="1" t="s">
        <v>21</v>
      </c>
      <c r="M3408" s="1" t="str">
        <f t="shared" si="53"/>
        <v>Consistent</v>
      </c>
      <c r="N3408" s="1" t="str">
        <f>_xlfn.XLOOKUP(H3408, risk_score!A:A, risk_score!B:B, 0)</f>
        <v>Low Risk</v>
      </c>
    </row>
    <row r="3409" spans="1:14">
      <c r="A3409" s="2">
        <v>0.52978009259259262</v>
      </c>
      <c r="B3409" s="3">
        <v>44841</v>
      </c>
      <c r="C3409" s="1">
        <v>9043338769</v>
      </c>
      <c r="D3409" s="1">
        <v>1299324105</v>
      </c>
      <c r="E3409" s="1">
        <v>8662.33</v>
      </c>
      <c r="F3409" s="1" t="s">
        <v>12</v>
      </c>
      <c r="G3409" s="1" t="s">
        <v>12</v>
      </c>
      <c r="H3409" s="1" t="s">
        <v>13</v>
      </c>
      <c r="I3409" s="1" t="s">
        <v>13</v>
      </c>
      <c r="J3409" s="1" t="s">
        <v>22</v>
      </c>
      <c r="K3409" s="1">
        <v>0</v>
      </c>
      <c r="L3409" s="1" t="s">
        <v>21</v>
      </c>
      <c r="M3409" s="1" t="str">
        <f t="shared" si="53"/>
        <v>Consistent</v>
      </c>
      <c r="N3409" s="1" t="str">
        <f>_xlfn.XLOOKUP(H3409, risk_score!A:A, risk_score!B:B, 0)</f>
        <v>Low Risk</v>
      </c>
    </row>
    <row r="3410" spans="1:14">
      <c r="A3410" s="2">
        <v>0.52978009259259262</v>
      </c>
      <c r="B3410" s="3">
        <v>44841</v>
      </c>
      <c r="C3410" s="1">
        <v>5804227223</v>
      </c>
      <c r="D3410" s="1">
        <v>7047814082</v>
      </c>
      <c r="E3410" s="1">
        <v>1775.87</v>
      </c>
      <c r="F3410" s="1" t="s">
        <v>12</v>
      </c>
      <c r="G3410" s="1" t="s">
        <v>12</v>
      </c>
      <c r="H3410" s="1" t="s">
        <v>13</v>
      </c>
      <c r="I3410" s="1" t="s">
        <v>13</v>
      </c>
      <c r="J3410" s="1" t="s">
        <v>22</v>
      </c>
      <c r="K3410" s="1">
        <v>0</v>
      </c>
      <c r="L3410" s="1" t="s">
        <v>38</v>
      </c>
      <c r="M3410" s="1" t="str">
        <f t="shared" si="53"/>
        <v>Consistent</v>
      </c>
      <c r="N3410" s="1" t="str">
        <f>_xlfn.XLOOKUP(H3410, risk_score!A:A, risk_score!B:B, 0)</f>
        <v>Low Risk</v>
      </c>
    </row>
    <row r="3411" spans="1:14">
      <c r="A3411" s="2">
        <v>0.52982638888888889</v>
      </c>
      <c r="B3411" s="3">
        <v>44841</v>
      </c>
      <c r="C3411" s="1">
        <v>7797425766</v>
      </c>
      <c r="D3411" s="1">
        <v>9874339405</v>
      </c>
      <c r="E3411" s="1">
        <v>8431.85</v>
      </c>
      <c r="F3411" s="1" t="s">
        <v>12</v>
      </c>
      <c r="G3411" s="1" t="s">
        <v>12</v>
      </c>
      <c r="H3411" s="1" t="s">
        <v>13</v>
      </c>
      <c r="I3411" s="1" t="s">
        <v>13</v>
      </c>
      <c r="J3411" s="1" t="s">
        <v>27</v>
      </c>
      <c r="K3411" s="1">
        <v>0</v>
      </c>
      <c r="L3411" s="1" t="s">
        <v>21</v>
      </c>
      <c r="M3411" s="1" t="str">
        <f t="shared" si="53"/>
        <v>Consistent</v>
      </c>
      <c r="N3411" s="1" t="str">
        <f>_xlfn.XLOOKUP(H3411, risk_score!A:A, risk_score!B:B, 0)</f>
        <v>Low Risk</v>
      </c>
    </row>
    <row r="3412" spans="1:14">
      <c r="A3412" s="2">
        <v>0.52983796296296293</v>
      </c>
      <c r="B3412" s="3">
        <v>44841</v>
      </c>
      <c r="C3412" s="1">
        <v>9392700144</v>
      </c>
      <c r="D3412" s="1">
        <v>7713641622</v>
      </c>
      <c r="E3412" s="1">
        <v>9910.85</v>
      </c>
      <c r="F3412" s="1" t="s">
        <v>12</v>
      </c>
      <c r="G3412" s="1" t="s">
        <v>12</v>
      </c>
      <c r="H3412" s="1" t="s">
        <v>13</v>
      </c>
      <c r="I3412" s="1" t="s">
        <v>13</v>
      </c>
      <c r="J3412" s="1" t="s">
        <v>22</v>
      </c>
      <c r="K3412" s="1">
        <v>0</v>
      </c>
      <c r="L3412" s="1" t="s">
        <v>38</v>
      </c>
      <c r="M3412" s="1" t="str">
        <f t="shared" si="53"/>
        <v>Consistent</v>
      </c>
      <c r="N3412" s="1" t="str">
        <f>_xlfn.XLOOKUP(H3412, risk_score!A:A, risk_score!B:B, 0)</f>
        <v>Low Risk</v>
      </c>
    </row>
    <row r="3413" spans="1:14">
      <c r="A3413" s="2">
        <v>0.52984953703703708</v>
      </c>
      <c r="B3413" s="3">
        <v>44841</v>
      </c>
      <c r="C3413" s="1">
        <v>312396354</v>
      </c>
      <c r="D3413" s="1">
        <v>2138505015</v>
      </c>
      <c r="E3413" s="1">
        <v>12598.47</v>
      </c>
      <c r="F3413" s="1" t="s">
        <v>12</v>
      </c>
      <c r="G3413" s="1" t="s">
        <v>16</v>
      </c>
      <c r="H3413" s="1" t="s">
        <v>13</v>
      </c>
      <c r="I3413" s="1" t="s">
        <v>17</v>
      </c>
      <c r="J3413" s="1" t="s">
        <v>18</v>
      </c>
      <c r="K3413" s="1">
        <v>0</v>
      </c>
      <c r="L3413" s="1" t="s">
        <v>23</v>
      </c>
      <c r="M3413" s="1" t="str">
        <f t="shared" si="53"/>
        <v>Potential Layering</v>
      </c>
      <c r="N3413" s="1" t="str">
        <f>_xlfn.XLOOKUP(H3413, risk_score!A:A, risk_score!B:B, 0)</f>
        <v>Low Risk</v>
      </c>
    </row>
    <row r="3414" spans="1:14">
      <c r="A3414" s="2">
        <v>0.5300231481481481</v>
      </c>
      <c r="B3414" s="3">
        <v>44841</v>
      </c>
      <c r="C3414" s="1">
        <v>5804227223</v>
      </c>
      <c r="D3414" s="1">
        <v>7548524701</v>
      </c>
      <c r="E3414" s="1">
        <v>704.55</v>
      </c>
      <c r="F3414" s="1" t="s">
        <v>12</v>
      </c>
      <c r="G3414" s="1" t="s">
        <v>12</v>
      </c>
      <c r="H3414" s="1" t="s">
        <v>13</v>
      </c>
      <c r="I3414" s="1" t="s">
        <v>13</v>
      </c>
      <c r="J3414" s="1" t="s">
        <v>27</v>
      </c>
      <c r="K3414" s="1">
        <v>0</v>
      </c>
      <c r="L3414" s="1" t="s">
        <v>21</v>
      </c>
      <c r="M3414" s="1" t="str">
        <f t="shared" si="53"/>
        <v>Consistent</v>
      </c>
      <c r="N3414" s="1" t="str">
        <f>_xlfn.XLOOKUP(H3414, risk_score!A:A, risk_score!B:B, 0)</f>
        <v>Low Risk</v>
      </c>
    </row>
    <row r="3415" spans="1:14">
      <c r="A3415" s="2">
        <v>0.53004629629629629</v>
      </c>
      <c r="B3415" s="3">
        <v>44841</v>
      </c>
      <c r="C3415" s="1">
        <v>9523952344</v>
      </c>
      <c r="D3415" s="1">
        <v>7148856115</v>
      </c>
      <c r="E3415" s="1">
        <v>1646.99</v>
      </c>
      <c r="F3415" s="1" t="s">
        <v>12</v>
      </c>
      <c r="G3415" s="1" t="s">
        <v>12</v>
      </c>
      <c r="H3415" s="1" t="s">
        <v>13</v>
      </c>
      <c r="I3415" s="1" t="s">
        <v>13</v>
      </c>
      <c r="J3415" s="1" t="s">
        <v>14</v>
      </c>
      <c r="K3415" s="1">
        <v>0</v>
      </c>
      <c r="L3415" s="1" t="s">
        <v>15</v>
      </c>
      <c r="M3415" s="1" t="str">
        <f t="shared" si="53"/>
        <v>Consistent</v>
      </c>
      <c r="N3415" s="1" t="str">
        <f>_xlfn.XLOOKUP(H3415, risk_score!A:A, risk_score!B:B, 0)</f>
        <v>Low Risk</v>
      </c>
    </row>
    <row r="3416" spans="1:14">
      <c r="A3416" s="2">
        <v>0.53013888888888894</v>
      </c>
      <c r="B3416" s="3">
        <v>44841</v>
      </c>
      <c r="C3416" s="1">
        <v>2484231014</v>
      </c>
      <c r="D3416" s="1">
        <v>1465487567</v>
      </c>
      <c r="E3416" s="1">
        <v>7300.93</v>
      </c>
      <c r="F3416" s="1" t="s">
        <v>12</v>
      </c>
      <c r="G3416" s="1" t="s">
        <v>12</v>
      </c>
      <c r="H3416" s="1" t="s">
        <v>13</v>
      </c>
      <c r="I3416" s="1" t="s">
        <v>13</v>
      </c>
      <c r="J3416" s="1" t="s">
        <v>27</v>
      </c>
      <c r="K3416" s="1">
        <v>0</v>
      </c>
      <c r="L3416" s="1" t="s">
        <v>23</v>
      </c>
      <c r="M3416" s="1" t="str">
        <f t="shared" si="53"/>
        <v>Consistent</v>
      </c>
      <c r="N3416" s="1" t="str">
        <f>_xlfn.XLOOKUP(H3416, risk_score!A:A, risk_score!B:B, 0)</f>
        <v>Low Risk</v>
      </c>
    </row>
    <row r="3417" spans="1:14">
      <c r="A3417" s="2">
        <v>0.53015046296296298</v>
      </c>
      <c r="B3417" s="3">
        <v>44841</v>
      </c>
      <c r="C3417" s="1">
        <v>5955159897</v>
      </c>
      <c r="D3417" s="1">
        <v>6034997194</v>
      </c>
      <c r="E3417" s="1">
        <v>13321.52</v>
      </c>
      <c r="F3417" s="1" t="s">
        <v>29</v>
      </c>
      <c r="G3417" s="1" t="s">
        <v>12</v>
      </c>
      <c r="H3417" s="1" t="s">
        <v>50</v>
      </c>
      <c r="I3417" s="1" t="s">
        <v>13</v>
      </c>
      <c r="J3417" s="1" t="s">
        <v>18</v>
      </c>
      <c r="K3417" s="1">
        <v>0</v>
      </c>
      <c r="L3417" s="1" t="s">
        <v>23</v>
      </c>
      <c r="M3417" s="1" t="str">
        <f t="shared" si="53"/>
        <v>Potential Layering</v>
      </c>
      <c r="N3417" s="1" t="str">
        <f>_xlfn.XLOOKUP(H3417, risk_score!A:A, risk_score!B:B, 0)</f>
        <v>Low Risk</v>
      </c>
    </row>
    <row r="3418" spans="1:14">
      <c r="A3418" s="2">
        <v>0.53033564814814815</v>
      </c>
      <c r="B3418" s="3">
        <v>44841</v>
      </c>
      <c r="C3418" s="1">
        <v>6235572522</v>
      </c>
      <c r="D3418" s="1">
        <v>3535201459</v>
      </c>
      <c r="E3418" s="1">
        <v>241.39</v>
      </c>
      <c r="F3418" s="1" t="s">
        <v>12</v>
      </c>
      <c r="G3418" s="1" t="s">
        <v>12</v>
      </c>
      <c r="H3418" s="1" t="s">
        <v>13</v>
      </c>
      <c r="I3418" s="1" t="s">
        <v>13</v>
      </c>
      <c r="J3418" s="1" t="s">
        <v>36</v>
      </c>
      <c r="K3418" s="1">
        <v>0</v>
      </c>
      <c r="L3418" s="1" t="s">
        <v>37</v>
      </c>
      <c r="M3418" s="1" t="str">
        <f t="shared" si="53"/>
        <v>Consistent</v>
      </c>
      <c r="N3418" s="1" t="str">
        <f>_xlfn.XLOOKUP(H3418, risk_score!A:A, risk_score!B:B, 0)</f>
        <v>Low Risk</v>
      </c>
    </row>
    <row r="3419" spans="1:14">
      <c r="A3419" s="2">
        <v>0.53035879629629634</v>
      </c>
      <c r="B3419" s="3">
        <v>44841</v>
      </c>
      <c r="C3419" s="1">
        <v>8003608688</v>
      </c>
      <c r="D3419" s="1">
        <v>6034997194</v>
      </c>
      <c r="E3419" s="1">
        <v>33756.74</v>
      </c>
      <c r="F3419" s="1" t="s">
        <v>12</v>
      </c>
      <c r="G3419" s="1" t="s">
        <v>12</v>
      </c>
      <c r="H3419" s="1" t="s">
        <v>13</v>
      </c>
      <c r="I3419" s="1" t="s">
        <v>13</v>
      </c>
      <c r="J3419" s="1" t="s">
        <v>22</v>
      </c>
      <c r="K3419" s="1">
        <v>0</v>
      </c>
      <c r="L3419" s="1" t="s">
        <v>23</v>
      </c>
      <c r="M3419" s="1" t="str">
        <f t="shared" si="53"/>
        <v>Consistent</v>
      </c>
      <c r="N3419" s="1" t="str">
        <f>_xlfn.XLOOKUP(H3419, risk_score!A:A, risk_score!B:B, 0)</f>
        <v>Low Risk</v>
      </c>
    </row>
    <row r="3420" spans="1:14">
      <c r="A3420" s="2">
        <v>0.53040509259259261</v>
      </c>
      <c r="B3420" s="3">
        <v>44841</v>
      </c>
      <c r="C3420" s="1">
        <v>5151881380</v>
      </c>
      <c r="D3420" s="1">
        <v>8725751410</v>
      </c>
      <c r="E3420" s="1">
        <v>4811.2</v>
      </c>
      <c r="F3420" s="1" t="s">
        <v>12</v>
      </c>
      <c r="G3420" s="1" t="s">
        <v>12</v>
      </c>
      <c r="H3420" s="1" t="s">
        <v>13</v>
      </c>
      <c r="I3420" s="1" t="s">
        <v>13</v>
      </c>
      <c r="J3420" s="1" t="s">
        <v>20</v>
      </c>
      <c r="K3420" s="1">
        <v>0</v>
      </c>
      <c r="L3420" s="1" t="s">
        <v>21</v>
      </c>
      <c r="M3420" s="1" t="str">
        <f t="shared" si="53"/>
        <v>Consistent</v>
      </c>
      <c r="N3420" s="1" t="str">
        <f>_xlfn.XLOOKUP(H3420, risk_score!A:A, risk_score!B:B, 0)</f>
        <v>Low Risk</v>
      </c>
    </row>
    <row r="3421" spans="1:14">
      <c r="A3421" s="2">
        <v>0.53041666666666665</v>
      </c>
      <c r="B3421" s="3">
        <v>44841</v>
      </c>
      <c r="C3421" s="1">
        <v>407290317</v>
      </c>
      <c r="D3421" s="1">
        <v>1165137022</v>
      </c>
      <c r="E3421" s="1">
        <v>8087.83</v>
      </c>
      <c r="F3421" s="1" t="s">
        <v>12</v>
      </c>
      <c r="G3421" s="1" t="s">
        <v>12</v>
      </c>
      <c r="H3421" s="1" t="s">
        <v>13</v>
      </c>
      <c r="I3421" s="1" t="s">
        <v>13</v>
      </c>
      <c r="J3421" s="1" t="s">
        <v>20</v>
      </c>
      <c r="K3421" s="1">
        <v>0</v>
      </c>
      <c r="L3421" s="1" t="s">
        <v>21</v>
      </c>
      <c r="M3421" s="1" t="str">
        <f t="shared" si="53"/>
        <v>Consistent</v>
      </c>
      <c r="N3421" s="1" t="str">
        <f>_xlfn.XLOOKUP(H3421, risk_score!A:A, risk_score!B:B, 0)</f>
        <v>Low Risk</v>
      </c>
    </row>
    <row r="3422" spans="1:14">
      <c r="A3422" s="2">
        <v>0.53047453703703706</v>
      </c>
      <c r="B3422" s="3">
        <v>44841</v>
      </c>
      <c r="C3422" s="1">
        <v>3012603098</v>
      </c>
      <c r="D3422" s="1">
        <v>6428079472</v>
      </c>
      <c r="E3422" s="1">
        <v>1006.1</v>
      </c>
      <c r="F3422" s="1" t="s">
        <v>12</v>
      </c>
      <c r="G3422" s="1" t="s">
        <v>12</v>
      </c>
      <c r="H3422" s="1" t="s">
        <v>13</v>
      </c>
      <c r="I3422" s="1" t="s">
        <v>13</v>
      </c>
      <c r="J3422" s="1" t="s">
        <v>20</v>
      </c>
      <c r="K3422" s="1">
        <v>0</v>
      </c>
      <c r="L3422" s="1" t="s">
        <v>21</v>
      </c>
      <c r="M3422" s="1" t="str">
        <f t="shared" si="53"/>
        <v>Consistent</v>
      </c>
      <c r="N3422" s="1" t="str">
        <f>_xlfn.XLOOKUP(H3422, risk_score!A:A, risk_score!B:B, 0)</f>
        <v>Low Risk</v>
      </c>
    </row>
    <row r="3423" spans="1:14">
      <c r="A3423" s="2">
        <v>0.53049768518518514</v>
      </c>
      <c r="B3423" s="3">
        <v>44841</v>
      </c>
      <c r="C3423" s="1">
        <v>4316483340</v>
      </c>
      <c r="D3423" s="1">
        <v>3488425844</v>
      </c>
      <c r="E3423" s="1">
        <v>6282.38</v>
      </c>
      <c r="F3423" s="1" t="s">
        <v>12</v>
      </c>
      <c r="G3423" s="1" t="s">
        <v>12</v>
      </c>
      <c r="H3423" s="1" t="s">
        <v>13</v>
      </c>
      <c r="I3423" s="1" t="s">
        <v>13</v>
      </c>
      <c r="J3423" s="1" t="s">
        <v>22</v>
      </c>
      <c r="K3423" s="1">
        <v>0</v>
      </c>
      <c r="L3423" s="1" t="s">
        <v>21</v>
      </c>
      <c r="M3423" s="1" t="str">
        <f t="shared" si="53"/>
        <v>Consistent</v>
      </c>
      <c r="N3423" s="1" t="str">
        <f>_xlfn.XLOOKUP(H3423, risk_score!A:A, risk_score!B:B, 0)</f>
        <v>Low Risk</v>
      </c>
    </row>
    <row r="3424" spans="1:14">
      <c r="A3424" s="2">
        <v>0.5305671296296296</v>
      </c>
      <c r="B3424" s="3">
        <v>44841</v>
      </c>
      <c r="C3424" s="1">
        <v>1092702536</v>
      </c>
      <c r="D3424" s="1">
        <v>3220735304</v>
      </c>
      <c r="E3424" s="1">
        <v>19371.89</v>
      </c>
      <c r="F3424" s="1" t="s">
        <v>12</v>
      </c>
      <c r="G3424" s="1" t="s">
        <v>12</v>
      </c>
      <c r="H3424" s="1" t="s">
        <v>13</v>
      </c>
      <c r="I3424" s="1" t="s">
        <v>13</v>
      </c>
      <c r="J3424" s="1" t="s">
        <v>22</v>
      </c>
      <c r="K3424" s="1">
        <v>0</v>
      </c>
      <c r="L3424" s="1" t="s">
        <v>23</v>
      </c>
      <c r="M3424" s="1" t="str">
        <f t="shared" si="53"/>
        <v>Consistent</v>
      </c>
      <c r="N3424" s="1" t="str">
        <f>_xlfn.XLOOKUP(H3424, risk_score!A:A, risk_score!B:B, 0)</f>
        <v>Low Risk</v>
      </c>
    </row>
    <row r="3425" spans="1:14">
      <c r="A3425" s="2">
        <v>0.53057870370370375</v>
      </c>
      <c r="B3425" s="3">
        <v>44841</v>
      </c>
      <c r="C3425" s="1">
        <v>1499166311</v>
      </c>
      <c r="D3425" s="1">
        <v>1911427515</v>
      </c>
      <c r="E3425" s="1">
        <v>1703.31</v>
      </c>
      <c r="F3425" s="1" t="s">
        <v>12</v>
      </c>
      <c r="G3425" s="1" t="s">
        <v>12</v>
      </c>
      <c r="H3425" s="1" t="s">
        <v>13</v>
      </c>
      <c r="I3425" s="1" t="s">
        <v>13</v>
      </c>
      <c r="J3425" s="1" t="s">
        <v>22</v>
      </c>
      <c r="K3425" s="1">
        <v>0</v>
      </c>
      <c r="L3425" s="1" t="s">
        <v>21</v>
      </c>
      <c r="M3425" s="1" t="str">
        <f t="shared" si="53"/>
        <v>Consistent</v>
      </c>
      <c r="N3425" s="1" t="str">
        <f>_xlfn.XLOOKUP(H3425, risk_score!A:A, risk_score!B:B, 0)</f>
        <v>Low Risk</v>
      </c>
    </row>
    <row r="3426" spans="1:14">
      <c r="A3426" s="2">
        <v>0.53059027777777779</v>
      </c>
      <c r="B3426" s="3">
        <v>44841</v>
      </c>
      <c r="C3426" s="1">
        <v>3876523765</v>
      </c>
      <c r="D3426" s="1">
        <v>7979406195</v>
      </c>
      <c r="E3426" s="1">
        <v>508.6</v>
      </c>
      <c r="F3426" s="1" t="s">
        <v>12</v>
      </c>
      <c r="G3426" s="1" t="s">
        <v>12</v>
      </c>
      <c r="H3426" s="1" t="s">
        <v>13</v>
      </c>
      <c r="I3426" s="1" t="s">
        <v>13</v>
      </c>
      <c r="J3426" s="1" t="s">
        <v>14</v>
      </c>
      <c r="K3426" s="1">
        <v>0</v>
      </c>
      <c r="L3426" s="1" t="s">
        <v>15</v>
      </c>
      <c r="M3426" s="1" t="str">
        <f t="shared" si="53"/>
        <v>Consistent</v>
      </c>
      <c r="N3426" s="1" t="str">
        <f>_xlfn.XLOOKUP(H3426, risk_score!A:A, risk_score!B:B, 0)</f>
        <v>Low Risk</v>
      </c>
    </row>
    <row r="3427" spans="1:14">
      <c r="A3427" s="2">
        <v>0.53060185185185182</v>
      </c>
      <c r="B3427" s="3">
        <v>44841</v>
      </c>
      <c r="C3427" s="1">
        <v>8600069993</v>
      </c>
      <c r="D3427" s="1">
        <v>7892884492</v>
      </c>
      <c r="E3427" s="1">
        <v>12379.04</v>
      </c>
      <c r="F3427" s="1" t="s">
        <v>12</v>
      </c>
      <c r="G3427" s="1" t="s">
        <v>32</v>
      </c>
      <c r="H3427" s="1" t="s">
        <v>13</v>
      </c>
      <c r="I3427" s="1" t="s">
        <v>33</v>
      </c>
      <c r="J3427" s="1" t="s">
        <v>18</v>
      </c>
      <c r="K3427" s="1">
        <v>0</v>
      </c>
      <c r="L3427" s="1" t="s">
        <v>23</v>
      </c>
      <c r="M3427" s="1" t="str">
        <f t="shared" si="53"/>
        <v>Potential Layering</v>
      </c>
      <c r="N3427" s="1" t="str">
        <f>_xlfn.XLOOKUP(H3427, risk_score!A:A, risk_score!B:B, 0)</f>
        <v>Low Risk</v>
      </c>
    </row>
    <row r="3428" spans="1:14">
      <c r="A3428" s="2">
        <v>0.53061342592592597</v>
      </c>
      <c r="B3428" s="3">
        <v>44841</v>
      </c>
      <c r="C3428" s="1">
        <v>6648735087</v>
      </c>
      <c r="D3428" s="1">
        <v>6264003209</v>
      </c>
      <c r="E3428" s="1">
        <v>47664.17</v>
      </c>
      <c r="F3428" s="1" t="s">
        <v>12</v>
      </c>
      <c r="G3428" s="1" t="s">
        <v>12</v>
      </c>
      <c r="H3428" s="1" t="s">
        <v>13</v>
      </c>
      <c r="I3428" s="1" t="s">
        <v>13</v>
      </c>
      <c r="J3428" s="1" t="s">
        <v>22</v>
      </c>
      <c r="K3428" s="1">
        <v>0</v>
      </c>
      <c r="L3428" s="1" t="s">
        <v>21</v>
      </c>
      <c r="M3428" s="1" t="str">
        <f t="shared" si="53"/>
        <v>Consistent</v>
      </c>
      <c r="N3428" s="1" t="str">
        <f>_xlfn.XLOOKUP(H3428, risk_score!A:A, risk_score!B:B, 0)</f>
        <v>Low Risk</v>
      </c>
    </row>
    <row r="3429" spans="1:14">
      <c r="A3429" s="2">
        <v>0.53062500000000001</v>
      </c>
      <c r="B3429" s="3">
        <v>44841</v>
      </c>
      <c r="C3429" s="1">
        <v>6156834944</v>
      </c>
      <c r="D3429" s="1">
        <v>8678802420</v>
      </c>
      <c r="E3429" s="1">
        <v>21291.14</v>
      </c>
      <c r="F3429" s="1" t="s">
        <v>12</v>
      </c>
      <c r="G3429" s="1" t="s">
        <v>12</v>
      </c>
      <c r="H3429" s="1" t="s">
        <v>13</v>
      </c>
      <c r="I3429" s="1" t="s">
        <v>13</v>
      </c>
      <c r="J3429" s="1" t="s">
        <v>25</v>
      </c>
      <c r="K3429" s="1">
        <v>0</v>
      </c>
      <c r="L3429" s="1" t="s">
        <v>23</v>
      </c>
      <c r="M3429" s="1" t="str">
        <f t="shared" si="53"/>
        <v>Consistent</v>
      </c>
      <c r="N3429" s="1" t="str">
        <f>_xlfn.XLOOKUP(H3429, risk_score!A:A, risk_score!B:B, 0)</f>
        <v>Low Risk</v>
      </c>
    </row>
    <row r="3430" spans="1:14">
      <c r="A3430" s="2">
        <v>0.53063657407407405</v>
      </c>
      <c r="B3430" s="3">
        <v>44841</v>
      </c>
      <c r="C3430" s="1">
        <v>7501327339</v>
      </c>
      <c r="D3430" s="1">
        <v>4961006135</v>
      </c>
      <c r="E3430" s="1">
        <v>6420.34</v>
      </c>
      <c r="F3430" s="1" t="s">
        <v>12</v>
      </c>
      <c r="G3430" s="1" t="s">
        <v>12</v>
      </c>
      <c r="H3430" s="1" t="s">
        <v>13</v>
      </c>
      <c r="I3430" s="1" t="s">
        <v>13</v>
      </c>
      <c r="J3430" s="1" t="s">
        <v>22</v>
      </c>
      <c r="K3430" s="1">
        <v>0</v>
      </c>
      <c r="L3430" s="1" t="s">
        <v>19</v>
      </c>
      <c r="M3430" s="1" t="str">
        <f t="shared" ref="M3430:M3493" si="54">IF(F3430=G3430, "Consistent", "Potential Layering")</f>
        <v>Consistent</v>
      </c>
      <c r="N3430" s="1" t="str">
        <f>_xlfn.XLOOKUP(H3430, risk_score!A:A, risk_score!B:B, 0)</f>
        <v>Low Risk</v>
      </c>
    </row>
    <row r="3431" spans="1:14">
      <c r="A3431" s="2">
        <v>0.53063657407407405</v>
      </c>
      <c r="B3431" s="3">
        <v>44841</v>
      </c>
      <c r="C3431" s="1">
        <v>596367731</v>
      </c>
      <c r="D3431" s="1">
        <v>5719844228</v>
      </c>
      <c r="E3431" s="1">
        <v>9419.81</v>
      </c>
      <c r="F3431" s="1" t="s">
        <v>12</v>
      </c>
      <c r="G3431" s="1" t="s">
        <v>12</v>
      </c>
      <c r="H3431" s="1" t="s">
        <v>13</v>
      </c>
      <c r="I3431" s="1" t="s">
        <v>13</v>
      </c>
      <c r="J3431" s="1" t="s">
        <v>20</v>
      </c>
      <c r="K3431" s="1">
        <v>0</v>
      </c>
      <c r="L3431" s="1" t="s">
        <v>21</v>
      </c>
      <c r="M3431" s="1" t="str">
        <f t="shared" si="54"/>
        <v>Consistent</v>
      </c>
      <c r="N3431" s="1" t="str">
        <f>_xlfn.XLOOKUP(H3431, risk_score!A:A, risk_score!B:B, 0)</f>
        <v>Low Risk</v>
      </c>
    </row>
    <row r="3432" spans="1:14">
      <c r="A3432" s="2">
        <v>0.5306481481481482</v>
      </c>
      <c r="B3432" s="3">
        <v>44841</v>
      </c>
      <c r="C3432" s="1">
        <v>8017023442</v>
      </c>
      <c r="D3432" s="1">
        <v>2478696011</v>
      </c>
      <c r="E3432" s="1">
        <v>1324.54</v>
      </c>
      <c r="F3432" s="1" t="s">
        <v>12</v>
      </c>
      <c r="G3432" s="1" t="s">
        <v>12</v>
      </c>
      <c r="H3432" s="1" t="s">
        <v>13</v>
      </c>
      <c r="I3432" s="1" t="s">
        <v>13</v>
      </c>
      <c r="J3432" s="1" t="s">
        <v>27</v>
      </c>
      <c r="K3432" s="1">
        <v>0</v>
      </c>
      <c r="L3432" s="1" t="s">
        <v>21</v>
      </c>
      <c r="M3432" s="1" t="str">
        <f t="shared" si="54"/>
        <v>Consistent</v>
      </c>
      <c r="N3432" s="1" t="str">
        <f>_xlfn.XLOOKUP(H3432, risk_score!A:A, risk_score!B:B, 0)</f>
        <v>Low Risk</v>
      </c>
    </row>
    <row r="3433" spans="1:14">
      <c r="A3433" s="2">
        <v>0.53068287037037032</v>
      </c>
      <c r="B3433" s="3">
        <v>44841</v>
      </c>
      <c r="C3433" s="1">
        <v>5223272370</v>
      </c>
      <c r="D3433" s="1">
        <v>1186537090</v>
      </c>
      <c r="E3433" s="1">
        <v>5790.54</v>
      </c>
      <c r="F3433" s="1" t="s">
        <v>12</v>
      </c>
      <c r="G3433" s="1" t="s">
        <v>12</v>
      </c>
      <c r="H3433" s="1" t="s">
        <v>13</v>
      </c>
      <c r="I3433" s="1" t="s">
        <v>13</v>
      </c>
      <c r="J3433" s="1" t="s">
        <v>25</v>
      </c>
      <c r="K3433" s="1">
        <v>0</v>
      </c>
      <c r="L3433" s="1" t="s">
        <v>21</v>
      </c>
      <c r="M3433" s="1" t="str">
        <f t="shared" si="54"/>
        <v>Consistent</v>
      </c>
      <c r="N3433" s="1" t="str">
        <f>_xlfn.XLOOKUP(H3433, risk_score!A:A, risk_score!B:B, 0)</f>
        <v>Low Risk</v>
      </c>
    </row>
    <row r="3434" spans="1:14">
      <c r="A3434" s="2">
        <v>0.53068287037037032</v>
      </c>
      <c r="B3434" s="3">
        <v>44841</v>
      </c>
      <c r="C3434" s="1">
        <v>5021785800</v>
      </c>
      <c r="D3434" s="1">
        <v>9199525861</v>
      </c>
      <c r="E3434" s="1">
        <v>6612.83</v>
      </c>
      <c r="F3434" s="1" t="s">
        <v>12</v>
      </c>
      <c r="G3434" s="1" t="s">
        <v>12</v>
      </c>
      <c r="H3434" s="1" t="s">
        <v>13</v>
      </c>
      <c r="I3434" s="1" t="s">
        <v>13</v>
      </c>
      <c r="J3434" s="1" t="s">
        <v>27</v>
      </c>
      <c r="K3434" s="1">
        <v>0</v>
      </c>
      <c r="L3434" s="1" t="s">
        <v>19</v>
      </c>
      <c r="M3434" s="1" t="str">
        <f t="shared" si="54"/>
        <v>Consistent</v>
      </c>
      <c r="N3434" s="1" t="str">
        <f>_xlfn.XLOOKUP(H3434, risk_score!A:A, risk_score!B:B, 0)</f>
        <v>Low Risk</v>
      </c>
    </row>
    <row r="3435" spans="1:14">
      <c r="A3435" s="2">
        <v>0.53069444444444447</v>
      </c>
      <c r="B3435" s="3">
        <v>44841</v>
      </c>
      <c r="C3435" s="1">
        <v>7849241516</v>
      </c>
      <c r="D3435" s="1">
        <v>1465487567</v>
      </c>
      <c r="E3435" s="1">
        <v>6996.39</v>
      </c>
      <c r="F3435" s="1" t="s">
        <v>12</v>
      </c>
      <c r="G3435" s="1" t="s">
        <v>12</v>
      </c>
      <c r="H3435" s="1" t="s">
        <v>13</v>
      </c>
      <c r="I3435" s="1" t="s">
        <v>13</v>
      </c>
      <c r="J3435" s="1" t="s">
        <v>22</v>
      </c>
      <c r="K3435" s="1">
        <v>0</v>
      </c>
      <c r="L3435" s="1" t="s">
        <v>23</v>
      </c>
      <c r="M3435" s="1" t="str">
        <f t="shared" si="54"/>
        <v>Consistent</v>
      </c>
      <c r="N3435" s="1" t="str">
        <f>_xlfn.XLOOKUP(H3435, risk_score!A:A, risk_score!B:B, 0)</f>
        <v>Low Risk</v>
      </c>
    </row>
    <row r="3436" spans="1:14">
      <c r="A3436" s="2">
        <v>0.53070601851851851</v>
      </c>
      <c r="B3436" s="3">
        <v>44841</v>
      </c>
      <c r="C3436" s="1">
        <v>7394937898</v>
      </c>
      <c r="D3436" s="1">
        <v>8898445416</v>
      </c>
      <c r="E3436" s="1">
        <v>3061.65</v>
      </c>
      <c r="F3436" s="1" t="s">
        <v>12</v>
      </c>
      <c r="G3436" s="1" t="s">
        <v>12</v>
      </c>
      <c r="H3436" s="1" t="s">
        <v>13</v>
      </c>
      <c r="I3436" s="1" t="s">
        <v>13</v>
      </c>
      <c r="J3436" s="1" t="s">
        <v>25</v>
      </c>
      <c r="K3436" s="1">
        <v>0</v>
      </c>
      <c r="L3436" s="1" t="s">
        <v>21</v>
      </c>
      <c r="M3436" s="1" t="str">
        <f t="shared" si="54"/>
        <v>Consistent</v>
      </c>
      <c r="N3436" s="1" t="str">
        <f>_xlfn.XLOOKUP(H3436, risk_score!A:A, risk_score!B:B, 0)</f>
        <v>Low Risk</v>
      </c>
    </row>
    <row r="3437" spans="1:14">
      <c r="A3437" s="2">
        <v>0.53075231481481477</v>
      </c>
      <c r="B3437" s="3">
        <v>44841</v>
      </c>
      <c r="C3437" s="1">
        <v>8319501269</v>
      </c>
      <c r="D3437" s="1">
        <v>1689748473</v>
      </c>
      <c r="E3437" s="1">
        <v>2716.35</v>
      </c>
      <c r="F3437" s="1" t="s">
        <v>12</v>
      </c>
      <c r="G3437" s="1" t="s">
        <v>12</v>
      </c>
      <c r="H3437" s="1" t="s">
        <v>13</v>
      </c>
      <c r="I3437" s="1" t="s">
        <v>13</v>
      </c>
      <c r="J3437" s="1" t="s">
        <v>14</v>
      </c>
      <c r="K3437" s="1">
        <v>0</v>
      </c>
      <c r="L3437" s="1" t="s">
        <v>15</v>
      </c>
      <c r="M3437" s="1" t="str">
        <f t="shared" si="54"/>
        <v>Consistent</v>
      </c>
      <c r="N3437" s="1" t="str">
        <f>_xlfn.XLOOKUP(H3437, risk_score!A:A, risk_score!B:B, 0)</f>
        <v>Low Risk</v>
      </c>
    </row>
    <row r="3438" spans="1:14">
      <c r="A3438" s="2">
        <v>0.53075231481481477</v>
      </c>
      <c r="B3438" s="3">
        <v>44841</v>
      </c>
      <c r="C3438" s="1">
        <v>5071781251</v>
      </c>
      <c r="D3438" s="1">
        <v>9501125485</v>
      </c>
      <c r="E3438" s="1">
        <v>2338.6799999999998</v>
      </c>
      <c r="F3438" s="1" t="s">
        <v>12</v>
      </c>
      <c r="G3438" s="1" t="s">
        <v>12</v>
      </c>
      <c r="H3438" s="1" t="s">
        <v>13</v>
      </c>
      <c r="I3438" s="1" t="s">
        <v>13</v>
      </c>
      <c r="J3438" s="1" t="s">
        <v>14</v>
      </c>
      <c r="K3438" s="1">
        <v>0</v>
      </c>
      <c r="L3438" s="1" t="s">
        <v>15</v>
      </c>
      <c r="M3438" s="1" t="str">
        <f t="shared" si="54"/>
        <v>Consistent</v>
      </c>
      <c r="N3438" s="1" t="str">
        <f>_xlfn.XLOOKUP(H3438, risk_score!A:A, risk_score!B:B, 0)</f>
        <v>Low Risk</v>
      </c>
    </row>
    <row r="3439" spans="1:14">
      <c r="A3439" s="2">
        <v>0.53077546296296296</v>
      </c>
      <c r="B3439" s="3">
        <v>44841</v>
      </c>
      <c r="C3439" s="1">
        <v>8083570625</v>
      </c>
      <c r="D3439" s="1">
        <v>5583952328</v>
      </c>
      <c r="E3439" s="1">
        <v>74.33</v>
      </c>
      <c r="F3439" s="1" t="s">
        <v>12</v>
      </c>
      <c r="G3439" s="1" t="s">
        <v>12</v>
      </c>
      <c r="H3439" s="1" t="s">
        <v>13</v>
      </c>
      <c r="I3439" s="1" t="s">
        <v>13</v>
      </c>
      <c r="J3439" s="1" t="s">
        <v>27</v>
      </c>
      <c r="K3439" s="1">
        <v>0</v>
      </c>
      <c r="L3439" s="1" t="s">
        <v>21</v>
      </c>
      <c r="M3439" s="1" t="str">
        <f t="shared" si="54"/>
        <v>Consistent</v>
      </c>
      <c r="N3439" s="1" t="str">
        <f>_xlfn.XLOOKUP(H3439, risk_score!A:A, risk_score!B:B, 0)</f>
        <v>Low Risk</v>
      </c>
    </row>
    <row r="3440" spans="1:14">
      <c r="A3440" s="2">
        <v>0.530787037037037</v>
      </c>
      <c r="B3440" s="3">
        <v>44841</v>
      </c>
      <c r="C3440" s="1">
        <v>2168910862</v>
      </c>
      <c r="D3440" s="1">
        <v>8678802420</v>
      </c>
      <c r="E3440" s="1">
        <v>7009.58</v>
      </c>
      <c r="F3440" s="1" t="s">
        <v>12</v>
      </c>
      <c r="G3440" s="1" t="s">
        <v>12</v>
      </c>
      <c r="H3440" s="1" t="s">
        <v>13</v>
      </c>
      <c r="I3440" s="1" t="s">
        <v>13</v>
      </c>
      <c r="J3440" s="1" t="s">
        <v>22</v>
      </c>
      <c r="K3440" s="1">
        <v>0</v>
      </c>
      <c r="L3440" s="1" t="s">
        <v>23</v>
      </c>
      <c r="M3440" s="1" t="str">
        <f t="shared" si="54"/>
        <v>Consistent</v>
      </c>
      <c r="N3440" s="1" t="str">
        <f>_xlfn.XLOOKUP(H3440, risk_score!A:A, risk_score!B:B, 0)</f>
        <v>Low Risk</v>
      </c>
    </row>
    <row r="3441" spans="1:14">
      <c r="A3441" s="2">
        <v>0.53079861111111115</v>
      </c>
      <c r="B3441" s="3">
        <v>44841</v>
      </c>
      <c r="C3441" s="1">
        <v>288448161</v>
      </c>
      <c r="D3441" s="1">
        <v>3506140194</v>
      </c>
      <c r="E3441" s="1">
        <v>1667.98</v>
      </c>
      <c r="F3441" s="1" t="s">
        <v>12</v>
      </c>
      <c r="G3441" s="1" t="s">
        <v>12</v>
      </c>
      <c r="H3441" s="1" t="s">
        <v>13</v>
      </c>
      <c r="I3441" s="1" t="s">
        <v>13</v>
      </c>
      <c r="J3441" s="1" t="s">
        <v>20</v>
      </c>
      <c r="K3441" s="1">
        <v>0</v>
      </c>
      <c r="L3441" s="1" t="s">
        <v>21</v>
      </c>
      <c r="M3441" s="1" t="str">
        <f t="shared" si="54"/>
        <v>Consistent</v>
      </c>
      <c r="N3441" s="1" t="str">
        <f>_xlfn.XLOOKUP(H3441, risk_score!A:A, risk_score!B:B, 0)</f>
        <v>Low Risk</v>
      </c>
    </row>
    <row r="3442" spans="1:14">
      <c r="A3442" s="2">
        <v>0.53079861111111115</v>
      </c>
      <c r="B3442" s="3">
        <v>44841</v>
      </c>
      <c r="C3442" s="1">
        <v>9506591992</v>
      </c>
      <c r="D3442" s="1">
        <v>791276398</v>
      </c>
      <c r="E3442" s="1">
        <v>19245.02</v>
      </c>
      <c r="F3442" s="1" t="s">
        <v>12</v>
      </c>
      <c r="G3442" s="1" t="s">
        <v>12</v>
      </c>
      <c r="H3442" s="1" t="s">
        <v>13</v>
      </c>
      <c r="I3442" s="1" t="s">
        <v>13</v>
      </c>
      <c r="J3442" s="1" t="s">
        <v>22</v>
      </c>
      <c r="K3442" s="1">
        <v>0</v>
      </c>
      <c r="L3442" s="1" t="s">
        <v>38</v>
      </c>
      <c r="M3442" s="1" t="str">
        <f t="shared" si="54"/>
        <v>Consistent</v>
      </c>
      <c r="N3442" s="1" t="str">
        <f>_xlfn.XLOOKUP(H3442, risk_score!A:A, risk_score!B:B, 0)</f>
        <v>Low Risk</v>
      </c>
    </row>
    <row r="3443" spans="1:14">
      <c r="A3443" s="2">
        <v>0.53083333333333338</v>
      </c>
      <c r="B3443" s="3">
        <v>44841</v>
      </c>
      <c r="C3443" s="1">
        <v>3497124400</v>
      </c>
      <c r="D3443" s="1">
        <v>375261355</v>
      </c>
      <c r="E3443" s="1">
        <v>513.74</v>
      </c>
      <c r="F3443" s="1" t="s">
        <v>12</v>
      </c>
      <c r="G3443" s="1" t="s">
        <v>12</v>
      </c>
      <c r="H3443" s="1" t="s">
        <v>13</v>
      </c>
      <c r="I3443" s="1" t="s">
        <v>13</v>
      </c>
      <c r="J3443" s="1" t="s">
        <v>20</v>
      </c>
      <c r="K3443" s="1">
        <v>0</v>
      </c>
      <c r="L3443" s="1" t="s">
        <v>21</v>
      </c>
      <c r="M3443" s="1" t="str">
        <f t="shared" si="54"/>
        <v>Consistent</v>
      </c>
      <c r="N3443" s="1" t="str">
        <f>_xlfn.XLOOKUP(H3443, risk_score!A:A, risk_score!B:B, 0)</f>
        <v>Low Risk</v>
      </c>
    </row>
    <row r="3444" spans="1:14">
      <c r="A3444" s="2">
        <v>0.53086805555555561</v>
      </c>
      <c r="B3444" s="3">
        <v>44841</v>
      </c>
      <c r="C3444" s="1">
        <v>3009397443</v>
      </c>
      <c r="D3444" s="1">
        <v>5708936901</v>
      </c>
      <c r="E3444" s="1">
        <v>11425.34</v>
      </c>
      <c r="F3444" s="1" t="s">
        <v>12</v>
      </c>
      <c r="G3444" s="1" t="s">
        <v>12</v>
      </c>
      <c r="H3444" s="1" t="s">
        <v>13</v>
      </c>
      <c r="I3444" s="1" t="s">
        <v>13</v>
      </c>
      <c r="J3444" s="1" t="s">
        <v>20</v>
      </c>
      <c r="K3444" s="1">
        <v>0</v>
      </c>
      <c r="L3444" s="1" t="s">
        <v>23</v>
      </c>
      <c r="M3444" s="1" t="str">
        <f t="shared" si="54"/>
        <v>Consistent</v>
      </c>
      <c r="N3444" s="1" t="str">
        <f>_xlfn.XLOOKUP(H3444, risk_score!A:A, risk_score!B:B, 0)</f>
        <v>Low Risk</v>
      </c>
    </row>
    <row r="3445" spans="1:14">
      <c r="A3445" s="2">
        <v>0.53092592592592591</v>
      </c>
      <c r="B3445" s="3">
        <v>44841</v>
      </c>
      <c r="C3445" s="1">
        <v>4668123872</v>
      </c>
      <c r="D3445" s="1">
        <v>905071615</v>
      </c>
      <c r="E3445" s="1">
        <v>4593.9399999999996</v>
      </c>
      <c r="F3445" s="1" t="s">
        <v>12</v>
      </c>
      <c r="G3445" s="1" t="s">
        <v>12</v>
      </c>
      <c r="H3445" s="1" t="s">
        <v>13</v>
      </c>
      <c r="I3445" s="1" t="s">
        <v>13</v>
      </c>
      <c r="J3445" s="1" t="s">
        <v>14</v>
      </c>
      <c r="K3445" s="1">
        <v>0</v>
      </c>
      <c r="L3445" s="1" t="s">
        <v>15</v>
      </c>
      <c r="M3445" s="1" t="str">
        <f t="shared" si="54"/>
        <v>Consistent</v>
      </c>
      <c r="N3445" s="1" t="str">
        <f>_xlfn.XLOOKUP(H3445, risk_score!A:A, risk_score!B:B, 0)</f>
        <v>Low Risk</v>
      </c>
    </row>
    <row r="3446" spans="1:14">
      <c r="A3446" s="2">
        <v>0.5309490740740741</v>
      </c>
      <c r="B3446" s="3">
        <v>44841</v>
      </c>
      <c r="C3446" s="1">
        <v>9218034175</v>
      </c>
      <c r="D3446" s="1">
        <v>6511116461</v>
      </c>
      <c r="E3446" s="1">
        <v>5945.35</v>
      </c>
      <c r="F3446" s="1" t="s">
        <v>12</v>
      </c>
      <c r="G3446" s="1" t="s">
        <v>12</v>
      </c>
      <c r="H3446" s="1" t="s">
        <v>13</v>
      </c>
      <c r="I3446" s="1" t="s">
        <v>13</v>
      </c>
      <c r="J3446" s="1" t="s">
        <v>27</v>
      </c>
      <c r="K3446" s="1">
        <v>0</v>
      </c>
      <c r="L3446" s="1" t="s">
        <v>21</v>
      </c>
      <c r="M3446" s="1" t="str">
        <f t="shared" si="54"/>
        <v>Consistent</v>
      </c>
      <c r="N3446" s="1" t="str">
        <f>_xlfn.XLOOKUP(H3446, risk_score!A:A, risk_score!B:B, 0)</f>
        <v>Low Risk</v>
      </c>
    </row>
    <row r="3447" spans="1:14">
      <c r="A3447" s="2">
        <v>0.53098379629629633</v>
      </c>
      <c r="B3447" s="3">
        <v>44841</v>
      </c>
      <c r="C3447" s="1">
        <v>3844336299</v>
      </c>
      <c r="D3447" s="1">
        <v>7160736915</v>
      </c>
      <c r="E3447" s="1">
        <v>10944.41</v>
      </c>
      <c r="F3447" s="1" t="s">
        <v>12</v>
      </c>
      <c r="G3447" s="1" t="s">
        <v>12</v>
      </c>
      <c r="H3447" s="1" t="s">
        <v>13</v>
      </c>
      <c r="I3447" s="1" t="s">
        <v>13</v>
      </c>
      <c r="J3447" s="1" t="s">
        <v>20</v>
      </c>
      <c r="K3447" s="1">
        <v>0</v>
      </c>
      <c r="L3447" s="1" t="s">
        <v>23</v>
      </c>
      <c r="M3447" s="1" t="str">
        <f t="shared" si="54"/>
        <v>Consistent</v>
      </c>
      <c r="N3447" s="1" t="str">
        <f>_xlfn.XLOOKUP(H3447, risk_score!A:A, risk_score!B:B, 0)</f>
        <v>Low Risk</v>
      </c>
    </row>
    <row r="3448" spans="1:14">
      <c r="A3448" s="2">
        <v>0.53099537037037037</v>
      </c>
      <c r="B3448" s="3">
        <v>44841</v>
      </c>
      <c r="C3448" s="1">
        <v>5989800916</v>
      </c>
      <c r="D3448" s="1">
        <v>172510384</v>
      </c>
      <c r="E3448" s="1">
        <v>852.71</v>
      </c>
      <c r="F3448" s="1" t="s">
        <v>12</v>
      </c>
      <c r="G3448" s="1" t="s">
        <v>12</v>
      </c>
      <c r="H3448" s="1" t="s">
        <v>13</v>
      </c>
      <c r="I3448" s="1" t="s">
        <v>13</v>
      </c>
      <c r="J3448" s="1" t="s">
        <v>20</v>
      </c>
      <c r="K3448" s="1">
        <v>0</v>
      </c>
      <c r="L3448" s="1" t="s">
        <v>21</v>
      </c>
      <c r="M3448" s="1" t="str">
        <f t="shared" si="54"/>
        <v>Consistent</v>
      </c>
      <c r="N3448" s="1" t="str">
        <f>_xlfn.XLOOKUP(H3448, risk_score!A:A, risk_score!B:B, 0)</f>
        <v>Low Risk</v>
      </c>
    </row>
    <row r="3449" spans="1:14">
      <c r="A3449" s="2">
        <v>0.53100694444444441</v>
      </c>
      <c r="B3449" s="3">
        <v>44841</v>
      </c>
      <c r="C3449" s="1">
        <v>1890157187</v>
      </c>
      <c r="D3449" s="1">
        <v>4305970891</v>
      </c>
      <c r="E3449" s="1">
        <v>1539.47</v>
      </c>
      <c r="F3449" s="1" t="s">
        <v>12</v>
      </c>
      <c r="G3449" s="1" t="s">
        <v>12</v>
      </c>
      <c r="H3449" s="1" t="s">
        <v>13</v>
      </c>
      <c r="I3449" s="1" t="s">
        <v>13</v>
      </c>
      <c r="J3449" s="1" t="s">
        <v>25</v>
      </c>
      <c r="K3449" s="1">
        <v>0</v>
      </c>
      <c r="L3449" s="1" t="s">
        <v>21</v>
      </c>
      <c r="M3449" s="1" t="str">
        <f t="shared" si="54"/>
        <v>Consistent</v>
      </c>
      <c r="N3449" s="1" t="str">
        <f>_xlfn.XLOOKUP(H3449, risk_score!A:A, risk_score!B:B, 0)</f>
        <v>Low Risk</v>
      </c>
    </row>
    <row r="3450" spans="1:14">
      <c r="A3450" s="2">
        <v>0.5310300925925926</v>
      </c>
      <c r="B3450" s="3">
        <v>44841</v>
      </c>
      <c r="C3450" s="1">
        <v>1915450576</v>
      </c>
      <c r="D3450" s="1">
        <v>6846852475</v>
      </c>
      <c r="E3450" s="1">
        <v>5211.74</v>
      </c>
      <c r="F3450" s="1" t="s">
        <v>12</v>
      </c>
      <c r="G3450" s="1" t="s">
        <v>12</v>
      </c>
      <c r="H3450" s="1" t="s">
        <v>13</v>
      </c>
      <c r="I3450" s="1" t="s">
        <v>13</v>
      </c>
      <c r="J3450" s="1" t="s">
        <v>20</v>
      </c>
      <c r="K3450" s="1">
        <v>0</v>
      </c>
      <c r="L3450" s="1" t="s">
        <v>19</v>
      </c>
      <c r="M3450" s="1" t="str">
        <f t="shared" si="54"/>
        <v>Consistent</v>
      </c>
      <c r="N3450" s="1" t="str">
        <f>_xlfn.XLOOKUP(H3450, risk_score!A:A, risk_score!B:B, 0)</f>
        <v>Low Risk</v>
      </c>
    </row>
    <row r="3451" spans="1:14">
      <c r="A3451" s="2">
        <v>0.53108796296296301</v>
      </c>
      <c r="B3451" s="3">
        <v>44841</v>
      </c>
      <c r="C3451" s="1">
        <v>3614082527</v>
      </c>
      <c r="D3451" s="1">
        <v>2547799506</v>
      </c>
      <c r="E3451" s="1">
        <v>12298.47</v>
      </c>
      <c r="F3451" s="1" t="s">
        <v>12</v>
      </c>
      <c r="G3451" s="1" t="s">
        <v>12</v>
      </c>
      <c r="H3451" s="1" t="s">
        <v>13</v>
      </c>
      <c r="I3451" s="1" t="s">
        <v>13</v>
      </c>
      <c r="J3451" s="1" t="s">
        <v>25</v>
      </c>
      <c r="K3451" s="1">
        <v>0</v>
      </c>
      <c r="L3451" s="1" t="s">
        <v>19</v>
      </c>
      <c r="M3451" s="1" t="str">
        <f t="shared" si="54"/>
        <v>Consistent</v>
      </c>
      <c r="N3451" s="1" t="str">
        <f>_xlfn.XLOOKUP(H3451, risk_score!A:A, risk_score!B:B, 0)</f>
        <v>Low Risk</v>
      </c>
    </row>
    <row r="3452" spans="1:14">
      <c r="A3452" s="2">
        <v>0.53111111111111109</v>
      </c>
      <c r="B3452" s="3">
        <v>44841</v>
      </c>
      <c r="C3452" s="1">
        <v>7438507951</v>
      </c>
      <c r="D3452" s="1">
        <v>3220735304</v>
      </c>
      <c r="E3452" s="1">
        <v>18943.66</v>
      </c>
      <c r="F3452" s="1" t="s">
        <v>12</v>
      </c>
      <c r="G3452" s="1" t="s">
        <v>12</v>
      </c>
      <c r="H3452" s="1" t="s">
        <v>13</v>
      </c>
      <c r="I3452" s="1" t="s">
        <v>13</v>
      </c>
      <c r="J3452" s="1" t="s">
        <v>20</v>
      </c>
      <c r="K3452" s="1">
        <v>0</v>
      </c>
      <c r="L3452" s="1" t="s">
        <v>23</v>
      </c>
      <c r="M3452" s="1" t="str">
        <f t="shared" si="54"/>
        <v>Consistent</v>
      </c>
      <c r="N3452" s="1" t="str">
        <f>_xlfn.XLOOKUP(H3452, risk_score!A:A, risk_score!B:B, 0)</f>
        <v>Low Risk</v>
      </c>
    </row>
    <row r="3453" spans="1:14">
      <c r="A3453" s="2">
        <v>0.53113425925925928</v>
      </c>
      <c r="B3453" s="3">
        <v>44841</v>
      </c>
      <c r="C3453" s="1">
        <v>5589395940</v>
      </c>
      <c r="D3453" s="1">
        <v>2485684866</v>
      </c>
      <c r="E3453" s="1">
        <v>3296.53</v>
      </c>
      <c r="F3453" s="1" t="s">
        <v>12</v>
      </c>
      <c r="G3453" s="1" t="s">
        <v>12</v>
      </c>
      <c r="H3453" s="1" t="s">
        <v>13</v>
      </c>
      <c r="I3453" s="1" t="s">
        <v>13</v>
      </c>
      <c r="J3453" s="1" t="s">
        <v>20</v>
      </c>
      <c r="K3453" s="1">
        <v>0</v>
      </c>
      <c r="L3453" s="1" t="s">
        <v>21</v>
      </c>
      <c r="M3453" s="1" t="str">
        <f t="shared" si="54"/>
        <v>Consistent</v>
      </c>
      <c r="N3453" s="1" t="str">
        <f>_xlfn.XLOOKUP(H3453, risk_score!A:A, risk_score!B:B, 0)</f>
        <v>Low Risk</v>
      </c>
    </row>
    <row r="3454" spans="1:14">
      <c r="A3454" s="2">
        <v>0.53114583333333332</v>
      </c>
      <c r="B3454" s="3">
        <v>44841</v>
      </c>
      <c r="C3454" s="1">
        <v>1491989064</v>
      </c>
      <c r="D3454" s="1">
        <v>7160767531</v>
      </c>
      <c r="E3454" s="1">
        <v>8287.4</v>
      </c>
      <c r="F3454" s="1" t="s">
        <v>12</v>
      </c>
      <c r="G3454" s="1" t="s">
        <v>12</v>
      </c>
      <c r="H3454" s="1" t="s">
        <v>13</v>
      </c>
      <c r="I3454" s="1" t="s">
        <v>13</v>
      </c>
      <c r="J3454" s="1" t="s">
        <v>22</v>
      </c>
      <c r="K3454" s="1">
        <v>0</v>
      </c>
      <c r="L3454" s="1" t="s">
        <v>19</v>
      </c>
      <c r="M3454" s="1" t="str">
        <f t="shared" si="54"/>
        <v>Consistent</v>
      </c>
      <c r="N3454" s="1" t="str">
        <f>_xlfn.XLOOKUP(H3454, risk_score!A:A, risk_score!B:B, 0)</f>
        <v>Low Risk</v>
      </c>
    </row>
    <row r="3455" spans="1:14">
      <c r="A3455" s="2">
        <v>0.53116898148148151</v>
      </c>
      <c r="B3455" s="3">
        <v>44841</v>
      </c>
      <c r="C3455" s="1">
        <v>7590592049</v>
      </c>
      <c r="D3455" s="1">
        <v>8355436243</v>
      </c>
      <c r="E3455" s="1">
        <v>2504.69</v>
      </c>
      <c r="F3455" s="1" t="s">
        <v>12</v>
      </c>
      <c r="G3455" s="1" t="s">
        <v>12</v>
      </c>
      <c r="H3455" s="1" t="s">
        <v>13</v>
      </c>
      <c r="I3455" s="1" t="s">
        <v>13</v>
      </c>
      <c r="J3455" s="1" t="s">
        <v>20</v>
      </c>
      <c r="K3455" s="1">
        <v>0</v>
      </c>
      <c r="L3455" s="1" t="s">
        <v>21</v>
      </c>
      <c r="M3455" s="1" t="str">
        <f t="shared" si="54"/>
        <v>Consistent</v>
      </c>
      <c r="N3455" s="1" t="str">
        <f>_xlfn.XLOOKUP(H3455, risk_score!A:A, risk_score!B:B, 0)</f>
        <v>Low Risk</v>
      </c>
    </row>
    <row r="3456" spans="1:14">
      <c r="A3456" s="2">
        <v>0.53116898148148151</v>
      </c>
      <c r="B3456" s="3">
        <v>44841</v>
      </c>
      <c r="C3456" s="1">
        <v>2739237963</v>
      </c>
      <c r="D3456" s="1">
        <v>5624016781</v>
      </c>
      <c r="E3456" s="1">
        <v>11256.14</v>
      </c>
      <c r="F3456" s="1" t="s">
        <v>12</v>
      </c>
      <c r="G3456" s="1" t="s">
        <v>12</v>
      </c>
      <c r="H3456" s="1" t="s">
        <v>13</v>
      </c>
      <c r="I3456" s="1" t="s">
        <v>13</v>
      </c>
      <c r="J3456" s="1" t="s">
        <v>25</v>
      </c>
      <c r="K3456" s="1">
        <v>0</v>
      </c>
      <c r="L3456" s="1" t="s">
        <v>24</v>
      </c>
      <c r="M3456" s="1" t="str">
        <f t="shared" si="54"/>
        <v>Consistent</v>
      </c>
      <c r="N3456" s="1" t="str">
        <f>_xlfn.XLOOKUP(H3456, risk_score!A:A, risk_score!B:B, 0)</f>
        <v>Low Risk</v>
      </c>
    </row>
    <row r="3457" spans="1:14">
      <c r="A3457" s="2">
        <v>0.53122685185185181</v>
      </c>
      <c r="B3457" s="3">
        <v>44841</v>
      </c>
      <c r="C3457" s="1">
        <v>9088114734</v>
      </c>
      <c r="D3457" s="1">
        <v>6574810359</v>
      </c>
      <c r="E3457" s="1">
        <v>6630.56</v>
      </c>
      <c r="F3457" s="1" t="s">
        <v>12</v>
      </c>
      <c r="G3457" s="1" t="s">
        <v>12</v>
      </c>
      <c r="H3457" s="1" t="s">
        <v>13</v>
      </c>
      <c r="I3457" s="1" t="s">
        <v>13</v>
      </c>
      <c r="J3457" s="1" t="s">
        <v>25</v>
      </c>
      <c r="K3457" s="1">
        <v>0</v>
      </c>
      <c r="L3457" s="1" t="s">
        <v>24</v>
      </c>
      <c r="M3457" s="1" t="str">
        <f t="shared" si="54"/>
        <v>Consistent</v>
      </c>
      <c r="N3457" s="1" t="str">
        <f>_xlfn.XLOOKUP(H3457, risk_score!A:A, risk_score!B:B, 0)</f>
        <v>Low Risk</v>
      </c>
    </row>
    <row r="3458" spans="1:14">
      <c r="A3458" s="2">
        <v>0.53125</v>
      </c>
      <c r="B3458" s="3">
        <v>44841</v>
      </c>
      <c r="C3458" s="1">
        <v>763730750</v>
      </c>
      <c r="D3458" s="1">
        <v>7596697023</v>
      </c>
      <c r="E3458" s="1">
        <v>694.12</v>
      </c>
      <c r="F3458" s="1" t="s">
        <v>12</v>
      </c>
      <c r="G3458" s="1" t="s">
        <v>12</v>
      </c>
      <c r="H3458" s="1" t="s">
        <v>13</v>
      </c>
      <c r="I3458" s="1" t="s">
        <v>13</v>
      </c>
      <c r="J3458" s="1" t="s">
        <v>25</v>
      </c>
      <c r="K3458" s="1">
        <v>0</v>
      </c>
      <c r="L3458" s="1" t="s">
        <v>21</v>
      </c>
      <c r="M3458" s="1" t="str">
        <f t="shared" si="54"/>
        <v>Consistent</v>
      </c>
      <c r="N3458" s="1" t="str">
        <f>_xlfn.XLOOKUP(H3458, risk_score!A:A, risk_score!B:B, 0)</f>
        <v>Low Risk</v>
      </c>
    </row>
    <row r="3459" spans="1:14">
      <c r="A3459" s="2">
        <v>0.53127314814814819</v>
      </c>
      <c r="B3459" s="3">
        <v>44841</v>
      </c>
      <c r="C3459" s="1">
        <v>3883907165</v>
      </c>
      <c r="D3459" s="1">
        <v>9663002809</v>
      </c>
      <c r="E3459" s="1">
        <v>1032.26</v>
      </c>
      <c r="F3459" s="1" t="s">
        <v>12</v>
      </c>
      <c r="G3459" s="1" t="s">
        <v>12</v>
      </c>
      <c r="H3459" s="1" t="s">
        <v>13</v>
      </c>
      <c r="I3459" s="1" t="s">
        <v>13</v>
      </c>
      <c r="J3459" s="1" t="s">
        <v>27</v>
      </c>
      <c r="K3459" s="1">
        <v>0</v>
      </c>
      <c r="L3459" s="1" t="s">
        <v>21</v>
      </c>
      <c r="M3459" s="1" t="str">
        <f t="shared" si="54"/>
        <v>Consistent</v>
      </c>
      <c r="N3459" s="1" t="str">
        <f>_xlfn.XLOOKUP(H3459, risk_score!A:A, risk_score!B:B, 0)</f>
        <v>Low Risk</v>
      </c>
    </row>
    <row r="3460" spans="1:14">
      <c r="A3460" s="2">
        <v>0.53128472222222223</v>
      </c>
      <c r="B3460" s="3">
        <v>44841</v>
      </c>
      <c r="C3460" s="1">
        <v>2030127815</v>
      </c>
      <c r="D3460" s="1">
        <v>7412789597</v>
      </c>
      <c r="E3460" s="1">
        <v>10869.63</v>
      </c>
      <c r="F3460" s="1" t="s">
        <v>12</v>
      </c>
      <c r="G3460" s="1" t="s">
        <v>12</v>
      </c>
      <c r="H3460" s="1" t="s">
        <v>13</v>
      </c>
      <c r="I3460" s="1" t="s">
        <v>13</v>
      </c>
      <c r="J3460" s="1" t="s">
        <v>22</v>
      </c>
      <c r="K3460" s="1">
        <v>0</v>
      </c>
      <c r="L3460" s="1" t="s">
        <v>21</v>
      </c>
      <c r="M3460" s="1" t="str">
        <f t="shared" si="54"/>
        <v>Consistent</v>
      </c>
      <c r="N3460" s="1" t="str">
        <f>_xlfn.XLOOKUP(H3460, risk_score!A:A, risk_score!B:B, 0)</f>
        <v>Low Risk</v>
      </c>
    </row>
    <row r="3461" spans="1:14">
      <c r="A3461" s="2">
        <v>0.53128472222222223</v>
      </c>
      <c r="B3461" s="3">
        <v>44841</v>
      </c>
      <c r="C3461" s="1">
        <v>2049525961</v>
      </c>
      <c r="D3461" s="1">
        <v>6233217293</v>
      </c>
      <c r="E3461" s="1">
        <v>5483.39</v>
      </c>
      <c r="F3461" s="1" t="s">
        <v>12</v>
      </c>
      <c r="G3461" s="1" t="s">
        <v>12</v>
      </c>
      <c r="H3461" s="1" t="s">
        <v>13</v>
      </c>
      <c r="I3461" s="1" t="s">
        <v>13</v>
      </c>
      <c r="J3461" s="1" t="s">
        <v>25</v>
      </c>
      <c r="K3461" s="1">
        <v>0</v>
      </c>
      <c r="L3461" s="1" t="s">
        <v>24</v>
      </c>
      <c r="M3461" s="1" t="str">
        <f t="shared" si="54"/>
        <v>Consistent</v>
      </c>
      <c r="N3461" s="1" t="str">
        <f>_xlfn.XLOOKUP(H3461, risk_score!A:A, risk_score!B:B, 0)</f>
        <v>Low Risk</v>
      </c>
    </row>
    <row r="3462" spans="1:14">
      <c r="A3462" s="2">
        <v>0.53129629629629627</v>
      </c>
      <c r="B3462" s="3">
        <v>44841</v>
      </c>
      <c r="C3462" s="1">
        <v>8673917867</v>
      </c>
      <c r="D3462" s="1">
        <v>488828934</v>
      </c>
      <c r="E3462" s="1">
        <v>608.17999999999995</v>
      </c>
      <c r="F3462" s="1" t="s">
        <v>12</v>
      </c>
      <c r="G3462" s="1" t="s">
        <v>12</v>
      </c>
      <c r="H3462" s="1" t="s">
        <v>13</v>
      </c>
      <c r="I3462" s="1" t="s">
        <v>13</v>
      </c>
      <c r="J3462" s="1" t="s">
        <v>27</v>
      </c>
      <c r="K3462" s="1">
        <v>0</v>
      </c>
      <c r="L3462" s="1" t="s">
        <v>21</v>
      </c>
      <c r="M3462" s="1" t="str">
        <f t="shared" si="54"/>
        <v>Consistent</v>
      </c>
      <c r="N3462" s="1" t="str">
        <f>_xlfn.XLOOKUP(H3462, risk_score!A:A, risk_score!B:B, 0)</f>
        <v>Low Risk</v>
      </c>
    </row>
    <row r="3463" spans="1:14">
      <c r="A3463" s="2">
        <v>0.53134259259259264</v>
      </c>
      <c r="B3463" s="3">
        <v>44841</v>
      </c>
      <c r="C3463" s="1">
        <v>6500267083</v>
      </c>
      <c r="D3463" s="1">
        <v>5466123934</v>
      </c>
      <c r="E3463" s="1">
        <v>8060.25</v>
      </c>
      <c r="F3463" s="1" t="s">
        <v>12</v>
      </c>
      <c r="G3463" s="1" t="s">
        <v>12</v>
      </c>
      <c r="H3463" s="1" t="s">
        <v>13</v>
      </c>
      <c r="I3463" s="1" t="s">
        <v>13</v>
      </c>
      <c r="J3463" s="1" t="s">
        <v>20</v>
      </c>
      <c r="K3463" s="1">
        <v>0</v>
      </c>
      <c r="L3463" s="1" t="s">
        <v>23</v>
      </c>
      <c r="M3463" s="1" t="str">
        <f t="shared" si="54"/>
        <v>Consistent</v>
      </c>
      <c r="N3463" s="1" t="str">
        <f>_xlfn.XLOOKUP(H3463, risk_score!A:A, risk_score!B:B, 0)</f>
        <v>Low Risk</v>
      </c>
    </row>
    <row r="3464" spans="1:14">
      <c r="A3464" s="2">
        <v>0.53137731481481476</v>
      </c>
      <c r="B3464" s="3">
        <v>44841</v>
      </c>
      <c r="C3464" s="1">
        <v>3730404955</v>
      </c>
      <c r="D3464" s="1">
        <v>1072942380</v>
      </c>
      <c r="E3464" s="1">
        <v>15674.01</v>
      </c>
      <c r="F3464" s="1" t="s">
        <v>12</v>
      </c>
      <c r="G3464" s="1" t="s">
        <v>12</v>
      </c>
      <c r="H3464" s="1" t="s">
        <v>13</v>
      </c>
      <c r="I3464" s="1" t="s">
        <v>13</v>
      </c>
      <c r="J3464" s="1" t="s">
        <v>25</v>
      </c>
      <c r="K3464" s="1">
        <v>0</v>
      </c>
      <c r="L3464" s="1" t="s">
        <v>24</v>
      </c>
      <c r="M3464" s="1" t="str">
        <f t="shared" si="54"/>
        <v>Consistent</v>
      </c>
      <c r="N3464" s="1" t="str">
        <f>_xlfn.XLOOKUP(H3464, risk_score!A:A, risk_score!B:B, 0)</f>
        <v>Low Risk</v>
      </c>
    </row>
    <row r="3465" spans="1:14">
      <c r="A3465" s="2">
        <v>0.53138888888888891</v>
      </c>
      <c r="B3465" s="3">
        <v>44841</v>
      </c>
      <c r="C3465" s="1">
        <v>6057444675</v>
      </c>
      <c r="D3465" s="1">
        <v>9106702668</v>
      </c>
      <c r="E3465" s="1">
        <v>12066.3</v>
      </c>
      <c r="F3465" s="1" t="s">
        <v>12</v>
      </c>
      <c r="G3465" s="1" t="s">
        <v>12</v>
      </c>
      <c r="H3465" s="1" t="s">
        <v>13</v>
      </c>
      <c r="I3465" s="1" t="s">
        <v>13</v>
      </c>
      <c r="J3465" s="1" t="s">
        <v>22</v>
      </c>
      <c r="K3465" s="1">
        <v>0</v>
      </c>
      <c r="L3465" s="1" t="s">
        <v>19</v>
      </c>
      <c r="M3465" s="1" t="str">
        <f t="shared" si="54"/>
        <v>Consistent</v>
      </c>
      <c r="N3465" s="1" t="str">
        <f>_xlfn.XLOOKUP(H3465, risk_score!A:A, risk_score!B:B, 0)</f>
        <v>Low Risk</v>
      </c>
    </row>
    <row r="3466" spans="1:14">
      <c r="A3466" s="2">
        <v>0.53150462962962963</v>
      </c>
      <c r="B3466" s="3">
        <v>44841</v>
      </c>
      <c r="C3466" s="1">
        <v>4050064188</v>
      </c>
      <c r="D3466" s="1">
        <v>8496082065</v>
      </c>
      <c r="E3466" s="1">
        <v>1229.46</v>
      </c>
      <c r="F3466" s="1" t="s">
        <v>12</v>
      </c>
      <c r="G3466" s="1" t="s">
        <v>12</v>
      </c>
      <c r="H3466" s="1" t="s">
        <v>13</v>
      </c>
      <c r="I3466" s="1" t="s">
        <v>13</v>
      </c>
      <c r="J3466" s="1" t="s">
        <v>27</v>
      </c>
      <c r="K3466" s="1">
        <v>0</v>
      </c>
      <c r="L3466" s="1" t="s">
        <v>21</v>
      </c>
      <c r="M3466" s="1" t="str">
        <f t="shared" si="54"/>
        <v>Consistent</v>
      </c>
      <c r="N3466" s="1" t="str">
        <f>_xlfn.XLOOKUP(H3466, risk_score!A:A, risk_score!B:B, 0)</f>
        <v>Low Risk</v>
      </c>
    </row>
    <row r="3467" spans="1:14">
      <c r="A3467" s="2">
        <v>0.53151620370370367</v>
      </c>
      <c r="B3467" s="3">
        <v>44841</v>
      </c>
      <c r="C3467" s="1">
        <v>7166052239</v>
      </c>
      <c r="D3467" s="1">
        <v>8172080174</v>
      </c>
      <c r="E3467" s="1">
        <v>7004.45</v>
      </c>
      <c r="F3467" s="1" t="s">
        <v>12</v>
      </c>
      <c r="G3467" s="1" t="s">
        <v>12</v>
      </c>
      <c r="H3467" s="1" t="s">
        <v>13</v>
      </c>
      <c r="I3467" s="1" t="s">
        <v>13</v>
      </c>
      <c r="J3467" s="1" t="s">
        <v>25</v>
      </c>
      <c r="K3467" s="1">
        <v>0</v>
      </c>
      <c r="L3467" s="1" t="s">
        <v>23</v>
      </c>
      <c r="M3467" s="1" t="str">
        <f t="shared" si="54"/>
        <v>Consistent</v>
      </c>
      <c r="N3467" s="1" t="str">
        <f>_xlfn.XLOOKUP(H3467, risk_score!A:A, risk_score!B:B, 0)</f>
        <v>Low Risk</v>
      </c>
    </row>
    <row r="3468" spans="1:14">
      <c r="A3468" s="2">
        <v>0.53152777777777782</v>
      </c>
      <c r="B3468" s="3">
        <v>44841</v>
      </c>
      <c r="C3468" s="1">
        <v>315737488</v>
      </c>
      <c r="D3468" s="1">
        <v>8048071901</v>
      </c>
      <c r="E3468" s="1">
        <v>10218.65</v>
      </c>
      <c r="F3468" s="1" t="s">
        <v>12</v>
      </c>
      <c r="G3468" s="1" t="s">
        <v>12</v>
      </c>
      <c r="H3468" s="1" t="s">
        <v>13</v>
      </c>
      <c r="I3468" s="1" t="s">
        <v>13</v>
      </c>
      <c r="J3468" s="1" t="s">
        <v>22</v>
      </c>
      <c r="K3468" s="1">
        <v>0</v>
      </c>
      <c r="L3468" s="1" t="s">
        <v>24</v>
      </c>
      <c r="M3468" s="1" t="str">
        <f t="shared" si="54"/>
        <v>Consistent</v>
      </c>
      <c r="N3468" s="1" t="str">
        <f>_xlfn.XLOOKUP(H3468, risk_score!A:A, risk_score!B:B, 0)</f>
        <v>Low Risk</v>
      </c>
    </row>
    <row r="3469" spans="1:14">
      <c r="A3469" s="2">
        <v>0.53156250000000005</v>
      </c>
      <c r="B3469" s="3">
        <v>44841</v>
      </c>
      <c r="C3469" s="1">
        <v>2023070355</v>
      </c>
      <c r="D3469" s="1">
        <v>3084479105</v>
      </c>
      <c r="E3469" s="1">
        <v>946.87</v>
      </c>
      <c r="F3469" s="1" t="s">
        <v>12</v>
      </c>
      <c r="G3469" s="1" t="s">
        <v>12</v>
      </c>
      <c r="H3469" s="1" t="s">
        <v>13</v>
      </c>
      <c r="I3469" s="1" t="s">
        <v>13</v>
      </c>
      <c r="J3469" s="1" t="s">
        <v>27</v>
      </c>
      <c r="K3469" s="1">
        <v>0</v>
      </c>
      <c r="L3469" s="1" t="s">
        <v>21</v>
      </c>
      <c r="M3469" s="1" t="str">
        <f t="shared" si="54"/>
        <v>Consistent</v>
      </c>
      <c r="N3469" s="1" t="str">
        <f>_xlfn.XLOOKUP(H3469, risk_score!A:A, risk_score!B:B, 0)</f>
        <v>Low Risk</v>
      </c>
    </row>
    <row r="3470" spans="1:14">
      <c r="A3470" s="2">
        <v>0.53158564814814813</v>
      </c>
      <c r="B3470" s="3">
        <v>44841</v>
      </c>
      <c r="C3470" s="1">
        <v>5982914936</v>
      </c>
      <c r="D3470" s="1">
        <v>7504808702</v>
      </c>
      <c r="E3470" s="1">
        <v>16670.04</v>
      </c>
      <c r="F3470" s="1" t="s">
        <v>12</v>
      </c>
      <c r="G3470" s="1" t="s">
        <v>12</v>
      </c>
      <c r="H3470" s="1" t="s">
        <v>13</v>
      </c>
      <c r="I3470" s="1" t="s">
        <v>13</v>
      </c>
      <c r="J3470" s="1" t="s">
        <v>20</v>
      </c>
      <c r="K3470" s="1">
        <v>0</v>
      </c>
      <c r="L3470" s="1" t="s">
        <v>19</v>
      </c>
      <c r="M3470" s="1" t="str">
        <f t="shared" si="54"/>
        <v>Consistent</v>
      </c>
      <c r="N3470" s="1" t="str">
        <f>_xlfn.XLOOKUP(H3470, risk_score!A:A, risk_score!B:B, 0)</f>
        <v>Low Risk</v>
      </c>
    </row>
    <row r="3471" spans="1:14">
      <c r="A3471" s="2">
        <v>0.53160879629629632</v>
      </c>
      <c r="B3471" s="3">
        <v>44841</v>
      </c>
      <c r="C3471" s="1">
        <v>7991409048</v>
      </c>
      <c r="D3471" s="1">
        <v>3993366206</v>
      </c>
      <c r="E3471" s="1">
        <v>107.09</v>
      </c>
      <c r="F3471" s="1" t="s">
        <v>12</v>
      </c>
      <c r="G3471" s="1" t="s">
        <v>12</v>
      </c>
      <c r="H3471" s="1" t="s">
        <v>13</v>
      </c>
      <c r="I3471" s="1" t="s">
        <v>13</v>
      </c>
      <c r="J3471" s="1" t="s">
        <v>36</v>
      </c>
      <c r="K3471" s="1">
        <v>0</v>
      </c>
      <c r="L3471" s="1" t="s">
        <v>37</v>
      </c>
      <c r="M3471" s="1" t="str">
        <f t="shared" si="54"/>
        <v>Consistent</v>
      </c>
      <c r="N3471" s="1" t="str">
        <f>_xlfn.XLOOKUP(H3471, risk_score!A:A, risk_score!B:B, 0)</f>
        <v>Low Risk</v>
      </c>
    </row>
    <row r="3472" spans="1:14">
      <c r="A3472" s="2">
        <v>0.53163194444444439</v>
      </c>
      <c r="B3472" s="3">
        <v>44841</v>
      </c>
      <c r="C3472" s="1">
        <v>9734083970</v>
      </c>
      <c r="D3472" s="1">
        <v>6917865488</v>
      </c>
      <c r="E3472" s="1">
        <v>13894.37</v>
      </c>
      <c r="F3472" s="1" t="s">
        <v>12</v>
      </c>
      <c r="G3472" s="1" t="s">
        <v>12</v>
      </c>
      <c r="H3472" s="1" t="s">
        <v>13</v>
      </c>
      <c r="I3472" s="1" t="s">
        <v>13</v>
      </c>
      <c r="J3472" s="1" t="s">
        <v>25</v>
      </c>
      <c r="K3472" s="1">
        <v>0</v>
      </c>
      <c r="L3472" s="1" t="s">
        <v>19</v>
      </c>
      <c r="M3472" s="1" t="str">
        <f t="shared" si="54"/>
        <v>Consistent</v>
      </c>
      <c r="N3472" s="1" t="str">
        <f>_xlfn.XLOOKUP(H3472, risk_score!A:A, risk_score!B:B, 0)</f>
        <v>Low Risk</v>
      </c>
    </row>
    <row r="3473" spans="1:14">
      <c r="A3473" s="2">
        <v>0.53168981481481481</v>
      </c>
      <c r="B3473" s="3">
        <v>44841</v>
      </c>
      <c r="C3473" s="1">
        <v>8952177221</v>
      </c>
      <c r="D3473" s="1">
        <v>6345374341</v>
      </c>
      <c r="E3473" s="1">
        <v>8004.58</v>
      </c>
      <c r="F3473" s="1" t="s">
        <v>12</v>
      </c>
      <c r="G3473" s="1" t="s">
        <v>12</v>
      </c>
      <c r="H3473" s="1" t="s">
        <v>13</v>
      </c>
      <c r="I3473" s="1" t="s">
        <v>13</v>
      </c>
      <c r="J3473" s="1" t="s">
        <v>27</v>
      </c>
      <c r="K3473" s="1">
        <v>0</v>
      </c>
      <c r="L3473" s="1" t="s">
        <v>19</v>
      </c>
      <c r="M3473" s="1" t="str">
        <f t="shared" si="54"/>
        <v>Consistent</v>
      </c>
      <c r="N3473" s="1" t="str">
        <f>_xlfn.XLOOKUP(H3473, risk_score!A:A, risk_score!B:B, 0)</f>
        <v>Low Risk</v>
      </c>
    </row>
    <row r="3474" spans="1:14">
      <c r="A3474" s="2">
        <v>0.53174768518518523</v>
      </c>
      <c r="B3474" s="3">
        <v>44841</v>
      </c>
      <c r="C3474" s="1">
        <v>3709430533</v>
      </c>
      <c r="D3474" s="1">
        <v>7472952117</v>
      </c>
      <c r="E3474" s="1">
        <v>7045.17</v>
      </c>
      <c r="F3474" s="1" t="s">
        <v>12</v>
      </c>
      <c r="G3474" s="1" t="s">
        <v>12</v>
      </c>
      <c r="H3474" s="1" t="s">
        <v>13</v>
      </c>
      <c r="I3474" s="1" t="s">
        <v>13</v>
      </c>
      <c r="J3474" s="1" t="s">
        <v>25</v>
      </c>
      <c r="K3474" s="1">
        <v>0</v>
      </c>
      <c r="L3474" s="1" t="s">
        <v>19</v>
      </c>
      <c r="M3474" s="1" t="str">
        <f t="shared" si="54"/>
        <v>Consistent</v>
      </c>
      <c r="N3474" s="1" t="str">
        <f>_xlfn.XLOOKUP(H3474, risk_score!A:A, risk_score!B:B, 0)</f>
        <v>Low Risk</v>
      </c>
    </row>
    <row r="3475" spans="1:14">
      <c r="A3475" s="2">
        <v>0.5317708333333333</v>
      </c>
      <c r="B3475" s="3">
        <v>44841</v>
      </c>
      <c r="C3475" s="1">
        <v>1002754336</v>
      </c>
      <c r="D3475" s="1">
        <v>59113258</v>
      </c>
      <c r="E3475" s="1">
        <v>2430.48</v>
      </c>
      <c r="F3475" s="1" t="s">
        <v>12</v>
      </c>
      <c r="G3475" s="1" t="s">
        <v>12</v>
      </c>
      <c r="H3475" s="1" t="s">
        <v>13</v>
      </c>
      <c r="I3475" s="1" t="s">
        <v>13</v>
      </c>
      <c r="J3475" s="1" t="s">
        <v>14</v>
      </c>
      <c r="K3475" s="1">
        <v>0</v>
      </c>
      <c r="L3475" s="1" t="s">
        <v>15</v>
      </c>
      <c r="M3475" s="1" t="str">
        <f t="shared" si="54"/>
        <v>Consistent</v>
      </c>
      <c r="N3475" s="1" t="str">
        <f>_xlfn.XLOOKUP(H3475, risk_score!A:A, risk_score!B:B, 0)</f>
        <v>Low Risk</v>
      </c>
    </row>
    <row r="3476" spans="1:14">
      <c r="A3476" s="2">
        <v>0.53187499999999999</v>
      </c>
      <c r="B3476" s="3">
        <v>44841</v>
      </c>
      <c r="C3476" s="1">
        <v>125607378</v>
      </c>
      <c r="D3476" s="1">
        <v>6073604896</v>
      </c>
      <c r="E3476" s="1">
        <v>1471.77</v>
      </c>
      <c r="F3476" s="1" t="s">
        <v>12</v>
      </c>
      <c r="G3476" s="1" t="s">
        <v>12</v>
      </c>
      <c r="H3476" s="1" t="s">
        <v>13</v>
      </c>
      <c r="I3476" s="1" t="s">
        <v>13</v>
      </c>
      <c r="J3476" s="1" t="s">
        <v>25</v>
      </c>
      <c r="K3476" s="1">
        <v>0</v>
      </c>
      <c r="L3476" s="1" t="s">
        <v>41</v>
      </c>
      <c r="M3476" s="1" t="str">
        <f t="shared" si="54"/>
        <v>Consistent</v>
      </c>
      <c r="N3476" s="1" t="str">
        <f>_xlfn.XLOOKUP(H3476, risk_score!A:A, risk_score!B:B, 0)</f>
        <v>Low Risk</v>
      </c>
    </row>
    <row r="3477" spans="1:14">
      <c r="A3477" s="2">
        <v>0.53192129629629625</v>
      </c>
      <c r="B3477" s="3">
        <v>44841</v>
      </c>
      <c r="C3477" s="1">
        <v>6057444675</v>
      </c>
      <c r="D3477" s="1">
        <v>9018284593</v>
      </c>
      <c r="E3477" s="1">
        <v>5733.62</v>
      </c>
      <c r="F3477" s="1" t="s">
        <v>12</v>
      </c>
      <c r="G3477" s="1" t="s">
        <v>12</v>
      </c>
      <c r="H3477" s="1" t="s">
        <v>13</v>
      </c>
      <c r="I3477" s="1" t="s">
        <v>13</v>
      </c>
      <c r="J3477" s="1" t="s">
        <v>20</v>
      </c>
      <c r="K3477" s="1">
        <v>0</v>
      </c>
      <c r="L3477" s="1" t="s">
        <v>19</v>
      </c>
      <c r="M3477" s="1" t="str">
        <f t="shared" si="54"/>
        <v>Consistent</v>
      </c>
      <c r="N3477" s="1" t="str">
        <f>_xlfn.XLOOKUP(H3477, risk_score!A:A, risk_score!B:B, 0)</f>
        <v>Low Risk</v>
      </c>
    </row>
    <row r="3478" spans="1:14">
      <c r="A3478" s="2">
        <v>0.53200231481481486</v>
      </c>
      <c r="B3478" s="3">
        <v>44841</v>
      </c>
      <c r="C3478" s="1">
        <v>1154272532</v>
      </c>
      <c r="D3478" s="1">
        <v>9040068292</v>
      </c>
      <c r="E3478" s="1">
        <v>2477.83</v>
      </c>
      <c r="F3478" s="1" t="s">
        <v>12</v>
      </c>
      <c r="G3478" s="1" t="s">
        <v>12</v>
      </c>
      <c r="H3478" s="1" t="s">
        <v>13</v>
      </c>
      <c r="I3478" s="1" t="s">
        <v>13</v>
      </c>
      <c r="J3478" s="1" t="s">
        <v>25</v>
      </c>
      <c r="K3478" s="1">
        <v>0</v>
      </c>
      <c r="L3478" s="1" t="s">
        <v>21</v>
      </c>
      <c r="M3478" s="1" t="str">
        <f t="shared" si="54"/>
        <v>Consistent</v>
      </c>
      <c r="N3478" s="1" t="str">
        <f>_xlfn.XLOOKUP(H3478, risk_score!A:A, risk_score!B:B, 0)</f>
        <v>Low Risk</v>
      </c>
    </row>
    <row r="3479" spans="1:14">
      <c r="A3479" s="2">
        <v>0.5320138888888889</v>
      </c>
      <c r="B3479" s="3">
        <v>44841</v>
      </c>
      <c r="C3479" s="1">
        <v>8365941229</v>
      </c>
      <c r="D3479" s="1">
        <v>6444220418</v>
      </c>
      <c r="E3479" s="1">
        <v>8402.6299999999992</v>
      </c>
      <c r="F3479" s="1" t="s">
        <v>12</v>
      </c>
      <c r="G3479" s="1" t="s">
        <v>12</v>
      </c>
      <c r="H3479" s="1" t="s">
        <v>13</v>
      </c>
      <c r="I3479" s="1" t="s">
        <v>13</v>
      </c>
      <c r="J3479" s="1" t="s">
        <v>22</v>
      </c>
      <c r="K3479" s="1">
        <v>0</v>
      </c>
      <c r="L3479" s="1" t="s">
        <v>23</v>
      </c>
      <c r="M3479" s="1" t="str">
        <f t="shared" si="54"/>
        <v>Consistent</v>
      </c>
      <c r="N3479" s="1" t="str">
        <f>_xlfn.XLOOKUP(H3479, risk_score!A:A, risk_score!B:B, 0)</f>
        <v>Low Risk</v>
      </c>
    </row>
    <row r="3480" spans="1:14">
      <c r="A3480" s="2">
        <v>0.53204861111111112</v>
      </c>
      <c r="B3480" s="3">
        <v>44841</v>
      </c>
      <c r="C3480" s="1">
        <v>4500681468</v>
      </c>
      <c r="D3480" s="1">
        <v>4270968526</v>
      </c>
      <c r="E3480" s="1">
        <v>2401.9299999999998</v>
      </c>
      <c r="F3480" s="1" t="s">
        <v>12</v>
      </c>
      <c r="G3480" s="1" t="s">
        <v>12</v>
      </c>
      <c r="H3480" s="1" t="s">
        <v>13</v>
      </c>
      <c r="I3480" s="1" t="s">
        <v>13</v>
      </c>
      <c r="J3480" s="1" t="s">
        <v>25</v>
      </c>
      <c r="K3480" s="1">
        <v>0</v>
      </c>
      <c r="L3480" s="1" t="s">
        <v>21</v>
      </c>
      <c r="M3480" s="1" t="str">
        <f t="shared" si="54"/>
        <v>Consistent</v>
      </c>
      <c r="N3480" s="1" t="str">
        <f>_xlfn.XLOOKUP(H3480, risk_score!A:A, risk_score!B:B, 0)</f>
        <v>Low Risk</v>
      </c>
    </row>
    <row r="3481" spans="1:14">
      <c r="A3481" s="2">
        <v>0.53206018518518516</v>
      </c>
      <c r="B3481" s="3">
        <v>44841</v>
      </c>
      <c r="C3481" s="1">
        <v>9734976881</v>
      </c>
      <c r="D3481" s="1">
        <v>2694436648</v>
      </c>
      <c r="E3481" s="1">
        <v>5045.6499999999996</v>
      </c>
      <c r="F3481" s="1" t="s">
        <v>12</v>
      </c>
      <c r="G3481" s="1" t="s">
        <v>12</v>
      </c>
      <c r="H3481" s="1" t="s">
        <v>13</v>
      </c>
      <c r="I3481" s="1" t="s">
        <v>13</v>
      </c>
      <c r="J3481" s="1" t="s">
        <v>20</v>
      </c>
      <c r="K3481" s="1">
        <v>0</v>
      </c>
      <c r="L3481" s="1" t="s">
        <v>21</v>
      </c>
      <c r="M3481" s="1" t="str">
        <f t="shared" si="54"/>
        <v>Consistent</v>
      </c>
      <c r="N3481" s="1" t="str">
        <f>_xlfn.XLOOKUP(H3481, risk_score!A:A, risk_score!B:B, 0)</f>
        <v>Low Risk</v>
      </c>
    </row>
    <row r="3482" spans="1:14">
      <c r="A3482" s="2">
        <v>0.53208333333333335</v>
      </c>
      <c r="B3482" s="3">
        <v>44841</v>
      </c>
      <c r="C3482" s="1">
        <v>9734083970</v>
      </c>
      <c r="D3482" s="1">
        <v>7577540230</v>
      </c>
      <c r="E3482" s="1">
        <v>7232.34</v>
      </c>
      <c r="F3482" s="1" t="s">
        <v>12</v>
      </c>
      <c r="G3482" s="1" t="s">
        <v>12</v>
      </c>
      <c r="H3482" s="1" t="s">
        <v>13</v>
      </c>
      <c r="I3482" s="1" t="s">
        <v>13</v>
      </c>
      <c r="J3482" s="1" t="s">
        <v>25</v>
      </c>
      <c r="K3482" s="1">
        <v>0</v>
      </c>
      <c r="L3482" s="1" t="s">
        <v>19</v>
      </c>
      <c r="M3482" s="1" t="str">
        <f t="shared" si="54"/>
        <v>Consistent</v>
      </c>
      <c r="N3482" s="1" t="str">
        <f>_xlfn.XLOOKUP(H3482, risk_score!A:A, risk_score!B:B, 0)</f>
        <v>Low Risk</v>
      </c>
    </row>
    <row r="3483" spans="1:14">
      <c r="A3483" s="2">
        <v>0.53210648148148143</v>
      </c>
      <c r="B3483" s="3">
        <v>44841</v>
      </c>
      <c r="C3483" s="1">
        <v>5748489103</v>
      </c>
      <c r="D3483" s="1">
        <v>5971760311</v>
      </c>
      <c r="E3483" s="1">
        <v>3252.35</v>
      </c>
      <c r="F3483" s="1" t="s">
        <v>12</v>
      </c>
      <c r="G3483" s="1" t="s">
        <v>32</v>
      </c>
      <c r="H3483" s="1" t="s">
        <v>13</v>
      </c>
      <c r="I3483" s="1" t="s">
        <v>33</v>
      </c>
      <c r="J3483" s="1" t="s">
        <v>18</v>
      </c>
      <c r="K3483" s="4">
        <v>1</v>
      </c>
      <c r="L3483" s="1" t="s">
        <v>65</v>
      </c>
      <c r="M3483" s="1" t="str">
        <f t="shared" si="54"/>
        <v>Potential Layering</v>
      </c>
      <c r="N3483" s="1" t="str">
        <f>_xlfn.XLOOKUP(H3483, risk_score!A:A, risk_score!B:B, 0)</f>
        <v>Low Risk</v>
      </c>
    </row>
    <row r="3484" spans="1:14">
      <c r="A3484" s="2">
        <v>0.53212962962962962</v>
      </c>
      <c r="B3484" s="3">
        <v>44841</v>
      </c>
      <c r="C3484" s="1">
        <v>6541552727</v>
      </c>
      <c r="D3484" s="1">
        <v>5393260130</v>
      </c>
      <c r="E3484" s="1">
        <v>8298.84</v>
      </c>
      <c r="F3484" s="1" t="s">
        <v>12</v>
      </c>
      <c r="G3484" s="1" t="s">
        <v>46</v>
      </c>
      <c r="H3484" s="1" t="s">
        <v>13</v>
      </c>
      <c r="I3484" s="1" t="s">
        <v>47</v>
      </c>
      <c r="J3484" s="1" t="s">
        <v>18</v>
      </c>
      <c r="K3484" s="1">
        <v>0</v>
      </c>
      <c r="L3484" s="1" t="s">
        <v>19</v>
      </c>
      <c r="M3484" s="1" t="str">
        <f t="shared" si="54"/>
        <v>Potential Layering</v>
      </c>
      <c r="N3484" s="1" t="str">
        <f>_xlfn.XLOOKUP(H3484, risk_score!A:A, risk_score!B:B, 0)</f>
        <v>Low Risk</v>
      </c>
    </row>
    <row r="3485" spans="1:14">
      <c r="A3485" s="2">
        <v>0.53215277777777781</v>
      </c>
      <c r="B3485" s="3">
        <v>44841</v>
      </c>
      <c r="C3485" s="1">
        <v>5198228620</v>
      </c>
      <c r="D3485" s="1">
        <v>2010672441</v>
      </c>
      <c r="E3485" s="1">
        <v>1412.67</v>
      </c>
      <c r="F3485" s="1" t="s">
        <v>12</v>
      </c>
      <c r="G3485" s="1" t="s">
        <v>12</v>
      </c>
      <c r="H3485" s="1" t="s">
        <v>13</v>
      </c>
      <c r="I3485" s="1" t="s">
        <v>13</v>
      </c>
      <c r="J3485" s="1" t="s">
        <v>14</v>
      </c>
      <c r="K3485" s="1">
        <v>0</v>
      </c>
      <c r="L3485" s="1" t="s">
        <v>15</v>
      </c>
      <c r="M3485" s="1" t="str">
        <f t="shared" si="54"/>
        <v>Consistent</v>
      </c>
      <c r="N3485" s="1" t="str">
        <f>_xlfn.XLOOKUP(H3485, risk_score!A:A, risk_score!B:B, 0)</f>
        <v>Low Risk</v>
      </c>
    </row>
    <row r="3486" spans="1:14">
      <c r="A3486" s="2">
        <v>0.53221064814814811</v>
      </c>
      <c r="B3486" s="3">
        <v>44841</v>
      </c>
      <c r="C3486" s="1">
        <v>7501327339</v>
      </c>
      <c r="D3486" s="1">
        <v>9848553102</v>
      </c>
      <c r="E3486" s="1">
        <v>10366.82</v>
      </c>
      <c r="F3486" s="1" t="s">
        <v>12</v>
      </c>
      <c r="G3486" s="1" t="s">
        <v>12</v>
      </c>
      <c r="H3486" s="1" t="s">
        <v>13</v>
      </c>
      <c r="I3486" s="1" t="s">
        <v>13</v>
      </c>
      <c r="J3486" s="1" t="s">
        <v>27</v>
      </c>
      <c r="K3486" s="1">
        <v>0</v>
      </c>
      <c r="L3486" s="1" t="s">
        <v>19</v>
      </c>
      <c r="M3486" s="1" t="str">
        <f t="shared" si="54"/>
        <v>Consistent</v>
      </c>
      <c r="N3486" s="1" t="str">
        <f>_xlfn.XLOOKUP(H3486, risk_score!A:A, risk_score!B:B, 0)</f>
        <v>Low Risk</v>
      </c>
    </row>
    <row r="3487" spans="1:14">
      <c r="A3487" s="2">
        <v>0.53222222222222226</v>
      </c>
      <c r="B3487" s="3">
        <v>44841</v>
      </c>
      <c r="C3487" s="1">
        <v>703647888</v>
      </c>
      <c r="D3487" s="1">
        <v>1431561040</v>
      </c>
      <c r="E3487" s="1">
        <v>19782.73</v>
      </c>
      <c r="F3487" s="1" t="s">
        <v>12</v>
      </c>
      <c r="G3487" s="1" t="s">
        <v>12</v>
      </c>
      <c r="H3487" s="1" t="s">
        <v>13</v>
      </c>
      <c r="I3487" s="1" t="s">
        <v>13</v>
      </c>
      <c r="J3487" s="1" t="s">
        <v>22</v>
      </c>
      <c r="K3487" s="1">
        <v>0</v>
      </c>
      <c r="L3487" s="1" t="s">
        <v>23</v>
      </c>
      <c r="M3487" s="1" t="str">
        <f t="shared" si="54"/>
        <v>Consistent</v>
      </c>
      <c r="N3487" s="1" t="str">
        <f>_xlfn.XLOOKUP(H3487, risk_score!A:A, risk_score!B:B, 0)</f>
        <v>Low Risk</v>
      </c>
    </row>
    <row r="3488" spans="1:14">
      <c r="A3488" s="2">
        <v>0.53222222222222226</v>
      </c>
      <c r="B3488" s="3">
        <v>44841</v>
      </c>
      <c r="C3488" s="1">
        <v>2921862078</v>
      </c>
      <c r="D3488" s="1">
        <v>5708936901</v>
      </c>
      <c r="E3488" s="1">
        <v>9590.0300000000007</v>
      </c>
      <c r="F3488" s="1" t="s">
        <v>12</v>
      </c>
      <c r="G3488" s="1" t="s">
        <v>12</v>
      </c>
      <c r="H3488" s="1" t="s">
        <v>13</v>
      </c>
      <c r="I3488" s="1" t="s">
        <v>13</v>
      </c>
      <c r="J3488" s="1" t="s">
        <v>27</v>
      </c>
      <c r="K3488" s="1">
        <v>0</v>
      </c>
      <c r="L3488" s="1" t="s">
        <v>23</v>
      </c>
      <c r="M3488" s="1" t="str">
        <f t="shared" si="54"/>
        <v>Consistent</v>
      </c>
      <c r="N3488" s="1" t="str">
        <f>_xlfn.XLOOKUP(H3488, risk_score!A:A, risk_score!B:B, 0)</f>
        <v>Low Risk</v>
      </c>
    </row>
    <row r="3489" spans="1:14">
      <c r="A3489" s="2">
        <v>0.5322337962962963</v>
      </c>
      <c r="B3489" s="3">
        <v>44841</v>
      </c>
      <c r="C3489" s="1">
        <v>1915450576</v>
      </c>
      <c r="D3489" s="1">
        <v>3772874052</v>
      </c>
      <c r="E3489" s="1">
        <v>11061.36</v>
      </c>
      <c r="F3489" s="1" t="s">
        <v>12</v>
      </c>
      <c r="G3489" s="1" t="s">
        <v>42</v>
      </c>
      <c r="H3489" s="1" t="s">
        <v>13</v>
      </c>
      <c r="I3489" s="1" t="s">
        <v>43</v>
      </c>
      <c r="J3489" s="1" t="s">
        <v>18</v>
      </c>
      <c r="K3489" s="1">
        <v>0</v>
      </c>
      <c r="L3489" s="1" t="s">
        <v>19</v>
      </c>
      <c r="M3489" s="1" t="str">
        <f t="shared" si="54"/>
        <v>Potential Layering</v>
      </c>
      <c r="N3489" s="1" t="str">
        <f>_xlfn.XLOOKUP(H3489, risk_score!A:A, risk_score!B:B, 0)</f>
        <v>Low Risk</v>
      </c>
    </row>
    <row r="3490" spans="1:14">
      <c r="A3490" s="2">
        <v>0.53224537037037034</v>
      </c>
      <c r="B3490" s="3">
        <v>44841</v>
      </c>
      <c r="C3490" s="1">
        <v>6261555351</v>
      </c>
      <c r="D3490" s="1">
        <v>7796880373</v>
      </c>
      <c r="E3490" s="1">
        <v>426.82</v>
      </c>
      <c r="F3490" s="1" t="s">
        <v>12</v>
      </c>
      <c r="G3490" s="1" t="s">
        <v>12</v>
      </c>
      <c r="H3490" s="1" t="s">
        <v>13</v>
      </c>
      <c r="I3490" s="1" t="s">
        <v>13</v>
      </c>
      <c r="J3490" s="1" t="s">
        <v>14</v>
      </c>
      <c r="K3490" s="1">
        <v>0</v>
      </c>
      <c r="L3490" s="1" t="s">
        <v>15</v>
      </c>
      <c r="M3490" s="1" t="str">
        <f t="shared" si="54"/>
        <v>Consistent</v>
      </c>
      <c r="N3490" s="1" t="str">
        <f>_xlfn.XLOOKUP(H3490, risk_score!A:A, risk_score!B:B, 0)</f>
        <v>Low Risk</v>
      </c>
    </row>
    <row r="3491" spans="1:14">
      <c r="A3491" s="2">
        <v>0.53228009259259257</v>
      </c>
      <c r="B3491" s="3">
        <v>44841</v>
      </c>
      <c r="C3491" s="1">
        <v>6540809965</v>
      </c>
      <c r="D3491" s="1">
        <v>5579295130</v>
      </c>
      <c r="E3491" s="1">
        <v>9783.19</v>
      </c>
      <c r="F3491" s="1" t="s">
        <v>16</v>
      </c>
      <c r="G3491" s="1" t="s">
        <v>12</v>
      </c>
      <c r="H3491" s="1" t="s">
        <v>17</v>
      </c>
      <c r="I3491" s="1" t="s">
        <v>13</v>
      </c>
      <c r="J3491" s="1" t="s">
        <v>18</v>
      </c>
      <c r="K3491" s="1">
        <v>0</v>
      </c>
      <c r="L3491" s="1" t="s">
        <v>24</v>
      </c>
      <c r="M3491" s="1" t="str">
        <f t="shared" si="54"/>
        <v>Potential Layering</v>
      </c>
      <c r="N3491" s="1" t="str">
        <f>_xlfn.XLOOKUP(H3491, risk_score!A:A, risk_score!B:B, 0)</f>
        <v>Medium Risk</v>
      </c>
    </row>
    <row r="3492" spans="1:14">
      <c r="A3492" s="2">
        <v>0.53238425925925925</v>
      </c>
      <c r="B3492" s="3">
        <v>44841</v>
      </c>
      <c r="C3492" s="1">
        <v>2365007895</v>
      </c>
      <c r="D3492" s="1">
        <v>5832927076</v>
      </c>
      <c r="E3492" s="1">
        <v>9897.61</v>
      </c>
      <c r="F3492" s="1" t="s">
        <v>12</v>
      </c>
      <c r="G3492" s="1" t="s">
        <v>12</v>
      </c>
      <c r="H3492" s="1" t="s">
        <v>13</v>
      </c>
      <c r="I3492" s="1" t="s">
        <v>13</v>
      </c>
      <c r="J3492" s="1" t="s">
        <v>25</v>
      </c>
      <c r="K3492" s="1">
        <v>0</v>
      </c>
      <c r="L3492" s="1" t="s">
        <v>19</v>
      </c>
      <c r="M3492" s="1" t="str">
        <f t="shared" si="54"/>
        <v>Consistent</v>
      </c>
      <c r="N3492" s="1" t="str">
        <f>_xlfn.XLOOKUP(H3492, risk_score!A:A, risk_score!B:B, 0)</f>
        <v>Low Risk</v>
      </c>
    </row>
    <row r="3493" spans="1:14">
      <c r="A3493" s="2">
        <v>0.53239583333333329</v>
      </c>
      <c r="B3493" s="3">
        <v>44841</v>
      </c>
      <c r="C3493" s="1">
        <v>7421451752</v>
      </c>
      <c r="D3493" s="1">
        <v>1702377336</v>
      </c>
      <c r="E3493" s="1">
        <v>6652.68</v>
      </c>
      <c r="F3493" s="1" t="s">
        <v>12</v>
      </c>
      <c r="G3493" s="1" t="s">
        <v>12</v>
      </c>
      <c r="H3493" s="1" t="s">
        <v>13</v>
      </c>
      <c r="I3493" s="1" t="s">
        <v>13</v>
      </c>
      <c r="J3493" s="1" t="s">
        <v>22</v>
      </c>
      <c r="K3493" s="1">
        <v>0</v>
      </c>
      <c r="L3493" s="1" t="s">
        <v>19</v>
      </c>
      <c r="M3493" s="1" t="str">
        <f t="shared" si="54"/>
        <v>Consistent</v>
      </c>
      <c r="N3493" s="1" t="str">
        <f>_xlfn.XLOOKUP(H3493, risk_score!A:A, risk_score!B:B, 0)</f>
        <v>Low Risk</v>
      </c>
    </row>
    <row r="3494" spans="1:14">
      <c r="A3494" s="2">
        <v>0.53241898148148148</v>
      </c>
      <c r="B3494" s="3">
        <v>44841</v>
      </c>
      <c r="C3494" s="1">
        <v>4832545412</v>
      </c>
      <c r="D3494" s="1">
        <v>1593175702</v>
      </c>
      <c r="E3494" s="1">
        <v>102.29</v>
      </c>
      <c r="F3494" s="1" t="s">
        <v>12</v>
      </c>
      <c r="G3494" s="1" t="s">
        <v>12</v>
      </c>
      <c r="H3494" s="1" t="s">
        <v>13</v>
      </c>
      <c r="I3494" s="1" t="s">
        <v>13</v>
      </c>
      <c r="J3494" s="1" t="s">
        <v>36</v>
      </c>
      <c r="K3494" s="1">
        <v>0</v>
      </c>
      <c r="L3494" s="1" t="s">
        <v>37</v>
      </c>
      <c r="M3494" s="1" t="str">
        <f t="shared" ref="M3494:M3557" si="55">IF(F3494=G3494, "Consistent", "Potential Layering")</f>
        <v>Consistent</v>
      </c>
      <c r="N3494" s="1" t="str">
        <f>_xlfn.XLOOKUP(H3494, risk_score!A:A, risk_score!B:B, 0)</f>
        <v>Low Risk</v>
      </c>
    </row>
    <row r="3495" spans="1:14">
      <c r="A3495" s="2">
        <v>0.53249999999999997</v>
      </c>
      <c r="B3495" s="3">
        <v>44841</v>
      </c>
      <c r="C3495" s="1">
        <v>9746384104</v>
      </c>
      <c r="D3495" s="1">
        <v>6973117783</v>
      </c>
      <c r="E3495" s="1">
        <v>4694.24</v>
      </c>
      <c r="F3495" s="1" t="s">
        <v>12</v>
      </c>
      <c r="G3495" s="1" t="s">
        <v>34</v>
      </c>
      <c r="H3495" s="1" t="s">
        <v>13</v>
      </c>
      <c r="I3495" s="1" t="s">
        <v>35</v>
      </c>
      <c r="J3495" s="1" t="s">
        <v>18</v>
      </c>
      <c r="K3495" s="1">
        <v>0</v>
      </c>
      <c r="L3495" s="1" t="s">
        <v>19</v>
      </c>
      <c r="M3495" s="1" t="str">
        <f t="shared" si="55"/>
        <v>Potential Layering</v>
      </c>
      <c r="N3495" s="1" t="str">
        <f>_xlfn.XLOOKUP(H3495, risk_score!A:A, risk_score!B:B, 0)</f>
        <v>Low Risk</v>
      </c>
    </row>
    <row r="3496" spans="1:14">
      <c r="A3496" s="2">
        <v>0.53254629629629635</v>
      </c>
      <c r="B3496" s="3">
        <v>44841</v>
      </c>
      <c r="C3496" s="1">
        <v>4611389784</v>
      </c>
      <c r="D3496" s="1">
        <v>687183818</v>
      </c>
      <c r="E3496" s="1">
        <v>140.99</v>
      </c>
      <c r="F3496" s="1" t="s">
        <v>12</v>
      </c>
      <c r="G3496" s="1" t="s">
        <v>12</v>
      </c>
      <c r="H3496" s="1" t="s">
        <v>13</v>
      </c>
      <c r="I3496" s="1" t="s">
        <v>13</v>
      </c>
      <c r="J3496" s="1" t="s">
        <v>27</v>
      </c>
      <c r="K3496" s="1">
        <v>0</v>
      </c>
      <c r="L3496" s="1" t="s">
        <v>21</v>
      </c>
      <c r="M3496" s="1" t="str">
        <f t="shared" si="55"/>
        <v>Consistent</v>
      </c>
      <c r="N3496" s="1" t="str">
        <f>_xlfn.XLOOKUP(H3496, risk_score!A:A, risk_score!B:B, 0)</f>
        <v>Low Risk</v>
      </c>
    </row>
    <row r="3497" spans="1:14">
      <c r="A3497" s="2">
        <v>0.53256944444444443</v>
      </c>
      <c r="B3497" s="3">
        <v>44841</v>
      </c>
      <c r="C3497" s="1">
        <v>6086421020</v>
      </c>
      <c r="D3497" s="1">
        <v>8140432476</v>
      </c>
      <c r="E3497" s="1">
        <v>7760.85</v>
      </c>
      <c r="F3497" s="1" t="s">
        <v>12</v>
      </c>
      <c r="G3497" s="1" t="s">
        <v>12</v>
      </c>
      <c r="H3497" s="1" t="s">
        <v>13</v>
      </c>
      <c r="I3497" s="1" t="s">
        <v>13</v>
      </c>
      <c r="J3497" s="1" t="s">
        <v>20</v>
      </c>
      <c r="K3497" s="1">
        <v>0</v>
      </c>
      <c r="L3497" s="1" t="s">
        <v>19</v>
      </c>
      <c r="M3497" s="1" t="str">
        <f t="shared" si="55"/>
        <v>Consistent</v>
      </c>
      <c r="N3497" s="1" t="str">
        <f>_xlfn.XLOOKUP(H3497, risk_score!A:A, risk_score!B:B, 0)</f>
        <v>Low Risk</v>
      </c>
    </row>
    <row r="3498" spans="1:14">
      <c r="A3498" s="2">
        <v>0.53262731481481485</v>
      </c>
      <c r="B3498" s="3">
        <v>44841</v>
      </c>
      <c r="C3498" s="1">
        <v>2548803528</v>
      </c>
      <c r="D3498" s="1">
        <v>4551471712</v>
      </c>
      <c r="E3498" s="1">
        <v>4316.2700000000004</v>
      </c>
      <c r="F3498" s="1" t="s">
        <v>12</v>
      </c>
      <c r="G3498" s="1" t="s">
        <v>12</v>
      </c>
      <c r="H3498" s="1" t="s">
        <v>13</v>
      </c>
      <c r="I3498" s="1" t="s">
        <v>13</v>
      </c>
      <c r="J3498" s="1" t="s">
        <v>22</v>
      </c>
      <c r="K3498" s="1">
        <v>0</v>
      </c>
      <c r="L3498" s="1" t="s">
        <v>21</v>
      </c>
      <c r="M3498" s="1" t="str">
        <f t="shared" si="55"/>
        <v>Consistent</v>
      </c>
      <c r="N3498" s="1" t="str">
        <f>_xlfn.XLOOKUP(H3498, risk_score!A:A, risk_score!B:B, 0)</f>
        <v>Low Risk</v>
      </c>
    </row>
    <row r="3499" spans="1:14">
      <c r="A3499" s="2">
        <v>0.53263888888888888</v>
      </c>
      <c r="B3499" s="3">
        <v>44841</v>
      </c>
      <c r="C3499" s="1">
        <v>6216316627</v>
      </c>
      <c r="D3499" s="1">
        <v>5466123934</v>
      </c>
      <c r="E3499" s="1">
        <v>7893.44</v>
      </c>
      <c r="F3499" s="1" t="s">
        <v>12</v>
      </c>
      <c r="G3499" s="1" t="s">
        <v>12</v>
      </c>
      <c r="H3499" s="1" t="s">
        <v>13</v>
      </c>
      <c r="I3499" s="1" t="s">
        <v>13</v>
      </c>
      <c r="J3499" s="1" t="s">
        <v>20</v>
      </c>
      <c r="K3499" s="1">
        <v>0</v>
      </c>
      <c r="L3499" s="1" t="s">
        <v>23</v>
      </c>
      <c r="M3499" s="1" t="str">
        <f t="shared" si="55"/>
        <v>Consistent</v>
      </c>
      <c r="N3499" s="1" t="str">
        <f>_xlfn.XLOOKUP(H3499, risk_score!A:A, risk_score!B:B, 0)</f>
        <v>Low Risk</v>
      </c>
    </row>
    <row r="3500" spans="1:14">
      <c r="A3500" s="2">
        <v>0.53265046296296292</v>
      </c>
      <c r="B3500" s="3">
        <v>44841</v>
      </c>
      <c r="C3500" s="1">
        <v>8703231038</v>
      </c>
      <c r="D3500" s="1">
        <v>4388814424</v>
      </c>
      <c r="E3500" s="1">
        <v>11259.75</v>
      </c>
      <c r="F3500" s="1" t="s">
        <v>12</v>
      </c>
      <c r="G3500" s="1" t="s">
        <v>12</v>
      </c>
      <c r="H3500" s="1" t="s">
        <v>13</v>
      </c>
      <c r="I3500" s="1" t="s">
        <v>13</v>
      </c>
      <c r="J3500" s="1" t="s">
        <v>22</v>
      </c>
      <c r="K3500" s="1">
        <v>0</v>
      </c>
      <c r="L3500" s="1" t="s">
        <v>21</v>
      </c>
      <c r="M3500" s="1" t="str">
        <f t="shared" si="55"/>
        <v>Consistent</v>
      </c>
      <c r="N3500" s="1" t="str">
        <f>_xlfn.XLOOKUP(H3500, risk_score!A:A, risk_score!B:B, 0)</f>
        <v>Low Risk</v>
      </c>
    </row>
    <row r="3501" spans="1:14">
      <c r="A3501" s="2">
        <v>0.53267361111111111</v>
      </c>
      <c r="B3501" s="3">
        <v>44841</v>
      </c>
      <c r="C3501" s="1">
        <v>7816440666</v>
      </c>
      <c r="D3501" s="1">
        <v>822880832</v>
      </c>
      <c r="E3501" s="1">
        <v>4258.38</v>
      </c>
      <c r="F3501" s="1" t="s">
        <v>12</v>
      </c>
      <c r="G3501" s="1" t="s">
        <v>12</v>
      </c>
      <c r="H3501" s="1" t="s">
        <v>13</v>
      </c>
      <c r="I3501" s="1" t="s">
        <v>13</v>
      </c>
      <c r="J3501" s="1" t="s">
        <v>22</v>
      </c>
      <c r="K3501" s="1">
        <v>0</v>
      </c>
      <c r="L3501" s="1" t="s">
        <v>21</v>
      </c>
      <c r="M3501" s="1" t="str">
        <f t="shared" si="55"/>
        <v>Consistent</v>
      </c>
      <c r="N3501" s="1" t="str">
        <f>_xlfn.XLOOKUP(H3501, risk_score!A:A, risk_score!B:B, 0)</f>
        <v>Low Risk</v>
      </c>
    </row>
    <row r="3502" spans="1:14">
      <c r="A3502" s="2">
        <v>0.53270833333333334</v>
      </c>
      <c r="B3502" s="3">
        <v>44841</v>
      </c>
      <c r="C3502" s="1">
        <v>4924420105</v>
      </c>
      <c r="D3502" s="1">
        <v>9564235003</v>
      </c>
      <c r="E3502" s="1">
        <v>3643.87</v>
      </c>
      <c r="F3502" s="1" t="s">
        <v>12</v>
      </c>
      <c r="G3502" s="1" t="s">
        <v>12</v>
      </c>
      <c r="H3502" s="1" t="s">
        <v>13</v>
      </c>
      <c r="I3502" s="1" t="s">
        <v>13</v>
      </c>
      <c r="J3502" s="1" t="s">
        <v>22</v>
      </c>
      <c r="K3502" s="1">
        <v>0</v>
      </c>
      <c r="L3502" s="1" t="s">
        <v>21</v>
      </c>
      <c r="M3502" s="1" t="str">
        <f t="shared" si="55"/>
        <v>Consistent</v>
      </c>
      <c r="N3502" s="1" t="str">
        <f>_xlfn.XLOOKUP(H3502, risk_score!A:A, risk_score!B:B, 0)</f>
        <v>Low Risk</v>
      </c>
    </row>
    <row r="3503" spans="1:14">
      <c r="A3503" s="2">
        <v>0.53275462962962961</v>
      </c>
      <c r="B3503" s="3">
        <v>44841</v>
      </c>
      <c r="C3503" s="1">
        <v>1513297635</v>
      </c>
      <c r="D3503" s="1">
        <v>1526933793</v>
      </c>
      <c r="E3503" s="1">
        <v>1332.29</v>
      </c>
      <c r="F3503" s="1" t="s">
        <v>12</v>
      </c>
      <c r="G3503" s="1" t="s">
        <v>12</v>
      </c>
      <c r="H3503" s="1" t="s">
        <v>13</v>
      </c>
      <c r="I3503" s="1" t="s">
        <v>13</v>
      </c>
      <c r="J3503" s="1" t="s">
        <v>25</v>
      </c>
      <c r="K3503" s="1">
        <v>0</v>
      </c>
      <c r="L3503" s="1" t="s">
        <v>21</v>
      </c>
      <c r="M3503" s="1" t="str">
        <f t="shared" si="55"/>
        <v>Consistent</v>
      </c>
      <c r="N3503" s="1" t="str">
        <f>_xlfn.XLOOKUP(H3503, risk_score!A:A, risk_score!B:B, 0)</f>
        <v>Low Risk</v>
      </c>
    </row>
    <row r="3504" spans="1:14">
      <c r="A3504" s="2">
        <v>0.53280092592592587</v>
      </c>
      <c r="B3504" s="3">
        <v>44841</v>
      </c>
      <c r="C3504" s="1">
        <v>9226756684</v>
      </c>
      <c r="D3504" s="1">
        <v>5858369125</v>
      </c>
      <c r="E3504" s="1">
        <v>17468.580000000002</v>
      </c>
      <c r="F3504" s="1" t="s">
        <v>12</v>
      </c>
      <c r="G3504" s="1" t="s">
        <v>12</v>
      </c>
      <c r="H3504" s="1" t="s">
        <v>13</v>
      </c>
      <c r="I3504" s="1" t="s">
        <v>13</v>
      </c>
      <c r="J3504" s="1" t="s">
        <v>20</v>
      </c>
      <c r="K3504" s="1">
        <v>0</v>
      </c>
      <c r="L3504" s="1" t="s">
        <v>23</v>
      </c>
      <c r="M3504" s="1" t="str">
        <f t="shared" si="55"/>
        <v>Consistent</v>
      </c>
      <c r="N3504" s="1" t="str">
        <f>_xlfn.XLOOKUP(H3504, risk_score!A:A, risk_score!B:B, 0)</f>
        <v>Low Risk</v>
      </c>
    </row>
    <row r="3505" spans="1:14">
      <c r="A3505" s="2">
        <v>0.53284722222222225</v>
      </c>
      <c r="B3505" s="3">
        <v>44841</v>
      </c>
      <c r="C3505" s="1">
        <v>2118974217</v>
      </c>
      <c r="D3505" s="1">
        <v>1433435465</v>
      </c>
      <c r="E3505" s="1">
        <v>1054.58</v>
      </c>
      <c r="F3505" s="1" t="s">
        <v>12</v>
      </c>
      <c r="G3505" s="1" t="s">
        <v>12</v>
      </c>
      <c r="H3505" s="1" t="s">
        <v>13</v>
      </c>
      <c r="I3505" s="1" t="s">
        <v>13</v>
      </c>
      <c r="J3505" s="1" t="s">
        <v>22</v>
      </c>
      <c r="K3505" s="1">
        <v>0</v>
      </c>
      <c r="L3505" s="1" t="s">
        <v>21</v>
      </c>
      <c r="M3505" s="1" t="str">
        <f t="shared" si="55"/>
        <v>Consistent</v>
      </c>
      <c r="N3505" s="1" t="str">
        <f>_xlfn.XLOOKUP(H3505, risk_score!A:A, risk_score!B:B, 0)</f>
        <v>Low Risk</v>
      </c>
    </row>
    <row r="3506" spans="1:14">
      <c r="A3506" s="2">
        <v>0.53284722222222225</v>
      </c>
      <c r="B3506" s="3">
        <v>44841</v>
      </c>
      <c r="C3506" s="1">
        <v>3299961738</v>
      </c>
      <c r="D3506" s="1">
        <v>8352571580</v>
      </c>
      <c r="E3506" s="1">
        <v>10889.98</v>
      </c>
      <c r="F3506" s="1" t="s">
        <v>12</v>
      </c>
      <c r="G3506" s="1" t="s">
        <v>12</v>
      </c>
      <c r="H3506" s="1" t="s">
        <v>13</v>
      </c>
      <c r="I3506" s="1" t="s">
        <v>13</v>
      </c>
      <c r="J3506" s="1" t="s">
        <v>27</v>
      </c>
      <c r="K3506" s="1">
        <v>0</v>
      </c>
      <c r="L3506" s="1" t="s">
        <v>23</v>
      </c>
      <c r="M3506" s="1" t="str">
        <f t="shared" si="55"/>
        <v>Consistent</v>
      </c>
      <c r="N3506" s="1" t="str">
        <f>_xlfn.XLOOKUP(H3506, risk_score!A:A, risk_score!B:B, 0)</f>
        <v>Low Risk</v>
      </c>
    </row>
    <row r="3507" spans="1:14">
      <c r="A3507" s="2">
        <v>0.53290509259259256</v>
      </c>
      <c r="B3507" s="3">
        <v>44841</v>
      </c>
      <c r="C3507" s="1">
        <v>3658332196</v>
      </c>
      <c r="D3507" s="1">
        <v>1465487567</v>
      </c>
      <c r="E3507" s="1">
        <v>11837.56</v>
      </c>
      <c r="F3507" s="1" t="s">
        <v>12</v>
      </c>
      <c r="G3507" s="1" t="s">
        <v>12</v>
      </c>
      <c r="H3507" s="1" t="s">
        <v>13</v>
      </c>
      <c r="I3507" s="1" t="s">
        <v>13</v>
      </c>
      <c r="J3507" s="1" t="s">
        <v>27</v>
      </c>
      <c r="K3507" s="1">
        <v>0</v>
      </c>
      <c r="L3507" s="1" t="s">
        <v>23</v>
      </c>
      <c r="M3507" s="1" t="str">
        <f t="shared" si="55"/>
        <v>Consistent</v>
      </c>
      <c r="N3507" s="1" t="str">
        <f>_xlfn.XLOOKUP(H3507, risk_score!A:A, risk_score!B:B, 0)</f>
        <v>Low Risk</v>
      </c>
    </row>
    <row r="3508" spans="1:14">
      <c r="A3508" s="2">
        <v>0.53296296296296297</v>
      </c>
      <c r="B3508" s="3">
        <v>44841</v>
      </c>
      <c r="C3508" s="1">
        <v>3741000234</v>
      </c>
      <c r="D3508" s="1">
        <v>1377603863</v>
      </c>
      <c r="E3508" s="1">
        <v>21999.87</v>
      </c>
      <c r="F3508" s="1" t="s">
        <v>12</v>
      </c>
      <c r="G3508" s="1" t="s">
        <v>12</v>
      </c>
      <c r="H3508" s="1" t="s">
        <v>13</v>
      </c>
      <c r="I3508" s="1" t="s">
        <v>13</v>
      </c>
      <c r="J3508" s="1" t="s">
        <v>22</v>
      </c>
      <c r="K3508" s="1">
        <v>0</v>
      </c>
      <c r="L3508" s="1" t="s">
        <v>23</v>
      </c>
      <c r="M3508" s="1" t="str">
        <f t="shared" si="55"/>
        <v>Consistent</v>
      </c>
      <c r="N3508" s="1" t="str">
        <f>_xlfn.XLOOKUP(H3508, risk_score!A:A, risk_score!B:B, 0)</f>
        <v>Low Risk</v>
      </c>
    </row>
    <row r="3509" spans="1:14">
      <c r="A3509" s="2">
        <v>0.53297453703703701</v>
      </c>
      <c r="B3509" s="3">
        <v>44841</v>
      </c>
      <c r="C3509" s="1">
        <v>8456279067</v>
      </c>
      <c r="D3509" s="1">
        <v>8073790137</v>
      </c>
      <c r="E3509" s="1">
        <v>9845.09</v>
      </c>
      <c r="F3509" s="1" t="s">
        <v>12</v>
      </c>
      <c r="G3509" s="1" t="s">
        <v>29</v>
      </c>
      <c r="H3509" s="1" t="s">
        <v>13</v>
      </c>
      <c r="I3509" s="1" t="s">
        <v>50</v>
      </c>
      <c r="J3509" s="1" t="s">
        <v>18</v>
      </c>
      <c r="K3509" s="1">
        <v>0</v>
      </c>
      <c r="L3509" s="1" t="s">
        <v>19</v>
      </c>
      <c r="M3509" s="1" t="str">
        <f t="shared" si="55"/>
        <v>Potential Layering</v>
      </c>
      <c r="N3509" s="1" t="str">
        <f>_xlfn.XLOOKUP(H3509, risk_score!A:A, risk_score!B:B, 0)</f>
        <v>Low Risk</v>
      </c>
    </row>
    <row r="3510" spans="1:14">
      <c r="A3510" s="2">
        <v>0.53300925925925924</v>
      </c>
      <c r="B3510" s="3">
        <v>44841</v>
      </c>
      <c r="C3510" s="1">
        <v>6958721932</v>
      </c>
      <c r="D3510" s="1">
        <v>5335763850</v>
      </c>
      <c r="E3510" s="1">
        <v>1820.13</v>
      </c>
      <c r="F3510" s="1" t="s">
        <v>12</v>
      </c>
      <c r="G3510" s="1" t="s">
        <v>12</v>
      </c>
      <c r="H3510" s="1" t="s">
        <v>13</v>
      </c>
      <c r="I3510" s="1" t="s">
        <v>13</v>
      </c>
      <c r="J3510" s="1" t="s">
        <v>25</v>
      </c>
      <c r="K3510" s="1">
        <v>0</v>
      </c>
      <c r="L3510" s="1" t="s">
        <v>21</v>
      </c>
      <c r="M3510" s="1" t="str">
        <f t="shared" si="55"/>
        <v>Consistent</v>
      </c>
      <c r="N3510" s="1" t="str">
        <f>_xlfn.XLOOKUP(H3510, risk_score!A:A, risk_score!B:B, 0)</f>
        <v>Low Risk</v>
      </c>
    </row>
    <row r="3511" spans="1:14">
      <c r="A3511" s="2">
        <v>0.53303240740740743</v>
      </c>
      <c r="B3511" s="3">
        <v>44841</v>
      </c>
      <c r="C3511" s="1">
        <v>7327027507</v>
      </c>
      <c r="D3511" s="1">
        <v>4119784181</v>
      </c>
      <c r="E3511" s="1">
        <v>9513.93</v>
      </c>
      <c r="F3511" s="1" t="s">
        <v>12</v>
      </c>
      <c r="G3511" s="1" t="s">
        <v>12</v>
      </c>
      <c r="H3511" s="1" t="s">
        <v>13</v>
      </c>
      <c r="I3511" s="1" t="s">
        <v>13</v>
      </c>
      <c r="J3511" s="1" t="s">
        <v>22</v>
      </c>
      <c r="K3511" s="1">
        <v>0</v>
      </c>
      <c r="L3511" s="1" t="s">
        <v>21</v>
      </c>
      <c r="M3511" s="1" t="str">
        <f t="shared" si="55"/>
        <v>Consistent</v>
      </c>
      <c r="N3511" s="1" t="str">
        <f>_xlfn.XLOOKUP(H3511, risk_score!A:A, risk_score!B:B, 0)</f>
        <v>Low Risk</v>
      </c>
    </row>
    <row r="3512" spans="1:14">
      <c r="A3512" s="2">
        <v>0.5330555555555555</v>
      </c>
      <c r="B3512" s="3">
        <v>44841</v>
      </c>
      <c r="C3512" s="1">
        <v>4939108392</v>
      </c>
      <c r="D3512" s="1">
        <v>4281746314</v>
      </c>
      <c r="E3512" s="1">
        <v>5500.32</v>
      </c>
      <c r="F3512" s="1" t="s">
        <v>12</v>
      </c>
      <c r="G3512" s="1" t="s">
        <v>42</v>
      </c>
      <c r="H3512" s="1" t="s">
        <v>13</v>
      </c>
      <c r="I3512" s="1" t="s">
        <v>43</v>
      </c>
      <c r="J3512" s="1" t="s">
        <v>18</v>
      </c>
      <c r="K3512" s="1">
        <v>0</v>
      </c>
      <c r="L3512" s="1" t="s">
        <v>24</v>
      </c>
      <c r="M3512" s="1" t="str">
        <f t="shared" si="55"/>
        <v>Potential Layering</v>
      </c>
      <c r="N3512" s="1" t="str">
        <f>_xlfn.XLOOKUP(H3512, risk_score!A:A, risk_score!B:B, 0)</f>
        <v>Low Risk</v>
      </c>
    </row>
    <row r="3513" spans="1:14">
      <c r="A3513" s="2">
        <v>0.53307870370370369</v>
      </c>
      <c r="B3513" s="3">
        <v>44841</v>
      </c>
      <c r="C3513" s="1">
        <v>2412955813</v>
      </c>
      <c r="D3513" s="1">
        <v>5103043844</v>
      </c>
      <c r="E3513" s="1">
        <v>43228.82</v>
      </c>
      <c r="F3513" s="1" t="s">
        <v>12</v>
      </c>
      <c r="G3513" s="1" t="s">
        <v>44</v>
      </c>
      <c r="H3513" s="1" t="s">
        <v>13</v>
      </c>
      <c r="I3513" s="1" t="s">
        <v>45</v>
      </c>
      <c r="J3513" s="1" t="s">
        <v>18</v>
      </c>
      <c r="K3513" s="1">
        <v>0</v>
      </c>
      <c r="L3513" s="1" t="s">
        <v>23</v>
      </c>
      <c r="M3513" s="1" t="str">
        <f t="shared" si="55"/>
        <v>Potential Layering</v>
      </c>
      <c r="N3513" s="1" t="str">
        <f>_xlfn.XLOOKUP(H3513, risk_score!A:A, risk_score!B:B, 0)</f>
        <v>Low Risk</v>
      </c>
    </row>
    <row r="3514" spans="1:14">
      <c r="A3514" s="2">
        <v>0.53307870370370369</v>
      </c>
      <c r="B3514" s="3">
        <v>44841</v>
      </c>
      <c r="C3514" s="1">
        <v>3412872591</v>
      </c>
      <c r="D3514" s="1">
        <v>9426285596</v>
      </c>
      <c r="E3514" s="1">
        <v>1091.3499999999999</v>
      </c>
      <c r="F3514" s="1" t="s">
        <v>12</v>
      </c>
      <c r="G3514" s="1" t="s">
        <v>12</v>
      </c>
      <c r="H3514" s="1" t="s">
        <v>13</v>
      </c>
      <c r="I3514" s="1" t="s">
        <v>13</v>
      </c>
      <c r="J3514" s="1" t="s">
        <v>27</v>
      </c>
      <c r="K3514" s="1">
        <v>0</v>
      </c>
      <c r="L3514" s="1" t="s">
        <v>21</v>
      </c>
      <c r="M3514" s="1" t="str">
        <f t="shared" si="55"/>
        <v>Consistent</v>
      </c>
      <c r="N3514" s="1" t="str">
        <f>_xlfn.XLOOKUP(H3514, risk_score!A:A, risk_score!B:B, 0)</f>
        <v>Low Risk</v>
      </c>
    </row>
    <row r="3515" spans="1:14">
      <c r="A3515" s="2">
        <v>0.53312499999999996</v>
      </c>
      <c r="B3515" s="3">
        <v>44841</v>
      </c>
      <c r="C3515" s="1">
        <v>5691675777</v>
      </c>
      <c r="D3515" s="1">
        <v>6615179883</v>
      </c>
      <c r="E3515" s="1">
        <v>16095.05</v>
      </c>
      <c r="F3515" s="1" t="s">
        <v>12</v>
      </c>
      <c r="G3515" s="1" t="s">
        <v>12</v>
      </c>
      <c r="H3515" s="1" t="s">
        <v>13</v>
      </c>
      <c r="I3515" s="1" t="s">
        <v>13</v>
      </c>
      <c r="J3515" s="1" t="s">
        <v>20</v>
      </c>
      <c r="K3515" s="1">
        <v>0</v>
      </c>
      <c r="L3515" s="1" t="s">
        <v>38</v>
      </c>
      <c r="M3515" s="1" t="str">
        <f t="shared" si="55"/>
        <v>Consistent</v>
      </c>
      <c r="N3515" s="1" t="str">
        <f>_xlfn.XLOOKUP(H3515, risk_score!A:A, risk_score!B:B, 0)</f>
        <v>Low Risk</v>
      </c>
    </row>
    <row r="3516" spans="1:14">
      <c r="A3516" s="2">
        <v>0.53318287037037038</v>
      </c>
      <c r="B3516" s="3">
        <v>44841</v>
      </c>
      <c r="C3516" s="1">
        <v>5027448664</v>
      </c>
      <c r="D3516" s="1">
        <v>393509754</v>
      </c>
      <c r="E3516" s="1">
        <v>7283.77</v>
      </c>
      <c r="F3516" s="1" t="s">
        <v>12</v>
      </c>
      <c r="G3516" s="1" t="s">
        <v>12</v>
      </c>
      <c r="H3516" s="1" t="s">
        <v>13</v>
      </c>
      <c r="I3516" s="1" t="s">
        <v>13</v>
      </c>
      <c r="J3516" s="1" t="s">
        <v>20</v>
      </c>
      <c r="K3516" s="1">
        <v>0</v>
      </c>
      <c r="L3516" s="1" t="s">
        <v>21</v>
      </c>
      <c r="M3516" s="1" t="str">
        <f t="shared" si="55"/>
        <v>Consistent</v>
      </c>
      <c r="N3516" s="1" t="str">
        <f>_xlfn.XLOOKUP(H3516, risk_score!A:A, risk_score!B:B, 0)</f>
        <v>Low Risk</v>
      </c>
    </row>
    <row r="3517" spans="1:14">
      <c r="A3517" s="2">
        <v>0.53318287037037038</v>
      </c>
      <c r="B3517" s="3">
        <v>44841</v>
      </c>
      <c r="C3517" s="1">
        <v>7669236826</v>
      </c>
      <c r="D3517" s="1">
        <v>9616268671</v>
      </c>
      <c r="E3517" s="1">
        <v>10886.29</v>
      </c>
      <c r="F3517" s="1" t="s">
        <v>12</v>
      </c>
      <c r="G3517" s="1" t="s">
        <v>12</v>
      </c>
      <c r="H3517" s="1" t="s">
        <v>13</v>
      </c>
      <c r="I3517" s="1" t="s">
        <v>13</v>
      </c>
      <c r="J3517" s="1" t="s">
        <v>25</v>
      </c>
      <c r="K3517" s="1">
        <v>0</v>
      </c>
      <c r="L3517" s="1" t="s">
        <v>19</v>
      </c>
      <c r="M3517" s="1" t="str">
        <f t="shared" si="55"/>
        <v>Consistent</v>
      </c>
      <c r="N3517" s="1" t="str">
        <f>_xlfn.XLOOKUP(H3517, risk_score!A:A, risk_score!B:B, 0)</f>
        <v>Low Risk</v>
      </c>
    </row>
    <row r="3518" spans="1:14">
      <c r="A3518" s="2">
        <v>0.53319444444444442</v>
      </c>
      <c r="B3518" s="3">
        <v>44841</v>
      </c>
      <c r="C3518" s="1">
        <v>4488382798</v>
      </c>
      <c r="D3518" s="1">
        <v>1396808599</v>
      </c>
      <c r="E3518" s="1">
        <v>3714.67</v>
      </c>
      <c r="F3518" s="1" t="s">
        <v>12</v>
      </c>
      <c r="G3518" s="1" t="s">
        <v>12</v>
      </c>
      <c r="H3518" s="1" t="s">
        <v>13</v>
      </c>
      <c r="I3518" s="1" t="s">
        <v>13</v>
      </c>
      <c r="J3518" s="1" t="s">
        <v>14</v>
      </c>
      <c r="K3518" s="1">
        <v>0</v>
      </c>
      <c r="L3518" s="1" t="s">
        <v>15</v>
      </c>
      <c r="M3518" s="1" t="str">
        <f t="shared" si="55"/>
        <v>Consistent</v>
      </c>
      <c r="N3518" s="1" t="str">
        <f>_xlfn.XLOOKUP(H3518, risk_score!A:A, risk_score!B:B, 0)</f>
        <v>Low Risk</v>
      </c>
    </row>
    <row r="3519" spans="1:14">
      <c r="A3519" s="2">
        <v>0.53320601851851857</v>
      </c>
      <c r="B3519" s="3">
        <v>44841</v>
      </c>
      <c r="C3519" s="1">
        <v>8465013530</v>
      </c>
      <c r="D3519" s="1">
        <v>2534644942</v>
      </c>
      <c r="E3519" s="1">
        <v>16755.419999999998</v>
      </c>
      <c r="F3519" s="1" t="s">
        <v>12</v>
      </c>
      <c r="G3519" s="1" t="s">
        <v>29</v>
      </c>
      <c r="H3519" s="1" t="s">
        <v>13</v>
      </c>
      <c r="I3519" s="1" t="s">
        <v>31</v>
      </c>
      <c r="J3519" s="1" t="s">
        <v>18</v>
      </c>
      <c r="K3519" s="1">
        <v>0</v>
      </c>
      <c r="L3519" s="1" t="s">
        <v>23</v>
      </c>
      <c r="M3519" s="1" t="str">
        <f t="shared" si="55"/>
        <v>Potential Layering</v>
      </c>
      <c r="N3519" s="1" t="str">
        <f>_xlfn.XLOOKUP(H3519, risk_score!A:A, risk_score!B:B, 0)</f>
        <v>Low Risk</v>
      </c>
    </row>
    <row r="3520" spans="1:14">
      <c r="A3520" s="2">
        <v>0.53320601851851857</v>
      </c>
      <c r="B3520" s="3">
        <v>44841</v>
      </c>
      <c r="C3520" s="1">
        <v>868568688</v>
      </c>
      <c r="D3520" s="1">
        <v>5708936901</v>
      </c>
      <c r="E3520" s="1">
        <v>12680.78</v>
      </c>
      <c r="F3520" s="1" t="s">
        <v>12</v>
      </c>
      <c r="G3520" s="1" t="s">
        <v>12</v>
      </c>
      <c r="H3520" s="1" t="s">
        <v>13</v>
      </c>
      <c r="I3520" s="1" t="s">
        <v>13</v>
      </c>
      <c r="J3520" s="1" t="s">
        <v>22</v>
      </c>
      <c r="K3520" s="1">
        <v>0</v>
      </c>
      <c r="L3520" s="1" t="s">
        <v>23</v>
      </c>
      <c r="M3520" s="1" t="str">
        <f t="shared" si="55"/>
        <v>Consistent</v>
      </c>
      <c r="N3520" s="1" t="str">
        <f>_xlfn.XLOOKUP(H3520, risk_score!A:A, risk_score!B:B, 0)</f>
        <v>Low Risk</v>
      </c>
    </row>
    <row r="3521" spans="1:14">
      <c r="A3521" s="2">
        <v>0.5332175925925926</v>
      </c>
      <c r="B3521" s="3">
        <v>44841</v>
      </c>
      <c r="C3521" s="1">
        <v>9599009457</v>
      </c>
      <c r="D3521" s="1">
        <v>8900742620</v>
      </c>
      <c r="E3521" s="1">
        <v>6227.22</v>
      </c>
      <c r="F3521" s="1" t="s">
        <v>12</v>
      </c>
      <c r="G3521" s="1" t="s">
        <v>46</v>
      </c>
      <c r="H3521" s="1" t="s">
        <v>13</v>
      </c>
      <c r="I3521" s="1" t="s">
        <v>47</v>
      </c>
      <c r="J3521" s="1" t="s">
        <v>18</v>
      </c>
      <c r="K3521" s="1">
        <v>0</v>
      </c>
      <c r="L3521" s="1" t="s">
        <v>19</v>
      </c>
      <c r="M3521" s="1" t="str">
        <f t="shared" si="55"/>
        <v>Potential Layering</v>
      </c>
      <c r="N3521" s="1" t="str">
        <f>_xlfn.XLOOKUP(H3521, risk_score!A:A, risk_score!B:B, 0)</f>
        <v>Low Risk</v>
      </c>
    </row>
    <row r="3522" spans="1:14">
      <c r="A3522" s="2">
        <v>0.53322916666666664</v>
      </c>
      <c r="B3522" s="3">
        <v>44841</v>
      </c>
      <c r="C3522" s="1">
        <v>7429893910</v>
      </c>
      <c r="D3522" s="1">
        <v>5219812723</v>
      </c>
      <c r="E3522" s="1">
        <v>6214.48</v>
      </c>
      <c r="F3522" s="1" t="s">
        <v>12</v>
      </c>
      <c r="G3522" s="1" t="s">
        <v>12</v>
      </c>
      <c r="H3522" s="1" t="s">
        <v>13</v>
      </c>
      <c r="I3522" s="1" t="s">
        <v>13</v>
      </c>
      <c r="J3522" s="1" t="s">
        <v>25</v>
      </c>
      <c r="K3522" s="1">
        <v>0</v>
      </c>
      <c r="L3522" s="1" t="s">
        <v>21</v>
      </c>
      <c r="M3522" s="1" t="str">
        <f t="shared" si="55"/>
        <v>Consistent</v>
      </c>
      <c r="N3522" s="1" t="str">
        <f>_xlfn.XLOOKUP(H3522, risk_score!A:A, risk_score!B:B, 0)</f>
        <v>Low Risk</v>
      </c>
    </row>
    <row r="3523" spans="1:14">
      <c r="A3523" s="2">
        <v>0.53325231481481483</v>
      </c>
      <c r="B3523" s="3">
        <v>44841</v>
      </c>
      <c r="C3523" s="1">
        <v>7421451752</v>
      </c>
      <c r="D3523" s="1">
        <v>1702377336</v>
      </c>
      <c r="E3523" s="1">
        <v>6618.68</v>
      </c>
      <c r="F3523" s="1" t="s">
        <v>12</v>
      </c>
      <c r="G3523" s="1" t="s">
        <v>12</v>
      </c>
      <c r="H3523" s="1" t="s">
        <v>13</v>
      </c>
      <c r="I3523" s="1" t="s">
        <v>13</v>
      </c>
      <c r="J3523" s="1" t="s">
        <v>20</v>
      </c>
      <c r="K3523" s="1">
        <v>0</v>
      </c>
      <c r="L3523" s="1" t="s">
        <v>19</v>
      </c>
      <c r="M3523" s="1" t="str">
        <f t="shared" si="55"/>
        <v>Consistent</v>
      </c>
      <c r="N3523" s="1" t="str">
        <f>_xlfn.XLOOKUP(H3523, risk_score!A:A, risk_score!B:B, 0)</f>
        <v>Low Risk</v>
      </c>
    </row>
    <row r="3524" spans="1:14">
      <c r="A3524" s="2">
        <v>0.53326388888888887</v>
      </c>
      <c r="B3524" s="3">
        <v>44841</v>
      </c>
      <c r="C3524" s="1">
        <v>2365007895</v>
      </c>
      <c r="D3524" s="1">
        <v>2812285491</v>
      </c>
      <c r="E3524" s="1">
        <v>13216.96</v>
      </c>
      <c r="F3524" s="1" t="s">
        <v>12</v>
      </c>
      <c r="G3524" s="1" t="s">
        <v>12</v>
      </c>
      <c r="H3524" s="1" t="s">
        <v>13</v>
      </c>
      <c r="I3524" s="1" t="s">
        <v>13</v>
      </c>
      <c r="J3524" s="1" t="s">
        <v>22</v>
      </c>
      <c r="K3524" s="1">
        <v>0</v>
      </c>
      <c r="L3524" s="1" t="s">
        <v>19</v>
      </c>
      <c r="M3524" s="1" t="str">
        <f t="shared" si="55"/>
        <v>Consistent</v>
      </c>
      <c r="N3524" s="1" t="str">
        <f>_xlfn.XLOOKUP(H3524, risk_score!A:A, risk_score!B:B, 0)</f>
        <v>Low Risk</v>
      </c>
    </row>
    <row r="3525" spans="1:14">
      <c r="A3525" s="2">
        <v>0.5332986111111111</v>
      </c>
      <c r="B3525" s="3">
        <v>44841</v>
      </c>
      <c r="C3525" s="1">
        <v>2092970761</v>
      </c>
      <c r="D3525" s="1">
        <v>4161896327</v>
      </c>
      <c r="E3525" s="1">
        <v>361605.65</v>
      </c>
      <c r="F3525" s="1" t="s">
        <v>12</v>
      </c>
      <c r="G3525" s="1" t="s">
        <v>12</v>
      </c>
      <c r="H3525" s="1" t="s">
        <v>13</v>
      </c>
      <c r="I3525" s="1" t="s">
        <v>13</v>
      </c>
      <c r="J3525" s="1" t="s">
        <v>20</v>
      </c>
      <c r="K3525" s="1">
        <v>0</v>
      </c>
      <c r="L3525" s="1" t="s">
        <v>61</v>
      </c>
      <c r="M3525" s="1" t="str">
        <f t="shared" si="55"/>
        <v>Consistent</v>
      </c>
      <c r="N3525" s="1" t="str">
        <f>_xlfn.XLOOKUP(H3525, risk_score!A:A, risk_score!B:B, 0)</f>
        <v>Low Risk</v>
      </c>
    </row>
    <row r="3526" spans="1:14">
      <c r="A3526" s="2">
        <v>0.5332986111111111</v>
      </c>
      <c r="B3526" s="3">
        <v>44841</v>
      </c>
      <c r="C3526" s="1">
        <v>4117755003</v>
      </c>
      <c r="D3526" s="1">
        <v>6646502650</v>
      </c>
      <c r="E3526" s="1">
        <v>8562.84</v>
      </c>
      <c r="F3526" s="1" t="s">
        <v>12</v>
      </c>
      <c r="G3526" s="1" t="s">
        <v>29</v>
      </c>
      <c r="H3526" s="1" t="s">
        <v>13</v>
      </c>
      <c r="I3526" s="1" t="s">
        <v>31</v>
      </c>
      <c r="J3526" s="1" t="s">
        <v>18</v>
      </c>
      <c r="K3526" s="1">
        <v>0</v>
      </c>
      <c r="L3526" s="1" t="s">
        <v>23</v>
      </c>
      <c r="M3526" s="1" t="str">
        <f t="shared" si="55"/>
        <v>Potential Layering</v>
      </c>
      <c r="N3526" s="1" t="str">
        <f>_xlfn.XLOOKUP(H3526, risk_score!A:A, risk_score!B:B, 0)</f>
        <v>Low Risk</v>
      </c>
    </row>
    <row r="3527" spans="1:14">
      <c r="A3527" s="2">
        <v>0.5332986111111111</v>
      </c>
      <c r="B3527" s="3">
        <v>44841</v>
      </c>
      <c r="C3527" s="1">
        <v>5195441820</v>
      </c>
      <c r="D3527" s="1">
        <v>9600420220</v>
      </c>
      <c r="E3527" s="1">
        <v>8182.89</v>
      </c>
      <c r="F3527" s="1" t="s">
        <v>12</v>
      </c>
      <c r="G3527" s="1" t="s">
        <v>12</v>
      </c>
      <c r="H3527" s="1" t="s">
        <v>13</v>
      </c>
      <c r="I3527" s="1" t="s">
        <v>13</v>
      </c>
      <c r="J3527" s="1" t="s">
        <v>22</v>
      </c>
      <c r="K3527" s="1">
        <v>0</v>
      </c>
      <c r="L3527" s="1" t="s">
        <v>23</v>
      </c>
      <c r="M3527" s="1" t="str">
        <f t="shared" si="55"/>
        <v>Consistent</v>
      </c>
      <c r="N3527" s="1" t="str">
        <f>_xlfn.XLOOKUP(H3527, risk_score!A:A, risk_score!B:B, 0)</f>
        <v>Low Risk</v>
      </c>
    </row>
    <row r="3528" spans="1:14">
      <c r="A3528" s="2">
        <v>0.53331018518518514</v>
      </c>
      <c r="B3528" s="3">
        <v>44841</v>
      </c>
      <c r="C3528" s="1">
        <v>14539122</v>
      </c>
      <c r="D3528" s="1">
        <v>6953672776</v>
      </c>
      <c r="E3528" s="1">
        <v>6073</v>
      </c>
      <c r="F3528" s="1" t="s">
        <v>12</v>
      </c>
      <c r="G3528" s="1" t="s">
        <v>34</v>
      </c>
      <c r="H3528" s="1" t="s">
        <v>13</v>
      </c>
      <c r="I3528" s="1" t="s">
        <v>35</v>
      </c>
      <c r="J3528" s="1" t="s">
        <v>18</v>
      </c>
      <c r="K3528" s="1">
        <v>0</v>
      </c>
      <c r="L3528" s="1" t="s">
        <v>23</v>
      </c>
      <c r="M3528" s="1" t="str">
        <f t="shared" si="55"/>
        <v>Potential Layering</v>
      </c>
      <c r="N3528" s="1" t="str">
        <f>_xlfn.XLOOKUP(H3528, risk_score!A:A, risk_score!B:B, 0)</f>
        <v>Low Risk</v>
      </c>
    </row>
    <row r="3529" spans="1:14">
      <c r="A3529" s="2">
        <v>0.53342592592592597</v>
      </c>
      <c r="B3529" s="3">
        <v>44841</v>
      </c>
      <c r="C3529" s="1">
        <v>5021785800</v>
      </c>
      <c r="D3529" s="1">
        <v>4065028145</v>
      </c>
      <c r="E3529" s="1">
        <v>4395.25</v>
      </c>
      <c r="F3529" s="1" t="s">
        <v>12</v>
      </c>
      <c r="G3529" s="1" t="s">
        <v>29</v>
      </c>
      <c r="H3529" s="1" t="s">
        <v>13</v>
      </c>
      <c r="I3529" s="1" t="s">
        <v>54</v>
      </c>
      <c r="J3529" s="1" t="s">
        <v>18</v>
      </c>
      <c r="K3529" s="1">
        <v>0</v>
      </c>
      <c r="L3529" s="1" t="s">
        <v>19</v>
      </c>
      <c r="M3529" s="1" t="str">
        <f t="shared" si="55"/>
        <v>Potential Layering</v>
      </c>
      <c r="N3529" s="1" t="str">
        <f>_xlfn.XLOOKUP(H3529, risk_score!A:A, risk_score!B:B, 0)</f>
        <v>Low Risk</v>
      </c>
    </row>
    <row r="3530" spans="1:14">
      <c r="A3530" s="2">
        <v>0.53343750000000001</v>
      </c>
      <c r="B3530" s="3">
        <v>44841</v>
      </c>
      <c r="C3530" s="1">
        <v>7758268667</v>
      </c>
      <c r="D3530" s="1">
        <v>4048410232</v>
      </c>
      <c r="E3530" s="1">
        <v>17742.93</v>
      </c>
      <c r="F3530" s="1" t="s">
        <v>12</v>
      </c>
      <c r="G3530" s="1" t="s">
        <v>12</v>
      </c>
      <c r="H3530" s="1" t="s">
        <v>13</v>
      </c>
      <c r="I3530" s="1" t="s">
        <v>13</v>
      </c>
      <c r="J3530" s="1" t="s">
        <v>25</v>
      </c>
      <c r="K3530" s="1">
        <v>0</v>
      </c>
      <c r="L3530" s="1" t="s">
        <v>19</v>
      </c>
      <c r="M3530" s="1" t="str">
        <f t="shared" si="55"/>
        <v>Consistent</v>
      </c>
      <c r="N3530" s="1" t="str">
        <f>_xlfn.XLOOKUP(H3530, risk_score!A:A, risk_score!B:B, 0)</f>
        <v>Low Risk</v>
      </c>
    </row>
    <row r="3531" spans="1:14">
      <c r="A3531" s="2">
        <v>0.53343750000000001</v>
      </c>
      <c r="B3531" s="3">
        <v>44841</v>
      </c>
      <c r="C3531" s="1">
        <v>8494878354</v>
      </c>
      <c r="D3531" s="1">
        <v>3695545812</v>
      </c>
      <c r="E3531" s="1">
        <v>5601.29</v>
      </c>
      <c r="F3531" s="1" t="s">
        <v>12</v>
      </c>
      <c r="G3531" s="1" t="s">
        <v>12</v>
      </c>
      <c r="H3531" s="1" t="s">
        <v>13</v>
      </c>
      <c r="I3531" s="1" t="s">
        <v>13</v>
      </c>
      <c r="J3531" s="1" t="s">
        <v>22</v>
      </c>
      <c r="K3531" s="1">
        <v>0</v>
      </c>
      <c r="L3531" s="1" t="s">
        <v>23</v>
      </c>
      <c r="M3531" s="1" t="str">
        <f t="shared" si="55"/>
        <v>Consistent</v>
      </c>
      <c r="N3531" s="1" t="str">
        <f>_xlfn.XLOOKUP(H3531, risk_score!A:A, risk_score!B:B, 0)</f>
        <v>Low Risk</v>
      </c>
    </row>
    <row r="3532" spans="1:14">
      <c r="A3532" s="2">
        <v>0.53349537037037043</v>
      </c>
      <c r="B3532" s="3">
        <v>44841</v>
      </c>
      <c r="C3532" s="1">
        <v>7978501298</v>
      </c>
      <c r="D3532" s="1">
        <v>6465504473</v>
      </c>
      <c r="E3532" s="1">
        <v>6905.59</v>
      </c>
      <c r="F3532" s="1" t="s">
        <v>12</v>
      </c>
      <c r="G3532" s="1" t="s">
        <v>12</v>
      </c>
      <c r="H3532" s="1" t="s">
        <v>13</v>
      </c>
      <c r="I3532" s="1" t="s">
        <v>13</v>
      </c>
      <c r="J3532" s="1" t="s">
        <v>20</v>
      </c>
      <c r="K3532" s="1">
        <v>0</v>
      </c>
      <c r="L3532" s="1" t="s">
        <v>21</v>
      </c>
      <c r="M3532" s="1" t="str">
        <f t="shared" si="55"/>
        <v>Consistent</v>
      </c>
      <c r="N3532" s="1" t="str">
        <f>_xlfn.XLOOKUP(H3532, risk_score!A:A, risk_score!B:B, 0)</f>
        <v>Low Risk</v>
      </c>
    </row>
    <row r="3533" spans="1:14">
      <c r="A3533" s="2">
        <v>0.53349537037037043</v>
      </c>
      <c r="B3533" s="3">
        <v>44841</v>
      </c>
      <c r="C3533" s="1">
        <v>6116657264</v>
      </c>
      <c r="D3533" s="1">
        <v>224176497</v>
      </c>
      <c r="E3533" s="1">
        <v>4622.53</v>
      </c>
      <c r="F3533" s="1" t="s">
        <v>12</v>
      </c>
      <c r="G3533" s="1" t="s">
        <v>12</v>
      </c>
      <c r="H3533" s="1" t="s">
        <v>13</v>
      </c>
      <c r="I3533" s="1" t="s">
        <v>13</v>
      </c>
      <c r="J3533" s="1" t="s">
        <v>25</v>
      </c>
      <c r="K3533" s="1">
        <v>0</v>
      </c>
      <c r="L3533" s="1" t="s">
        <v>19</v>
      </c>
      <c r="M3533" s="1" t="str">
        <f t="shared" si="55"/>
        <v>Consistent</v>
      </c>
      <c r="N3533" s="1" t="str">
        <f>_xlfn.XLOOKUP(H3533, risk_score!A:A, risk_score!B:B, 0)</f>
        <v>Low Risk</v>
      </c>
    </row>
    <row r="3534" spans="1:14">
      <c r="A3534" s="2">
        <v>0.53353009259259254</v>
      </c>
      <c r="B3534" s="3">
        <v>44841</v>
      </c>
      <c r="C3534" s="1">
        <v>8580470382</v>
      </c>
      <c r="D3534" s="1">
        <v>9618811392</v>
      </c>
      <c r="E3534" s="1">
        <v>12242.97</v>
      </c>
      <c r="F3534" s="1" t="s">
        <v>29</v>
      </c>
      <c r="G3534" s="1" t="s">
        <v>12</v>
      </c>
      <c r="H3534" s="1" t="s">
        <v>31</v>
      </c>
      <c r="I3534" s="1" t="s">
        <v>13</v>
      </c>
      <c r="J3534" s="1" t="s">
        <v>18</v>
      </c>
      <c r="K3534" s="1">
        <v>0</v>
      </c>
      <c r="L3534" s="1" t="s">
        <v>21</v>
      </c>
      <c r="M3534" s="1" t="str">
        <f t="shared" si="55"/>
        <v>Potential Layering</v>
      </c>
      <c r="N3534" s="1" t="str">
        <f>_xlfn.XLOOKUP(H3534, risk_score!A:A, risk_score!B:B, 0)</f>
        <v>Low Risk</v>
      </c>
    </row>
    <row r="3535" spans="1:14">
      <c r="A3535" s="2">
        <v>0.53354166666666669</v>
      </c>
      <c r="B3535" s="3">
        <v>44841</v>
      </c>
      <c r="C3535" s="1">
        <v>2365007895</v>
      </c>
      <c r="D3535" s="1">
        <v>5391949334</v>
      </c>
      <c r="E3535" s="1">
        <v>9258.3700000000008</v>
      </c>
      <c r="F3535" s="1" t="s">
        <v>12</v>
      </c>
      <c r="G3535" s="1" t="s">
        <v>12</v>
      </c>
      <c r="H3535" s="1" t="s">
        <v>13</v>
      </c>
      <c r="I3535" s="1" t="s">
        <v>13</v>
      </c>
      <c r="J3535" s="1" t="s">
        <v>20</v>
      </c>
      <c r="K3535" s="1">
        <v>0</v>
      </c>
      <c r="L3535" s="1" t="s">
        <v>19</v>
      </c>
      <c r="M3535" s="1" t="str">
        <f t="shared" si="55"/>
        <v>Consistent</v>
      </c>
      <c r="N3535" s="1" t="str">
        <f>_xlfn.XLOOKUP(H3535, risk_score!A:A, risk_score!B:B, 0)</f>
        <v>Low Risk</v>
      </c>
    </row>
    <row r="3536" spans="1:14">
      <c r="A3536" s="2">
        <v>0.53355324074074073</v>
      </c>
      <c r="B3536" s="3">
        <v>44841</v>
      </c>
      <c r="C3536" s="1">
        <v>9941194188</v>
      </c>
      <c r="D3536" s="1">
        <v>8518184956</v>
      </c>
      <c r="E3536" s="1">
        <v>20734.14</v>
      </c>
      <c r="F3536" s="1" t="s">
        <v>12</v>
      </c>
      <c r="G3536" s="1" t="s">
        <v>12</v>
      </c>
      <c r="H3536" s="1" t="s">
        <v>13</v>
      </c>
      <c r="I3536" s="1" t="s">
        <v>13</v>
      </c>
      <c r="J3536" s="1" t="s">
        <v>27</v>
      </c>
      <c r="K3536" s="1">
        <v>0</v>
      </c>
      <c r="L3536" s="1" t="s">
        <v>23</v>
      </c>
      <c r="M3536" s="1" t="str">
        <f t="shared" si="55"/>
        <v>Consistent</v>
      </c>
      <c r="N3536" s="1" t="str">
        <f>_xlfn.XLOOKUP(H3536, risk_score!A:A, risk_score!B:B, 0)</f>
        <v>Low Risk</v>
      </c>
    </row>
    <row r="3537" spans="1:14">
      <c r="A3537" s="2">
        <v>0.53355324074074073</v>
      </c>
      <c r="B3537" s="3">
        <v>44841</v>
      </c>
      <c r="C3537" s="1">
        <v>7293339277</v>
      </c>
      <c r="D3537" s="1">
        <v>3156498270</v>
      </c>
      <c r="E3537" s="1">
        <v>3434.86</v>
      </c>
      <c r="F3537" s="1" t="s">
        <v>12</v>
      </c>
      <c r="G3537" s="1" t="s">
        <v>12</v>
      </c>
      <c r="H3537" s="1" t="s">
        <v>13</v>
      </c>
      <c r="I3537" s="1" t="s">
        <v>13</v>
      </c>
      <c r="J3537" s="1" t="s">
        <v>22</v>
      </c>
      <c r="K3537" s="1">
        <v>0</v>
      </c>
      <c r="L3537" s="1" t="s">
        <v>21</v>
      </c>
      <c r="M3537" s="1" t="str">
        <f t="shared" si="55"/>
        <v>Consistent</v>
      </c>
      <c r="N3537" s="1" t="str">
        <f>_xlfn.XLOOKUP(H3537, risk_score!A:A, risk_score!B:B, 0)</f>
        <v>Low Risk</v>
      </c>
    </row>
    <row r="3538" spans="1:14">
      <c r="A3538" s="2">
        <v>0.53355324074074073</v>
      </c>
      <c r="B3538" s="3">
        <v>44841</v>
      </c>
      <c r="C3538" s="1">
        <v>9402994493</v>
      </c>
      <c r="D3538" s="1">
        <v>2286910173</v>
      </c>
      <c r="E3538" s="1">
        <v>11915.8</v>
      </c>
      <c r="F3538" s="1" t="s">
        <v>12</v>
      </c>
      <c r="G3538" s="1" t="s">
        <v>12</v>
      </c>
      <c r="H3538" s="1" t="s">
        <v>13</v>
      </c>
      <c r="I3538" s="1" t="s">
        <v>13</v>
      </c>
      <c r="J3538" s="1" t="s">
        <v>20</v>
      </c>
      <c r="K3538" s="1">
        <v>0</v>
      </c>
      <c r="L3538" s="1" t="s">
        <v>24</v>
      </c>
      <c r="M3538" s="1" t="str">
        <f t="shared" si="55"/>
        <v>Consistent</v>
      </c>
      <c r="N3538" s="1" t="str">
        <f>_xlfn.XLOOKUP(H3538, risk_score!A:A, risk_score!B:B, 0)</f>
        <v>Low Risk</v>
      </c>
    </row>
    <row r="3539" spans="1:14">
      <c r="A3539" s="2">
        <v>0.53357638888888892</v>
      </c>
      <c r="B3539" s="3">
        <v>44841</v>
      </c>
      <c r="C3539" s="1">
        <v>6380185082</v>
      </c>
      <c r="D3539" s="1">
        <v>1316458123</v>
      </c>
      <c r="E3539" s="1">
        <v>4595.33</v>
      </c>
      <c r="F3539" s="1" t="s">
        <v>12</v>
      </c>
      <c r="G3539" s="1" t="s">
        <v>34</v>
      </c>
      <c r="H3539" s="1" t="s">
        <v>13</v>
      </c>
      <c r="I3539" s="1" t="s">
        <v>35</v>
      </c>
      <c r="J3539" s="1" t="s">
        <v>18</v>
      </c>
      <c r="K3539" s="1">
        <v>0</v>
      </c>
      <c r="L3539" s="1" t="s">
        <v>23</v>
      </c>
      <c r="M3539" s="1" t="str">
        <f t="shared" si="55"/>
        <v>Potential Layering</v>
      </c>
      <c r="N3539" s="1" t="str">
        <f>_xlfn.XLOOKUP(H3539, risk_score!A:A, risk_score!B:B, 0)</f>
        <v>Low Risk</v>
      </c>
    </row>
    <row r="3540" spans="1:14">
      <c r="A3540" s="2">
        <v>0.53365740740740741</v>
      </c>
      <c r="B3540" s="3">
        <v>44841</v>
      </c>
      <c r="C3540" s="1">
        <v>428005894</v>
      </c>
      <c r="D3540" s="1">
        <v>5267093239</v>
      </c>
      <c r="E3540" s="1">
        <v>3525.8</v>
      </c>
      <c r="F3540" s="1" t="s">
        <v>12</v>
      </c>
      <c r="G3540" s="1" t="s">
        <v>12</v>
      </c>
      <c r="H3540" s="1" t="s">
        <v>13</v>
      </c>
      <c r="I3540" s="1" t="s">
        <v>13</v>
      </c>
      <c r="J3540" s="1" t="s">
        <v>27</v>
      </c>
      <c r="K3540" s="1">
        <v>0</v>
      </c>
      <c r="L3540" s="1" t="s">
        <v>21</v>
      </c>
      <c r="M3540" s="1" t="str">
        <f t="shared" si="55"/>
        <v>Consistent</v>
      </c>
      <c r="N3540" s="1" t="str">
        <f>_xlfn.XLOOKUP(H3540, risk_score!A:A, risk_score!B:B, 0)</f>
        <v>Low Risk</v>
      </c>
    </row>
    <row r="3541" spans="1:14">
      <c r="A3541" s="2">
        <v>0.53365740740740741</v>
      </c>
      <c r="B3541" s="3">
        <v>44841</v>
      </c>
      <c r="C3541" s="1">
        <v>4626052554</v>
      </c>
      <c r="D3541" s="1">
        <v>1429694649</v>
      </c>
      <c r="E3541" s="1">
        <v>11548.5</v>
      </c>
      <c r="F3541" s="1" t="s">
        <v>12</v>
      </c>
      <c r="G3541" s="1" t="s">
        <v>26</v>
      </c>
      <c r="H3541" s="1" t="s">
        <v>13</v>
      </c>
      <c r="I3541" s="1" t="s">
        <v>13</v>
      </c>
      <c r="J3541" s="1" t="s">
        <v>20</v>
      </c>
      <c r="K3541" s="1">
        <v>0</v>
      </c>
      <c r="L3541" s="1" t="s">
        <v>21</v>
      </c>
      <c r="M3541" s="1" t="str">
        <f t="shared" si="55"/>
        <v>Potential Layering</v>
      </c>
      <c r="N3541" s="1" t="str">
        <f>_xlfn.XLOOKUP(H3541, risk_score!A:A, risk_score!B:B, 0)</f>
        <v>Low Risk</v>
      </c>
    </row>
    <row r="3542" spans="1:14">
      <c r="A3542" s="2">
        <v>0.53366898148148145</v>
      </c>
      <c r="B3542" s="3">
        <v>44841</v>
      </c>
      <c r="C3542" s="1">
        <v>7788310039</v>
      </c>
      <c r="D3542" s="1">
        <v>5103043844</v>
      </c>
      <c r="E3542" s="1">
        <v>10682.22</v>
      </c>
      <c r="F3542" s="1" t="s">
        <v>12</v>
      </c>
      <c r="G3542" s="1" t="s">
        <v>44</v>
      </c>
      <c r="H3542" s="1" t="s">
        <v>13</v>
      </c>
      <c r="I3542" s="1" t="s">
        <v>45</v>
      </c>
      <c r="J3542" s="1" t="s">
        <v>18</v>
      </c>
      <c r="K3542" s="1">
        <v>0</v>
      </c>
      <c r="L3542" s="1" t="s">
        <v>23</v>
      </c>
      <c r="M3542" s="1" t="str">
        <f t="shared" si="55"/>
        <v>Potential Layering</v>
      </c>
      <c r="N3542" s="1" t="str">
        <f>_xlfn.XLOOKUP(H3542, risk_score!A:A, risk_score!B:B, 0)</f>
        <v>Low Risk</v>
      </c>
    </row>
    <row r="3543" spans="1:14">
      <c r="A3543" s="2">
        <v>0.5336805555555556</v>
      </c>
      <c r="B3543" s="3">
        <v>44841</v>
      </c>
      <c r="C3543" s="1">
        <v>431554764</v>
      </c>
      <c r="D3543" s="1">
        <v>3331273253</v>
      </c>
      <c r="E3543" s="1">
        <v>86939.95</v>
      </c>
      <c r="F3543" s="1" t="s">
        <v>12</v>
      </c>
      <c r="G3543" s="1" t="s">
        <v>12</v>
      </c>
      <c r="H3543" s="1" t="s">
        <v>13</v>
      </c>
      <c r="I3543" s="1" t="s">
        <v>13</v>
      </c>
      <c r="J3543" s="1" t="s">
        <v>25</v>
      </c>
      <c r="K3543" s="1">
        <v>0</v>
      </c>
      <c r="L3543" s="1" t="s">
        <v>49</v>
      </c>
      <c r="M3543" s="1" t="str">
        <f t="shared" si="55"/>
        <v>Consistent</v>
      </c>
      <c r="N3543" s="1" t="str">
        <f>_xlfn.XLOOKUP(H3543, risk_score!A:A, risk_score!B:B, 0)</f>
        <v>Low Risk</v>
      </c>
    </row>
    <row r="3544" spans="1:14">
      <c r="A3544" s="2">
        <v>0.53380787037037036</v>
      </c>
      <c r="B3544" s="3">
        <v>44841</v>
      </c>
      <c r="C3544" s="1">
        <v>816706378</v>
      </c>
      <c r="D3544" s="1">
        <v>1693177629</v>
      </c>
      <c r="E3544" s="1">
        <v>760.63</v>
      </c>
      <c r="F3544" s="1" t="s">
        <v>12</v>
      </c>
      <c r="G3544" s="1" t="s">
        <v>12</v>
      </c>
      <c r="H3544" s="1" t="s">
        <v>13</v>
      </c>
      <c r="I3544" s="1" t="s">
        <v>13</v>
      </c>
      <c r="J3544" s="1" t="s">
        <v>25</v>
      </c>
      <c r="K3544" s="1">
        <v>0</v>
      </c>
      <c r="L3544" s="1" t="s">
        <v>21</v>
      </c>
      <c r="M3544" s="1" t="str">
        <f t="shared" si="55"/>
        <v>Consistent</v>
      </c>
      <c r="N3544" s="1" t="str">
        <f>_xlfn.XLOOKUP(H3544, risk_score!A:A, risk_score!B:B, 0)</f>
        <v>Low Risk</v>
      </c>
    </row>
    <row r="3545" spans="1:14">
      <c r="A3545" s="2">
        <v>0.53387731481481482</v>
      </c>
      <c r="B3545" s="3">
        <v>44841</v>
      </c>
      <c r="C3545" s="1">
        <v>2826317502</v>
      </c>
      <c r="D3545" s="1">
        <v>4270865741</v>
      </c>
      <c r="E3545" s="1">
        <v>4855.78</v>
      </c>
      <c r="F3545" s="1" t="s">
        <v>12</v>
      </c>
      <c r="G3545" s="1" t="s">
        <v>12</v>
      </c>
      <c r="H3545" s="1" t="s">
        <v>13</v>
      </c>
      <c r="I3545" s="1" t="s">
        <v>13</v>
      </c>
      <c r="J3545" s="1" t="s">
        <v>27</v>
      </c>
      <c r="K3545" s="1">
        <v>0</v>
      </c>
      <c r="L3545" s="1" t="s">
        <v>23</v>
      </c>
      <c r="M3545" s="1" t="str">
        <f t="shared" si="55"/>
        <v>Consistent</v>
      </c>
      <c r="N3545" s="1" t="str">
        <f>_xlfn.XLOOKUP(H3545, risk_score!A:A, risk_score!B:B, 0)</f>
        <v>Low Risk</v>
      </c>
    </row>
    <row r="3546" spans="1:14">
      <c r="A3546" s="2">
        <v>0.53391203703703705</v>
      </c>
      <c r="B3546" s="3">
        <v>44841</v>
      </c>
      <c r="C3546" s="1">
        <v>6425422701</v>
      </c>
      <c r="D3546" s="1">
        <v>1504917428</v>
      </c>
      <c r="E3546" s="1">
        <v>3332.08</v>
      </c>
      <c r="F3546" s="1" t="s">
        <v>12</v>
      </c>
      <c r="G3546" s="1" t="s">
        <v>12</v>
      </c>
      <c r="H3546" s="1" t="s">
        <v>13</v>
      </c>
      <c r="I3546" s="1" t="s">
        <v>13</v>
      </c>
      <c r="J3546" s="1" t="s">
        <v>20</v>
      </c>
      <c r="K3546" s="1">
        <v>0</v>
      </c>
      <c r="L3546" s="1" t="s">
        <v>21</v>
      </c>
      <c r="M3546" s="1" t="str">
        <f t="shared" si="55"/>
        <v>Consistent</v>
      </c>
      <c r="N3546" s="1" t="str">
        <f>_xlfn.XLOOKUP(H3546, risk_score!A:A, risk_score!B:B, 0)</f>
        <v>Low Risk</v>
      </c>
    </row>
    <row r="3547" spans="1:14">
      <c r="A3547" s="2">
        <v>0.53391203703703705</v>
      </c>
      <c r="B3547" s="3">
        <v>44841</v>
      </c>
      <c r="C3547" s="1">
        <v>6351828759</v>
      </c>
      <c r="D3547" s="1">
        <v>1517549620</v>
      </c>
      <c r="E3547" s="1">
        <v>86.76</v>
      </c>
      <c r="F3547" s="1" t="s">
        <v>12</v>
      </c>
      <c r="G3547" s="1" t="s">
        <v>12</v>
      </c>
      <c r="H3547" s="1" t="s">
        <v>13</v>
      </c>
      <c r="I3547" s="1" t="s">
        <v>13</v>
      </c>
      <c r="J3547" s="1" t="s">
        <v>36</v>
      </c>
      <c r="K3547" s="1">
        <v>0</v>
      </c>
      <c r="L3547" s="1" t="s">
        <v>37</v>
      </c>
      <c r="M3547" s="1" t="str">
        <f t="shared" si="55"/>
        <v>Consistent</v>
      </c>
      <c r="N3547" s="1" t="str">
        <f>_xlfn.XLOOKUP(H3547, risk_score!A:A, risk_score!B:B, 0)</f>
        <v>Low Risk</v>
      </c>
    </row>
    <row r="3548" spans="1:14">
      <c r="A3548" s="2">
        <v>0.53392361111111108</v>
      </c>
      <c r="B3548" s="3">
        <v>44841</v>
      </c>
      <c r="C3548" s="1">
        <v>648042519</v>
      </c>
      <c r="D3548" s="1">
        <v>1198033871</v>
      </c>
      <c r="E3548" s="1">
        <v>13881.66</v>
      </c>
      <c r="F3548" s="1" t="s">
        <v>12</v>
      </c>
      <c r="G3548" s="1" t="s">
        <v>12</v>
      </c>
      <c r="H3548" s="1" t="s">
        <v>13</v>
      </c>
      <c r="I3548" s="1" t="s">
        <v>13</v>
      </c>
      <c r="J3548" s="1" t="s">
        <v>25</v>
      </c>
      <c r="K3548" s="1">
        <v>0</v>
      </c>
      <c r="L3548" s="1" t="s">
        <v>21</v>
      </c>
      <c r="M3548" s="1" t="str">
        <f t="shared" si="55"/>
        <v>Consistent</v>
      </c>
      <c r="N3548" s="1" t="str">
        <f>_xlfn.XLOOKUP(H3548, risk_score!A:A, risk_score!B:B, 0)</f>
        <v>Low Risk</v>
      </c>
    </row>
    <row r="3549" spans="1:14">
      <c r="A3549" s="2">
        <v>0.53394675925925927</v>
      </c>
      <c r="B3549" s="3">
        <v>44841</v>
      </c>
      <c r="C3549" s="1">
        <v>9099928806</v>
      </c>
      <c r="D3549" s="1">
        <v>7050466687</v>
      </c>
      <c r="E3549" s="1">
        <v>6457.02</v>
      </c>
      <c r="F3549" s="1" t="s">
        <v>12</v>
      </c>
      <c r="G3549" s="1" t="s">
        <v>12</v>
      </c>
      <c r="H3549" s="1" t="s">
        <v>13</v>
      </c>
      <c r="I3549" s="1" t="s">
        <v>13</v>
      </c>
      <c r="J3549" s="1" t="s">
        <v>27</v>
      </c>
      <c r="K3549" s="1">
        <v>0</v>
      </c>
      <c r="L3549" s="1" t="s">
        <v>24</v>
      </c>
      <c r="M3549" s="1" t="str">
        <f t="shared" si="55"/>
        <v>Consistent</v>
      </c>
      <c r="N3549" s="1" t="str">
        <f>_xlfn.XLOOKUP(H3549, risk_score!A:A, risk_score!B:B, 0)</f>
        <v>Low Risk</v>
      </c>
    </row>
    <row r="3550" spans="1:14">
      <c r="A3550" s="2">
        <v>0.53395833333333331</v>
      </c>
      <c r="B3550" s="3">
        <v>44841</v>
      </c>
      <c r="C3550" s="1">
        <v>4155741052</v>
      </c>
      <c r="D3550" s="1">
        <v>4057292713</v>
      </c>
      <c r="E3550" s="1">
        <v>4124.6000000000004</v>
      </c>
      <c r="F3550" s="1" t="s">
        <v>12</v>
      </c>
      <c r="G3550" s="1" t="s">
        <v>12</v>
      </c>
      <c r="H3550" s="1" t="s">
        <v>13</v>
      </c>
      <c r="I3550" s="1" t="s">
        <v>13</v>
      </c>
      <c r="J3550" s="1" t="s">
        <v>27</v>
      </c>
      <c r="K3550" s="1">
        <v>0</v>
      </c>
      <c r="L3550" s="1" t="s">
        <v>21</v>
      </c>
      <c r="M3550" s="1" t="str">
        <f t="shared" si="55"/>
        <v>Consistent</v>
      </c>
      <c r="N3550" s="1" t="str">
        <f>_xlfn.XLOOKUP(H3550, risk_score!A:A, risk_score!B:B, 0)</f>
        <v>Low Risk</v>
      </c>
    </row>
    <row r="3551" spans="1:14">
      <c r="A3551" s="2">
        <v>0.53396990740740746</v>
      </c>
      <c r="B3551" s="3">
        <v>44841</v>
      </c>
      <c r="C3551" s="1">
        <v>7758268667</v>
      </c>
      <c r="D3551" s="1">
        <v>7778416970</v>
      </c>
      <c r="E3551" s="1">
        <v>7224.11</v>
      </c>
      <c r="F3551" s="1" t="s">
        <v>12</v>
      </c>
      <c r="G3551" s="1" t="s">
        <v>12</v>
      </c>
      <c r="H3551" s="1" t="s">
        <v>13</v>
      </c>
      <c r="I3551" s="1" t="s">
        <v>13</v>
      </c>
      <c r="J3551" s="1" t="s">
        <v>27</v>
      </c>
      <c r="K3551" s="1">
        <v>0</v>
      </c>
      <c r="L3551" s="1" t="s">
        <v>19</v>
      </c>
      <c r="M3551" s="1" t="str">
        <f t="shared" si="55"/>
        <v>Consistent</v>
      </c>
      <c r="N3551" s="1" t="str">
        <f>_xlfn.XLOOKUP(H3551, risk_score!A:A, risk_score!B:B, 0)</f>
        <v>Low Risk</v>
      </c>
    </row>
    <row r="3552" spans="1:14">
      <c r="A3552" s="2">
        <v>0.53396990740740746</v>
      </c>
      <c r="B3552" s="3">
        <v>44841</v>
      </c>
      <c r="C3552" s="1">
        <v>9714134980</v>
      </c>
      <c r="D3552" s="1">
        <v>9803847813</v>
      </c>
      <c r="E3552" s="1">
        <v>2868.64</v>
      </c>
      <c r="F3552" s="1" t="s">
        <v>12</v>
      </c>
      <c r="G3552" s="1" t="s">
        <v>12</v>
      </c>
      <c r="H3552" s="1" t="s">
        <v>13</v>
      </c>
      <c r="I3552" s="1" t="s">
        <v>13</v>
      </c>
      <c r="J3552" s="1" t="s">
        <v>22</v>
      </c>
      <c r="K3552" s="1">
        <v>0</v>
      </c>
      <c r="L3552" s="1" t="s">
        <v>24</v>
      </c>
      <c r="M3552" s="1" t="str">
        <f t="shared" si="55"/>
        <v>Consistent</v>
      </c>
      <c r="N3552" s="1" t="str">
        <f>_xlfn.XLOOKUP(H3552, risk_score!A:A, risk_score!B:B, 0)</f>
        <v>Low Risk</v>
      </c>
    </row>
    <row r="3553" spans="1:14">
      <c r="A3553" s="2">
        <v>0.53403935185185181</v>
      </c>
      <c r="B3553" s="3">
        <v>44841</v>
      </c>
      <c r="C3553" s="1">
        <v>3023037899</v>
      </c>
      <c r="D3553" s="1">
        <v>5103043844</v>
      </c>
      <c r="E3553" s="1">
        <v>31389.07</v>
      </c>
      <c r="F3553" s="1" t="s">
        <v>12</v>
      </c>
      <c r="G3553" s="1" t="s">
        <v>44</v>
      </c>
      <c r="H3553" s="1" t="s">
        <v>13</v>
      </c>
      <c r="I3553" s="1" t="s">
        <v>45</v>
      </c>
      <c r="J3553" s="1" t="s">
        <v>18</v>
      </c>
      <c r="K3553" s="1">
        <v>0</v>
      </c>
      <c r="L3553" s="1" t="s">
        <v>23</v>
      </c>
      <c r="M3553" s="1" t="str">
        <f t="shared" si="55"/>
        <v>Potential Layering</v>
      </c>
      <c r="N3553" s="1" t="str">
        <f>_xlfn.XLOOKUP(H3553, risk_score!A:A, risk_score!B:B, 0)</f>
        <v>Low Risk</v>
      </c>
    </row>
    <row r="3554" spans="1:14">
      <c r="A3554" s="2">
        <v>0.53407407407407403</v>
      </c>
      <c r="B3554" s="3">
        <v>44841</v>
      </c>
      <c r="C3554" s="1">
        <v>8952177221</v>
      </c>
      <c r="D3554" s="1">
        <v>6424463145</v>
      </c>
      <c r="E3554" s="1">
        <v>12729.22</v>
      </c>
      <c r="F3554" s="1" t="s">
        <v>12</v>
      </c>
      <c r="G3554" s="1" t="s">
        <v>12</v>
      </c>
      <c r="H3554" s="1" t="s">
        <v>13</v>
      </c>
      <c r="I3554" s="1" t="s">
        <v>13</v>
      </c>
      <c r="J3554" s="1" t="s">
        <v>25</v>
      </c>
      <c r="K3554" s="1">
        <v>0</v>
      </c>
      <c r="L3554" s="1" t="s">
        <v>19</v>
      </c>
      <c r="M3554" s="1" t="str">
        <f t="shared" si="55"/>
        <v>Consistent</v>
      </c>
      <c r="N3554" s="1" t="str">
        <f>_xlfn.XLOOKUP(H3554, risk_score!A:A, risk_score!B:B, 0)</f>
        <v>Low Risk</v>
      </c>
    </row>
    <row r="3555" spans="1:14">
      <c r="A3555" s="2">
        <v>0.53408564814814818</v>
      </c>
      <c r="B3555" s="3">
        <v>44841</v>
      </c>
      <c r="C3555" s="1">
        <v>4045011140</v>
      </c>
      <c r="D3555" s="1">
        <v>5628674969</v>
      </c>
      <c r="E3555" s="1">
        <v>6956.64</v>
      </c>
      <c r="F3555" s="1" t="s">
        <v>12</v>
      </c>
      <c r="G3555" s="1" t="s">
        <v>12</v>
      </c>
      <c r="H3555" s="1" t="s">
        <v>13</v>
      </c>
      <c r="I3555" s="1" t="s">
        <v>13</v>
      </c>
      <c r="J3555" s="1" t="s">
        <v>27</v>
      </c>
      <c r="K3555" s="1">
        <v>0</v>
      </c>
      <c r="L3555" s="1" t="s">
        <v>23</v>
      </c>
      <c r="M3555" s="1" t="str">
        <f t="shared" si="55"/>
        <v>Consistent</v>
      </c>
      <c r="N3555" s="1" t="str">
        <f>_xlfn.XLOOKUP(H3555, risk_score!A:A, risk_score!B:B, 0)</f>
        <v>Low Risk</v>
      </c>
    </row>
    <row r="3556" spans="1:14">
      <c r="A3556" s="2">
        <v>0.53409722222222222</v>
      </c>
      <c r="B3556" s="3">
        <v>44841</v>
      </c>
      <c r="C3556" s="1">
        <v>4475683920</v>
      </c>
      <c r="D3556" s="1">
        <v>5572385849</v>
      </c>
      <c r="E3556" s="1">
        <v>16.239999999999998</v>
      </c>
      <c r="F3556" s="1" t="s">
        <v>12</v>
      </c>
      <c r="G3556" s="1" t="s">
        <v>12</v>
      </c>
      <c r="H3556" s="1" t="s">
        <v>13</v>
      </c>
      <c r="I3556" s="1" t="s">
        <v>13</v>
      </c>
      <c r="J3556" s="1" t="s">
        <v>36</v>
      </c>
      <c r="K3556" s="1">
        <v>0</v>
      </c>
      <c r="L3556" s="1" t="s">
        <v>37</v>
      </c>
      <c r="M3556" s="1" t="str">
        <f t="shared" si="55"/>
        <v>Consistent</v>
      </c>
      <c r="N3556" s="1" t="str">
        <f>_xlfn.XLOOKUP(H3556, risk_score!A:A, risk_score!B:B, 0)</f>
        <v>Low Risk</v>
      </c>
    </row>
    <row r="3557" spans="1:14">
      <c r="A3557" s="2">
        <v>0.53409722222222222</v>
      </c>
      <c r="B3557" s="3">
        <v>44841</v>
      </c>
      <c r="C3557" s="1">
        <v>1945678182</v>
      </c>
      <c r="D3557" s="1">
        <v>9640003529</v>
      </c>
      <c r="E3557" s="1">
        <v>22930.71</v>
      </c>
      <c r="F3557" s="1" t="s">
        <v>12</v>
      </c>
      <c r="G3557" s="1" t="s">
        <v>12</v>
      </c>
      <c r="H3557" s="1" t="s">
        <v>13</v>
      </c>
      <c r="I3557" s="1" t="s">
        <v>13</v>
      </c>
      <c r="J3557" s="1" t="s">
        <v>25</v>
      </c>
      <c r="K3557" s="1">
        <v>0</v>
      </c>
      <c r="L3557" s="1" t="s">
        <v>21</v>
      </c>
      <c r="M3557" s="1" t="str">
        <f t="shared" si="55"/>
        <v>Consistent</v>
      </c>
      <c r="N3557" s="1" t="str">
        <f>_xlfn.XLOOKUP(H3557, risk_score!A:A, risk_score!B:B, 0)</f>
        <v>Low Risk</v>
      </c>
    </row>
    <row r="3558" spans="1:14">
      <c r="A3558" s="2">
        <v>0.53410879629629626</v>
      </c>
      <c r="B3558" s="3">
        <v>44841</v>
      </c>
      <c r="C3558" s="1">
        <v>3711017685</v>
      </c>
      <c r="D3558" s="1">
        <v>5896180453</v>
      </c>
      <c r="E3558" s="1">
        <v>10993.2</v>
      </c>
      <c r="F3558" s="1" t="s">
        <v>12</v>
      </c>
      <c r="G3558" s="1" t="s">
        <v>12</v>
      </c>
      <c r="H3558" s="1" t="s">
        <v>13</v>
      </c>
      <c r="I3558" s="1" t="s">
        <v>13</v>
      </c>
      <c r="J3558" s="1" t="s">
        <v>25</v>
      </c>
      <c r="K3558" s="1">
        <v>0</v>
      </c>
      <c r="L3558" s="1" t="s">
        <v>23</v>
      </c>
      <c r="M3558" s="1" t="str">
        <f t="shared" ref="M3558:M3581" si="56">IF(F3558=G3558, "Consistent", "Potential Layering")</f>
        <v>Consistent</v>
      </c>
      <c r="N3558" s="1" t="str">
        <f>_xlfn.XLOOKUP(H3558, risk_score!A:A, risk_score!B:B, 0)</f>
        <v>Low Risk</v>
      </c>
    </row>
    <row r="3559" spans="1:14">
      <c r="A3559" s="2">
        <v>0.53412037037037041</v>
      </c>
      <c r="B3559" s="3">
        <v>44841</v>
      </c>
      <c r="C3559" s="1">
        <v>869649682</v>
      </c>
      <c r="D3559" s="1">
        <v>2534644942</v>
      </c>
      <c r="E3559" s="1">
        <v>8190.16</v>
      </c>
      <c r="F3559" s="1" t="s">
        <v>12</v>
      </c>
      <c r="G3559" s="1" t="s">
        <v>29</v>
      </c>
      <c r="H3559" s="1" t="s">
        <v>13</v>
      </c>
      <c r="I3559" s="1" t="s">
        <v>31</v>
      </c>
      <c r="J3559" s="1" t="s">
        <v>18</v>
      </c>
      <c r="K3559" s="1">
        <v>0</v>
      </c>
      <c r="L3559" s="1" t="s">
        <v>23</v>
      </c>
      <c r="M3559" s="1" t="str">
        <f t="shared" si="56"/>
        <v>Potential Layering</v>
      </c>
      <c r="N3559" s="1" t="str">
        <f>_xlfn.XLOOKUP(H3559, risk_score!A:A, risk_score!B:B, 0)</f>
        <v>Low Risk</v>
      </c>
    </row>
    <row r="3560" spans="1:14">
      <c r="A3560" s="2">
        <v>0.53414351851851849</v>
      </c>
      <c r="B3560" s="3">
        <v>44841</v>
      </c>
      <c r="C3560" s="1">
        <v>4183388700</v>
      </c>
      <c r="D3560" s="1">
        <v>4833559967</v>
      </c>
      <c r="E3560" s="1">
        <v>590.28</v>
      </c>
      <c r="F3560" s="1" t="s">
        <v>12</v>
      </c>
      <c r="G3560" s="1" t="s">
        <v>12</v>
      </c>
      <c r="H3560" s="1" t="s">
        <v>13</v>
      </c>
      <c r="I3560" s="1" t="s">
        <v>13</v>
      </c>
      <c r="J3560" s="1" t="s">
        <v>22</v>
      </c>
      <c r="K3560" s="1">
        <v>0</v>
      </c>
      <c r="L3560" s="1" t="s">
        <v>21</v>
      </c>
      <c r="M3560" s="1" t="str">
        <f t="shared" si="56"/>
        <v>Consistent</v>
      </c>
      <c r="N3560" s="1" t="str">
        <f>_xlfn.XLOOKUP(H3560, risk_score!A:A, risk_score!B:B, 0)</f>
        <v>Low Risk</v>
      </c>
    </row>
    <row r="3561" spans="1:14">
      <c r="A3561" s="2">
        <v>0.53415509259259264</v>
      </c>
      <c r="B3561" s="3">
        <v>44841</v>
      </c>
      <c r="C3561" s="1">
        <v>2070714595</v>
      </c>
      <c r="D3561" s="1">
        <v>717639401</v>
      </c>
      <c r="E3561" s="1">
        <v>5559.31</v>
      </c>
      <c r="F3561" s="1" t="s">
        <v>12</v>
      </c>
      <c r="G3561" s="1" t="s">
        <v>12</v>
      </c>
      <c r="H3561" s="1" t="s">
        <v>13</v>
      </c>
      <c r="I3561" s="1" t="s">
        <v>13</v>
      </c>
      <c r="J3561" s="1" t="s">
        <v>14</v>
      </c>
      <c r="K3561" s="1">
        <v>0</v>
      </c>
      <c r="L3561" s="1" t="s">
        <v>15</v>
      </c>
      <c r="M3561" s="1" t="str">
        <f t="shared" si="56"/>
        <v>Consistent</v>
      </c>
      <c r="N3561" s="1" t="str">
        <f>_xlfn.XLOOKUP(H3561, risk_score!A:A, risk_score!B:B, 0)</f>
        <v>Low Risk</v>
      </c>
    </row>
    <row r="3562" spans="1:14">
      <c r="A3562" s="2">
        <v>0.53415509259259264</v>
      </c>
      <c r="B3562" s="3">
        <v>44841</v>
      </c>
      <c r="C3562" s="1">
        <v>1574021353</v>
      </c>
      <c r="D3562" s="1">
        <v>6945596182</v>
      </c>
      <c r="E3562" s="1">
        <v>10010.75</v>
      </c>
      <c r="F3562" s="1" t="s">
        <v>12</v>
      </c>
      <c r="G3562" s="1" t="s">
        <v>12</v>
      </c>
      <c r="H3562" s="1" t="s">
        <v>13</v>
      </c>
      <c r="I3562" s="1" t="s">
        <v>13</v>
      </c>
      <c r="J3562" s="1" t="s">
        <v>25</v>
      </c>
      <c r="K3562" s="1">
        <v>0</v>
      </c>
      <c r="L3562" s="1" t="s">
        <v>21</v>
      </c>
      <c r="M3562" s="1" t="str">
        <f t="shared" si="56"/>
        <v>Consistent</v>
      </c>
      <c r="N3562" s="1" t="str">
        <f>_xlfn.XLOOKUP(H3562, risk_score!A:A, risk_score!B:B, 0)</f>
        <v>Low Risk</v>
      </c>
    </row>
    <row r="3563" spans="1:14">
      <c r="A3563" s="2">
        <v>0.53418981481481487</v>
      </c>
      <c r="B3563" s="3">
        <v>44841</v>
      </c>
      <c r="C3563" s="1">
        <v>5027255141</v>
      </c>
      <c r="D3563" s="1">
        <v>4270865741</v>
      </c>
      <c r="E3563" s="1">
        <v>6241.44</v>
      </c>
      <c r="F3563" s="1" t="s">
        <v>12</v>
      </c>
      <c r="G3563" s="1" t="s">
        <v>12</v>
      </c>
      <c r="H3563" s="1" t="s">
        <v>13</v>
      </c>
      <c r="I3563" s="1" t="s">
        <v>13</v>
      </c>
      <c r="J3563" s="1" t="s">
        <v>25</v>
      </c>
      <c r="K3563" s="1">
        <v>0</v>
      </c>
      <c r="L3563" s="1" t="s">
        <v>23</v>
      </c>
      <c r="M3563" s="1" t="str">
        <f t="shared" si="56"/>
        <v>Consistent</v>
      </c>
      <c r="N3563" s="1" t="str">
        <f>_xlfn.XLOOKUP(H3563, risk_score!A:A, risk_score!B:B, 0)</f>
        <v>Low Risk</v>
      </c>
    </row>
    <row r="3564" spans="1:14">
      <c r="A3564" s="2">
        <v>0.53420138888888891</v>
      </c>
      <c r="B3564" s="3">
        <v>44841</v>
      </c>
      <c r="C3564" s="1">
        <v>1378784400</v>
      </c>
      <c r="D3564" s="1">
        <v>5224271258</v>
      </c>
      <c r="E3564" s="1">
        <v>16895.38</v>
      </c>
      <c r="F3564" s="1" t="s">
        <v>12</v>
      </c>
      <c r="G3564" s="1" t="s">
        <v>12</v>
      </c>
      <c r="H3564" s="1" t="s">
        <v>13</v>
      </c>
      <c r="I3564" s="1" t="s">
        <v>13</v>
      </c>
      <c r="J3564" s="1" t="s">
        <v>22</v>
      </c>
      <c r="K3564" s="1">
        <v>0</v>
      </c>
      <c r="L3564" s="1" t="s">
        <v>19</v>
      </c>
      <c r="M3564" s="1" t="str">
        <f t="shared" si="56"/>
        <v>Consistent</v>
      </c>
      <c r="N3564" s="1" t="str">
        <f>_xlfn.XLOOKUP(H3564, risk_score!A:A, risk_score!B:B, 0)</f>
        <v>Low Risk</v>
      </c>
    </row>
    <row r="3565" spans="1:14">
      <c r="A3565" s="2">
        <v>0.53423611111111113</v>
      </c>
      <c r="B3565" s="3">
        <v>44841</v>
      </c>
      <c r="C3565" s="1">
        <v>3312525901</v>
      </c>
      <c r="D3565" s="1">
        <v>6265371097</v>
      </c>
      <c r="E3565" s="1">
        <v>17847.490000000002</v>
      </c>
      <c r="F3565" s="1" t="s">
        <v>12</v>
      </c>
      <c r="G3565" s="1" t="s">
        <v>12</v>
      </c>
      <c r="H3565" s="1" t="s">
        <v>13</v>
      </c>
      <c r="I3565" s="1" t="s">
        <v>13</v>
      </c>
      <c r="J3565" s="1" t="s">
        <v>27</v>
      </c>
      <c r="K3565" s="1">
        <v>0</v>
      </c>
      <c r="L3565" s="1" t="s">
        <v>21</v>
      </c>
      <c r="M3565" s="1" t="str">
        <f t="shared" si="56"/>
        <v>Consistent</v>
      </c>
      <c r="N3565" s="1" t="str">
        <f>_xlfn.XLOOKUP(H3565, risk_score!A:A, risk_score!B:B, 0)</f>
        <v>Low Risk</v>
      </c>
    </row>
    <row r="3566" spans="1:14">
      <c r="A3566" s="2">
        <v>0.53446759259259258</v>
      </c>
      <c r="B3566" s="3">
        <v>44841</v>
      </c>
      <c r="C3566" s="1">
        <v>8572310683</v>
      </c>
      <c r="D3566" s="1">
        <v>5896180453</v>
      </c>
      <c r="E3566" s="1">
        <v>6083.95</v>
      </c>
      <c r="F3566" s="1" t="s">
        <v>12</v>
      </c>
      <c r="G3566" s="1" t="s">
        <v>12</v>
      </c>
      <c r="H3566" s="1" t="s">
        <v>13</v>
      </c>
      <c r="I3566" s="1" t="s">
        <v>13</v>
      </c>
      <c r="J3566" s="1" t="s">
        <v>22</v>
      </c>
      <c r="K3566" s="1">
        <v>0</v>
      </c>
      <c r="L3566" s="1" t="s">
        <v>23</v>
      </c>
      <c r="M3566" s="1" t="str">
        <f t="shared" si="56"/>
        <v>Consistent</v>
      </c>
      <c r="N3566" s="1" t="str">
        <f>_xlfn.XLOOKUP(H3566, risk_score!A:A, risk_score!B:B, 0)</f>
        <v>Low Risk</v>
      </c>
    </row>
    <row r="3567" spans="1:14">
      <c r="A3567" s="2">
        <v>0.53449074074074077</v>
      </c>
      <c r="B3567" s="3">
        <v>44841</v>
      </c>
      <c r="C3567" s="1">
        <v>1382513766</v>
      </c>
      <c r="D3567" s="1">
        <v>6444220418</v>
      </c>
      <c r="E3567" s="1">
        <v>8545.24</v>
      </c>
      <c r="F3567" s="1" t="s">
        <v>12</v>
      </c>
      <c r="G3567" s="1" t="s">
        <v>12</v>
      </c>
      <c r="H3567" s="1" t="s">
        <v>13</v>
      </c>
      <c r="I3567" s="1" t="s">
        <v>13</v>
      </c>
      <c r="J3567" s="1" t="s">
        <v>27</v>
      </c>
      <c r="K3567" s="1">
        <v>0</v>
      </c>
      <c r="L3567" s="1" t="s">
        <v>23</v>
      </c>
      <c r="M3567" s="1" t="str">
        <f t="shared" si="56"/>
        <v>Consistent</v>
      </c>
      <c r="N3567" s="1" t="str">
        <f>_xlfn.XLOOKUP(H3567, risk_score!A:A, risk_score!B:B, 0)</f>
        <v>Low Risk</v>
      </c>
    </row>
    <row r="3568" spans="1:14">
      <c r="A3568" s="2">
        <v>0.53450231481481481</v>
      </c>
      <c r="B3568" s="3">
        <v>44841</v>
      </c>
      <c r="C3568" s="1">
        <v>3158538471</v>
      </c>
      <c r="D3568" s="1">
        <v>6698805571</v>
      </c>
      <c r="E3568" s="1">
        <v>369.69</v>
      </c>
      <c r="F3568" s="1" t="s">
        <v>12</v>
      </c>
      <c r="G3568" s="1" t="s">
        <v>12</v>
      </c>
      <c r="H3568" s="1" t="s">
        <v>13</v>
      </c>
      <c r="I3568" s="1" t="s">
        <v>13</v>
      </c>
      <c r="J3568" s="1" t="s">
        <v>20</v>
      </c>
      <c r="K3568" s="1">
        <v>0</v>
      </c>
      <c r="L3568" s="1" t="s">
        <v>21</v>
      </c>
      <c r="M3568" s="1" t="str">
        <f t="shared" si="56"/>
        <v>Consistent</v>
      </c>
      <c r="N3568" s="1" t="str">
        <f>_xlfn.XLOOKUP(H3568, risk_score!A:A, risk_score!B:B, 0)</f>
        <v>Low Risk</v>
      </c>
    </row>
    <row r="3569" spans="1:14">
      <c r="A3569" s="2">
        <v>0.53450231481481481</v>
      </c>
      <c r="B3569" s="3">
        <v>44841</v>
      </c>
      <c r="C3569" s="1">
        <v>5343684154</v>
      </c>
      <c r="D3569" s="1">
        <v>6508588067</v>
      </c>
      <c r="E3569" s="1">
        <v>418.77</v>
      </c>
      <c r="F3569" s="1" t="s">
        <v>12</v>
      </c>
      <c r="G3569" s="1" t="s">
        <v>12</v>
      </c>
      <c r="H3569" s="1" t="s">
        <v>13</v>
      </c>
      <c r="I3569" s="1" t="s">
        <v>13</v>
      </c>
      <c r="J3569" s="1" t="s">
        <v>25</v>
      </c>
      <c r="K3569" s="1">
        <v>0</v>
      </c>
      <c r="L3569" s="1" t="s">
        <v>21</v>
      </c>
      <c r="M3569" s="1" t="str">
        <f t="shared" si="56"/>
        <v>Consistent</v>
      </c>
      <c r="N3569" s="1" t="str">
        <f>_xlfn.XLOOKUP(H3569, risk_score!A:A, risk_score!B:B, 0)</f>
        <v>Low Risk</v>
      </c>
    </row>
    <row r="3570" spans="1:14">
      <c r="A3570" s="2">
        <v>0.53452546296296299</v>
      </c>
      <c r="B3570" s="3">
        <v>44841</v>
      </c>
      <c r="C3570" s="1">
        <v>2826317502</v>
      </c>
      <c r="D3570" s="1">
        <v>4270865741</v>
      </c>
      <c r="E3570" s="1">
        <v>4900.12</v>
      </c>
      <c r="F3570" s="1" t="s">
        <v>12</v>
      </c>
      <c r="G3570" s="1" t="s">
        <v>12</v>
      </c>
      <c r="H3570" s="1" t="s">
        <v>13</v>
      </c>
      <c r="I3570" s="1" t="s">
        <v>13</v>
      </c>
      <c r="J3570" s="1" t="s">
        <v>20</v>
      </c>
      <c r="K3570" s="1">
        <v>0</v>
      </c>
      <c r="L3570" s="1" t="s">
        <v>23</v>
      </c>
      <c r="M3570" s="1" t="str">
        <f t="shared" si="56"/>
        <v>Consistent</v>
      </c>
      <c r="N3570" s="1" t="str">
        <f>_xlfn.XLOOKUP(H3570, risk_score!A:A, risk_score!B:B, 0)</f>
        <v>Low Risk</v>
      </c>
    </row>
    <row r="3571" spans="1:14">
      <c r="A3571" s="2">
        <v>0.53456018518518522</v>
      </c>
      <c r="B3571" s="3">
        <v>44841</v>
      </c>
      <c r="C3571" s="1">
        <v>7680300896</v>
      </c>
      <c r="D3571" s="1">
        <v>9392700144</v>
      </c>
      <c r="E3571" s="1">
        <v>2201.7800000000002</v>
      </c>
      <c r="F3571" s="1" t="s">
        <v>12</v>
      </c>
      <c r="G3571" s="1" t="s">
        <v>12</v>
      </c>
      <c r="H3571" s="1" t="s">
        <v>13</v>
      </c>
      <c r="I3571" s="1" t="s">
        <v>13</v>
      </c>
      <c r="J3571" s="1" t="s">
        <v>14</v>
      </c>
      <c r="K3571" s="1">
        <v>0</v>
      </c>
      <c r="L3571" s="1" t="s">
        <v>15</v>
      </c>
      <c r="M3571" s="1" t="str">
        <f t="shared" si="56"/>
        <v>Consistent</v>
      </c>
      <c r="N3571" s="1" t="str">
        <f>_xlfn.XLOOKUP(H3571, risk_score!A:A, risk_score!B:B, 0)</f>
        <v>Low Risk</v>
      </c>
    </row>
    <row r="3572" spans="1:14">
      <c r="A3572" s="2">
        <v>0.53459490740740745</v>
      </c>
      <c r="B3572" s="3">
        <v>44841</v>
      </c>
      <c r="C3572" s="1">
        <v>2547342518</v>
      </c>
      <c r="D3572" s="1">
        <v>8518184956</v>
      </c>
      <c r="E3572" s="1">
        <v>19927.95</v>
      </c>
      <c r="F3572" s="1" t="s">
        <v>12</v>
      </c>
      <c r="G3572" s="1" t="s">
        <v>12</v>
      </c>
      <c r="H3572" s="1" t="s">
        <v>13</v>
      </c>
      <c r="I3572" s="1" t="s">
        <v>13</v>
      </c>
      <c r="J3572" s="1" t="s">
        <v>22</v>
      </c>
      <c r="K3572" s="1">
        <v>0</v>
      </c>
      <c r="L3572" s="1" t="s">
        <v>23</v>
      </c>
      <c r="M3572" s="1" t="str">
        <f t="shared" si="56"/>
        <v>Consistent</v>
      </c>
      <c r="N3572" s="1" t="str">
        <f>_xlfn.XLOOKUP(H3572, risk_score!A:A, risk_score!B:B, 0)</f>
        <v>Low Risk</v>
      </c>
    </row>
    <row r="3573" spans="1:14">
      <c r="A3573" s="2">
        <v>0.53460648148148149</v>
      </c>
      <c r="B3573" s="3">
        <v>44841</v>
      </c>
      <c r="C3573" s="1">
        <v>9436897258</v>
      </c>
      <c r="D3573" s="1">
        <v>157935948</v>
      </c>
      <c r="E3573" s="1">
        <v>6019.1</v>
      </c>
      <c r="F3573" s="1" t="s">
        <v>12</v>
      </c>
      <c r="G3573" s="1" t="s">
        <v>51</v>
      </c>
      <c r="H3573" s="1" t="s">
        <v>13</v>
      </c>
      <c r="I3573" s="1" t="s">
        <v>13</v>
      </c>
      <c r="J3573" s="1" t="s">
        <v>25</v>
      </c>
      <c r="K3573" s="1">
        <v>0</v>
      </c>
      <c r="L3573" s="1" t="s">
        <v>21</v>
      </c>
      <c r="M3573" s="1" t="str">
        <f t="shared" si="56"/>
        <v>Potential Layering</v>
      </c>
      <c r="N3573" s="1" t="str">
        <f>_xlfn.XLOOKUP(H3573, risk_score!A:A, risk_score!B:B, 0)</f>
        <v>Low Risk</v>
      </c>
    </row>
    <row r="3574" spans="1:14">
      <c r="A3574" s="2">
        <v>0.53464120370370372</v>
      </c>
      <c r="B3574" s="3">
        <v>44841</v>
      </c>
      <c r="C3574" s="1">
        <v>5869567125</v>
      </c>
      <c r="D3574" s="1">
        <v>8518184956</v>
      </c>
      <c r="E3574" s="1">
        <v>7005.56</v>
      </c>
      <c r="F3574" s="1" t="s">
        <v>12</v>
      </c>
      <c r="G3574" s="1" t="s">
        <v>12</v>
      </c>
      <c r="H3574" s="1" t="s">
        <v>13</v>
      </c>
      <c r="I3574" s="1" t="s">
        <v>13</v>
      </c>
      <c r="J3574" s="1" t="s">
        <v>22</v>
      </c>
      <c r="K3574" s="1">
        <v>0</v>
      </c>
      <c r="L3574" s="1" t="s">
        <v>23</v>
      </c>
      <c r="M3574" s="1" t="str">
        <f t="shared" si="56"/>
        <v>Consistent</v>
      </c>
      <c r="N3574" s="1" t="str">
        <f>_xlfn.XLOOKUP(H3574, risk_score!A:A, risk_score!B:B, 0)</f>
        <v>Low Risk</v>
      </c>
    </row>
    <row r="3575" spans="1:14">
      <c r="A3575" s="2">
        <v>0.53468749999999998</v>
      </c>
      <c r="B3575" s="3">
        <v>44841</v>
      </c>
      <c r="C3575" s="1">
        <v>354061740</v>
      </c>
      <c r="D3575" s="1">
        <v>219128841</v>
      </c>
      <c r="E3575" s="1">
        <v>9701.77</v>
      </c>
      <c r="F3575" s="1" t="s">
        <v>12</v>
      </c>
      <c r="G3575" s="1" t="s">
        <v>12</v>
      </c>
      <c r="H3575" s="1" t="s">
        <v>13</v>
      </c>
      <c r="I3575" s="1" t="s">
        <v>13</v>
      </c>
      <c r="J3575" s="1" t="s">
        <v>20</v>
      </c>
      <c r="K3575" s="1">
        <v>0</v>
      </c>
      <c r="L3575" s="1" t="s">
        <v>21</v>
      </c>
      <c r="M3575" s="1" t="str">
        <f t="shared" si="56"/>
        <v>Consistent</v>
      </c>
      <c r="N3575" s="1" t="str">
        <f>_xlfn.XLOOKUP(H3575, risk_score!A:A, risk_score!B:B, 0)</f>
        <v>Low Risk</v>
      </c>
    </row>
    <row r="3576" spans="1:14">
      <c r="A3576" s="2">
        <v>0.53469907407407402</v>
      </c>
      <c r="B3576" s="3">
        <v>44841</v>
      </c>
      <c r="C3576" s="1">
        <v>826653192</v>
      </c>
      <c r="D3576" s="1">
        <v>1431561040</v>
      </c>
      <c r="E3576" s="1">
        <v>11337.76</v>
      </c>
      <c r="F3576" s="1" t="s">
        <v>12</v>
      </c>
      <c r="G3576" s="1" t="s">
        <v>12</v>
      </c>
      <c r="H3576" s="1" t="s">
        <v>13</v>
      </c>
      <c r="I3576" s="1" t="s">
        <v>13</v>
      </c>
      <c r="J3576" s="1" t="s">
        <v>22</v>
      </c>
      <c r="K3576" s="1">
        <v>0</v>
      </c>
      <c r="L3576" s="1" t="s">
        <v>23</v>
      </c>
      <c r="M3576" s="1" t="str">
        <f t="shared" si="56"/>
        <v>Consistent</v>
      </c>
      <c r="N3576" s="1" t="str">
        <f>_xlfn.XLOOKUP(H3576, risk_score!A:A, risk_score!B:B, 0)</f>
        <v>Low Risk</v>
      </c>
    </row>
    <row r="3577" spans="1:14">
      <c r="A3577" s="2">
        <v>0.53472222222222221</v>
      </c>
      <c r="B3577" s="3">
        <v>44841</v>
      </c>
      <c r="C3577" s="1">
        <v>6026526172</v>
      </c>
      <c r="D3577" s="1">
        <v>9232728841</v>
      </c>
      <c r="E3577" s="1">
        <v>1698.25</v>
      </c>
      <c r="F3577" s="1" t="s">
        <v>12</v>
      </c>
      <c r="G3577" s="1" t="s">
        <v>12</v>
      </c>
      <c r="H3577" s="1" t="s">
        <v>13</v>
      </c>
      <c r="I3577" s="1" t="s">
        <v>13</v>
      </c>
      <c r="J3577" s="1" t="s">
        <v>27</v>
      </c>
      <c r="K3577" s="1">
        <v>0</v>
      </c>
      <c r="L3577" s="1" t="s">
        <v>24</v>
      </c>
      <c r="M3577" s="1" t="str">
        <f t="shared" si="56"/>
        <v>Consistent</v>
      </c>
      <c r="N3577" s="1" t="str">
        <f>_xlfn.XLOOKUP(H3577, risk_score!A:A, risk_score!B:B, 0)</f>
        <v>Low Risk</v>
      </c>
    </row>
    <row r="3578" spans="1:14">
      <c r="A3578" s="2">
        <v>0.53473379629629625</v>
      </c>
      <c r="B3578" s="3">
        <v>44841</v>
      </c>
      <c r="C3578" s="1">
        <v>9136318143</v>
      </c>
      <c r="D3578" s="1">
        <v>2138505015</v>
      </c>
      <c r="E3578" s="1">
        <v>7196.56</v>
      </c>
      <c r="F3578" s="1" t="s">
        <v>12</v>
      </c>
      <c r="G3578" s="1" t="s">
        <v>16</v>
      </c>
      <c r="H3578" s="1" t="s">
        <v>13</v>
      </c>
      <c r="I3578" s="1" t="s">
        <v>17</v>
      </c>
      <c r="J3578" s="1" t="s">
        <v>18</v>
      </c>
      <c r="K3578" s="1">
        <v>0</v>
      </c>
      <c r="L3578" s="1" t="s">
        <v>23</v>
      </c>
      <c r="M3578" s="1" t="str">
        <f t="shared" si="56"/>
        <v>Potential Layering</v>
      </c>
      <c r="N3578" s="1" t="str">
        <f>_xlfn.XLOOKUP(H3578, risk_score!A:A, risk_score!B:B, 0)</f>
        <v>Low Risk</v>
      </c>
    </row>
    <row r="3579" spans="1:14">
      <c r="A3579" s="2">
        <v>0.5347453703703704</v>
      </c>
      <c r="B3579" s="3">
        <v>44841</v>
      </c>
      <c r="C3579" s="1">
        <v>8456279067</v>
      </c>
      <c r="D3579" s="1">
        <v>3681770380</v>
      </c>
      <c r="E3579" s="1">
        <v>22181.23</v>
      </c>
      <c r="F3579" s="1" t="s">
        <v>12</v>
      </c>
      <c r="G3579" s="1" t="s">
        <v>12</v>
      </c>
      <c r="H3579" s="1" t="s">
        <v>13</v>
      </c>
      <c r="I3579" s="1" t="s">
        <v>13</v>
      </c>
      <c r="J3579" s="1" t="s">
        <v>25</v>
      </c>
      <c r="K3579" s="1">
        <v>0</v>
      </c>
      <c r="L3579" s="1" t="s">
        <v>19</v>
      </c>
      <c r="M3579" s="1" t="str">
        <f t="shared" si="56"/>
        <v>Consistent</v>
      </c>
      <c r="N3579" s="1" t="str">
        <f>_xlfn.XLOOKUP(H3579, risk_score!A:A, risk_score!B:B, 0)</f>
        <v>Low Risk</v>
      </c>
    </row>
    <row r="3580" spans="1:14">
      <c r="A3580" s="2">
        <v>0.53475694444444444</v>
      </c>
      <c r="B3580" s="3">
        <v>44841</v>
      </c>
      <c r="C3580" s="1">
        <v>2369116599</v>
      </c>
      <c r="D3580" s="1">
        <v>4173195094</v>
      </c>
      <c r="E3580" s="1">
        <v>16341.35</v>
      </c>
      <c r="F3580" s="1" t="s">
        <v>12</v>
      </c>
      <c r="G3580" s="1" t="s">
        <v>12</v>
      </c>
      <c r="H3580" s="1" t="s">
        <v>13</v>
      </c>
      <c r="I3580" s="1" t="s">
        <v>13</v>
      </c>
      <c r="J3580" s="1" t="s">
        <v>20</v>
      </c>
      <c r="K3580" s="1">
        <v>0</v>
      </c>
      <c r="L3580" s="1" t="s">
        <v>23</v>
      </c>
      <c r="M3580" s="1" t="str">
        <f t="shared" si="56"/>
        <v>Consistent</v>
      </c>
      <c r="N3580" s="1" t="str">
        <f>_xlfn.XLOOKUP(H3580, risk_score!A:A, risk_score!B:B, 0)</f>
        <v>Low Risk</v>
      </c>
    </row>
    <row r="3581" spans="1:14">
      <c r="A3581" s="2">
        <v>0.53478009259259263</v>
      </c>
      <c r="B3581" s="3">
        <v>44841</v>
      </c>
      <c r="C3581" s="1">
        <v>7548422007</v>
      </c>
      <c r="D3581" s="1">
        <v>4270865741</v>
      </c>
      <c r="E3581" s="1">
        <v>7678.96</v>
      </c>
      <c r="F3581" s="1" t="s">
        <v>12</v>
      </c>
      <c r="G3581" s="1" t="s">
        <v>12</v>
      </c>
      <c r="H3581" s="1" t="s">
        <v>13</v>
      </c>
      <c r="I3581" s="1" t="s">
        <v>13</v>
      </c>
      <c r="J3581" s="1" t="s">
        <v>27</v>
      </c>
      <c r="K3581" s="1">
        <v>0</v>
      </c>
      <c r="L3581" s="1" t="s">
        <v>23</v>
      </c>
      <c r="M3581" s="1" t="str">
        <f t="shared" si="56"/>
        <v>Consistent</v>
      </c>
      <c r="N3581" s="1" t="str">
        <f>_xlfn.XLOOKUP(H3581, risk_score!A:A, risk_score!B:B, 0)</f>
        <v>Low Risk</v>
      </c>
    </row>
    <row r="3582" spans="1:14">
      <c r="A3582" s="2">
        <v>0.5348032407407407</v>
      </c>
      <c r="B3582" s="3">
        <v>44841</v>
      </c>
      <c r="C3582" s="1">
        <v>8237941067</v>
      </c>
      <c r="D3582" s="1">
        <v>9105769228</v>
      </c>
      <c r="E3582" s="1">
        <v>5873.92</v>
      </c>
      <c r="F3582" s="1" t="s">
        <v>12</v>
      </c>
      <c r="G3582" s="1" t="s">
        <v>12</v>
      </c>
      <c r="H3582" s="1" t="s">
        <v>13</v>
      </c>
      <c r="I3582" s="1" t="s">
        <v>13</v>
      </c>
      <c r="J3582" s="1" t="s">
        <v>22</v>
      </c>
      <c r="K3582" s="1">
        <v>0</v>
      </c>
      <c r="L3582" s="1" t="s">
        <v>23</v>
      </c>
      <c r="M3582" s="1" t="str">
        <f>IF(F3582=G3582, "Consistent", "Potential Layering")</f>
        <v>Consistent</v>
      </c>
      <c r="N3582" s="1" t="str">
        <f>_xlfn.XLOOKUP(H3582, risk_score!A:A, risk_score!B:B, 0)</f>
        <v>Low Risk</v>
      </c>
    </row>
    <row r="3583" spans="1:14">
      <c r="A3583" s="2">
        <v>0.53487268518518516</v>
      </c>
      <c r="B3583" s="3">
        <v>44841</v>
      </c>
      <c r="C3583" s="1">
        <v>2981525660</v>
      </c>
      <c r="D3583" s="1">
        <v>8895741494</v>
      </c>
      <c r="E3583" s="1">
        <v>2354.08</v>
      </c>
      <c r="F3583" s="1" t="s">
        <v>12</v>
      </c>
      <c r="G3583" s="1" t="s">
        <v>12</v>
      </c>
      <c r="H3583" s="1" t="s">
        <v>13</v>
      </c>
      <c r="I3583" s="1" t="s">
        <v>13</v>
      </c>
      <c r="J3583" s="1" t="s">
        <v>20</v>
      </c>
      <c r="K3583" s="1">
        <v>0</v>
      </c>
      <c r="L3583" s="1" t="s">
        <v>21</v>
      </c>
      <c r="M3583" s="1" t="str">
        <f t="shared" ref="M3583:M3646" si="57">IF(F3583=G3583, "Consistent", "Potential Layering")</f>
        <v>Consistent</v>
      </c>
      <c r="N3583" s="1" t="str">
        <f>_xlfn.XLOOKUP(H3583, risk_score!A:A, risk_score!B:B, 0)</f>
        <v>Low Risk</v>
      </c>
    </row>
    <row r="3584" spans="1:14">
      <c r="A3584" s="2">
        <v>0.53490740740740739</v>
      </c>
      <c r="B3584" s="3">
        <v>44841</v>
      </c>
      <c r="C3584" s="1">
        <v>3452368468</v>
      </c>
      <c r="D3584" s="1">
        <v>2111706195</v>
      </c>
      <c r="E3584" s="1">
        <v>14860.86</v>
      </c>
      <c r="F3584" s="1" t="s">
        <v>12</v>
      </c>
      <c r="G3584" s="1" t="s">
        <v>12</v>
      </c>
      <c r="H3584" s="1" t="s">
        <v>13</v>
      </c>
      <c r="I3584" s="1" t="s">
        <v>13</v>
      </c>
      <c r="J3584" s="1" t="s">
        <v>22</v>
      </c>
      <c r="K3584" s="1">
        <v>0</v>
      </c>
      <c r="L3584" s="1" t="s">
        <v>19</v>
      </c>
      <c r="M3584" s="1" t="str">
        <f t="shared" si="57"/>
        <v>Consistent</v>
      </c>
      <c r="N3584" s="1" t="str">
        <f>_xlfn.XLOOKUP(H3584, risk_score!A:A, risk_score!B:B, 0)</f>
        <v>Low Risk</v>
      </c>
    </row>
    <row r="3585" spans="1:14">
      <c r="A3585" s="2">
        <v>0.53491898148148154</v>
      </c>
      <c r="B3585" s="3">
        <v>44841</v>
      </c>
      <c r="C3585" s="1">
        <v>371458209</v>
      </c>
      <c r="D3585" s="1">
        <v>6070906973</v>
      </c>
      <c r="E3585" s="1">
        <v>430.62</v>
      </c>
      <c r="F3585" s="1" t="s">
        <v>12</v>
      </c>
      <c r="G3585" s="1" t="s">
        <v>12</v>
      </c>
      <c r="H3585" s="1" t="s">
        <v>13</v>
      </c>
      <c r="I3585" s="1" t="s">
        <v>13</v>
      </c>
      <c r="J3585" s="1" t="s">
        <v>20</v>
      </c>
      <c r="K3585" s="1">
        <v>0</v>
      </c>
      <c r="L3585" s="1" t="s">
        <v>21</v>
      </c>
      <c r="M3585" s="1" t="str">
        <f t="shared" si="57"/>
        <v>Consistent</v>
      </c>
      <c r="N3585" s="1" t="str">
        <f>_xlfn.XLOOKUP(H3585, risk_score!A:A, risk_score!B:B, 0)</f>
        <v>Low Risk</v>
      </c>
    </row>
    <row r="3586" spans="1:14">
      <c r="A3586" s="2">
        <v>0.5349652777777778</v>
      </c>
      <c r="B3586" s="3">
        <v>44841</v>
      </c>
      <c r="C3586" s="1">
        <v>5460360634</v>
      </c>
      <c r="D3586" s="1">
        <v>5882500635</v>
      </c>
      <c r="E3586" s="1">
        <v>1838.14</v>
      </c>
      <c r="F3586" s="1" t="s">
        <v>12</v>
      </c>
      <c r="G3586" s="1" t="s">
        <v>12</v>
      </c>
      <c r="H3586" s="1" t="s">
        <v>13</v>
      </c>
      <c r="I3586" s="1" t="s">
        <v>13</v>
      </c>
      <c r="J3586" s="1" t="s">
        <v>22</v>
      </c>
      <c r="K3586" s="1">
        <v>0</v>
      </c>
      <c r="L3586" s="1" t="s">
        <v>24</v>
      </c>
      <c r="M3586" s="1" t="str">
        <f t="shared" si="57"/>
        <v>Consistent</v>
      </c>
      <c r="N3586" s="1" t="str">
        <f>_xlfn.XLOOKUP(H3586, risk_score!A:A, risk_score!B:B, 0)</f>
        <v>Low Risk</v>
      </c>
    </row>
    <row r="3587" spans="1:14">
      <c r="A3587" s="2">
        <v>0.53498842592592588</v>
      </c>
      <c r="B3587" s="3">
        <v>44841</v>
      </c>
      <c r="C3587" s="1">
        <v>4927310100</v>
      </c>
      <c r="D3587" s="1">
        <v>5384712251</v>
      </c>
      <c r="E3587" s="1">
        <v>1900.19</v>
      </c>
      <c r="F3587" s="1" t="s">
        <v>12</v>
      </c>
      <c r="G3587" s="1" t="s">
        <v>12</v>
      </c>
      <c r="H3587" s="1" t="s">
        <v>13</v>
      </c>
      <c r="I3587" s="1" t="s">
        <v>13</v>
      </c>
      <c r="J3587" s="1" t="s">
        <v>22</v>
      </c>
      <c r="K3587" s="1">
        <v>0</v>
      </c>
      <c r="L3587" s="1" t="s">
        <v>21</v>
      </c>
      <c r="M3587" s="1" t="str">
        <f t="shared" si="57"/>
        <v>Consistent</v>
      </c>
      <c r="N3587" s="1" t="str">
        <f>_xlfn.XLOOKUP(H3587, risk_score!A:A, risk_score!B:B, 0)</f>
        <v>Low Risk</v>
      </c>
    </row>
    <row r="3588" spans="1:14">
      <c r="A3588" s="2">
        <v>0.53502314814814811</v>
      </c>
      <c r="B3588" s="3">
        <v>44841</v>
      </c>
      <c r="C3588" s="1">
        <v>2136023308</v>
      </c>
      <c r="D3588" s="1">
        <v>2650600631</v>
      </c>
      <c r="E3588" s="1">
        <v>5952.12</v>
      </c>
      <c r="F3588" s="1" t="s">
        <v>12</v>
      </c>
      <c r="G3588" s="1" t="s">
        <v>12</v>
      </c>
      <c r="H3588" s="1" t="s">
        <v>13</v>
      </c>
      <c r="I3588" s="1" t="s">
        <v>13</v>
      </c>
      <c r="J3588" s="1" t="s">
        <v>22</v>
      </c>
      <c r="K3588" s="1">
        <v>0</v>
      </c>
      <c r="L3588" s="1" t="s">
        <v>21</v>
      </c>
      <c r="M3588" s="1" t="str">
        <f t="shared" si="57"/>
        <v>Consistent</v>
      </c>
      <c r="N3588" s="1" t="str">
        <f>_xlfn.XLOOKUP(H3588, risk_score!A:A, risk_score!B:B, 0)</f>
        <v>Low Risk</v>
      </c>
    </row>
    <row r="3589" spans="1:14">
      <c r="A3589" s="2">
        <v>0.53502314814814811</v>
      </c>
      <c r="B3589" s="3">
        <v>44841</v>
      </c>
      <c r="C3589" s="1">
        <v>4083626700</v>
      </c>
      <c r="D3589" s="1">
        <v>3531296156</v>
      </c>
      <c r="E3589" s="1">
        <v>22017.75</v>
      </c>
      <c r="F3589" s="1" t="s">
        <v>12</v>
      </c>
      <c r="G3589" s="1" t="s">
        <v>12</v>
      </c>
      <c r="H3589" s="1" t="s">
        <v>13</v>
      </c>
      <c r="I3589" s="1" t="s">
        <v>13</v>
      </c>
      <c r="J3589" s="1" t="s">
        <v>22</v>
      </c>
      <c r="K3589" s="1">
        <v>0</v>
      </c>
      <c r="L3589" s="1" t="s">
        <v>21</v>
      </c>
      <c r="M3589" s="1" t="str">
        <f t="shared" si="57"/>
        <v>Consistent</v>
      </c>
      <c r="N3589" s="1" t="str">
        <f>_xlfn.XLOOKUP(H3589, risk_score!A:A, risk_score!B:B, 0)</f>
        <v>Low Risk</v>
      </c>
    </row>
    <row r="3590" spans="1:14">
      <c r="A3590" s="2">
        <v>0.53502314814814811</v>
      </c>
      <c r="B3590" s="3">
        <v>44841</v>
      </c>
      <c r="C3590" s="1">
        <v>6514324496</v>
      </c>
      <c r="D3590" s="1">
        <v>3901789467</v>
      </c>
      <c r="E3590" s="1">
        <v>8966.39</v>
      </c>
      <c r="F3590" s="1" t="s">
        <v>12</v>
      </c>
      <c r="G3590" s="1" t="s">
        <v>12</v>
      </c>
      <c r="H3590" s="1" t="s">
        <v>13</v>
      </c>
      <c r="I3590" s="1" t="s">
        <v>13</v>
      </c>
      <c r="J3590" s="1" t="s">
        <v>20</v>
      </c>
      <c r="K3590" s="1">
        <v>0</v>
      </c>
      <c r="L3590" s="1" t="s">
        <v>24</v>
      </c>
      <c r="M3590" s="1" t="str">
        <f t="shared" si="57"/>
        <v>Consistent</v>
      </c>
      <c r="N3590" s="1" t="str">
        <f>_xlfn.XLOOKUP(H3590, risk_score!A:A, risk_score!B:B, 0)</f>
        <v>Low Risk</v>
      </c>
    </row>
    <row r="3591" spans="1:14">
      <c r="A3591" s="2">
        <v>0.5350462962962963</v>
      </c>
      <c r="B3591" s="3">
        <v>44841</v>
      </c>
      <c r="C3591" s="1">
        <v>7423492101</v>
      </c>
      <c r="D3591" s="1">
        <v>8172080174</v>
      </c>
      <c r="E3591" s="1">
        <v>10947.67</v>
      </c>
      <c r="F3591" s="1" t="s">
        <v>12</v>
      </c>
      <c r="G3591" s="1" t="s">
        <v>12</v>
      </c>
      <c r="H3591" s="1" t="s">
        <v>13</v>
      </c>
      <c r="I3591" s="1" t="s">
        <v>13</v>
      </c>
      <c r="J3591" s="1" t="s">
        <v>20</v>
      </c>
      <c r="K3591" s="1">
        <v>0</v>
      </c>
      <c r="L3591" s="1" t="s">
        <v>23</v>
      </c>
      <c r="M3591" s="1" t="str">
        <f t="shared" si="57"/>
        <v>Consistent</v>
      </c>
      <c r="N3591" s="1" t="str">
        <f>_xlfn.XLOOKUP(H3591, risk_score!A:A, risk_score!B:B, 0)</f>
        <v>Low Risk</v>
      </c>
    </row>
    <row r="3592" spans="1:14">
      <c r="A3592" s="2">
        <v>0.53505787037037034</v>
      </c>
      <c r="B3592" s="3">
        <v>44841</v>
      </c>
      <c r="C3592" s="1">
        <v>6799939543</v>
      </c>
      <c r="D3592" s="1">
        <v>556871543</v>
      </c>
      <c r="E3592" s="1">
        <v>11378.9</v>
      </c>
      <c r="F3592" s="1" t="s">
        <v>12</v>
      </c>
      <c r="G3592" s="1" t="s">
        <v>12</v>
      </c>
      <c r="H3592" s="1" t="s">
        <v>13</v>
      </c>
      <c r="I3592" s="1" t="s">
        <v>13</v>
      </c>
      <c r="J3592" s="1" t="s">
        <v>22</v>
      </c>
      <c r="K3592" s="1">
        <v>0</v>
      </c>
      <c r="L3592" s="1" t="s">
        <v>21</v>
      </c>
      <c r="M3592" s="1" t="str">
        <f t="shared" si="57"/>
        <v>Consistent</v>
      </c>
      <c r="N3592" s="1" t="str">
        <f>_xlfn.XLOOKUP(H3592, risk_score!A:A, risk_score!B:B, 0)</f>
        <v>Low Risk</v>
      </c>
    </row>
    <row r="3593" spans="1:14">
      <c r="A3593" s="2">
        <v>0.53508101851851853</v>
      </c>
      <c r="B3593" s="3">
        <v>44841</v>
      </c>
      <c r="C3593" s="1">
        <v>5582784249</v>
      </c>
      <c r="D3593" s="1">
        <v>3240525083</v>
      </c>
      <c r="E3593" s="1">
        <v>56.8</v>
      </c>
      <c r="F3593" s="1" t="s">
        <v>12</v>
      </c>
      <c r="G3593" s="1" t="s">
        <v>12</v>
      </c>
      <c r="H3593" s="1" t="s">
        <v>13</v>
      </c>
      <c r="I3593" s="1" t="s">
        <v>13</v>
      </c>
      <c r="J3593" s="1" t="s">
        <v>36</v>
      </c>
      <c r="K3593" s="1">
        <v>0</v>
      </c>
      <c r="L3593" s="1" t="s">
        <v>37</v>
      </c>
      <c r="M3593" s="1" t="str">
        <f t="shared" si="57"/>
        <v>Consistent</v>
      </c>
      <c r="N3593" s="1" t="str">
        <f>_xlfn.XLOOKUP(H3593, risk_score!A:A, risk_score!B:B, 0)</f>
        <v>Low Risk</v>
      </c>
    </row>
    <row r="3594" spans="1:14">
      <c r="A3594" s="2">
        <v>0.53509259259259256</v>
      </c>
      <c r="B3594" s="3">
        <v>44841</v>
      </c>
      <c r="C3594" s="1">
        <v>5424728274</v>
      </c>
      <c r="D3594" s="1">
        <v>4336977506</v>
      </c>
      <c r="E3594" s="1">
        <v>5134.3599999999997</v>
      </c>
      <c r="F3594" s="1" t="s">
        <v>12</v>
      </c>
      <c r="G3594" s="1" t="s">
        <v>12</v>
      </c>
      <c r="H3594" s="1" t="s">
        <v>13</v>
      </c>
      <c r="I3594" s="1" t="s">
        <v>13</v>
      </c>
      <c r="J3594" s="1" t="s">
        <v>27</v>
      </c>
      <c r="K3594" s="1">
        <v>0</v>
      </c>
      <c r="L3594" s="1" t="s">
        <v>23</v>
      </c>
      <c r="M3594" s="1" t="str">
        <f t="shared" si="57"/>
        <v>Consistent</v>
      </c>
      <c r="N3594" s="1" t="str">
        <f>_xlfn.XLOOKUP(H3594, risk_score!A:A, risk_score!B:B, 0)</f>
        <v>Low Risk</v>
      </c>
    </row>
    <row r="3595" spans="1:14">
      <c r="A3595" s="2">
        <v>0.53512731481481479</v>
      </c>
      <c r="B3595" s="3">
        <v>44841</v>
      </c>
      <c r="C3595" s="1">
        <v>8513630384</v>
      </c>
      <c r="D3595" s="1">
        <v>8401906350</v>
      </c>
      <c r="E3595" s="1">
        <v>492.34</v>
      </c>
      <c r="F3595" s="1" t="s">
        <v>12</v>
      </c>
      <c r="G3595" s="1" t="s">
        <v>12</v>
      </c>
      <c r="H3595" s="1" t="s">
        <v>13</v>
      </c>
      <c r="I3595" s="1" t="s">
        <v>13</v>
      </c>
      <c r="J3595" s="1" t="s">
        <v>20</v>
      </c>
      <c r="K3595" s="1">
        <v>0</v>
      </c>
      <c r="L3595" s="1" t="s">
        <v>21</v>
      </c>
      <c r="M3595" s="1" t="str">
        <f t="shared" si="57"/>
        <v>Consistent</v>
      </c>
      <c r="N3595" s="1" t="str">
        <f>_xlfn.XLOOKUP(H3595, risk_score!A:A, risk_score!B:B, 0)</f>
        <v>Low Risk</v>
      </c>
    </row>
    <row r="3596" spans="1:14">
      <c r="A3596" s="2">
        <v>0.53517361111111106</v>
      </c>
      <c r="B3596" s="3">
        <v>44841</v>
      </c>
      <c r="C3596" s="1">
        <v>3310157274</v>
      </c>
      <c r="D3596" s="1">
        <v>2413756718</v>
      </c>
      <c r="E3596" s="1">
        <v>1222.6400000000001</v>
      </c>
      <c r="F3596" s="1" t="s">
        <v>12</v>
      </c>
      <c r="G3596" s="1" t="s">
        <v>12</v>
      </c>
      <c r="H3596" s="1" t="s">
        <v>13</v>
      </c>
      <c r="I3596" s="1" t="s">
        <v>13</v>
      </c>
      <c r="J3596" s="1" t="s">
        <v>22</v>
      </c>
      <c r="K3596" s="1">
        <v>0</v>
      </c>
      <c r="L3596" s="1" t="s">
        <v>21</v>
      </c>
      <c r="M3596" s="1" t="str">
        <f t="shared" si="57"/>
        <v>Consistent</v>
      </c>
      <c r="N3596" s="1" t="str">
        <f>_xlfn.XLOOKUP(H3596, risk_score!A:A, risk_score!B:B, 0)</f>
        <v>Low Risk</v>
      </c>
    </row>
    <row r="3597" spans="1:14">
      <c r="A3597" s="2">
        <v>0.53519675925925925</v>
      </c>
      <c r="B3597" s="3">
        <v>44841</v>
      </c>
      <c r="C3597" s="1">
        <v>4203072348</v>
      </c>
      <c r="D3597" s="1">
        <v>8715127537</v>
      </c>
      <c r="E3597" s="1">
        <v>1181.17</v>
      </c>
      <c r="F3597" s="1" t="s">
        <v>12</v>
      </c>
      <c r="G3597" s="1" t="s">
        <v>12</v>
      </c>
      <c r="H3597" s="1" t="s">
        <v>13</v>
      </c>
      <c r="I3597" s="1" t="s">
        <v>13</v>
      </c>
      <c r="J3597" s="1" t="s">
        <v>22</v>
      </c>
      <c r="K3597" s="1">
        <v>0</v>
      </c>
      <c r="L3597" s="1" t="s">
        <v>21</v>
      </c>
      <c r="M3597" s="1" t="str">
        <f t="shared" si="57"/>
        <v>Consistent</v>
      </c>
      <c r="N3597" s="1" t="str">
        <f>_xlfn.XLOOKUP(H3597, risk_score!A:A, risk_score!B:B, 0)</f>
        <v>Low Risk</v>
      </c>
    </row>
    <row r="3598" spans="1:14">
      <c r="A3598" s="2">
        <v>0.53520833333333329</v>
      </c>
      <c r="B3598" s="3">
        <v>44841</v>
      </c>
      <c r="C3598" s="1">
        <v>7122195351</v>
      </c>
      <c r="D3598" s="1">
        <v>147138958</v>
      </c>
      <c r="E3598" s="1">
        <v>11412.38</v>
      </c>
      <c r="F3598" s="1" t="s">
        <v>12</v>
      </c>
      <c r="G3598" s="1" t="s">
        <v>12</v>
      </c>
      <c r="H3598" s="1" t="s">
        <v>13</v>
      </c>
      <c r="I3598" s="1" t="s">
        <v>13</v>
      </c>
      <c r="J3598" s="1" t="s">
        <v>22</v>
      </c>
      <c r="K3598" s="1">
        <v>0</v>
      </c>
      <c r="L3598" s="1" t="s">
        <v>21</v>
      </c>
      <c r="M3598" s="1" t="str">
        <f t="shared" si="57"/>
        <v>Consistent</v>
      </c>
      <c r="N3598" s="1" t="str">
        <f>_xlfn.XLOOKUP(H3598, risk_score!A:A, risk_score!B:B, 0)</f>
        <v>Low Risk</v>
      </c>
    </row>
    <row r="3599" spans="1:14">
      <c r="A3599" s="2">
        <v>0.53524305555555551</v>
      </c>
      <c r="B3599" s="3">
        <v>44841</v>
      </c>
      <c r="C3599" s="1">
        <v>4899332114</v>
      </c>
      <c r="D3599" s="1">
        <v>6034997194</v>
      </c>
      <c r="E3599" s="1">
        <v>10122.56</v>
      </c>
      <c r="F3599" s="1" t="s">
        <v>12</v>
      </c>
      <c r="G3599" s="1" t="s">
        <v>12</v>
      </c>
      <c r="H3599" s="1" t="s">
        <v>13</v>
      </c>
      <c r="I3599" s="1" t="s">
        <v>13</v>
      </c>
      <c r="J3599" s="1" t="s">
        <v>22</v>
      </c>
      <c r="K3599" s="1">
        <v>0</v>
      </c>
      <c r="L3599" s="1" t="s">
        <v>23</v>
      </c>
      <c r="M3599" s="1" t="str">
        <f t="shared" si="57"/>
        <v>Consistent</v>
      </c>
      <c r="N3599" s="1" t="str">
        <f>_xlfn.XLOOKUP(H3599, risk_score!A:A, risk_score!B:B, 0)</f>
        <v>Low Risk</v>
      </c>
    </row>
    <row r="3600" spans="1:14">
      <c r="A3600" s="2">
        <v>0.53524305555555551</v>
      </c>
      <c r="B3600" s="3">
        <v>44841</v>
      </c>
      <c r="C3600" s="1">
        <v>5714926472</v>
      </c>
      <c r="D3600" s="1">
        <v>2534644942</v>
      </c>
      <c r="E3600" s="1">
        <v>5115.01</v>
      </c>
      <c r="F3600" s="1" t="s">
        <v>12</v>
      </c>
      <c r="G3600" s="1" t="s">
        <v>29</v>
      </c>
      <c r="H3600" s="1" t="s">
        <v>13</v>
      </c>
      <c r="I3600" s="1" t="s">
        <v>31</v>
      </c>
      <c r="J3600" s="1" t="s">
        <v>18</v>
      </c>
      <c r="K3600" s="1">
        <v>0</v>
      </c>
      <c r="L3600" s="1" t="s">
        <v>23</v>
      </c>
      <c r="M3600" s="1" t="str">
        <f t="shared" si="57"/>
        <v>Potential Layering</v>
      </c>
      <c r="N3600" s="1" t="str">
        <f>_xlfn.XLOOKUP(H3600, risk_score!A:A, risk_score!B:B, 0)</f>
        <v>Low Risk</v>
      </c>
    </row>
    <row r="3601" spans="1:14">
      <c r="A3601" s="2">
        <v>0.53527777777777774</v>
      </c>
      <c r="B3601" s="3">
        <v>44841</v>
      </c>
      <c r="C3601" s="1">
        <v>4500376293</v>
      </c>
      <c r="D3601" s="1">
        <v>5816939465</v>
      </c>
      <c r="E3601" s="1">
        <v>15612.65</v>
      </c>
      <c r="F3601" s="1" t="s">
        <v>12</v>
      </c>
      <c r="G3601" s="1" t="s">
        <v>12</v>
      </c>
      <c r="H3601" s="1" t="s">
        <v>13</v>
      </c>
      <c r="I3601" s="1" t="s">
        <v>13</v>
      </c>
      <c r="J3601" s="1" t="s">
        <v>25</v>
      </c>
      <c r="K3601" s="1">
        <v>0</v>
      </c>
      <c r="L3601" s="1" t="s">
        <v>21</v>
      </c>
      <c r="M3601" s="1" t="str">
        <f t="shared" si="57"/>
        <v>Consistent</v>
      </c>
      <c r="N3601" s="1" t="str">
        <f>_xlfn.XLOOKUP(H3601, risk_score!A:A, risk_score!B:B, 0)</f>
        <v>Low Risk</v>
      </c>
    </row>
    <row r="3602" spans="1:14">
      <c r="A3602" s="2">
        <v>0.53532407407407412</v>
      </c>
      <c r="B3602" s="3">
        <v>44841</v>
      </c>
      <c r="C3602" s="1">
        <v>5850804427</v>
      </c>
      <c r="D3602" s="1">
        <v>8126657622</v>
      </c>
      <c r="E3602" s="1">
        <v>6565.01</v>
      </c>
      <c r="F3602" s="1" t="s">
        <v>12</v>
      </c>
      <c r="G3602" s="1" t="s">
        <v>12</v>
      </c>
      <c r="H3602" s="1" t="s">
        <v>13</v>
      </c>
      <c r="I3602" s="1" t="s">
        <v>13</v>
      </c>
      <c r="J3602" s="1" t="s">
        <v>27</v>
      </c>
      <c r="K3602" s="1">
        <v>0</v>
      </c>
      <c r="L3602" s="1" t="s">
        <v>21</v>
      </c>
      <c r="M3602" s="1" t="str">
        <f t="shared" si="57"/>
        <v>Consistent</v>
      </c>
      <c r="N3602" s="1" t="str">
        <f>_xlfn.XLOOKUP(H3602, risk_score!A:A, risk_score!B:B, 0)</f>
        <v>Low Risk</v>
      </c>
    </row>
    <row r="3603" spans="1:14">
      <c r="A3603" s="2">
        <v>0.53533564814814816</v>
      </c>
      <c r="B3603" s="3">
        <v>44841</v>
      </c>
      <c r="C3603" s="1">
        <v>6086421020</v>
      </c>
      <c r="D3603" s="1">
        <v>8785037379</v>
      </c>
      <c r="E3603" s="1">
        <v>8283.1299999999992</v>
      </c>
      <c r="F3603" s="1" t="s">
        <v>12</v>
      </c>
      <c r="G3603" s="1" t="s">
        <v>12</v>
      </c>
      <c r="H3603" s="1" t="s">
        <v>13</v>
      </c>
      <c r="I3603" s="1" t="s">
        <v>13</v>
      </c>
      <c r="J3603" s="1" t="s">
        <v>25</v>
      </c>
      <c r="K3603" s="1">
        <v>0</v>
      </c>
      <c r="L3603" s="1" t="s">
        <v>19</v>
      </c>
      <c r="M3603" s="1" t="str">
        <f t="shared" si="57"/>
        <v>Consistent</v>
      </c>
      <c r="N3603" s="1" t="str">
        <f>_xlfn.XLOOKUP(H3603, risk_score!A:A, risk_score!B:B, 0)</f>
        <v>Low Risk</v>
      </c>
    </row>
    <row r="3604" spans="1:14">
      <c r="A3604" s="2">
        <v>0.5353472222222222</v>
      </c>
      <c r="B3604" s="3">
        <v>44841</v>
      </c>
      <c r="C3604" s="1">
        <v>4121324384</v>
      </c>
      <c r="D3604" s="1">
        <v>114960068</v>
      </c>
      <c r="E3604" s="1">
        <v>8548.31</v>
      </c>
      <c r="F3604" s="1" t="s">
        <v>29</v>
      </c>
      <c r="G3604" s="1" t="s">
        <v>16</v>
      </c>
      <c r="H3604" s="1" t="s">
        <v>30</v>
      </c>
      <c r="I3604" s="1" t="s">
        <v>17</v>
      </c>
      <c r="J3604" s="1" t="s">
        <v>18</v>
      </c>
      <c r="K3604" s="1">
        <v>0</v>
      </c>
      <c r="L3604" s="1" t="s">
        <v>19</v>
      </c>
      <c r="M3604" s="1" t="str">
        <f t="shared" si="57"/>
        <v>Potential Layering</v>
      </c>
      <c r="N3604" s="1" t="str">
        <f>_xlfn.XLOOKUP(H3604, risk_score!A:A, risk_score!B:B, 0)</f>
        <v>Low Risk</v>
      </c>
    </row>
    <row r="3605" spans="1:14">
      <c r="A3605" s="2">
        <v>0.5353472222222222</v>
      </c>
      <c r="B3605" s="3">
        <v>44841</v>
      </c>
      <c r="C3605" s="1">
        <v>9734083970</v>
      </c>
      <c r="D3605" s="1">
        <v>7428731807</v>
      </c>
      <c r="E3605" s="1">
        <v>5018.01</v>
      </c>
      <c r="F3605" s="1" t="s">
        <v>12</v>
      </c>
      <c r="G3605" s="1" t="s">
        <v>12</v>
      </c>
      <c r="H3605" s="1" t="s">
        <v>13</v>
      </c>
      <c r="I3605" s="1" t="s">
        <v>13</v>
      </c>
      <c r="J3605" s="1" t="s">
        <v>25</v>
      </c>
      <c r="K3605" s="1">
        <v>0</v>
      </c>
      <c r="L3605" s="1" t="s">
        <v>19</v>
      </c>
      <c r="M3605" s="1" t="str">
        <f t="shared" si="57"/>
        <v>Consistent</v>
      </c>
      <c r="N3605" s="1" t="str">
        <f>_xlfn.XLOOKUP(H3605, risk_score!A:A, risk_score!B:B, 0)</f>
        <v>Low Risk</v>
      </c>
    </row>
    <row r="3606" spans="1:14">
      <c r="A3606" s="2">
        <v>0.5353472222222222</v>
      </c>
      <c r="B3606" s="3">
        <v>44841</v>
      </c>
      <c r="C3606" s="1">
        <v>9529928225</v>
      </c>
      <c r="D3606" s="1">
        <v>4173195094</v>
      </c>
      <c r="E3606" s="1">
        <v>6532.35</v>
      </c>
      <c r="F3606" s="1" t="s">
        <v>12</v>
      </c>
      <c r="G3606" s="1" t="s">
        <v>12</v>
      </c>
      <c r="H3606" s="1" t="s">
        <v>13</v>
      </c>
      <c r="I3606" s="1" t="s">
        <v>13</v>
      </c>
      <c r="J3606" s="1" t="s">
        <v>20</v>
      </c>
      <c r="K3606" s="1">
        <v>0</v>
      </c>
      <c r="L3606" s="1" t="s">
        <v>23</v>
      </c>
      <c r="M3606" s="1" t="str">
        <f t="shared" si="57"/>
        <v>Consistent</v>
      </c>
      <c r="N3606" s="1" t="str">
        <f>_xlfn.XLOOKUP(H3606, risk_score!A:A, risk_score!B:B, 0)</f>
        <v>Low Risk</v>
      </c>
    </row>
    <row r="3607" spans="1:14">
      <c r="A3607" s="2">
        <v>0.53535879629629635</v>
      </c>
      <c r="B3607" s="3">
        <v>44841</v>
      </c>
      <c r="C3607" s="1">
        <v>1426850668</v>
      </c>
      <c r="D3607" s="1">
        <v>3350955567</v>
      </c>
      <c r="E3607" s="1">
        <v>3008.31</v>
      </c>
      <c r="F3607" s="1" t="s">
        <v>12</v>
      </c>
      <c r="G3607" s="1" t="s">
        <v>12</v>
      </c>
      <c r="H3607" s="1" t="s">
        <v>13</v>
      </c>
      <c r="I3607" s="1" t="s">
        <v>13</v>
      </c>
      <c r="J3607" s="1" t="s">
        <v>20</v>
      </c>
      <c r="K3607" s="1">
        <v>0</v>
      </c>
      <c r="L3607" s="1" t="s">
        <v>21</v>
      </c>
      <c r="M3607" s="1" t="str">
        <f t="shared" si="57"/>
        <v>Consistent</v>
      </c>
      <c r="N3607" s="1" t="str">
        <f>_xlfn.XLOOKUP(H3607, risk_score!A:A, risk_score!B:B, 0)</f>
        <v>Low Risk</v>
      </c>
    </row>
    <row r="3608" spans="1:14">
      <c r="A3608" s="2">
        <v>0.53535879629629635</v>
      </c>
      <c r="B3608" s="3">
        <v>44841</v>
      </c>
      <c r="C3608" s="1">
        <v>4192345805</v>
      </c>
      <c r="D3608" s="1">
        <v>8122269390</v>
      </c>
      <c r="E3608" s="1">
        <v>207.27</v>
      </c>
      <c r="F3608" s="1" t="s">
        <v>12</v>
      </c>
      <c r="G3608" s="1" t="s">
        <v>12</v>
      </c>
      <c r="H3608" s="1" t="s">
        <v>13</v>
      </c>
      <c r="I3608" s="1" t="s">
        <v>13</v>
      </c>
      <c r="J3608" s="1" t="s">
        <v>36</v>
      </c>
      <c r="K3608" s="1">
        <v>0</v>
      </c>
      <c r="L3608" s="1" t="s">
        <v>37</v>
      </c>
      <c r="M3608" s="1" t="str">
        <f t="shared" si="57"/>
        <v>Consistent</v>
      </c>
      <c r="N3608" s="1" t="str">
        <f>_xlfn.XLOOKUP(H3608, risk_score!A:A, risk_score!B:B, 0)</f>
        <v>Low Risk</v>
      </c>
    </row>
    <row r="3609" spans="1:14">
      <c r="A3609" s="2">
        <v>0.53541666666666665</v>
      </c>
      <c r="B3609" s="3">
        <v>44841</v>
      </c>
      <c r="C3609" s="1">
        <v>4737118318</v>
      </c>
      <c r="D3609" s="1">
        <v>6281764313</v>
      </c>
      <c r="E3609" s="1">
        <v>1153.4000000000001</v>
      </c>
      <c r="F3609" s="1" t="s">
        <v>12</v>
      </c>
      <c r="G3609" s="1" t="s">
        <v>12</v>
      </c>
      <c r="H3609" s="1" t="s">
        <v>13</v>
      </c>
      <c r="I3609" s="1" t="s">
        <v>13</v>
      </c>
      <c r="J3609" s="1" t="s">
        <v>25</v>
      </c>
      <c r="K3609" s="1">
        <v>0</v>
      </c>
      <c r="L3609" s="1" t="s">
        <v>21</v>
      </c>
      <c r="M3609" s="1" t="str">
        <f t="shared" si="57"/>
        <v>Consistent</v>
      </c>
      <c r="N3609" s="1" t="str">
        <f>_xlfn.XLOOKUP(H3609, risk_score!A:A, risk_score!B:B, 0)</f>
        <v>Low Risk</v>
      </c>
    </row>
    <row r="3610" spans="1:14">
      <c r="A3610" s="2">
        <v>0.53542824074074069</v>
      </c>
      <c r="B3610" s="3">
        <v>44841</v>
      </c>
      <c r="C3610" s="1">
        <v>5894944078</v>
      </c>
      <c r="D3610" s="1">
        <v>6809988965</v>
      </c>
      <c r="E3610" s="1">
        <v>5264.91</v>
      </c>
      <c r="F3610" s="1" t="s">
        <v>12</v>
      </c>
      <c r="G3610" s="1" t="s">
        <v>12</v>
      </c>
      <c r="H3610" s="1" t="s">
        <v>13</v>
      </c>
      <c r="I3610" s="1" t="s">
        <v>13</v>
      </c>
      <c r="J3610" s="1" t="s">
        <v>22</v>
      </c>
      <c r="K3610" s="1">
        <v>0</v>
      </c>
      <c r="L3610" s="1" t="s">
        <v>21</v>
      </c>
      <c r="M3610" s="1" t="str">
        <f t="shared" si="57"/>
        <v>Consistent</v>
      </c>
      <c r="N3610" s="1" t="str">
        <f>_xlfn.XLOOKUP(H3610, risk_score!A:A, risk_score!B:B, 0)</f>
        <v>Low Risk</v>
      </c>
    </row>
    <row r="3611" spans="1:14">
      <c r="A3611" s="2">
        <v>0.53547453703703707</v>
      </c>
      <c r="B3611" s="3">
        <v>44841</v>
      </c>
      <c r="C3611" s="1">
        <v>2505275986</v>
      </c>
      <c r="D3611" s="1">
        <v>1309177624</v>
      </c>
      <c r="E3611" s="1">
        <v>227.12</v>
      </c>
      <c r="F3611" s="1" t="s">
        <v>12</v>
      </c>
      <c r="G3611" s="1" t="s">
        <v>12</v>
      </c>
      <c r="H3611" s="1" t="s">
        <v>13</v>
      </c>
      <c r="I3611" s="1" t="s">
        <v>13</v>
      </c>
      <c r="J3611" s="1" t="s">
        <v>22</v>
      </c>
      <c r="K3611" s="1">
        <v>0</v>
      </c>
      <c r="L3611" s="1" t="s">
        <v>21</v>
      </c>
      <c r="M3611" s="1" t="str">
        <f t="shared" si="57"/>
        <v>Consistent</v>
      </c>
      <c r="N3611" s="1" t="str">
        <f>_xlfn.XLOOKUP(H3611, risk_score!A:A, risk_score!B:B, 0)</f>
        <v>Low Risk</v>
      </c>
    </row>
    <row r="3612" spans="1:14">
      <c r="A3612" s="2">
        <v>0.53547453703703707</v>
      </c>
      <c r="B3612" s="3">
        <v>44841</v>
      </c>
      <c r="C3612" s="1">
        <v>7707810729</v>
      </c>
      <c r="D3612" s="1">
        <v>8246020125</v>
      </c>
      <c r="E3612" s="1">
        <v>384.92</v>
      </c>
      <c r="F3612" s="1" t="s">
        <v>12</v>
      </c>
      <c r="G3612" s="1" t="s">
        <v>12</v>
      </c>
      <c r="H3612" s="1" t="s">
        <v>13</v>
      </c>
      <c r="I3612" s="1" t="s">
        <v>13</v>
      </c>
      <c r="J3612" s="1" t="s">
        <v>22</v>
      </c>
      <c r="K3612" s="1">
        <v>0</v>
      </c>
      <c r="L3612" s="1" t="s">
        <v>21</v>
      </c>
      <c r="M3612" s="1" t="str">
        <f t="shared" si="57"/>
        <v>Consistent</v>
      </c>
      <c r="N3612" s="1" t="str">
        <f>_xlfn.XLOOKUP(H3612, risk_score!A:A, risk_score!B:B, 0)</f>
        <v>Low Risk</v>
      </c>
    </row>
    <row r="3613" spans="1:14">
      <c r="A3613" s="2">
        <v>0.53561342592592598</v>
      </c>
      <c r="B3613" s="3">
        <v>44841</v>
      </c>
      <c r="C3613" s="1">
        <v>3614082527</v>
      </c>
      <c r="D3613" s="1">
        <v>1732858296</v>
      </c>
      <c r="E3613" s="1">
        <v>9330.35</v>
      </c>
      <c r="F3613" s="1" t="s">
        <v>12</v>
      </c>
      <c r="G3613" s="1" t="s">
        <v>12</v>
      </c>
      <c r="H3613" s="1" t="s">
        <v>13</v>
      </c>
      <c r="I3613" s="1" t="s">
        <v>13</v>
      </c>
      <c r="J3613" s="1" t="s">
        <v>20</v>
      </c>
      <c r="K3613" s="1">
        <v>0</v>
      </c>
      <c r="L3613" s="1" t="s">
        <v>19</v>
      </c>
      <c r="M3613" s="1" t="str">
        <f t="shared" si="57"/>
        <v>Consistent</v>
      </c>
      <c r="N3613" s="1" t="str">
        <f>_xlfn.XLOOKUP(H3613, risk_score!A:A, risk_score!B:B, 0)</f>
        <v>Low Risk</v>
      </c>
    </row>
    <row r="3614" spans="1:14">
      <c r="A3614" s="2">
        <v>0.53563657407407406</v>
      </c>
      <c r="B3614" s="3">
        <v>44841</v>
      </c>
      <c r="C3614" s="1">
        <v>9028283018</v>
      </c>
      <c r="D3614" s="1">
        <v>4929206320</v>
      </c>
      <c r="E3614" s="1">
        <v>4297.25</v>
      </c>
      <c r="F3614" s="1" t="s">
        <v>12</v>
      </c>
      <c r="G3614" s="1" t="s">
        <v>12</v>
      </c>
      <c r="H3614" s="1" t="s">
        <v>13</v>
      </c>
      <c r="I3614" s="1" t="s">
        <v>13</v>
      </c>
      <c r="J3614" s="1" t="s">
        <v>25</v>
      </c>
      <c r="K3614" s="1">
        <v>0</v>
      </c>
      <c r="L3614" s="1" t="s">
        <v>21</v>
      </c>
      <c r="M3614" s="1" t="str">
        <f t="shared" si="57"/>
        <v>Consistent</v>
      </c>
      <c r="N3614" s="1" t="str">
        <f>_xlfn.XLOOKUP(H3614, risk_score!A:A, risk_score!B:B, 0)</f>
        <v>Low Risk</v>
      </c>
    </row>
    <row r="3615" spans="1:14">
      <c r="A3615" s="2">
        <v>0.5356481481481481</v>
      </c>
      <c r="B3615" s="3">
        <v>44841</v>
      </c>
      <c r="C3615" s="1">
        <v>6979197118</v>
      </c>
      <c r="D3615" s="1">
        <v>7218000124</v>
      </c>
      <c r="E3615" s="1">
        <v>24300.77</v>
      </c>
      <c r="F3615" s="1" t="s">
        <v>12</v>
      </c>
      <c r="G3615" s="1" t="s">
        <v>12</v>
      </c>
      <c r="H3615" s="1" t="s">
        <v>13</v>
      </c>
      <c r="I3615" s="1" t="s">
        <v>13</v>
      </c>
      <c r="J3615" s="1" t="s">
        <v>22</v>
      </c>
      <c r="K3615" s="1">
        <v>0</v>
      </c>
      <c r="L3615" s="1" t="s">
        <v>49</v>
      </c>
      <c r="M3615" s="1" t="str">
        <f t="shared" si="57"/>
        <v>Consistent</v>
      </c>
      <c r="N3615" s="1" t="str">
        <f>_xlfn.XLOOKUP(H3615, risk_score!A:A, risk_score!B:B, 0)</f>
        <v>Low Risk</v>
      </c>
    </row>
    <row r="3616" spans="1:14">
      <c r="A3616" s="2">
        <v>0.53567129629629628</v>
      </c>
      <c r="B3616" s="3">
        <v>44841</v>
      </c>
      <c r="C3616" s="1">
        <v>1163488941</v>
      </c>
      <c r="D3616" s="1">
        <v>6968888001</v>
      </c>
      <c r="E3616" s="1">
        <v>1542.25</v>
      </c>
      <c r="F3616" s="1" t="s">
        <v>12</v>
      </c>
      <c r="G3616" s="1" t="s">
        <v>12</v>
      </c>
      <c r="H3616" s="1" t="s">
        <v>13</v>
      </c>
      <c r="I3616" s="1" t="s">
        <v>13</v>
      </c>
      <c r="J3616" s="1" t="s">
        <v>25</v>
      </c>
      <c r="K3616" s="1">
        <v>0</v>
      </c>
      <c r="L3616" s="1" t="s">
        <v>21</v>
      </c>
      <c r="M3616" s="1" t="str">
        <f t="shared" si="57"/>
        <v>Consistent</v>
      </c>
      <c r="N3616" s="1" t="str">
        <f>_xlfn.XLOOKUP(H3616, risk_score!A:A, risk_score!B:B, 0)</f>
        <v>Low Risk</v>
      </c>
    </row>
    <row r="3617" spans="1:14">
      <c r="A3617" s="2">
        <v>0.53569444444444447</v>
      </c>
      <c r="B3617" s="3">
        <v>44841</v>
      </c>
      <c r="C3617" s="1">
        <v>2567778405</v>
      </c>
      <c r="D3617" s="1">
        <v>2023751762</v>
      </c>
      <c r="E3617" s="1">
        <v>1055.52</v>
      </c>
      <c r="F3617" s="1" t="s">
        <v>12</v>
      </c>
      <c r="G3617" s="1" t="s">
        <v>12</v>
      </c>
      <c r="H3617" s="1" t="s">
        <v>13</v>
      </c>
      <c r="I3617" s="1" t="s">
        <v>13</v>
      </c>
      <c r="J3617" s="1" t="s">
        <v>25</v>
      </c>
      <c r="K3617" s="1">
        <v>0</v>
      </c>
      <c r="L3617" s="1" t="s">
        <v>21</v>
      </c>
      <c r="M3617" s="1" t="str">
        <f t="shared" si="57"/>
        <v>Consistent</v>
      </c>
      <c r="N3617" s="1" t="str">
        <f>_xlfn.XLOOKUP(H3617, risk_score!A:A, risk_score!B:B, 0)</f>
        <v>Low Risk</v>
      </c>
    </row>
    <row r="3618" spans="1:14">
      <c r="A3618" s="2">
        <v>0.53569444444444447</v>
      </c>
      <c r="B3618" s="3">
        <v>44841</v>
      </c>
      <c r="C3618" s="1">
        <v>7561269221</v>
      </c>
      <c r="D3618" s="1">
        <v>1593542958</v>
      </c>
      <c r="E3618" s="1">
        <v>1472.15</v>
      </c>
      <c r="F3618" s="1" t="s">
        <v>12</v>
      </c>
      <c r="G3618" s="1" t="s">
        <v>12</v>
      </c>
      <c r="H3618" s="1" t="s">
        <v>13</v>
      </c>
      <c r="I3618" s="1" t="s">
        <v>13</v>
      </c>
      <c r="J3618" s="1" t="s">
        <v>25</v>
      </c>
      <c r="K3618" s="1">
        <v>0</v>
      </c>
      <c r="L3618" s="1" t="s">
        <v>21</v>
      </c>
      <c r="M3618" s="1" t="str">
        <f t="shared" si="57"/>
        <v>Consistent</v>
      </c>
      <c r="N3618" s="1" t="str">
        <f>_xlfn.XLOOKUP(H3618, risk_score!A:A, risk_score!B:B, 0)</f>
        <v>Low Risk</v>
      </c>
    </row>
    <row r="3619" spans="1:14">
      <c r="A3619" s="2">
        <v>0.53570601851851851</v>
      </c>
      <c r="B3619" s="3">
        <v>44841</v>
      </c>
      <c r="C3619" s="1">
        <v>1653637336</v>
      </c>
      <c r="D3619" s="1">
        <v>646897776</v>
      </c>
      <c r="E3619" s="1">
        <v>343.71</v>
      </c>
      <c r="F3619" s="1" t="s">
        <v>12</v>
      </c>
      <c r="G3619" s="1" t="s">
        <v>12</v>
      </c>
      <c r="H3619" s="1" t="s">
        <v>13</v>
      </c>
      <c r="I3619" s="1" t="s">
        <v>13</v>
      </c>
      <c r="J3619" s="1" t="s">
        <v>22</v>
      </c>
      <c r="K3619" s="1">
        <v>0</v>
      </c>
      <c r="L3619" s="1" t="s">
        <v>21</v>
      </c>
      <c r="M3619" s="1" t="str">
        <f t="shared" si="57"/>
        <v>Consistent</v>
      </c>
      <c r="N3619" s="1" t="str">
        <f>_xlfn.XLOOKUP(H3619, risk_score!A:A, risk_score!B:B, 0)</f>
        <v>Low Risk</v>
      </c>
    </row>
    <row r="3620" spans="1:14">
      <c r="A3620" s="2">
        <v>0.53570601851851851</v>
      </c>
      <c r="B3620" s="3">
        <v>44841</v>
      </c>
      <c r="C3620" s="1">
        <v>6086421020</v>
      </c>
      <c r="D3620" s="1">
        <v>3819548816</v>
      </c>
      <c r="E3620" s="1">
        <v>4770.18</v>
      </c>
      <c r="F3620" s="1" t="s">
        <v>12</v>
      </c>
      <c r="G3620" s="1" t="s">
        <v>12</v>
      </c>
      <c r="H3620" s="1" t="s">
        <v>13</v>
      </c>
      <c r="I3620" s="1" t="s">
        <v>13</v>
      </c>
      <c r="J3620" s="1" t="s">
        <v>20</v>
      </c>
      <c r="K3620" s="1">
        <v>0</v>
      </c>
      <c r="L3620" s="1" t="s">
        <v>19</v>
      </c>
      <c r="M3620" s="1" t="str">
        <f t="shared" si="57"/>
        <v>Consistent</v>
      </c>
      <c r="N3620" s="1" t="str">
        <f>_xlfn.XLOOKUP(H3620, risk_score!A:A, risk_score!B:B, 0)</f>
        <v>Low Risk</v>
      </c>
    </row>
    <row r="3621" spans="1:14">
      <c r="A3621" s="2">
        <v>0.5357291666666667</v>
      </c>
      <c r="B3621" s="3">
        <v>44841</v>
      </c>
      <c r="C3621" s="1">
        <v>9821473719</v>
      </c>
      <c r="D3621" s="1">
        <v>7911838705</v>
      </c>
      <c r="E3621" s="1">
        <v>3786.07</v>
      </c>
      <c r="F3621" s="1" t="s">
        <v>12</v>
      </c>
      <c r="G3621" s="1" t="s">
        <v>12</v>
      </c>
      <c r="H3621" s="1" t="s">
        <v>13</v>
      </c>
      <c r="I3621" s="1" t="s">
        <v>13</v>
      </c>
      <c r="J3621" s="1" t="s">
        <v>20</v>
      </c>
      <c r="K3621" s="1">
        <v>0</v>
      </c>
      <c r="L3621" s="1" t="s">
        <v>38</v>
      </c>
      <c r="M3621" s="1" t="str">
        <f t="shared" si="57"/>
        <v>Consistent</v>
      </c>
      <c r="N3621" s="1" t="str">
        <f>_xlfn.XLOOKUP(H3621, risk_score!A:A, risk_score!B:B, 0)</f>
        <v>Low Risk</v>
      </c>
    </row>
    <row r="3622" spans="1:14">
      <c r="A3622" s="2">
        <v>0.53579861111111116</v>
      </c>
      <c r="B3622" s="3">
        <v>44841</v>
      </c>
      <c r="C3622" s="1">
        <v>1078784207</v>
      </c>
      <c r="D3622" s="1">
        <v>8673917867</v>
      </c>
      <c r="E3622" s="1">
        <v>8660.5499999999993</v>
      </c>
      <c r="F3622" s="1" t="s">
        <v>12</v>
      </c>
      <c r="G3622" s="1" t="s">
        <v>12</v>
      </c>
      <c r="H3622" s="1" t="s">
        <v>13</v>
      </c>
      <c r="I3622" s="1" t="s">
        <v>13</v>
      </c>
      <c r="J3622" s="1" t="s">
        <v>25</v>
      </c>
      <c r="K3622" s="1">
        <v>0</v>
      </c>
      <c r="L3622" s="1" t="s">
        <v>23</v>
      </c>
      <c r="M3622" s="1" t="str">
        <f t="shared" si="57"/>
        <v>Consistent</v>
      </c>
      <c r="N3622" s="1" t="str">
        <f>_xlfn.XLOOKUP(H3622, risk_score!A:A, risk_score!B:B, 0)</f>
        <v>Low Risk</v>
      </c>
    </row>
    <row r="3623" spans="1:14">
      <c r="A3623" s="2">
        <v>0.53582175925925923</v>
      </c>
      <c r="B3623" s="3">
        <v>44841</v>
      </c>
      <c r="C3623" s="1">
        <v>420570262</v>
      </c>
      <c r="D3623" s="1">
        <v>5103043844</v>
      </c>
      <c r="E3623" s="1">
        <v>6035.63</v>
      </c>
      <c r="F3623" s="1" t="s">
        <v>12</v>
      </c>
      <c r="G3623" s="1" t="s">
        <v>44</v>
      </c>
      <c r="H3623" s="1" t="s">
        <v>13</v>
      </c>
      <c r="I3623" s="1" t="s">
        <v>45</v>
      </c>
      <c r="J3623" s="1" t="s">
        <v>18</v>
      </c>
      <c r="K3623" s="1">
        <v>0</v>
      </c>
      <c r="L3623" s="1" t="s">
        <v>23</v>
      </c>
      <c r="M3623" s="1" t="str">
        <f t="shared" si="57"/>
        <v>Potential Layering</v>
      </c>
      <c r="N3623" s="1" t="str">
        <f>_xlfn.XLOOKUP(H3623, risk_score!A:A, risk_score!B:B, 0)</f>
        <v>Low Risk</v>
      </c>
    </row>
    <row r="3624" spans="1:14">
      <c r="A3624" s="2">
        <v>0.53585648148148146</v>
      </c>
      <c r="B3624" s="3">
        <v>44841</v>
      </c>
      <c r="C3624" s="1">
        <v>8053683950</v>
      </c>
      <c r="D3624" s="1">
        <v>6522784509</v>
      </c>
      <c r="E3624" s="1">
        <v>6187.7</v>
      </c>
      <c r="F3624" s="1" t="s">
        <v>12</v>
      </c>
      <c r="G3624" s="1" t="s">
        <v>12</v>
      </c>
      <c r="H3624" s="1" t="s">
        <v>13</v>
      </c>
      <c r="I3624" s="1" t="s">
        <v>13</v>
      </c>
      <c r="J3624" s="1" t="s">
        <v>25</v>
      </c>
      <c r="K3624" s="1">
        <v>0</v>
      </c>
      <c r="L3624" s="1" t="s">
        <v>38</v>
      </c>
      <c r="M3624" s="1" t="str">
        <f t="shared" si="57"/>
        <v>Consistent</v>
      </c>
      <c r="N3624" s="1" t="str">
        <f>_xlfn.XLOOKUP(H3624, risk_score!A:A, risk_score!B:B, 0)</f>
        <v>Low Risk</v>
      </c>
    </row>
    <row r="3625" spans="1:14">
      <c r="A3625" s="2">
        <v>0.5358680555555555</v>
      </c>
      <c r="B3625" s="3">
        <v>44841</v>
      </c>
      <c r="C3625" s="1">
        <v>5293966138</v>
      </c>
      <c r="D3625" s="1">
        <v>3079818547</v>
      </c>
      <c r="E3625" s="1">
        <v>14536.13</v>
      </c>
      <c r="F3625" s="1" t="s">
        <v>12</v>
      </c>
      <c r="G3625" s="1" t="s">
        <v>12</v>
      </c>
      <c r="H3625" s="1" t="s">
        <v>13</v>
      </c>
      <c r="I3625" s="1" t="s">
        <v>13</v>
      </c>
      <c r="J3625" s="1" t="s">
        <v>27</v>
      </c>
      <c r="K3625" s="1">
        <v>0</v>
      </c>
      <c r="L3625" s="1" t="s">
        <v>23</v>
      </c>
      <c r="M3625" s="1" t="str">
        <f t="shared" si="57"/>
        <v>Consistent</v>
      </c>
      <c r="N3625" s="1" t="str">
        <f>_xlfn.XLOOKUP(H3625, risk_score!A:A, risk_score!B:B, 0)</f>
        <v>Low Risk</v>
      </c>
    </row>
    <row r="3626" spans="1:14">
      <c r="A3626" s="2">
        <v>0.53592592592592592</v>
      </c>
      <c r="B3626" s="3">
        <v>44841</v>
      </c>
      <c r="C3626" s="1">
        <v>6472339869</v>
      </c>
      <c r="D3626" s="1">
        <v>2317222461</v>
      </c>
      <c r="E3626" s="1">
        <v>391.91</v>
      </c>
      <c r="F3626" s="1" t="s">
        <v>12</v>
      </c>
      <c r="G3626" s="1" t="s">
        <v>12</v>
      </c>
      <c r="H3626" s="1" t="s">
        <v>13</v>
      </c>
      <c r="I3626" s="1" t="s">
        <v>13</v>
      </c>
      <c r="J3626" s="1" t="s">
        <v>20</v>
      </c>
      <c r="K3626" s="1">
        <v>0</v>
      </c>
      <c r="L3626" s="1" t="s">
        <v>21</v>
      </c>
      <c r="M3626" s="1" t="str">
        <f t="shared" si="57"/>
        <v>Consistent</v>
      </c>
      <c r="N3626" s="1" t="str">
        <f>_xlfn.XLOOKUP(H3626, risk_score!A:A, risk_score!B:B, 0)</f>
        <v>Low Risk</v>
      </c>
    </row>
    <row r="3627" spans="1:14">
      <c r="A3627" s="2">
        <v>0.53594907407407411</v>
      </c>
      <c r="B3627" s="3">
        <v>44841</v>
      </c>
      <c r="C3627" s="1">
        <v>8137373839</v>
      </c>
      <c r="D3627" s="1">
        <v>4660574028</v>
      </c>
      <c r="E3627" s="1">
        <v>1774.85</v>
      </c>
      <c r="F3627" s="1" t="s">
        <v>12</v>
      </c>
      <c r="G3627" s="1" t="s">
        <v>12</v>
      </c>
      <c r="H3627" s="1" t="s">
        <v>13</v>
      </c>
      <c r="I3627" s="1" t="s">
        <v>13</v>
      </c>
      <c r="J3627" s="1" t="s">
        <v>25</v>
      </c>
      <c r="K3627" s="1">
        <v>0</v>
      </c>
      <c r="L3627" s="1" t="s">
        <v>21</v>
      </c>
      <c r="M3627" s="1" t="str">
        <f t="shared" si="57"/>
        <v>Consistent</v>
      </c>
      <c r="N3627" s="1" t="str">
        <f>_xlfn.XLOOKUP(H3627, risk_score!A:A, risk_score!B:B, 0)</f>
        <v>Low Risk</v>
      </c>
    </row>
    <row r="3628" spans="1:14">
      <c r="A3628" s="2">
        <v>0.53594907407407411</v>
      </c>
      <c r="B3628" s="3">
        <v>44841</v>
      </c>
      <c r="C3628" s="1">
        <v>5937469545</v>
      </c>
      <c r="D3628" s="1">
        <v>1924386173</v>
      </c>
      <c r="E3628" s="1">
        <v>3732.84</v>
      </c>
      <c r="F3628" s="1" t="s">
        <v>12</v>
      </c>
      <c r="G3628" s="1" t="s">
        <v>12</v>
      </c>
      <c r="H3628" s="1" t="s">
        <v>13</v>
      </c>
      <c r="I3628" s="1" t="s">
        <v>13</v>
      </c>
      <c r="J3628" s="1" t="s">
        <v>25</v>
      </c>
      <c r="K3628" s="1">
        <v>0</v>
      </c>
      <c r="L3628" s="1" t="s">
        <v>21</v>
      </c>
      <c r="M3628" s="1" t="str">
        <f t="shared" si="57"/>
        <v>Consistent</v>
      </c>
      <c r="N3628" s="1" t="str">
        <f>_xlfn.XLOOKUP(H3628, risk_score!A:A, risk_score!B:B, 0)</f>
        <v>Low Risk</v>
      </c>
    </row>
    <row r="3629" spans="1:14">
      <c r="A3629" s="2">
        <v>0.53598379629629633</v>
      </c>
      <c r="B3629" s="3">
        <v>44841</v>
      </c>
      <c r="C3629" s="1">
        <v>3546760302</v>
      </c>
      <c r="D3629" s="1">
        <v>4858692308</v>
      </c>
      <c r="E3629" s="1">
        <v>4977.6099999999997</v>
      </c>
      <c r="F3629" s="1" t="s">
        <v>12</v>
      </c>
      <c r="G3629" s="1" t="s">
        <v>12</v>
      </c>
      <c r="H3629" s="1" t="s">
        <v>13</v>
      </c>
      <c r="I3629" s="1" t="s">
        <v>13</v>
      </c>
      <c r="J3629" s="1" t="s">
        <v>20</v>
      </c>
      <c r="K3629" s="1">
        <v>0</v>
      </c>
      <c r="L3629" s="1" t="s">
        <v>24</v>
      </c>
      <c r="M3629" s="1" t="str">
        <f t="shared" si="57"/>
        <v>Consistent</v>
      </c>
      <c r="N3629" s="1" t="str">
        <f>_xlfn.XLOOKUP(H3629, risk_score!A:A, risk_score!B:B, 0)</f>
        <v>Low Risk</v>
      </c>
    </row>
    <row r="3630" spans="1:14">
      <c r="A3630" s="2">
        <v>0.53604166666666664</v>
      </c>
      <c r="B3630" s="3">
        <v>44841</v>
      </c>
      <c r="C3630" s="1">
        <v>1378784400</v>
      </c>
      <c r="D3630" s="1">
        <v>8617902721</v>
      </c>
      <c r="E3630" s="1">
        <v>6244.78</v>
      </c>
      <c r="F3630" s="1" t="s">
        <v>12</v>
      </c>
      <c r="G3630" s="1" t="s">
        <v>12</v>
      </c>
      <c r="H3630" s="1" t="s">
        <v>13</v>
      </c>
      <c r="I3630" s="1" t="s">
        <v>13</v>
      </c>
      <c r="J3630" s="1" t="s">
        <v>20</v>
      </c>
      <c r="K3630" s="1">
        <v>0</v>
      </c>
      <c r="L3630" s="1" t="s">
        <v>19</v>
      </c>
      <c r="M3630" s="1" t="str">
        <f t="shared" si="57"/>
        <v>Consistent</v>
      </c>
      <c r="N3630" s="1" t="str">
        <f>_xlfn.XLOOKUP(H3630, risk_score!A:A, risk_score!B:B, 0)</f>
        <v>Low Risk</v>
      </c>
    </row>
    <row r="3631" spans="1:14">
      <c r="A3631" s="2">
        <v>0.53604166666666664</v>
      </c>
      <c r="B3631" s="3">
        <v>44841</v>
      </c>
      <c r="C3631" s="1">
        <v>3871091716</v>
      </c>
      <c r="D3631" s="1">
        <v>7364302135</v>
      </c>
      <c r="E3631" s="1">
        <v>207.31</v>
      </c>
      <c r="F3631" s="1" t="s">
        <v>12</v>
      </c>
      <c r="G3631" s="1" t="s">
        <v>12</v>
      </c>
      <c r="H3631" s="1" t="s">
        <v>13</v>
      </c>
      <c r="I3631" s="1" t="s">
        <v>13</v>
      </c>
      <c r="J3631" s="1" t="s">
        <v>36</v>
      </c>
      <c r="K3631" s="1">
        <v>0</v>
      </c>
      <c r="L3631" s="1" t="s">
        <v>37</v>
      </c>
      <c r="M3631" s="1" t="str">
        <f t="shared" si="57"/>
        <v>Consistent</v>
      </c>
      <c r="N3631" s="1" t="str">
        <f>_xlfn.XLOOKUP(H3631, risk_score!A:A, risk_score!B:B, 0)</f>
        <v>Low Risk</v>
      </c>
    </row>
    <row r="3632" spans="1:14">
      <c r="A3632" s="2">
        <v>0.53609953703703705</v>
      </c>
      <c r="B3632" s="3">
        <v>44841</v>
      </c>
      <c r="C3632" s="1">
        <v>7983236375</v>
      </c>
      <c r="D3632" s="1">
        <v>9731460197</v>
      </c>
      <c r="E3632" s="1">
        <v>9946.02</v>
      </c>
      <c r="F3632" s="1" t="s">
        <v>12</v>
      </c>
      <c r="G3632" s="1" t="s">
        <v>12</v>
      </c>
      <c r="H3632" s="1" t="s">
        <v>13</v>
      </c>
      <c r="I3632" s="1" t="s">
        <v>13</v>
      </c>
      <c r="J3632" s="1" t="s">
        <v>25</v>
      </c>
      <c r="K3632" s="1">
        <v>0</v>
      </c>
      <c r="L3632" s="1" t="s">
        <v>21</v>
      </c>
      <c r="M3632" s="1" t="str">
        <f t="shared" si="57"/>
        <v>Consistent</v>
      </c>
      <c r="N3632" s="1" t="str">
        <f>_xlfn.XLOOKUP(H3632, risk_score!A:A, risk_score!B:B, 0)</f>
        <v>Low Risk</v>
      </c>
    </row>
    <row r="3633" spans="1:14">
      <c r="A3633" s="2">
        <v>0.53609953703703705</v>
      </c>
      <c r="B3633" s="3">
        <v>44841</v>
      </c>
      <c r="C3633" s="1">
        <v>9366381483</v>
      </c>
      <c r="D3633" s="1">
        <v>8782574328</v>
      </c>
      <c r="E3633" s="1">
        <v>589.55999999999995</v>
      </c>
      <c r="F3633" s="1" t="s">
        <v>12</v>
      </c>
      <c r="G3633" s="1" t="s">
        <v>12</v>
      </c>
      <c r="H3633" s="1" t="s">
        <v>13</v>
      </c>
      <c r="I3633" s="1" t="s">
        <v>13</v>
      </c>
      <c r="J3633" s="1" t="s">
        <v>27</v>
      </c>
      <c r="K3633" s="1">
        <v>0</v>
      </c>
      <c r="L3633" s="1" t="s">
        <v>21</v>
      </c>
      <c r="M3633" s="1" t="str">
        <f t="shared" si="57"/>
        <v>Consistent</v>
      </c>
      <c r="N3633" s="1" t="str">
        <f>_xlfn.XLOOKUP(H3633, risk_score!A:A, risk_score!B:B, 0)</f>
        <v>Low Risk</v>
      </c>
    </row>
    <row r="3634" spans="1:14">
      <c r="A3634" s="2">
        <v>0.53615740740740736</v>
      </c>
      <c r="B3634" s="3">
        <v>44841</v>
      </c>
      <c r="C3634" s="1">
        <v>5702595560</v>
      </c>
      <c r="D3634" s="1">
        <v>8094758519</v>
      </c>
      <c r="E3634" s="1">
        <v>1987.74</v>
      </c>
      <c r="F3634" s="1" t="s">
        <v>12</v>
      </c>
      <c r="G3634" s="1" t="s">
        <v>12</v>
      </c>
      <c r="H3634" s="1" t="s">
        <v>13</v>
      </c>
      <c r="I3634" s="1" t="s">
        <v>13</v>
      </c>
      <c r="J3634" s="1" t="s">
        <v>27</v>
      </c>
      <c r="K3634" s="1">
        <v>0</v>
      </c>
      <c r="L3634" s="1" t="s">
        <v>21</v>
      </c>
      <c r="M3634" s="1" t="str">
        <f t="shared" si="57"/>
        <v>Consistent</v>
      </c>
      <c r="N3634" s="1" t="str">
        <f>_xlfn.XLOOKUP(H3634, risk_score!A:A, risk_score!B:B, 0)</f>
        <v>Low Risk</v>
      </c>
    </row>
    <row r="3635" spans="1:14">
      <c r="A3635" s="2">
        <v>0.53623842592592597</v>
      </c>
      <c r="B3635" s="3">
        <v>44841</v>
      </c>
      <c r="C3635" s="1">
        <v>3452368468</v>
      </c>
      <c r="D3635" s="1">
        <v>7131477851</v>
      </c>
      <c r="E3635" s="1">
        <v>5219.53</v>
      </c>
      <c r="F3635" s="1" t="s">
        <v>12</v>
      </c>
      <c r="G3635" s="1" t="s">
        <v>12</v>
      </c>
      <c r="H3635" s="1" t="s">
        <v>13</v>
      </c>
      <c r="I3635" s="1" t="s">
        <v>13</v>
      </c>
      <c r="J3635" s="1" t="s">
        <v>27</v>
      </c>
      <c r="K3635" s="1">
        <v>0</v>
      </c>
      <c r="L3635" s="1" t="s">
        <v>19</v>
      </c>
      <c r="M3635" s="1" t="str">
        <f t="shared" si="57"/>
        <v>Consistent</v>
      </c>
      <c r="N3635" s="1" t="str">
        <f>_xlfn.XLOOKUP(H3635, risk_score!A:A, risk_score!B:B, 0)</f>
        <v>Low Risk</v>
      </c>
    </row>
    <row r="3636" spans="1:14">
      <c r="A3636" s="2">
        <v>0.53627314814814819</v>
      </c>
      <c r="B3636" s="3">
        <v>44841</v>
      </c>
      <c r="C3636" s="1">
        <v>9299398344</v>
      </c>
      <c r="D3636" s="1">
        <v>8895096015</v>
      </c>
      <c r="E3636" s="1">
        <v>213.08</v>
      </c>
      <c r="F3636" s="1" t="s">
        <v>12</v>
      </c>
      <c r="G3636" s="1" t="s">
        <v>12</v>
      </c>
      <c r="H3636" s="1" t="s">
        <v>13</v>
      </c>
      <c r="I3636" s="1" t="s">
        <v>13</v>
      </c>
      <c r="J3636" s="1" t="s">
        <v>36</v>
      </c>
      <c r="K3636" s="1">
        <v>0</v>
      </c>
      <c r="L3636" s="1" t="s">
        <v>37</v>
      </c>
      <c r="M3636" s="1" t="str">
        <f t="shared" si="57"/>
        <v>Consistent</v>
      </c>
      <c r="N3636" s="1" t="str">
        <f>_xlfn.XLOOKUP(H3636, risk_score!A:A, risk_score!B:B, 0)</f>
        <v>Low Risk</v>
      </c>
    </row>
    <row r="3637" spans="1:14">
      <c r="A3637" s="2">
        <v>0.53635416666666669</v>
      </c>
      <c r="B3637" s="3">
        <v>44841</v>
      </c>
      <c r="C3637" s="1">
        <v>759950748</v>
      </c>
      <c r="D3637" s="1">
        <v>7523088692</v>
      </c>
      <c r="E3637" s="1">
        <v>701.89</v>
      </c>
      <c r="F3637" s="1" t="s">
        <v>29</v>
      </c>
      <c r="G3637" s="1" t="s">
        <v>12</v>
      </c>
      <c r="H3637" s="1" t="s">
        <v>54</v>
      </c>
      <c r="I3637" s="1" t="s">
        <v>13</v>
      </c>
      <c r="J3637" s="1" t="s">
        <v>18</v>
      </c>
      <c r="K3637" s="1">
        <v>0</v>
      </c>
      <c r="L3637" s="1" t="s">
        <v>24</v>
      </c>
      <c r="M3637" s="1" t="str">
        <f t="shared" si="57"/>
        <v>Potential Layering</v>
      </c>
      <c r="N3637" s="1" t="str">
        <f>_xlfn.XLOOKUP(H3637, risk_score!A:A, risk_score!B:B, 0)</f>
        <v>Low Risk</v>
      </c>
    </row>
    <row r="3638" spans="1:14">
      <c r="A3638" s="2">
        <v>0.53636574074074073</v>
      </c>
      <c r="B3638" s="3">
        <v>44841</v>
      </c>
      <c r="C3638" s="1">
        <v>9870356578</v>
      </c>
      <c r="D3638" s="1">
        <v>2127593684</v>
      </c>
      <c r="E3638" s="1">
        <v>196.57</v>
      </c>
      <c r="F3638" s="1" t="s">
        <v>12</v>
      </c>
      <c r="G3638" s="1" t="s">
        <v>12</v>
      </c>
      <c r="H3638" s="1" t="s">
        <v>13</v>
      </c>
      <c r="I3638" s="1" t="s">
        <v>13</v>
      </c>
      <c r="J3638" s="1" t="s">
        <v>22</v>
      </c>
      <c r="K3638" s="1">
        <v>0</v>
      </c>
      <c r="L3638" s="1" t="s">
        <v>21</v>
      </c>
      <c r="M3638" s="1" t="str">
        <f t="shared" si="57"/>
        <v>Consistent</v>
      </c>
      <c r="N3638" s="1" t="str">
        <f>_xlfn.XLOOKUP(H3638, risk_score!A:A, risk_score!B:B, 0)</f>
        <v>Low Risk</v>
      </c>
    </row>
    <row r="3639" spans="1:14">
      <c r="A3639" s="2">
        <v>0.53643518518518518</v>
      </c>
      <c r="B3639" s="3">
        <v>44841</v>
      </c>
      <c r="C3639" s="1">
        <v>9734083970</v>
      </c>
      <c r="D3639" s="1">
        <v>2792106785</v>
      </c>
      <c r="E3639" s="1">
        <v>7820.55</v>
      </c>
      <c r="F3639" s="1" t="s">
        <v>12</v>
      </c>
      <c r="G3639" s="1" t="s">
        <v>12</v>
      </c>
      <c r="H3639" s="1" t="s">
        <v>13</v>
      </c>
      <c r="I3639" s="1" t="s">
        <v>13</v>
      </c>
      <c r="J3639" s="1" t="s">
        <v>25</v>
      </c>
      <c r="K3639" s="1">
        <v>0</v>
      </c>
      <c r="L3639" s="1" t="s">
        <v>19</v>
      </c>
      <c r="M3639" s="1" t="str">
        <f t="shared" si="57"/>
        <v>Consistent</v>
      </c>
      <c r="N3639" s="1" t="str">
        <f>_xlfn.XLOOKUP(H3639, risk_score!A:A, risk_score!B:B, 0)</f>
        <v>Low Risk</v>
      </c>
    </row>
    <row r="3640" spans="1:14">
      <c r="A3640" s="2">
        <v>0.53645833333333337</v>
      </c>
      <c r="B3640" s="3">
        <v>44841</v>
      </c>
      <c r="C3640" s="1">
        <v>6405814883</v>
      </c>
      <c r="D3640" s="1">
        <v>1248761149</v>
      </c>
      <c r="E3640" s="1">
        <v>2892.13</v>
      </c>
      <c r="F3640" s="1" t="s">
        <v>12</v>
      </c>
      <c r="G3640" s="1" t="s">
        <v>12</v>
      </c>
      <c r="H3640" s="1" t="s">
        <v>13</v>
      </c>
      <c r="I3640" s="1" t="s">
        <v>13</v>
      </c>
      <c r="J3640" s="1" t="s">
        <v>25</v>
      </c>
      <c r="K3640" s="1">
        <v>0</v>
      </c>
      <c r="L3640" s="1" t="s">
        <v>21</v>
      </c>
      <c r="M3640" s="1" t="str">
        <f t="shared" si="57"/>
        <v>Consistent</v>
      </c>
      <c r="N3640" s="1" t="str">
        <f>_xlfn.XLOOKUP(H3640, risk_score!A:A, risk_score!B:B, 0)</f>
        <v>Low Risk</v>
      </c>
    </row>
    <row r="3641" spans="1:14">
      <c r="A3641" s="2">
        <v>0.53645833333333337</v>
      </c>
      <c r="B3641" s="3">
        <v>44841</v>
      </c>
      <c r="C3641" s="1">
        <v>9266866834</v>
      </c>
      <c r="D3641" s="1">
        <v>9557126380</v>
      </c>
      <c r="E3641" s="1">
        <v>137.07</v>
      </c>
      <c r="F3641" s="1" t="s">
        <v>12</v>
      </c>
      <c r="G3641" s="1" t="s">
        <v>12</v>
      </c>
      <c r="H3641" s="1" t="s">
        <v>13</v>
      </c>
      <c r="I3641" s="1" t="s">
        <v>13</v>
      </c>
      <c r="J3641" s="1" t="s">
        <v>36</v>
      </c>
      <c r="K3641" s="1">
        <v>0</v>
      </c>
      <c r="L3641" s="1" t="s">
        <v>37</v>
      </c>
      <c r="M3641" s="1" t="str">
        <f t="shared" si="57"/>
        <v>Consistent</v>
      </c>
      <c r="N3641" s="1" t="str">
        <f>_xlfn.XLOOKUP(H3641, risk_score!A:A, risk_score!B:B, 0)</f>
        <v>Low Risk</v>
      </c>
    </row>
    <row r="3642" spans="1:14">
      <c r="A3642" s="2">
        <v>0.53650462962962964</v>
      </c>
      <c r="B3642" s="3">
        <v>44841</v>
      </c>
      <c r="C3642" s="1">
        <v>3510078932</v>
      </c>
      <c r="D3642" s="1">
        <v>8722924810</v>
      </c>
      <c r="E3642" s="1">
        <v>8049.53</v>
      </c>
      <c r="F3642" s="1" t="s">
        <v>12</v>
      </c>
      <c r="G3642" s="1" t="s">
        <v>39</v>
      </c>
      <c r="H3642" s="1" t="s">
        <v>13</v>
      </c>
      <c r="I3642" s="1" t="s">
        <v>40</v>
      </c>
      <c r="J3642" s="1" t="s">
        <v>18</v>
      </c>
      <c r="K3642" s="1">
        <v>0</v>
      </c>
      <c r="L3642" s="1" t="s">
        <v>19</v>
      </c>
      <c r="M3642" s="1" t="str">
        <f t="shared" si="57"/>
        <v>Potential Layering</v>
      </c>
      <c r="N3642" s="1" t="str">
        <f>_xlfn.XLOOKUP(H3642, risk_score!A:A, risk_score!B:B, 0)</f>
        <v>Low Risk</v>
      </c>
    </row>
    <row r="3643" spans="1:14">
      <c r="A3643" s="2">
        <v>0.53651620370370368</v>
      </c>
      <c r="B3643" s="3">
        <v>44841</v>
      </c>
      <c r="C3643" s="1">
        <v>6404844146</v>
      </c>
      <c r="D3643" s="1">
        <v>5628674969</v>
      </c>
      <c r="E3643" s="1">
        <v>6578.11</v>
      </c>
      <c r="F3643" s="1" t="s">
        <v>12</v>
      </c>
      <c r="G3643" s="1" t="s">
        <v>12</v>
      </c>
      <c r="H3643" s="1" t="s">
        <v>13</v>
      </c>
      <c r="I3643" s="1" t="s">
        <v>13</v>
      </c>
      <c r="J3643" s="1" t="s">
        <v>22</v>
      </c>
      <c r="K3643" s="1">
        <v>0</v>
      </c>
      <c r="L3643" s="1" t="s">
        <v>23</v>
      </c>
      <c r="M3643" s="1" t="str">
        <f t="shared" si="57"/>
        <v>Consistent</v>
      </c>
      <c r="N3643" s="1" t="str">
        <f>_xlfn.XLOOKUP(H3643, risk_score!A:A, risk_score!B:B, 0)</f>
        <v>Low Risk</v>
      </c>
    </row>
    <row r="3644" spans="1:14">
      <c r="A3644" s="2">
        <v>0.53653935185185186</v>
      </c>
      <c r="B3644" s="3">
        <v>44841</v>
      </c>
      <c r="C3644" s="1">
        <v>6405814883</v>
      </c>
      <c r="D3644" s="1">
        <v>4250513480</v>
      </c>
      <c r="E3644" s="1">
        <v>1833.84</v>
      </c>
      <c r="F3644" s="1" t="s">
        <v>12</v>
      </c>
      <c r="G3644" s="1" t="s">
        <v>12</v>
      </c>
      <c r="H3644" s="1" t="s">
        <v>13</v>
      </c>
      <c r="I3644" s="1" t="s">
        <v>13</v>
      </c>
      <c r="J3644" s="1" t="s">
        <v>20</v>
      </c>
      <c r="K3644" s="1">
        <v>0</v>
      </c>
      <c r="L3644" s="1" t="s">
        <v>21</v>
      </c>
      <c r="M3644" s="1" t="str">
        <f t="shared" si="57"/>
        <v>Consistent</v>
      </c>
      <c r="N3644" s="1" t="str">
        <f>_xlfn.XLOOKUP(H3644, risk_score!A:A, risk_score!B:B, 0)</f>
        <v>Low Risk</v>
      </c>
    </row>
    <row r="3645" spans="1:14">
      <c r="A3645" s="2">
        <v>0.53658564814814813</v>
      </c>
      <c r="B3645" s="3">
        <v>44841</v>
      </c>
      <c r="C3645" s="1">
        <v>3905907712</v>
      </c>
      <c r="D3645" s="1">
        <v>6432210990</v>
      </c>
      <c r="E3645" s="1">
        <v>1575.78</v>
      </c>
      <c r="F3645" s="1" t="s">
        <v>12</v>
      </c>
      <c r="G3645" s="1" t="s">
        <v>12</v>
      </c>
      <c r="H3645" s="1" t="s">
        <v>13</v>
      </c>
      <c r="I3645" s="1" t="s">
        <v>13</v>
      </c>
      <c r="J3645" s="1" t="s">
        <v>20</v>
      </c>
      <c r="K3645" s="1">
        <v>0</v>
      </c>
      <c r="L3645" s="1" t="s">
        <v>21</v>
      </c>
      <c r="M3645" s="1" t="str">
        <f t="shared" si="57"/>
        <v>Consistent</v>
      </c>
      <c r="N3645" s="1" t="str">
        <f>_xlfn.XLOOKUP(H3645, risk_score!A:A, risk_score!B:B, 0)</f>
        <v>Low Risk</v>
      </c>
    </row>
    <row r="3646" spans="1:14">
      <c r="A3646" s="2">
        <v>0.53659722222222217</v>
      </c>
      <c r="B3646" s="3">
        <v>44841</v>
      </c>
      <c r="C3646" s="1">
        <v>6954695719</v>
      </c>
      <c r="D3646" s="1">
        <v>1044407325</v>
      </c>
      <c r="E3646" s="1">
        <v>10060.98</v>
      </c>
      <c r="F3646" s="1" t="s">
        <v>12</v>
      </c>
      <c r="G3646" s="1" t="s">
        <v>12</v>
      </c>
      <c r="H3646" s="1" t="s">
        <v>13</v>
      </c>
      <c r="I3646" s="1" t="s">
        <v>13</v>
      </c>
      <c r="J3646" s="1" t="s">
        <v>20</v>
      </c>
      <c r="K3646" s="1">
        <v>0</v>
      </c>
      <c r="L3646" s="1" t="s">
        <v>21</v>
      </c>
      <c r="M3646" s="1" t="str">
        <f t="shared" si="57"/>
        <v>Consistent</v>
      </c>
      <c r="N3646" s="1" t="str">
        <f>_xlfn.XLOOKUP(H3646, risk_score!A:A, risk_score!B:B, 0)</f>
        <v>Low Risk</v>
      </c>
    </row>
    <row r="3647" spans="1:14">
      <c r="A3647" s="2">
        <v>0.53662037037037036</v>
      </c>
      <c r="B3647" s="3">
        <v>44841</v>
      </c>
      <c r="C3647" s="1">
        <v>3504832350</v>
      </c>
      <c r="D3647" s="1">
        <v>3695545812</v>
      </c>
      <c r="E3647" s="1">
        <v>4737.8100000000004</v>
      </c>
      <c r="F3647" s="1" t="s">
        <v>12</v>
      </c>
      <c r="G3647" s="1" t="s">
        <v>12</v>
      </c>
      <c r="H3647" s="1" t="s">
        <v>13</v>
      </c>
      <c r="I3647" s="1" t="s">
        <v>13</v>
      </c>
      <c r="J3647" s="1" t="s">
        <v>25</v>
      </c>
      <c r="K3647" s="1">
        <v>0</v>
      </c>
      <c r="L3647" s="1" t="s">
        <v>23</v>
      </c>
      <c r="M3647" s="1" t="str">
        <f t="shared" ref="M3647:M3710" si="58">IF(F3647=G3647, "Consistent", "Potential Layering")</f>
        <v>Consistent</v>
      </c>
      <c r="N3647" s="1" t="str">
        <f>_xlfn.XLOOKUP(H3647, risk_score!A:A, risk_score!B:B, 0)</f>
        <v>Low Risk</v>
      </c>
    </row>
    <row r="3648" spans="1:14">
      <c r="A3648" s="2">
        <v>0.53665509259259259</v>
      </c>
      <c r="B3648" s="3">
        <v>44841</v>
      </c>
      <c r="C3648" s="1">
        <v>6411476316</v>
      </c>
      <c r="D3648" s="1">
        <v>8352571580</v>
      </c>
      <c r="E3648" s="1">
        <v>9764.51</v>
      </c>
      <c r="F3648" s="1" t="s">
        <v>12</v>
      </c>
      <c r="G3648" s="1" t="s">
        <v>12</v>
      </c>
      <c r="H3648" s="1" t="s">
        <v>13</v>
      </c>
      <c r="I3648" s="1" t="s">
        <v>13</v>
      </c>
      <c r="J3648" s="1" t="s">
        <v>22</v>
      </c>
      <c r="K3648" s="1">
        <v>0</v>
      </c>
      <c r="L3648" s="1" t="s">
        <v>23</v>
      </c>
      <c r="M3648" s="1" t="str">
        <f t="shared" si="58"/>
        <v>Consistent</v>
      </c>
      <c r="N3648" s="1" t="str">
        <f>_xlfn.XLOOKUP(H3648, risk_score!A:A, risk_score!B:B, 0)</f>
        <v>Low Risk</v>
      </c>
    </row>
    <row r="3649" spans="1:14">
      <c r="A3649" s="2">
        <v>0.53668981481481481</v>
      </c>
      <c r="B3649" s="3">
        <v>44841</v>
      </c>
      <c r="C3649" s="1">
        <v>4106833178</v>
      </c>
      <c r="D3649" s="1">
        <v>1695584314</v>
      </c>
      <c r="E3649" s="1">
        <v>1729.41</v>
      </c>
      <c r="F3649" s="1" t="s">
        <v>12</v>
      </c>
      <c r="G3649" s="1" t="s">
        <v>12</v>
      </c>
      <c r="H3649" s="1" t="s">
        <v>13</v>
      </c>
      <c r="I3649" s="1" t="s">
        <v>13</v>
      </c>
      <c r="J3649" s="1" t="s">
        <v>20</v>
      </c>
      <c r="K3649" s="1">
        <v>0</v>
      </c>
      <c r="L3649" s="1" t="s">
        <v>24</v>
      </c>
      <c r="M3649" s="1" t="str">
        <f t="shared" si="58"/>
        <v>Consistent</v>
      </c>
      <c r="N3649" s="1" t="str">
        <f>_xlfn.XLOOKUP(H3649, risk_score!A:A, risk_score!B:B, 0)</f>
        <v>Low Risk</v>
      </c>
    </row>
    <row r="3650" spans="1:14">
      <c r="A3650" s="2">
        <v>0.536712962962963</v>
      </c>
      <c r="B3650" s="3">
        <v>44841</v>
      </c>
      <c r="C3650" s="1">
        <v>7669236826</v>
      </c>
      <c r="D3650" s="1">
        <v>5112224952</v>
      </c>
      <c r="E3650" s="1">
        <v>9694.8700000000008</v>
      </c>
      <c r="F3650" s="1" t="s">
        <v>12</v>
      </c>
      <c r="G3650" s="1" t="s">
        <v>12</v>
      </c>
      <c r="H3650" s="1" t="s">
        <v>13</v>
      </c>
      <c r="I3650" s="1" t="s">
        <v>13</v>
      </c>
      <c r="J3650" s="1" t="s">
        <v>20</v>
      </c>
      <c r="K3650" s="1">
        <v>0</v>
      </c>
      <c r="L3650" s="1" t="s">
        <v>19</v>
      </c>
      <c r="M3650" s="1" t="str">
        <f t="shared" si="58"/>
        <v>Consistent</v>
      </c>
      <c r="N3650" s="1" t="str">
        <f>_xlfn.XLOOKUP(H3650, risk_score!A:A, risk_score!B:B, 0)</f>
        <v>Low Risk</v>
      </c>
    </row>
    <row r="3651" spans="1:14">
      <c r="A3651" s="2">
        <v>0.53678240740740746</v>
      </c>
      <c r="B3651" s="3">
        <v>44841</v>
      </c>
      <c r="C3651" s="1">
        <v>2348186221</v>
      </c>
      <c r="D3651" s="1">
        <v>2886346673</v>
      </c>
      <c r="E3651" s="1">
        <v>6046.88</v>
      </c>
      <c r="F3651" s="1" t="s">
        <v>12</v>
      </c>
      <c r="G3651" s="1" t="s">
        <v>12</v>
      </c>
      <c r="H3651" s="1" t="s">
        <v>13</v>
      </c>
      <c r="I3651" s="1" t="s">
        <v>13</v>
      </c>
      <c r="J3651" s="1" t="s">
        <v>22</v>
      </c>
      <c r="K3651" s="1">
        <v>0</v>
      </c>
      <c r="L3651" s="1" t="s">
        <v>21</v>
      </c>
      <c r="M3651" s="1" t="str">
        <f t="shared" si="58"/>
        <v>Consistent</v>
      </c>
      <c r="N3651" s="1" t="str">
        <f>_xlfn.XLOOKUP(H3651, risk_score!A:A, risk_score!B:B, 0)</f>
        <v>Low Risk</v>
      </c>
    </row>
    <row r="3652" spans="1:14">
      <c r="A3652" s="2">
        <v>0.5367939814814815</v>
      </c>
      <c r="B3652" s="3">
        <v>44841</v>
      </c>
      <c r="C3652" s="1">
        <v>9658628699</v>
      </c>
      <c r="D3652" s="1">
        <v>3695545812</v>
      </c>
      <c r="E3652" s="1">
        <v>12137.6</v>
      </c>
      <c r="F3652" s="1" t="s">
        <v>12</v>
      </c>
      <c r="G3652" s="1" t="s">
        <v>12</v>
      </c>
      <c r="H3652" s="1" t="s">
        <v>13</v>
      </c>
      <c r="I3652" s="1" t="s">
        <v>13</v>
      </c>
      <c r="J3652" s="1" t="s">
        <v>20</v>
      </c>
      <c r="K3652" s="1">
        <v>0</v>
      </c>
      <c r="L3652" s="1" t="s">
        <v>23</v>
      </c>
      <c r="M3652" s="1" t="str">
        <f t="shared" si="58"/>
        <v>Consistent</v>
      </c>
      <c r="N3652" s="1" t="str">
        <f>_xlfn.XLOOKUP(H3652, risk_score!A:A, risk_score!B:B, 0)</f>
        <v>Low Risk</v>
      </c>
    </row>
    <row r="3653" spans="1:14">
      <c r="A3653" s="2">
        <v>0.5368518518518518</v>
      </c>
      <c r="B3653" s="3">
        <v>44841</v>
      </c>
      <c r="C3653" s="1">
        <v>7307153455</v>
      </c>
      <c r="D3653" s="1">
        <v>7757911427</v>
      </c>
      <c r="E3653" s="1">
        <v>869.54</v>
      </c>
      <c r="F3653" s="1" t="s">
        <v>12</v>
      </c>
      <c r="G3653" s="1" t="s">
        <v>12</v>
      </c>
      <c r="H3653" s="1" t="s">
        <v>13</v>
      </c>
      <c r="I3653" s="1" t="s">
        <v>13</v>
      </c>
      <c r="J3653" s="1" t="s">
        <v>25</v>
      </c>
      <c r="K3653" s="1">
        <v>0</v>
      </c>
      <c r="L3653" s="1" t="s">
        <v>21</v>
      </c>
      <c r="M3653" s="1" t="str">
        <f t="shared" si="58"/>
        <v>Consistent</v>
      </c>
      <c r="N3653" s="1" t="str">
        <f>_xlfn.XLOOKUP(H3653, risk_score!A:A, risk_score!B:B, 0)</f>
        <v>Low Risk</v>
      </c>
    </row>
    <row r="3654" spans="1:14">
      <c r="A3654" s="2">
        <v>0.5368518518518518</v>
      </c>
      <c r="B3654" s="3">
        <v>44841</v>
      </c>
      <c r="C3654" s="1">
        <v>4390278719</v>
      </c>
      <c r="D3654" s="1">
        <v>8172080174</v>
      </c>
      <c r="E3654" s="1">
        <v>25508.09</v>
      </c>
      <c r="F3654" s="1" t="s">
        <v>12</v>
      </c>
      <c r="G3654" s="1" t="s">
        <v>12</v>
      </c>
      <c r="H3654" s="1" t="s">
        <v>13</v>
      </c>
      <c r="I3654" s="1" t="s">
        <v>13</v>
      </c>
      <c r="J3654" s="1" t="s">
        <v>22</v>
      </c>
      <c r="K3654" s="1">
        <v>0</v>
      </c>
      <c r="L3654" s="1" t="s">
        <v>23</v>
      </c>
      <c r="M3654" s="1" t="str">
        <f t="shared" si="58"/>
        <v>Consistent</v>
      </c>
      <c r="N3654" s="1" t="str">
        <f>_xlfn.XLOOKUP(H3654, risk_score!A:A, risk_score!B:B, 0)</f>
        <v>Low Risk</v>
      </c>
    </row>
    <row r="3655" spans="1:14">
      <c r="A3655" s="2">
        <v>0.53692129629629626</v>
      </c>
      <c r="B3655" s="3">
        <v>44841</v>
      </c>
      <c r="C3655" s="1">
        <v>4890175716</v>
      </c>
      <c r="D3655" s="1">
        <v>5057380538</v>
      </c>
      <c r="E3655" s="1">
        <v>478.49</v>
      </c>
      <c r="F3655" s="1" t="s">
        <v>12</v>
      </c>
      <c r="G3655" s="1" t="s">
        <v>12</v>
      </c>
      <c r="H3655" s="1" t="s">
        <v>13</v>
      </c>
      <c r="I3655" s="1" t="s">
        <v>13</v>
      </c>
      <c r="J3655" s="1" t="s">
        <v>25</v>
      </c>
      <c r="K3655" s="1">
        <v>0</v>
      </c>
      <c r="L3655" s="1" t="s">
        <v>21</v>
      </c>
      <c r="M3655" s="1" t="str">
        <f t="shared" si="58"/>
        <v>Consistent</v>
      </c>
      <c r="N3655" s="1" t="str">
        <f>_xlfn.XLOOKUP(H3655, risk_score!A:A, risk_score!B:B, 0)</f>
        <v>Low Risk</v>
      </c>
    </row>
    <row r="3656" spans="1:14">
      <c r="A3656" s="2">
        <v>0.53693287037037041</v>
      </c>
      <c r="B3656" s="3">
        <v>44841</v>
      </c>
      <c r="C3656" s="1">
        <v>3491306657</v>
      </c>
      <c r="D3656" s="1">
        <v>3661346932</v>
      </c>
      <c r="E3656" s="1">
        <v>310.04000000000002</v>
      </c>
      <c r="F3656" s="1" t="s">
        <v>12</v>
      </c>
      <c r="G3656" s="1" t="s">
        <v>12</v>
      </c>
      <c r="H3656" s="1" t="s">
        <v>13</v>
      </c>
      <c r="I3656" s="1" t="s">
        <v>13</v>
      </c>
      <c r="J3656" s="1" t="s">
        <v>36</v>
      </c>
      <c r="K3656" s="1">
        <v>0</v>
      </c>
      <c r="L3656" s="1" t="s">
        <v>37</v>
      </c>
      <c r="M3656" s="1" t="str">
        <f t="shared" si="58"/>
        <v>Consistent</v>
      </c>
      <c r="N3656" s="1" t="str">
        <f>_xlfn.XLOOKUP(H3656, risk_score!A:A, risk_score!B:B, 0)</f>
        <v>Low Risk</v>
      </c>
    </row>
    <row r="3657" spans="1:14">
      <c r="A3657" s="2">
        <v>0.53695601851851849</v>
      </c>
      <c r="B3657" s="3">
        <v>44841</v>
      </c>
      <c r="C3657" s="1">
        <v>5774648533</v>
      </c>
      <c r="D3657" s="1">
        <v>7892884492</v>
      </c>
      <c r="E3657" s="1">
        <v>10972.59</v>
      </c>
      <c r="F3657" s="1" t="s">
        <v>12</v>
      </c>
      <c r="G3657" s="1" t="s">
        <v>32</v>
      </c>
      <c r="H3657" s="1" t="s">
        <v>13</v>
      </c>
      <c r="I3657" s="1" t="s">
        <v>33</v>
      </c>
      <c r="J3657" s="1" t="s">
        <v>18</v>
      </c>
      <c r="K3657" s="1">
        <v>0</v>
      </c>
      <c r="L3657" s="1" t="s">
        <v>23</v>
      </c>
      <c r="M3657" s="1" t="str">
        <f t="shared" si="58"/>
        <v>Potential Layering</v>
      </c>
      <c r="N3657" s="1" t="str">
        <f>_xlfn.XLOOKUP(H3657, risk_score!A:A, risk_score!B:B, 0)</f>
        <v>Low Risk</v>
      </c>
    </row>
    <row r="3658" spans="1:14">
      <c r="A3658" s="2">
        <v>0.53700231481481486</v>
      </c>
      <c r="B3658" s="3">
        <v>44841</v>
      </c>
      <c r="C3658" s="1">
        <v>465072092</v>
      </c>
      <c r="D3658" s="1">
        <v>3330832813</v>
      </c>
      <c r="E3658" s="1">
        <v>1083.58</v>
      </c>
      <c r="F3658" s="1" t="s">
        <v>12</v>
      </c>
      <c r="G3658" s="1" t="s">
        <v>12</v>
      </c>
      <c r="H3658" s="1" t="s">
        <v>13</v>
      </c>
      <c r="I3658" s="1" t="s">
        <v>13</v>
      </c>
      <c r="J3658" s="1" t="s">
        <v>14</v>
      </c>
      <c r="K3658" s="1">
        <v>0</v>
      </c>
      <c r="L3658" s="1" t="s">
        <v>15</v>
      </c>
      <c r="M3658" s="1" t="str">
        <f t="shared" si="58"/>
        <v>Consistent</v>
      </c>
      <c r="N3658" s="1" t="str">
        <f>_xlfn.XLOOKUP(H3658, risk_score!A:A, risk_score!B:B, 0)</f>
        <v>Low Risk</v>
      </c>
    </row>
    <row r="3659" spans="1:14">
      <c r="A3659" s="2">
        <v>0.5370138888888889</v>
      </c>
      <c r="B3659" s="3">
        <v>44841</v>
      </c>
      <c r="C3659" s="1">
        <v>4677082047</v>
      </c>
      <c r="D3659" s="1">
        <v>8706047954</v>
      </c>
      <c r="E3659" s="1">
        <v>1359.63</v>
      </c>
      <c r="F3659" s="1" t="s">
        <v>12</v>
      </c>
      <c r="G3659" s="1" t="s">
        <v>12</v>
      </c>
      <c r="H3659" s="1" t="s">
        <v>13</v>
      </c>
      <c r="I3659" s="1" t="s">
        <v>13</v>
      </c>
      <c r="J3659" s="1" t="s">
        <v>14</v>
      </c>
      <c r="K3659" s="1">
        <v>0</v>
      </c>
      <c r="L3659" s="1" t="s">
        <v>15</v>
      </c>
      <c r="M3659" s="1" t="str">
        <f t="shared" si="58"/>
        <v>Consistent</v>
      </c>
      <c r="N3659" s="1" t="str">
        <f>_xlfn.XLOOKUP(H3659, risk_score!A:A, risk_score!B:B, 0)</f>
        <v>Low Risk</v>
      </c>
    </row>
    <row r="3660" spans="1:14">
      <c r="A3660" s="2">
        <v>0.5370138888888889</v>
      </c>
      <c r="B3660" s="3">
        <v>44841</v>
      </c>
      <c r="C3660" s="1">
        <v>3465671884</v>
      </c>
      <c r="D3660" s="1">
        <v>6034997194</v>
      </c>
      <c r="E3660" s="1">
        <v>5837.65</v>
      </c>
      <c r="F3660" s="1" t="s">
        <v>12</v>
      </c>
      <c r="G3660" s="1" t="s">
        <v>12</v>
      </c>
      <c r="H3660" s="1" t="s">
        <v>13</v>
      </c>
      <c r="I3660" s="1" t="s">
        <v>13</v>
      </c>
      <c r="J3660" s="1" t="s">
        <v>27</v>
      </c>
      <c r="K3660" s="1">
        <v>0</v>
      </c>
      <c r="L3660" s="1" t="s">
        <v>23</v>
      </c>
      <c r="M3660" s="1" t="str">
        <f t="shared" si="58"/>
        <v>Consistent</v>
      </c>
      <c r="N3660" s="1" t="str">
        <f>_xlfn.XLOOKUP(H3660, risk_score!A:A, risk_score!B:B, 0)</f>
        <v>Low Risk</v>
      </c>
    </row>
    <row r="3661" spans="1:14">
      <c r="A3661" s="2">
        <v>0.5370138888888889</v>
      </c>
      <c r="B3661" s="3">
        <v>44841</v>
      </c>
      <c r="C3661" s="1">
        <v>8686443013</v>
      </c>
      <c r="D3661" s="1">
        <v>3695545812</v>
      </c>
      <c r="E3661" s="1">
        <v>8212.4</v>
      </c>
      <c r="F3661" s="1" t="s">
        <v>12</v>
      </c>
      <c r="G3661" s="1" t="s">
        <v>29</v>
      </c>
      <c r="H3661" s="1" t="s">
        <v>13</v>
      </c>
      <c r="I3661" s="1" t="s">
        <v>13</v>
      </c>
      <c r="J3661" s="1" t="s">
        <v>27</v>
      </c>
      <c r="K3661" s="1">
        <v>0</v>
      </c>
      <c r="L3661" s="1" t="s">
        <v>23</v>
      </c>
      <c r="M3661" s="1" t="str">
        <f t="shared" si="58"/>
        <v>Potential Layering</v>
      </c>
      <c r="N3661" s="1" t="str">
        <f>_xlfn.XLOOKUP(H3661, risk_score!A:A, risk_score!B:B, 0)</f>
        <v>Low Risk</v>
      </c>
    </row>
    <row r="3662" spans="1:14">
      <c r="A3662" s="2">
        <v>0.53702546296296294</v>
      </c>
      <c r="B3662" s="3">
        <v>44841</v>
      </c>
      <c r="C3662" s="1">
        <v>4636265179</v>
      </c>
      <c r="D3662" s="1">
        <v>7818457449</v>
      </c>
      <c r="E3662" s="1">
        <v>619.35</v>
      </c>
      <c r="F3662" s="1" t="s">
        <v>39</v>
      </c>
      <c r="G3662" s="1" t="s">
        <v>12</v>
      </c>
      <c r="H3662" s="1" t="s">
        <v>13</v>
      </c>
      <c r="I3662" s="1" t="s">
        <v>13</v>
      </c>
      <c r="J3662" s="1" t="s">
        <v>20</v>
      </c>
      <c r="K3662" s="1">
        <v>0</v>
      </c>
      <c r="L3662" s="1" t="s">
        <v>21</v>
      </c>
      <c r="M3662" s="1" t="str">
        <f t="shared" si="58"/>
        <v>Potential Layering</v>
      </c>
      <c r="N3662" s="1" t="str">
        <f>_xlfn.XLOOKUP(H3662, risk_score!A:A, risk_score!B:B, 0)</f>
        <v>Low Risk</v>
      </c>
    </row>
    <row r="3663" spans="1:14">
      <c r="A3663" s="2">
        <v>0.53707175925925921</v>
      </c>
      <c r="B3663" s="3">
        <v>44841</v>
      </c>
      <c r="C3663" s="1">
        <v>8952177221</v>
      </c>
      <c r="D3663" s="1">
        <v>4269977194</v>
      </c>
      <c r="E3663" s="1">
        <v>7451.12</v>
      </c>
      <c r="F3663" s="1" t="s">
        <v>12</v>
      </c>
      <c r="G3663" s="1" t="s">
        <v>12</v>
      </c>
      <c r="H3663" s="1" t="s">
        <v>13</v>
      </c>
      <c r="I3663" s="1" t="s">
        <v>13</v>
      </c>
      <c r="J3663" s="1" t="s">
        <v>20</v>
      </c>
      <c r="K3663" s="1">
        <v>0</v>
      </c>
      <c r="L3663" s="1" t="s">
        <v>19</v>
      </c>
      <c r="M3663" s="1" t="str">
        <f t="shared" si="58"/>
        <v>Consistent</v>
      </c>
      <c r="N3663" s="1" t="str">
        <f>_xlfn.XLOOKUP(H3663, risk_score!A:A, risk_score!B:B, 0)</f>
        <v>Low Risk</v>
      </c>
    </row>
    <row r="3664" spans="1:14">
      <c r="A3664" s="2">
        <v>0.53707175925925921</v>
      </c>
      <c r="B3664" s="3">
        <v>44841</v>
      </c>
      <c r="C3664" s="1">
        <v>1706196950</v>
      </c>
      <c r="D3664" s="1">
        <v>3695545812</v>
      </c>
      <c r="E3664" s="1">
        <v>4876.7299999999996</v>
      </c>
      <c r="F3664" s="1" t="s">
        <v>12</v>
      </c>
      <c r="G3664" s="1" t="s">
        <v>12</v>
      </c>
      <c r="H3664" s="1" t="s">
        <v>13</v>
      </c>
      <c r="I3664" s="1" t="s">
        <v>13</v>
      </c>
      <c r="J3664" s="1" t="s">
        <v>27</v>
      </c>
      <c r="K3664" s="1">
        <v>0</v>
      </c>
      <c r="L3664" s="1" t="s">
        <v>23</v>
      </c>
      <c r="M3664" s="1" t="str">
        <f t="shared" si="58"/>
        <v>Consistent</v>
      </c>
      <c r="N3664" s="1" t="str">
        <f>_xlfn.XLOOKUP(H3664, risk_score!A:A, risk_score!B:B, 0)</f>
        <v>Low Risk</v>
      </c>
    </row>
    <row r="3665" spans="1:14">
      <c r="A3665" s="2">
        <v>0.53710648148148143</v>
      </c>
      <c r="B3665" s="3">
        <v>44841</v>
      </c>
      <c r="C3665" s="1">
        <v>997621089</v>
      </c>
      <c r="D3665" s="1">
        <v>9722801226</v>
      </c>
      <c r="E3665" s="1">
        <v>8040.71</v>
      </c>
      <c r="F3665" s="1" t="s">
        <v>12</v>
      </c>
      <c r="G3665" s="1" t="s">
        <v>12</v>
      </c>
      <c r="H3665" s="1" t="s">
        <v>13</v>
      </c>
      <c r="I3665" s="1" t="s">
        <v>13</v>
      </c>
      <c r="J3665" s="1" t="s">
        <v>22</v>
      </c>
      <c r="K3665" s="1">
        <v>0</v>
      </c>
      <c r="L3665" s="1" t="s">
        <v>24</v>
      </c>
      <c r="M3665" s="1" t="str">
        <f t="shared" si="58"/>
        <v>Consistent</v>
      </c>
      <c r="N3665" s="1" t="str">
        <f>_xlfn.XLOOKUP(H3665, risk_score!A:A, risk_score!B:B, 0)</f>
        <v>Low Risk</v>
      </c>
    </row>
    <row r="3666" spans="1:14">
      <c r="A3666" s="2">
        <v>0.53711805555555558</v>
      </c>
      <c r="B3666" s="3">
        <v>44841</v>
      </c>
      <c r="C3666" s="1">
        <v>6162333930</v>
      </c>
      <c r="D3666" s="1">
        <v>2750271635</v>
      </c>
      <c r="E3666" s="1">
        <v>10351.83</v>
      </c>
      <c r="F3666" s="1" t="s">
        <v>12</v>
      </c>
      <c r="G3666" s="1" t="s">
        <v>12</v>
      </c>
      <c r="H3666" s="1" t="s">
        <v>13</v>
      </c>
      <c r="I3666" s="1" t="s">
        <v>13</v>
      </c>
      <c r="J3666" s="1" t="s">
        <v>27</v>
      </c>
      <c r="K3666" s="1">
        <v>0</v>
      </c>
      <c r="L3666" s="1" t="s">
        <v>21</v>
      </c>
      <c r="M3666" s="1" t="str">
        <f t="shared" si="58"/>
        <v>Consistent</v>
      </c>
      <c r="N3666" s="1" t="str">
        <f>_xlfn.XLOOKUP(H3666, risk_score!A:A, risk_score!B:B, 0)</f>
        <v>Low Risk</v>
      </c>
    </row>
    <row r="3667" spans="1:14">
      <c r="A3667" s="2">
        <v>0.53712962962962962</v>
      </c>
      <c r="B3667" s="3">
        <v>44841</v>
      </c>
      <c r="C3667" s="1">
        <v>3944744151</v>
      </c>
      <c r="D3667" s="1">
        <v>4884600118</v>
      </c>
      <c r="E3667" s="1">
        <v>625.16999999999996</v>
      </c>
      <c r="F3667" s="1" t="s">
        <v>12</v>
      </c>
      <c r="G3667" s="1" t="s">
        <v>12</v>
      </c>
      <c r="H3667" s="1" t="s">
        <v>13</v>
      </c>
      <c r="I3667" s="1" t="s">
        <v>13</v>
      </c>
      <c r="J3667" s="1" t="s">
        <v>22</v>
      </c>
      <c r="K3667" s="1">
        <v>0</v>
      </c>
      <c r="L3667" s="1" t="s">
        <v>21</v>
      </c>
      <c r="M3667" s="1" t="str">
        <f t="shared" si="58"/>
        <v>Consistent</v>
      </c>
      <c r="N3667" s="1" t="str">
        <f>_xlfn.XLOOKUP(H3667, risk_score!A:A, risk_score!B:B, 0)</f>
        <v>Low Risk</v>
      </c>
    </row>
    <row r="3668" spans="1:14">
      <c r="A3668" s="2">
        <v>0.53718750000000004</v>
      </c>
      <c r="B3668" s="3">
        <v>44841</v>
      </c>
      <c r="C3668" s="1">
        <v>7618340734</v>
      </c>
      <c r="D3668" s="1">
        <v>7129601367</v>
      </c>
      <c r="E3668" s="1">
        <v>1483.17</v>
      </c>
      <c r="F3668" s="1" t="s">
        <v>12</v>
      </c>
      <c r="G3668" s="1" t="s">
        <v>12</v>
      </c>
      <c r="H3668" s="1" t="s">
        <v>13</v>
      </c>
      <c r="I3668" s="1" t="s">
        <v>13</v>
      </c>
      <c r="J3668" s="1" t="s">
        <v>27</v>
      </c>
      <c r="K3668" s="1">
        <v>0</v>
      </c>
      <c r="L3668" s="1" t="s">
        <v>21</v>
      </c>
      <c r="M3668" s="1" t="str">
        <f t="shared" si="58"/>
        <v>Consistent</v>
      </c>
      <c r="N3668" s="1" t="str">
        <f>_xlfn.XLOOKUP(H3668, risk_score!A:A, risk_score!B:B, 0)</f>
        <v>Low Risk</v>
      </c>
    </row>
    <row r="3669" spans="1:14">
      <c r="A3669" s="2">
        <v>0.53723379629629631</v>
      </c>
      <c r="B3669" s="3">
        <v>44841</v>
      </c>
      <c r="C3669" s="1">
        <v>8730244405</v>
      </c>
      <c r="D3669" s="1">
        <v>7080357663</v>
      </c>
      <c r="E3669" s="1">
        <v>6687.57</v>
      </c>
      <c r="F3669" s="1" t="s">
        <v>12</v>
      </c>
      <c r="G3669" s="1" t="s">
        <v>12</v>
      </c>
      <c r="H3669" s="1" t="s">
        <v>13</v>
      </c>
      <c r="I3669" s="1" t="s">
        <v>13</v>
      </c>
      <c r="J3669" s="1" t="s">
        <v>20</v>
      </c>
      <c r="K3669" s="1">
        <v>0</v>
      </c>
      <c r="L3669" s="1" t="s">
        <v>23</v>
      </c>
      <c r="M3669" s="1" t="str">
        <f t="shared" si="58"/>
        <v>Consistent</v>
      </c>
      <c r="N3669" s="1" t="str">
        <f>_xlfn.XLOOKUP(H3669, risk_score!A:A, risk_score!B:B, 0)</f>
        <v>Low Risk</v>
      </c>
    </row>
    <row r="3670" spans="1:14">
      <c r="A3670" s="2">
        <v>0.53726851851851853</v>
      </c>
      <c r="B3670" s="3">
        <v>44841</v>
      </c>
      <c r="C3670" s="1">
        <v>5931916555</v>
      </c>
      <c r="D3670" s="1">
        <v>1086488027</v>
      </c>
      <c r="E3670" s="1">
        <v>460.88</v>
      </c>
      <c r="F3670" s="1" t="s">
        <v>12</v>
      </c>
      <c r="G3670" s="1" t="s">
        <v>12</v>
      </c>
      <c r="H3670" s="1" t="s">
        <v>13</v>
      </c>
      <c r="I3670" s="1" t="s">
        <v>13</v>
      </c>
      <c r="J3670" s="1" t="s">
        <v>20</v>
      </c>
      <c r="K3670" s="1">
        <v>0</v>
      </c>
      <c r="L3670" s="1" t="s">
        <v>21</v>
      </c>
      <c r="M3670" s="1" t="str">
        <f t="shared" si="58"/>
        <v>Consistent</v>
      </c>
      <c r="N3670" s="1" t="str">
        <f>_xlfn.XLOOKUP(H3670, risk_score!A:A, risk_score!B:B, 0)</f>
        <v>Low Risk</v>
      </c>
    </row>
    <row r="3671" spans="1:14">
      <c r="A3671" s="2">
        <v>0.53734953703703703</v>
      </c>
      <c r="B3671" s="3">
        <v>44841</v>
      </c>
      <c r="C3671" s="1">
        <v>3872480644</v>
      </c>
      <c r="D3671" s="1">
        <v>7194488615</v>
      </c>
      <c r="E3671" s="1">
        <v>238.44</v>
      </c>
      <c r="F3671" s="1" t="s">
        <v>12</v>
      </c>
      <c r="G3671" s="1" t="s">
        <v>12</v>
      </c>
      <c r="H3671" s="1" t="s">
        <v>13</v>
      </c>
      <c r="I3671" s="1" t="s">
        <v>13</v>
      </c>
      <c r="J3671" s="1" t="s">
        <v>36</v>
      </c>
      <c r="K3671" s="1">
        <v>0</v>
      </c>
      <c r="L3671" s="1" t="s">
        <v>37</v>
      </c>
      <c r="M3671" s="1" t="str">
        <f t="shared" si="58"/>
        <v>Consistent</v>
      </c>
      <c r="N3671" s="1" t="str">
        <f>_xlfn.XLOOKUP(H3671, risk_score!A:A, risk_score!B:B, 0)</f>
        <v>Low Risk</v>
      </c>
    </row>
    <row r="3672" spans="1:14">
      <c r="A3672" s="2">
        <v>0.53738425925925926</v>
      </c>
      <c r="B3672" s="3">
        <v>44841</v>
      </c>
      <c r="C3672" s="1">
        <v>3954481733</v>
      </c>
      <c r="D3672" s="1">
        <v>1310453715</v>
      </c>
      <c r="E3672" s="1">
        <v>7934</v>
      </c>
      <c r="F3672" s="1" t="s">
        <v>12</v>
      </c>
      <c r="G3672" s="1" t="s">
        <v>12</v>
      </c>
      <c r="H3672" s="1" t="s">
        <v>13</v>
      </c>
      <c r="I3672" s="1" t="s">
        <v>13</v>
      </c>
      <c r="J3672" s="1" t="s">
        <v>20</v>
      </c>
      <c r="K3672" s="1">
        <v>0</v>
      </c>
      <c r="L3672" s="1" t="s">
        <v>21</v>
      </c>
      <c r="M3672" s="1" t="str">
        <f t="shared" si="58"/>
        <v>Consistent</v>
      </c>
      <c r="N3672" s="1" t="str">
        <f>_xlfn.XLOOKUP(H3672, risk_score!A:A, risk_score!B:B, 0)</f>
        <v>Low Risk</v>
      </c>
    </row>
    <row r="3673" spans="1:14">
      <c r="A3673" s="2">
        <v>0.53740740740740744</v>
      </c>
      <c r="B3673" s="3">
        <v>44841</v>
      </c>
      <c r="C3673" s="1">
        <v>6320582455</v>
      </c>
      <c r="D3673" s="1">
        <v>8673917867</v>
      </c>
      <c r="E3673" s="1">
        <v>8447.1299999999992</v>
      </c>
      <c r="F3673" s="1" t="s">
        <v>12</v>
      </c>
      <c r="G3673" s="1" t="s">
        <v>12</v>
      </c>
      <c r="H3673" s="1" t="s">
        <v>13</v>
      </c>
      <c r="I3673" s="1" t="s">
        <v>13</v>
      </c>
      <c r="J3673" s="1" t="s">
        <v>27</v>
      </c>
      <c r="K3673" s="1">
        <v>0</v>
      </c>
      <c r="L3673" s="1" t="s">
        <v>23</v>
      </c>
      <c r="M3673" s="1" t="str">
        <f t="shared" si="58"/>
        <v>Consistent</v>
      </c>
      <c r="N3673" s="1" t="str">
        <f>_xlfn.XLOOKUP(H3673, risk_score!A:A, risk_score!B:B, 0)</f>
        <v>Low Risk</v>
      </c>
    </row>
    <row r="3674" spans="1:14">
      <c r="A3674" s="2">
        <v>0.53741898148148148</v>
      </c>
      <c r="B3674" s="3">
        <v>44841</v>
      </c>
      <c r="C3674" s="1">
        <v>2812099632</v>
      </c>
      <c r="D3674" s="1">
        <v>3372935605</v>
      </c>
      <c r="E3674" s="1">
        <v>57.67</v>
      </c>
      <c r="F3674" s="1" t="s">
        <v>12</v>
      </c>
      <c r="G3674" s="1" t="s">
        <v>12</v>
      </c>
      <c r="H3674" s="1" t="s">
        <v>13</v>
      </c>
      <c r="I3674" s="1" t="s">
        <v>13</v>
      </c>
      <c r="J3674" s="1" t="s">
        <v>20</v>
      </c>
      <c r="K3674" s="1">
        <v>0</v>
      </c>
      <c r="L3674" s="1" t="s">
        <v>21</v>
      </c>
      <c r="M3674" s="1" t="str">
        <f t="shared" si="58"/>
        <v>Consistent</v>
      </c>
      <c r="N3674" s="1" t="str">
        <f>_xlfn.XLOOKUP(H3674, risk_score!A:A, risk_score!B:B, 0)</f>
        <v>Low Risk</v>
      </c>
    </row>
    <row r="3675" spans="1:14">
      <c r="A3675" s="2">
        <v>0.53744212962962967</v>
      </c>
      <c r="B3675" s="3">
        <v>44841</v>
      </c>
      <c r="C3675" s="1">
        <v>5452687367</v>
      </c>
      <c r="D3675" s="1">
        <v>6444220418</v>
      </c>
      <c r="E3675" s="1">
        <v>8283.2800000000007</v>
      </c>
      <c r="F3675" s="1" t="s">
        <v>12</v>
      </c>
      <c r="G3675" s="1" t="s">
        <v>12</v>
      </c>
      <c r="H3675" s="1" t="s">
        <v>13</v>
      </c>
      <c r="I3675" s="1" t="s">
        <v>13</v>
      </c>
      <c r="J3675" s="1" t="s">
        <v>27</v>
      </c>
      <c r="K3675" s="1">
        <v>0</v>
      </c>
      <c r="L3675" s="1" t="s">
        <v>23</v>
      </c>
      <c r="M3675" s="1" t="str">
        <f t="shared" si="58"/>
        <v>Consistent</v>
      </c>
      <c r="N3675" s="1" t="str">
        <f>_xlfn.XLOOKUP(H3675, risk_score!A:A, risk_score!B:B, 0)</f>
        <v>Low Risk</v>
      </c>
    </row>
    <row r="3676" spans="1:14">
      <c r="A3676" s="2">
        <v>0.53744212962962967</v>
      </c>
      <c r="B3676" s="3">
        <v>44841</v>
      </c>
      <c r="C3676" s="1">
        <v>6681240712</v>
      </c>
      <c r="D3676" s="1">
        <v>18772233</v>
      </c>
      <c r="E3676" s="1">
        <v>3359.58</v>
      </c>
      <c r="F3676" s="1" t="s">
        <v>12</v>
      </c>
      <c r="G3676" s="1" t="s">
        <v>12</v>
      </c>
      <c r="H3676" s="1" t="s">
        <v>13</v>
      </c>
      <c r="I3676" s="1" t="s">
        <v>13</v>
      </c>
      <c r="J3676" s="1" t="s">
        <v>25</v>
      </c>
      <c r="K3676" s="1">
        <v>0</v>
      </c>
      <c r="L3676" s="1" t="s">
        <v>24</v>
      </c>
      <c r="M3676" s="1" t="str">
        <f t="shared" si="58"/>
        <v>Consistent</v>
      </c>
      <c r="N3676" s="1" t="str">
        <f>_xlfn.XLOOKUP(H3676, risk_score!A:A, risk_score!B:B, 0)</f>
        <v>Low Risk</v>
      </c>
    </row>
    <row r="3677" spans="1:14">
      <c r="A3677" s="2">
        <v>0.53749999999999998</v>
      </c>
      <c r="B3677" s="3">
        <v>44841</v>
      </c>
      <c r="C3677" s="1">
        <v>8952177221</v>
      </c>
      <c r="D3677" s="1">
        <v>901136288</v>
      </c>
      <c r="E3677" s="1">
        <v>7167.36</v>
      </c>
      <c r="F3677" s="1" t="s">
        <v>12</v>
      </c>
      <c r="G3677" s="1" t="s">
        <v>12</v>
      </c>
      <c r="H3677" s="1" t="s">
        <v>13</v>
      </c>
      <c r="I3677" s="1" t="s">
        <v>13</v>
      </c>
      <c r="J3677" s="1" t="s">
        <v>27</v>
      </c>
      <c r="K3677" s="1">
        <v>0</v>
      </c>
      <c r="L3677" s="1" t="s">
        <v>19</v>
      </c>
      <c r="M3677" s="1" t="str">
        <f t="shared" si="58"/>
        <v>Consistent</v>
      </c>
      <c r="N3677" s="1" t="str">
        <f>_xlfn.XLOOKUP(H3677, risk_score!A:A, risk_score!B:B, 0)</f>
        <v>Low Risk</v>
      </c>
    </row>
    <row r="3678" spans="1:14">
      <c r="A3678" s="2">
        <v>0.53751157407407413</v>
      </c>
      <c r="B3678" s="3">
        <v>44841</v>
      </c>
      <c r="C3678" s="1">
        <v>8730244405</v>
      </c>
      <c r="D3678" s="1">
        <v>7080357663</v>
      </c>
      <c r="E3678" s="1">
        <v>6721.08</v>
      </c>
      <c r="F3678" s="1" t="s">
        <v>12</v>
      </c>
      <c r="G3678" s="1" t="s">
        <v>12</v>
      </c>
      <c r="H3678" s="1" t="s">
        <v>13</v>
      </c>
      <c r="I3678" s="1" t="s">
        <v>13</v>
      </c>
      <c r="J3678" s="1" t="s">
        <v>22</v>
      </c>
      <c r="K3678" s="1">
        <v>0</v>
      </c>
      <c r="L3678" s="1" t="s">
        <v>23</v>
      </c>
      <c r="M3678" s="1" t="str">
        <f t="shared" si="58"/>
        <v>Consistent</v>
      </c>
      <c r="N3678" s="1" t="str">
        <f>_xlfn.XLOOKUP(H3678, risk_score!A:A, risk_score!B:B, 0)</f>
        <v>Low Risk</v>
      </c>
    </row>
    <row r="3679" spans="1:14">
      <c r="A3679" s="2">
        <v>0.53759259259259262</v>
      </c>
      <c r="B3679" s="3">
        <v>44841</v>
      </c>
      <c r="C3679" s="1">
        <v>2285885463</v>
      </c>
      <c r="D3679" s="1">
        <v>7097759463</v>
      </c>
      <c r="E3679" s="1">
        <v>8517.33</v>
      </c>
      <c r="F3679" s="1" t="s">
        <v>12</v>
      </c>
      <c r="G3679" s="1" t="s">
        <v>12</v>
      </c>
      <c r="H3679" s="1" t="s">
        <v>13</v>
      </c>
      <c r="I3679" s="1" t="s">
        <v>13</v>
      </c>
      <c r="J3679" s="1" t="s">
        <v>22</v>
      </c>
      <c r="K3679" s="1">
        <v>0</v>
      </c>
      <c r="L3679" s="1" t="s">
        <v>21</v>
      </c>
      <c r="M3679" s="1" t="str">
        <f t="shared" si="58"/>
        <v>Consistent</v>
      </c>
      <c r="N3679" s="1" t="str">
        <f>_xlfn.XLOOKUP(H3679, risk_score!A:A, risk_score!B:B, 0)</f>
        <v>Low Risk</v>
      </c>
    </row>
    <row r="3680" spans="1:14">
      <c r="A3680" s="2">
        <v>0.53759259259259262</v>
      </c>
      <c r="B3680" s="3">
        <v>44841</v>
      </c>
      <c r="C3680" s="1">
        <v>8952177221</v>
      </c>
      <c r="D3680" s="1">
        <v>6404529552</v>
      </c>
      <c r="E3680" s="1">
        <v>7759.91</v>
      </c>
      <c r="F3680" s="1" t="s">
        <v>12</v>
      </c>
      <c r="G3680" s="1" t="s">
        <v>12</v>
      </c>
      <c r="H3680" s="1" t="s">
        <v>13</v>
      </c>
      <c r="I3680" s="1" t="s">
        <v>13</v>
      </c>
      <c r="J3680" s="1" t="s">
        <v>20</v>
      </c>
      <c r="K3680" s="1">
        <v>0</v>
      </c>
      <c r="L3680" s="1" t="s">
        <v>19</v>
      </c>
      <c r="M3680" s="1" t="str">
        <f t="shared" si="58"/>
        <v>Consistent</v>
      </c>
      <c r="N3680" s="1" t="str">
        <f>_xlfn.XLOOKUP(H3680, risk_score!A:A, risk_score!B:B, 0)</f>
        <v>Low Risk</v>
      </c>
    </row>
    <row r="3681" spans="1:14">
      <c r="A3681" s="2">
        <v>0.53763888888888889</v>
      </c>
      <c r="B3681" s="3">
        <v>44841</v>
      </c>
      <c r="C3681" s="1">
        <v>8221216438</v>
      </c>
      <c r="D3681" s="1">
        <v>5541000761</v>
      </c>
      <c r="E3681" s="1">
        <v>2390.11</v>
      </c>
      <c r="F3681" s="1" t="s">
        <v>12</v>
      </c>
      <c r="G3681" s="1" t="s">
        <v>12</v>
      </c>
      <c r="H3681" s="1" t="s">
        <v>13</v>
      </c>
      <c r="I3681" s="1" t="s">
        <v>13</v>
      </c>
      <c r="J3681" s="1" t="s">
        <v>22</v>
      </c>
      <c r="K3681" s="1">
        <v>0</v>
      </c>
      <c r="L3681" s="1" t="s">
        <v>21</v>
      </c>
      <c r="M3681" s="1" t="str">
        <f t="shared" si="58"/>
        <v>Consistent</v>
      </c>
      <c r="N3681" s="1" t="str">
        <f>_xlfn.XLOOKUP(H3681, risk_score!A:A, risk_score!B:B, 0)</f>
        <v>Low Risk</v>
      </c>
    </row>
    <row r="3682" spans="1:14">
      <c r="A3682" s="2">
        <v>0.53766203703703708</v>
      </c>
      <c r="B3682" s="3">
        <v>44841</v>
      </c>
      <c r="C3682" s="1">
        <v>9021870555</v>
      </c>
      <c r="D3682" s="1">
        <v>3695545812</v>
      </c>
      <c r="E3682" s="1">
        <v>6213.37</v>
      </c>
      <c r="F3682" s="1" t="s">
        <v>12</v>
      </c>
      <c r="G3682" s="1" t="s">
        <v>12</v>
      </c>
      <c r="H3682" s="1" t="s">
        <v>13</v>
      </c>
      <c r="I3682" s="1" t="s">
        <v>13</v>
      </c>
      <c r="J3682" s="1" t="s">
        <v>20</v>
      </c>
      <c r="K3682" s="1">
        <v>0</v>
      </c>
      <c r="L3682" s="1" t="s">
        <v>23</v>
      </c>
      <c r="M3682" s="1" t="str">
        <f t="shared" si="58"/>
        <v>Consistent</v>
      </c>
      <c r="N3682" s="1" t="str">
        <f>_xlfn.XLOOKUP(H3682, risk_score!A:A, risk_score!B:B, 0)</f>
        <v>Low Risk</v>
      </c>
    </row>
    <row r="3683" spans="1:14">
      <c r="A3683" s="2">
        <v>0.5376967592592593</v>
      </c>
      <c r="B3683" s="3">
        <v>44841</v>
      </c>
      <c r="C3683" s="1">
        <v>6541552727</v>
      </c>
      <c r="D3683" s="1">
        <v>5393260130</v>
      </c>
      <c r="E3683" s="1">
        <v>8147.15</v>
      </c>
      <c r="F3683" s="1" t="s">
        <v>12</v>
      </c>
      <c r="G3683" s="1" t="s">
        <v>46</v>
      </c>
      <c r="H3683" s="1" t="s">
        <v>13</v>
      </c>
      <c r="I3683" s="1" t="s">
        <v>47</v>
      </c>
      <c r="J3683" s="1" t="s">
        <v>18</v>
      </c>
      <c r="K3683" s="1">
        <v>0</v>
      </c>
      <c r="L3683" s="1" t="s">
        <v>19</v>
      </c>
      <c r="M3683" s="1" t="str">
        <f t="shared" si="58"/>
        <v>Potential Layering</v>
      </c>
      <c r="N3683" s="1" t="str">
        <f>_xlfn.XLOOKUP(H3683, risk_score!A:A, risk_score!B:B, 0)</f>
        <v>Low Risk</v>
      </c>
    </row>
    <row r="3684" spans="1:14">
      <c r="A3684" s="2">
        <v>0.53773148148148153</v>
      </c>
      <c r="B3684" s="3">
        <v>44841</v>
      </c>
      <c r="C3684" s="1">
        <v>1661670709</v>
      </c>
      <c r="D3684" s="1">
        <v>2397551309</v>
      </c>
      <c r="E3684" s="1">
        <v>3854.49</v>
      </c>
      <c r="F3684" s="1" t="s">
        <v>12</v>
      </c>
      <c r="G3684" s="1" t="s">
        <v>12</v>
      </c>
      <c r="H3684" s="1" t="s">
        <v>13</v>
      </c>
      <c r="I3684" s="1" t="s">
        <v>13</v>
      </c>
      <c r="J3684" s="1" t="s">
        <v>22</v>
      </c>
      <c r="K3684" s="1">
        <v>0</v>
      </c>
      <c r="L3684" s="1" t="s">
        <v>21</v>
      </c>
      <c r="M3684" s="1" t="str">
        <f t="shared" si="58"/>
        <v>Consistent</v>
      </c>
      <c r="N3684" s="1" t="str">
        <f>_xlfn.XLOOKUP(H3684, risk_score!A:A, risk_score!B:B, 0)</f>
        <v>Low Risk</v>
      </c>
    </row>
    <row r="3685" spans="1:14">
      <c r="A3685" s="2">
        <v>0.53773148148148153</v>
      </c>
      <c r="B3685" s="3">
        <v>44841</v>
      </c>
      <c r="C3685" s="1">
        <v>7570225629</v>
      </c>
      <c r="D3685" s="1">
        <v>1493436023</v>
      </c>
      <c r="E3685" s="1">
        <v>4334.8500000000004</v>
      </c>
      <c r="F3685" s="1" t="s">
        <v>12</v>
      </c>
      <c r="G3685" s="1" t="s">
        <v>12</v>
      </c>
      <c r="H3685" s="1" t="s">
        <v>13</v>
      </c>
      <c r="I3685" s="1" t="s">
        <v>13</v>
      </c>
      <c r="J3685" s="1" t="s">
        <v>25</v>
      </c>
      <c r="K3685" s="1">
        <v>0</v>
      </c>
      <c r="L3685" s="1" t="s">
        <v>23</v>
      </c>
      <c r="M3685" s="1" t="str">
        <f t="shared" si="58"/>
        <v>Consistent</v>
      </c>
      <c r="N3685" s="1" t="str">
        <f>_xlfn.XLOOKUP(H3685, risk_score!A:A, risk_score!B:B, 0)</f>
        <v>Low Risk</v>
      </c>
    </row>
    <row r="3686" spans="1:14">
      <c r="A3686" s="2">
        <v>0.53780092592592588</v>
      </c>
      <c r="B3686" s="3">
        <v>44841</v>
      </c>
      <c r="C3686" s="1">
        <v>9625477861</v>
      </c>
      <c r="D3686" s="1">
        <v>1971013437</v>
      </c>
      <c r="E3686" s="1">
        <v>5068.68</v>
      </c>
      <c r="F3686" s="1" t="s">
        <v>12</v>
      </c>
      <c r="G3686" s="1" t="s">
        <v>12</v>
      </c>
      <c r="H3686" s="1" t="s">
        <v>13</v>
      </c>
      <c r="I3686" s="1" t="s">
        <v>13</v>
      </c>
      <c r="J3686" s="1" t="s">
        <v>20</v>
      </c>
      <c r="K3686" s="1">
        <v>0</v>
      </c>
      <c r="L3686" s="1" t="s">
        <v>21</v>
      </c>
      <c r="M3686" s="1" t="str">
        <f t="shared" si="58"/>
        <v>Consistent</v>
      </c>
      <c r="N3686" s="1" t="str">
        <f>_xlfn.XLOOKUP(H3686, risk_score!A:A, risk_score!B:B, 0)</f>
        <v>Low Risk</v>
      </c>
    </row>
    <row r="3687" spans="1:14">
      <c r="A3687" s="2">
        <v>0.53781250000000003</v>
      </c>
      <c r="B3687" s="3">
        <v>44841</v>
      </c>
      <c r="C3687" s="1">
        <v>3329586066</v>
      </c>
      <c r="D3687" s="1">
        <v>3086341355</v>
      </c>
      <c r="E3687" s="1">
        <v>3253.56</v>
      </c>
      <c r="F3687" s="1" t="s">
        <v>12</v>
      </c>
      <c r="G3687" s="1" t="s">
        <v>26</v>
      </c>
      <c r="H3687" s="1" t="s">
        <v>13</v>
      </c>
      <c r="I3687" s="1" t="s">
        <v>56</v>
      </c>
      <c r="J3687" s="1" t="s">
        <v>18</v>
      </c>
      <c r="K3687" s="1">
        <v>0</v>
      </c>
      <c r="L3687" s="1" t="s">
        <v>21</v>
      </c>
      <c r="M3687" s="1" t="str">
        <f t="shared" si="58"/>
        <v>Potential Layering</v>
      </c>
      <c r="N3687" s="1" t="str">
        <f>_xlfn.XLOOKUP(H3687, risk_score!A:A, risk_score!B:B, 0)</f>
        <v>Low Risk</v>
      </c>
    </row>
    <row r="3688" spans="1:14">
      <c r="A3688" s="2">
        <v>0.53782407407407407</v>
      </c>
      <c r="B3688" s="3">
        <v>44841</v>
      </c>
      <c r="C3688" s="1">
        <v>9059255367</v>
      </c>
      <c r="D3688" s="1">
        <v>1348012821</v>
      </c>
      <c r="E3688" s="1">
        <v>2946.23</v>
      </c>
      <c r="F3688" s="1" t="s">
        <v>12</v>
      </c>
      <c r="G3688" s="1" t="s">
        <v>12</v>
      </c>
      <c r="H3688" s="1" t="s">
        <v>13</v>
      </c>
      <c r="I3688" s="1" t="s">
        <v>13</v>
      </c>
      <c r="J3688" s="1" t="s">
        <v>22</v>
      </c>
      <c r="K3688" s="1">
        <v>0</v>
      </c>
      <c r="L3688" s="1" t="s">
        <v>24</v>
      </c>
      <c r="M3688" s="1" t="str">
        <f t="shared" si="58"/>
        <v>Consistent</v>
      </c>
      <c r="N3688" s="1" t="str">
        <f>_xlfn.XLOOKUP(H3688, risk_score!A:A, risk_score!B:B, 0)</f>
        <v>Low Risk</v>
      </c>
    </row>
    <row r="3689" spans="1:14">
      <c r="A3689" s="2">
        <v>0.53789351851851852</v>
      </c>
      <c r="B3689" s="3">
        <v>44841</v>
      </c>
      <c r="C3689" s="1">
        <v>8535945311</v>
      </c>
      <c r="D3689" s="1">
        <v>4672005977</v>
      </c>
      <c r="E3689" s="1">
        <v>1470.81</v>
      </c>
      <c r="F3689" s="1" t="s">
        <v>12</v>
      </c>
      <c r="G3689" s="1" t="s">
        <v>12</v>
      </c>
      <c r="H3689" s="1" t="s">
        <v>13</v>
      </c>
      <c r="I3689" s="1" t="s">
        <v>13</v>
      </c>
      <c r="J3689" s="1" t="s">
        <v>14</v>
      </c>
      <c r="K3689" s="1">
        <v>0</v>
      </c>
      <c r="L3689" s="1" t="s">
        <v>15</v>
      </c>
      <c r="M3689" s="1" t="str">
        <f t="shared" si="58"/>
        <v>Consistent</v>
      </c>
      <c r="N3689" s="1" t="str">
        <f>_xlfn.XLOOKUP(H3689, risk_score!A:A, risk_score!B:B, 0)</f>
        <v>Low Risk</v>
      </c>
    </row>
    <row r="3690" spans="1:14">
      <c r="A3690" s="2">
        <v>0.53793981481481479</v>
      </c>
      <c r="B3690" s="3">
        <v>44841</v>
      </c>
      <c r="C3690" s="1">
        <v>7877700106</v>
      </c>
      <c r="D3690" s="1">
        <v>2534644942</v>
      </c>
      <c r="E3690" s="1">
        <v>25412.46</v>
      </c>
      <c r="F3690" s="1" t="s">
        <v>39</v>
      </c>
      <c r="G3690" s="1" t="s">
        <v>29</v>
      </c>
      <c r="H3690" s="1" t="s">
        <v>13</v>
      </c>
      <c r="I3690" s="1" t="s">
        <v>31</v>
      </c>
      <c r="J3690" s="1" t="s">
        <v>18</v>
      </c>
      <c r="K3690" s="1">
        <v>0</v>
      </c>
      <c r="L3690" s="1" t="s">
        <v>23</v>
      </c>
      <c r="M3690" s="1" t="str">
        <f t="shared" si="58"/>
        <v>Potential Layering</v>
      </c>
      <c r="N3690" s="1" t="str">
        <f>_xlfn.XLOOKUP(H3690, risk_score!A:A, risk_score!B:B, 0)</f>
        <v>Low Risk</v>
      </c>
    </row>
    <row r="3691" spans="1:14">
      <c r="A3691" s="2">
        <v>0.53795138888888894</v>
      </c>
      <c r="B3691" s="3">
        <v>44841</v>
      </c>
      <c r="C3691" s="1">
        <v>3977956775</v>
      </c>
      <c r="D3691" s="1">
        <v>5363117119</v>
      </c>
      <c r="E3691" s="1">
        <v>9667.2099999999991</v>
      </c>
      <c r="F3691" s="1" t="s">
        <v>12</v>
      </c>
      <c r="G3691" s="1" t="s">
        <v>12</v>
      </c>
      <c r="H3691" s="1" t="s">
        <v>13</v>
      </c>
      <c r="I3691" s="1" t="s">
        <v>13</v>
      </c>
      <c r="J3691" s="1" t="s">
        <v>25</v>
      </c>
      <c r="K3691" s="1">
        <v>0</v>
      </c>
      <c r="L3691" s="1" t="s">
        <v>23</v>
      </c>
      <c r="M3691" s="1" t="str">
        <f t="shared" si="58"/>
        <v>Consistent</v>
      </c>
      <c r="N3691" s="1" t="str">
        <f>_xlfn.XLOOKUP(H3691, risk_score!A:A, risk_score!B:B, 0)</f>
        <v>Low Risk</v>
      </c>
    </row>
    <row r="3692" spans="1:14">
      <c r="A3692" s="2">
        <v>0.53796296296296298</v>
      </c>
      <c r="B3692" s="3">
        <v>44841</v>
      </c>
      <c r="C3692" s="1">
        <v>675669049</v>
      </c>
      <c r="D3692" s="1">
        <v>4348868412</v>
      </c>
      <c r="E3692" s="1">
        <v>7285.78</v>
      </c>
      <c r="F3692" s="1" t="s">
        <v>12</v>
      </c>
      <c r="G3692" s="1" t="s">
        <v>12</v>
      </c>
      <c r="H3692" s="1" t="s">
        <v>13</v>
      </c>
      <c r="I3692" s="1" t="s">
        <v>13</v>
      </c>
      <c r="J3692" s="1" t="s">
        <v>20</v>
      </c>
      <c r="K3692" s="1">
        <v>0</v>
      </c>
      <c r="L3692" s="1" t="s">
        <v>19</v>
      </c>
      <c r="M3692" s="1" t="str">
        <f t="shared" si="58"/>
        <v>Consistent</v>
      </c>
      <c r="N3692" s="1" t="str">
        <f>_xlfn.XLOOKUP(H3692, risk_score!A:A, risk_score!B:B, 0)</f>
        <v>Low Risk</v>
      </c>
    </row>
    <row r="3693" spans="1:14">
      <c r="A3693" s="2">
        <v>0.53796296296296298</v>
      </c>
      <c r="B3693" s="3">
        <v>44841</v>
      </c>
      <c r="C3693" s="1">
        <v>2022460892</v>
      </c>
      <c r="D3693" s="1">
        <v>4582379021</v>
      </c>
      <c r="E3693" s="1">
        <v>101.8</v>
      </c>
      <c r="F3693" s="1" t="s">
        <v>12</v>
      </c>
      <c r="G3693" s="1" t="s">
        <v>12</v>
      </c>
      <c r="H3693" s="1" t="s">
        <v>13</v>
      </c>
      <c r="I3693" s="1" t="s">
        <v>13</v>
      </c>
      <c r="J3693" s="1" t="s">
        <v>27</v>
      </c>
      <c r="K3693" s="1">
        <v>0</v>
      </c>
      <c r="L3693" s="1" t="s">
        <v>21</v>
      </c>
      <c r="M3693" s="1" t="str">
        <f t="shared" si="58"/>
        <v>Consistent</v>
      </c>
      <c r="N3693" s="1" t="str">
        <f>_xlfn.XLOOKUP(H3693, risk_score!A:A, risk_score!B:B, 0)</f>
        <v>Low Risk</v>
      </c>
    </row>
    <row r="3694" spans="1:14">
      <c r="A3694" s="2">
        <v>0.53797453703703701</v>
      </c>
      <c r="B3694" s="3">
        <v>44841</v>
      </c>
      <c r="C3694" s="1">
        <v>7474909535</v>
      </c>
      <c r="D3694" s="1">
        <v>4684121457</v>
      </c>
      <c r="E3694" s="1">
        <v>86.76</v>
      </c>
      <c r="F3694" s="1" t="s">
        <v>12</v>
      </c>
      <c r="G3694" s="1" t="s">
        <v>16</v>
      </c>
      <c r="H3694" s="1" t="s">
        <v>13</v>
      </c>
      <c r="I3694" s="1" t="s">
        <v>13</v>
      </c>
      <c r="J3694" s="1" t="s">
        <v>27</v>
      </c>
      <c r="K3694" s="1">
        <v>0</v>
      </c>
      <c r="L3694" s="1" t="s">
        <v>21</v>
      </c>
      <c r="M3694" s="1" t="str">
        <f t="shared" si="58"/>
        <v>Potential Layering</v>
      </c>
      <c r="N3694" s="1" t="str">
        <f>_xlfn.XLOOKUP(H3694, risk_score!A:A, risk_score!B:B, 0)</f>
        <v>Low Risk</v>
      </c>
    </row>
    <row r="3695" spans="1:14">
      <c r="A3695" s="2">
        <v>0.5379976851851852</v>
      </c>
      <c r="B3695" s="3">
        <v>44841</v>
      </c>
      <c r="C3695" s="1">
        <v>2227139280</v>
      </c>
      <c r="D3695" s="1">
        <v>1424693007</v>
      </c>
      <c r="E3695" s="1">
        <v>12857.64</v>
      </c>
      <c r="F3695" s="1" t="s">
        <v>12</v>
      </c>
      <c r="G3695" s="1" t="s">
        <v>12</v>
      </c>
      <c r="H3695" s="1" t="s">
        <v>13</v>
      </c>
      <c r="I3695" s="1" t="s">
        <v>13</v>
      </c>
      <c r="J3695" s="1" t="s">
        <v>22</v>
      </c>
      <c r="K3695" s="1">
        <v>0</v>
      </c>
      <c r="L3695" s="1" t="s">
        <v>24</v>
      </c>
      <c r="M3695" s="1" t="str">
        <f t="shared" si="58"/>
        <v>Consistent</v>
      </c>
      <c r="N3695" s="1" t="str">
        <f>_xlfn.XLOOKUP(H3695, risk_score!A:A, risk_score!B:B, 0)</f>
        <v>Low Risk</v>
      </c>
    </row>
    <row r="3696" spans="1:14">
      <c r="A3696" s="2">
        <v>0.53806712962962966</v>
      </c>
      <c r="B3696" s="3">
        <v>44841</v>
      </c>
      <c r="C3696" s="1">
        <v>1381060944</v>
      </c>
      <c r="D3696" s="1">
        <v>1322542482</v>
      </c>
      <c r="E3696" s="1">
        <v>456.38</v>
      </c>
      <c r="F3696" s="1" t="s">
        <v>12</v>
      </c>
      <c r="G3696" s="1" t="s">
        <v>12</v>
      </c>
      <c r="H3696" s="1" t="s">
        <v>13</v>
      </c>
      <c r="I3696" s="1" t="s">
        <v>13</v>
      </c>
      <c r="J3696" s="1" t="s">
        <v>20</v>
      </c>
      <c r="K3696" s="1">
        <v>0</v>
      </c>
      <c r="L3696" s="1" t="s">
        <v>21</v>
      </c>
      <c r="M3696" s="1" t="str">
        <f t="shared" si="58"/>
        <v>Consistent</v>
      </c>
      <c r="N3696" s="1" t="str">
        <f>_xlfn.XLOOKUP(H3696, risk_score!A:A, risk_score!B:B, 0)</f>
        <v>Low Risk</v>
      </c>
    </row>
    <row r="3697" spans="1:14">
      <c r="A3697" s="2">
        <v>0.5380787037037037</v>
      </c>
      <c r="B3697" s="3">
        <v>44841</v>
      </c>
      <c r="C3697" s="1">
        <v>6225074603</v>
      </c>
      <c r="D3697" s="1">
        <v>3220735304</v>
      </c>
      <c r="E3697" s="1">
        <v>14416.75</v>
      </c>
      <c r="F3697" s="1" t="s">
        <v>12</v>
      </c>
      <c r="G3697" s="1" t="s">
        <v>12</v>
      </c>
      <c r="H3697" s="1" t="s">
        <v>13</v>
      </c>
      <c r="I3697" s="1" t="s">
        <v>13</v>
      </c>
      <c r="J3697" s="1" t="s">
        <v>20</v>
      </c>
      <c r="K3697" s="1">
        <v>0</v>
      </c>
      <c r="L3697" s="1" t="s">
        <v>23</v>
      </c>
      <c r="M3697" s="1" t="str">
        <f t="shared" si="58"/>
        <v>Consistent</v>
      </c>
      <c r="N3697" s="1" t="str">
        <f>_xlfn.XLOOKUP(H3697, risk_score!A:A, risk_score!B:B, 0)</f>
        <v>Low Risk</v>
      </c>
    </row>
    <row r="3698" spans="1:14">
      <c r="A3698" s="2">
        <v>0.5380787037037037</v>
      </c>
      <c r="B3698" s="3">
        <v>44841</v>
      </c>
      <c r="C3698" s="1">
        <v>3510078932</v>
      </c>
      <c r="D3698" s="1">
        <v>2683968729</v>
      </c>
      <c r="E3698" s="1">
        <v>23204.75</v>
      </c>
      <c r="F3698" s="1" t="s">
        <v>51</v>
      </c>
      <c r="G3698" s="1" t="s">
        <v>12</v>
      </c>
      <c r="H3698" s="1" t="s">
        <v>13</v>
      </c>
      <c r="I3698" s="1" t="s">
        <v>13</v>
      </c>
      <c r="J3698" s="1" t="s">
        <v>25</v>
      </c>
      <c r="K3698" s="1">
        <v>0</v>
      </c>
      <c r="L3698" s="1" t="s">
        <v>19</v>
      </c>
      <c r="M3698" s="1" t="str">
        <f t="shared" si="58"/>
        <v>Potential Layering</v>
      </c>
      <c r="N3698" s="1" t="str">
        <f>_xlfn.XLOOKUP(H3698, risk_score!A:A, risk_score!B:B, 0)</f>
        <v>Low Risk</v>
      </c>
    </row>
    <row r="3699" spans="1:14">
      <c r="A3699" s="2">
        <v>0.53809027777777774</v>
      </c>
      <c r="B3699" s="3">
        <v>44841</v>
      </c>
      <c r="C3699" s="1">
        <v>5946484518</v>
      </c>
      <c r="D3699" s="1">
        <v>9600420220</v>
      </c>
      <c r="E3699" s="1">
        <v>17583.099999999999</v>
      </c>
      <c r="F3699" s="1" t="s">
        <v>12</v>
      </c>
      <c r="G3699" s="1" t="s">
        <v>12</v>
      </c>
      <c r="H3699" s="1" t="s">
        <v>13</v>
      </c>
      <c r="I3699" s="1" t="s">
        <v>13</v>
      </c>
      <c r="J3699" s="1" t="s">
        <v>20</v>
      </c>
      <c r="K3699" s="1">
        <v>0</v>
      </c>
      <c r="L3699" s="1" t="s">
        <v>23</v>
      </c>
      <c r="M3699" s="1" t="str">
        <f t="shared" si="58"/>
        <v>Consistent</v>
      </c>
      <c r="N3699" s="1" t="str">
        <f>_xlfn.XLOOKUP(H3699, risk_score!A:A, risk_score!B:B, 0)</f>
        <v>Low Risk</v>
      </c>
    </row>
    <row r="3700" spans="1:14">
      <c r="A3700" s="2">
        <v>0.53810185185185189</v>
      </c>
      <c r="B3700" s="3">
        <v>44841</v>
      </c>
      <c r="C3700" s="1">
        <v>2412955813</v>
      </c>
      <c r="D3700" s="1">
        <v>5103043844</v>
      </c>
      <c r="E3700" s="1">
        <v>42372.24</v>
      </c>
      <c r="F3700" s="1" t="s">
        <v>12</v>
      </c>
      <c r="G3700" s="1" t="s">
        <v>44</v>
      </c>
      <c r="H3700" s="1" t="s">
        <v>13</v>
      </c>
      <c r="I3700" s="1" t="s">
        <v>45</v>
      </c>
      <c r="J3700" s="1" t="s">
        <v>18</v>
      </c>
      <c r="K3700" s="1">
        <v>0</v>
      </c>
      <c r="L3700" s="1" t="s">
        <v>23</v>
      </c>
      <c r="M3700" s="1" t="str">
        <f t="shared" si="58"/>
        <v>Potential Layering</v>
      </c>
      <c r="N3700" s="1" t="str">
        <f>_xlfn.XLOOKUP(H3700, risk_score!A:A, risk_score!B:B, 0)</f>
        <v>Low Risk</v>
      </c>
    </row>
    <row r="3701" spans="1:14">
      <c r="A3701" s="2">
        <v>0.53810185185185189</v>
      </c>
      <c r="B3701" s="3">
        <v>44841</v>
      </c>
      <c r="C3701" s="1">
        <v>4308900521</v>
      </c>
      <c r="D3701" s="1">
        <v>7787085852</v>
      </c>
      <c r="E3701" s="1">
        <v>2699.02</v>
      </c>
      <c r="F3701" s="1" t="s">
        <v>12</v>
      </c>
      <c r="G3701" s="1" t="s">
        <v>12</v>
      </c>
      <c r="H3701" s="1" t="s">
        <v>13</v>
      </c>
      <c r="I3701" s="1" t="s">
        <v>13</v>
      </c>
      <c r="J3701" s="1" t="s">
        <v>25</v>
      </c>
      <c r="K3701" s="1">
        <v>0</v>
      </c>
      <c r="L3701" s="1" t="s">
        <v>21</v>
      </c>
      <c r="M3701" s="1" t="str">
        <f t="shared" si="58"/>
        <v>Consistent</v>
      </c>
      <c r="N3701" s="1" t="str">
        <f>_xlfn.XLOOKUP(H3701, risk_score!A:A, risk_score!B:B, 0)</f>
        <v>Low Risk</v>
      </c>
    </row>
    <row r="3702" spans="1:14">
      <c r="A3702" s="2">
        <v>0.53812499999999996</v>
      </c>
      <c r="B3702" s="3">
        <v>44841</v>
      </c>
      <c r="C3702" s="1">
        <v>8053683950</v>
      </c>
      <c r="D3702" s="1">
        <v>6522784509</v>
      </c>
      <c r="E3702" s="1">
        <v>6024.1</v>
      </c>
      <c r="F3702" s="1" t="s">
        <v>12</v>
      </c>
      <c r="G3702" s="1" t="s">
        <v>12</v>
      </c>
      <c r="H3702" s="1" t="s">
        <v>13</v>
      </c>
      <c r="I3702" s="1" t="s">
        <v>13</v>
      </c>
      <c r="J3702" s="1" t="s">
        <v>20</v>
      </c>
      <c r="K3702" s="1">
        <v>0</v>
      </c>
      <c r="L3702" s="1" t="s">
        <v>38</v>
      </c>
      <c r="M3702" s="1" t="str">
        <f t="shared" si="58"/>
        <v>Consistent</v>
      </c>
      <c r="N3702" s="1" t="str">
        <f>_xlfn.XLOOKUP(H3702, risk_score!A:A, risk_score!B:B, 0)</f>
        <v>Low Risk</v>
      </c>
    </row>
    <row r="3703" spans="1:14">
      <c r="A3703" s="2">
        <v>0.53812499999999996</v>
      </c>
      <c r="B3703" s="3">
        <v>44841</v>
      </c>
      <c r="C3703" s="1">
        <v>8350272799</v>
      </c>
      <c r="D3703" s="1">
        <v>8298596636</v>
      </c>
      <c r="E3703" s="1">
        <v>1174.26</v>
      </c>
      <c r="F3703" s="1" t="s">
        <v>12</v>
      </c>
      <c r="G3703" s="1" t="s">
        <v>12</v>
      </c>
      <c r="H3703" s="1" t="s">
        <v>13</v>
      </c>
      <c r="I3703" s="1" t="s">
        <v>13</v>
      </c>
      <c r="J3703" s="1" t="s">
        <v>22</v>
      </c>
      <c r="K3703" s="1">
        <v>0</v>
      </c>
      <c r="L3703" s="1" t="s">
        <v>21</v>
      </c>
      <c r="M3703" s="1" t="str">
        <f t="shared" si="58"/>
        <v>Consistent</v>
      </c>
      <c r="N3703" s="1" t="str">
        <f>_xlfn.XLOOKUP(H3703, risk_score!A:A, risk_score!B:B, 0)</f>
        <v>Low Risk</v>
      </c>
    </row>
    <row r="3704" spans="1:14">
      <c r="A3704" s="2">
        <v>0.53815972222222219</v>
      </c>
      <c r="B3704" s="3">
        <v>44841</v>
      </c>
      <c r="C3704" s="1">
        <v>6017583380</v>
      </c>
      <c r="D3704" s="1">
        <v>540966878</v>
      </c>
      <c r="E3704" s="1">
        <v>4812.92</v>
      </c>
      <c r="F3704" s="1" t="s">
        <v>12</v>
      </c>
      <c r="G3704" s="1" t="s">
        <v>12</v>
      </c>
      <c r="H3704" s="1" t="s">
        <v>13</v>
      </c>
      <c r="I3704" s="1" t="s">
        <v>13</v>
      </c>
      <c r="J3704" s="1" t="s">
        <v>25</v>
      </c>
      <c r="K3704" s="1">
        <v>0</v>
      </c>
      <c r="L3704" s="1" t="s">
        <v>21</v>
      </c>
      <c r="M3704" s="1" t="str">
        <f t="shared" si="58"/>
        <v>Consistent</v>
      </c>
      <c r="N3704" s="1" t="str">
        <f>_xlfn.XLOOKUP(H3704, risk_score!A:A, risk_score!B:B, 0)</f>
        <v>Low Risk</v>
      </c>
    </row>
    <row r="3705" spans="1:14">
      <c r="A3705" s="2">
        <v>0.53815972222222219</v>
      </c>
      <c r="B3705" s="3">
        <v>44841</v>
      </c>
      <c r="C3705" s="1">
        <v>7501327339</v>
      </c>
      <c r="D3705" s="1">
        <v>8617863283</v>
      </c>
      <c r="E3705" s="1">
        <v>5894.68</v>
      </c>
      <c r="F3705" s="1" t="s">
        <v>12</v>
      </c>
      <c r="G3705" s="1" t="s">
        <v>12</v>
      </c>
      <c r="H3705" s="1" t="s">
        <v>13</v>
      </c>
      <c r="I3705" s="1" t="s">
        <v>13</v>
      </c>
      <c r="J3705" s="1" t="s">
        <v>27</v>
      </c>
      <c r="K3705" s="1">
        <v>0</v>
      </c>
      <c r="L3705" s="1" t="s">
        <v>19</v>
      </c>
      <c r="M3705" s="1" t="str">
        <f t="shared" si="58"/>
        <v>Consistent</v>
      </c>
      <c r="N3705" s="1" t="str">
        <f>_xlfn.XLOOKUP(H3705, risk_score!A:A, risk_score!B:B, 0)</f>
        <v>Low Risk</v>
      </c>
    </row>
    <row r="3706" spans="1:14">
      <c r="A3706" s="2">
        <v>0.53819444444444442</v>
      </c>
      <c r="B3706" s="3">
        <v>44841</v>
      </c>
      <c r="C3706" s="1">
        <v>3835880796</v>
      </c>
      <c r="D3706" s="1">
        <v>1808407957</v>
      </c>
      <c r="E3706" s="1">
        <v>7413.17</v>
      </c>
      <c r="F3706" s="1" t="s">
        <v>12</v>
      </c>
      <c r="G3706" s="1" t="s">
        <v>12</v>
      </c>
      <c r="H3706" s="1" t="s">
        <v>13</v>
      </c>
      <c r="I3706" s="1" t="s">
        <v>13</v>
      </c>
      <c r="J3706" s="1" t="s">
        <v>25</v>
      </c>
      <c r="K3706" s="1">
        <v>0</v>
      </c>
      <c r="L3706" s="1" t="s">
        <v>24</v>
      </c>
      <c r="M3706" s="1" t="str">
        <f t="shared" si="58"/>
        <v>Consistent</v>
      </c>
      <c r="N3706" s="1" t="str">
        <f>_xlfn.XLOOKUP(H3706, risk_score!A:A, risk_score!B:B, 0)</f>
        <v>Low Risk</v>
      </c>
    </row>
    <row r="3707" spans="1:14">
      <c r="A3707" s="2">
        <v>0.53821759259259261</v>
      </c>
      <c r="B3707" s="3">
        <v>44841</v>
      </c>
      <c r="C3707" s="1">
        <v>5632388235</v>
      </c>
      <c r="D3707" s="1">
        <v>8290285433</v>
      </c>
      <c r="E3707" s="1">
        <v>1660.23</v>
      </c>
      <c r="F3707" s="1" t="s">
        <v>12</v>
      </c>
      <c r="G3707" s="1" t="s">
        <v>12</v>
      </c>
      <c r="H3707" s="1" t="s">
        <v>13</v>
      </c>
      <c r="I3707" s="1" t="s">
        <v>13</v>
      </c>
      <c r="J3707" s="1" t="s">
        <v>14</v>
      </c>
      <c r="K3707" s="1">
        <v>0</v>
      </c>
      <c r="L3707" s="1" t="s">
        <v>15</v>
      </c>
      <c r="M3707" s="1" t="str">
        <f t="shared" si="58"/>
        <v>Consistent</v>
      </c>
      <c r="N3707" s="1" t="str">
        <f>_xlfn.XLOOKUP(H3707, risk_score!A:A, risk_score!B:B, 0)</f>
        <v>Low Risk</v>
      </c>
    </row>
    <row r="3708" spans="1:14">
      <c r="A3708" s="2">
        <v>0.53824074074074069</v>
      </c>
      <c r="B3708" s="3">
        <v>44841</v>
      </c>
      <c r="C3708" s="1">
        <v>5396748228</v>
      </c>
      <c r="D3708" s="1">
        <v>9105769228</v>
      </c>
      <c r="E3708" s="1">
        <v>25055.84</v>
      </c>
      <c r="F3708" s="1" t="s">
        <v>12</v>
      </c>
      <c r="G3708" s="1" t="s">
        <v>12</v>
      </c>
      <c r="H3708" s="1" t="s">
        <v>13</v>
      </c>
      <c r="I3708" s="1" t="s">
        <v>13</v>
      </c>
      <c r="J3708" s="1" t="s">
        <v>22</v>
      </c>
      <c r="K3708" s="1">
        <v>0</v>
      </c>
      <c r="L3708" s="1" t="s">
        <v>23</v>
      </c>
      <c r="M3708" s="1" t="str">
        <f t="shared" si="58"/>
        <v>Consistent</v>
      </c>
      <c r="N3708" s="1" t="str">
        <f>_xlfn.XLOOKUP(H3708, risk_score!A:A, risk_score!B:B, 0)</f>
        <v>Low Risk</v>
      </c>
    </row>
    <row r="3709" spans="1:14">
      <c r="A3709" s="2">
        <v>0.53825231481481484</v>
      </c>
      <c r="B3709" s="3">
        <v>44841</v>
      </c>
      <c r="C3709" s="1">
        <v>5470113126</v>
      </c>
      <c r="D3709" s="1">
        <v>3661025271</v>
      </c>
      <c r="E3709" s="1">
        <v>8748.0499999999993</v>
      </c>
      <c r="F3709" s="1" t="s">
        <v>29</v>
      </c>
      <c r="G3709" s="1" t="s">
        <v>12</v>
      </c>
      <c r="H3709" s="1" t="s">
        <v>48</v>
      </c>
      <c r="I3709" s="1" t="s">
        <v>13</v>
      </c>
      <c r="J3709" s="1" t="s">
        <v>18</v>
      </c>
      <c r="K3709" s="1">
        <v>0</v>
      </c>
      <c r="L3709" s="1" t="s">
        <v>38</v>
      </c>
      <c r="M3709" s="1" t="str">
        <f t="shared" si="58"/>
        <v>Potential Layering</v>
      </c>
      <c r="N3709" s="1" t="str">
        <f>_xlfn.XLOOKUP(H3709, risk_score!A:A, risk_score!B:B, 0)</f>
        <v>Low Risk</v>
      </c>
    </row>
    <row r="3710" spans="1:14">
      <c r="A3710" s="2">
        <v>0.53825231481481484</v>
      </c>
      <c r="B3710" s="3">
        <v>44841</v>
      </c>
      <c r="C3710" s="1">
        <v>7474613980</v>
      </c>
      <c r="D3710" s="1">
        <v>8352571580</v>
      </c>
      <c r="E3710" s="1">
        <v>11873.68</v>
      </c>
      <c r="F3710" s="1" t="s">
        <v>12</v>
      </c>
      <c r="G3710" s="1" t="s">
        <v>12</v>
      </c>
      <c r="H3710" s="1" t="s">
        <v>13</v>
      </c>
      <c r="I3710" s="1" t="s">
        <v>13</v>
      </c>
      <c r="J3710" s="1" t="s">
        <v>20</v>
      </c>
      <c r="K3710" s="1">
        <v>0</v>
      </c>
      <c r="L3710" s="1" t="s">
        <v>23</v>
      </c>
      <c r="M3710" s="1" t="str">
        <f t="shared" si="58"/>
        <v>Consistent</v>
      </c>
      <c r="N3710" s="1" t="str">
        <f>_xlfn.XLOOKUP(H3710, risk_score!A:A, risk_score!B:B, 0)</f>
        <v>Low Risk</v>
      </c>
    </row>
    <row r="3711" spans="1:14">
      <c r="A3711" s="2">
        <v>0.53827546296296291</v>
      </c>
      <c r="B3711" s="3">
        <v>44841</v>
      </c>
      <c r="C3711" s="1">
        <v>1838750007</v>
      </c>
      <c r="D3711" s="1">
        <v>7143620325</v>
      </c>
      <c r="E3711" s="1">
        <v>1998.01</v>
      </c>
      <c r="F3711" s="1" t="s">
        <v>12</v>
      </c>
      <c r="G3711" s="1" t="s">
        <v>12</v>
      </c>
      <c r="H3711" s="1" t="s">
        <v>13</v>
      </c>
      <c r="I3711" s="1" t="s">
        <v>13</v>
      </c>
      <c r="J3711" s="1" t="s">
        <v>27</v>
      </c>
      <c r="K3711" s="1">
        <v>0</v>
      </c>
      <c r="L3711" s="1" t="s">
        <v>21</v>
      </c>
      <c r="M3711" s="1" t="str">
        <f t="shared" ref="M3711:M3774" si="59">IF(F3711=G3711, "Consistent", "Potential Layering")</f>
        <v>Consistent</v>
      </c>
      <c r="N3711" s="1" t="str">
        <f>_xlfn.XLOOKUP(H3711, risk_score!A:A, risk_score!B:B, 0)</f>
        <v>Low Risk</v>
      </c>
    </row>
    <row r="3712" spans="1:14">
      <c r="A3712" s="2">
        <v>0.5382986111111111</v>
      </c>
      <c r="B3712" s="3">
        <v>44841</v>
      </c>
      <c r="C3712" s="1">
        <v>8456279067</v>
      </c>
      <c r="D3712" s="1">
        <v>330109509</v>
      </c>
      <c r="E3712" s="1">
        <v>11352.18</v>
      </c>
      <c r="F3712" s="1" t="s">
        <v>12</v>
      </c>
      <c r="G3712" s="1" t="s">
        <v>12</v>
      </c>
      <c r="H3712" s="1" t="s">
        <v>13</v>
      </c>
      <c r="I3712" s="1" t="s">
        <v>13</v>
      </c>
      <c r="J3712" s="1" t="s">
        <v>22</v>
      </c>
      <c r="K3712" s="1">
        <v>0</v>
      </c>
      <c r="L3712" s="1" t="s">
        <v>19</v>
      </c>
      <c r="M3712" s="1" t="str">
        <f t="shared" si="59"/>
        <v>Consistent</v>
      </c>
      <c r="N3712" s="1" t="str">
        <f>_xlfn.XLOOKUP(H3712, risk_score!A:A, risk_score!B:B, 0)</f>
        <v>Low Risk</v>
      </c>
    </row>
    <row r="3713" spans="1:14">
      <c r="A3713" s="2">
        <v>0.53832175925925929</v>
      </c>
      <c r="B3713" s="3">
        <v>44841</v>
      </c>
      <c r="C3713" s="1">
        <v>1168600456</v>
      </c>
      <c r="D3713" s="1">
        <v>4822369018</v>
      </c>
      <c r="E3713" s="1">
        <v>3110.5</v>
      </c>
      <c r="F3713" s="1" t="s">
        <v>12</v>
      </c>
      <c r="G3713" s="1" t="s">
        <v>12</v>
      </c>
      <c r="H3713" s="1" t="s">
        <v>13</v>
      </c>
      <c r="I3713" s="1" t="s">
        <v>13</v>
      </c>
      <c r="J3713" s="1" t="s">
        <v>22</v>
      </c>
      <c r="K3713" s="1">
        <v>0</v>
      </c>
      <c r="L3713" s="1" t="s">
        <v>21</v>
      </c>
      <c r="M3713" s="1" t="str">
        <f t="shared" si="59"/>
        <v>Consistent</v>
      </c>
      <c r="N3713" s="1" t="str">
        <f>_xlfn.XLOOKUP(H3713, risk_score!A:A, risk_score!B:B, 0)</f>
        <v>Low Risk</v>
      </c>
    </row>
    <row r="3714" spans="1:14">
      <c r="A3714" s="2">
        <v>0.53835648148148152</v>
      </c>
      <c r="B3714" s="3">
        <v>44841</v>
      </c>
      <c r="C3714" s="1">
        <v>4423318738</v>
      </c>
      <c r="D3714" s="1">
        <v>5431755091</v>
      </c>
      <c r="E3714" s="1">
        <v>3076.1</v>
      </c>
      <c r="F3714" s="1" t="s">
        <v>12</v>
      </c>
      <c r="G3714" s="1" t="s">
        <v>12</v>
      </c>
      <c r="H3714" s="1" t="s">
        <v>13</v>
      </c>
      <c r="I3714" s="1" t="s">
        <v>13</v>
      </c>
      <c r="J3714" s="1" t="s">
        <v>25</v>
      </c>
      <c r="K3714" s="1">
        <v>0</v>
      </c>
      <c r="L3714" s="1" t="s">
        <v>21</v>
      </c>
      <c r="M3714" s="1" t="str">
        <f t="shared" si="59"/>
        <v>Consistent</v>
      </c>
      <c r="N3714" s="1" t="str">
        <f>_xlfn.XLOOKUP(H3714, risk_score!A:A, risk_score!B:B, 0)</f>
        <v>Low Risk</v>
      </c>
    </row>
    <row r="3715" spans="1:14">
      <c r="A3715" s="2">
        <v>0.53840277777777779</v>
      </c>
      <c r="B3715" s="3">
        <v>44841</v>
      </c>
      <c r="C3715" s="1">
        <v>3510078932</v>
      </c>
      <c r="D3715" s="1">
        <v>360722730</v>
      </c>
      <c r="E3715" s="1">
        <v>10262.32</v>
      </c>
      <c r="F3715" s="1" t="s">
        <v>12</v>
      </c>
      <c r="G3715" s="1" t="s">
        <v>12</v>
      </c>
      <c r="H3715" s="1" t="s">
        <v>13</v>
      </c>
      <c r="I3715" s="1" t="s">
        <v>13</v>
      </c>
      <c r="J3715" s="1" t="s">
        <v>25</v>
      </c>
      <c r="K3715" s="1">
        <v>0</v>
      </c>
      <c r="L3715" s="1" t="s">
        <v>19</v>
      </c>
      <c r="M3715" s="1" t="str">
        <f t="shared" si="59"/>
        <v>Consistent</v>
      </c>
      <c r="N3715" s="1" t="str">
        <f>_xlfn.XLOOKUP(H3715, risk_score!A:A, risk_score!B:B, 0)</f>
        <v>Low Risk</v>
      </c>
    </row>
    <row r="3716" spans="1:14">
      <c r="A3716" s="2">
        <v>0.53841435185185182</v>
      </c>
      <c r="B3716" s="3">
        <v>44841</v>
      </c>
      <c r="C3716" s="1">
        <v>5774648533</v>
      </c>
      <c r="D3716" s="1">
        <v>7892884492</v>
      </c>
      <c r="E3716" s="1">
        <v>11025.22</v>
      </c>
      <c r="F3716" s="1" t="s">
        <v>12</v>
      </c>
      <c r="G3716" s="1" t="s">
        <v>32</v>
      </c>
      <c r="H3716" s="1" t="s">
        <v>13</v>
      </c>
      <c r="I3716" s="1" t="s">
        <v>33</v>
      </c>
      <c r="J3716" s="1" t="s">
        <v>18</v>
      </c>
      <c r="K3716" s="1">
        <v>0</v>
      </c>
      <c r="L3716" s="1" t="s">
        <v>23</v>
      </c>
      <c r="M3716" s="1" t="str">
        <f t="shared" si="59"/>
        <v>Potential Layering</v>
      </c>
      <c r="N3716" s="1" t="str">
        <f>_xlfn.XLOOKUP(H3716, risk_score!A:A, risk_score!B:B, 0)</f>
        <v>Low Risk</v>
      </c>
    </row>
    <row r="3717" spans="1:14">
      <c r="A3717" s="2">
        <v>0.53848379629629628</v>
      </c>
      <c r="B3717" s="3">
        <v>44841</v>
      </c>
      <c r="C3717" s="1">
        <v>3015237774</v>
      </c>
      <c r="D3717" s="1">
        <v>1791681033</v>
      </c>
      <c r="E3717" s="1">
        <v>434.3</v>
      </c>
      <c r="F3717" s="1" t="s">
        <v>12</v>
      </c>
      <c r="G3717" s="1" t="s">
        <v>12</v>
      </c>
      <c r="H3717" s="1" t="s">
        <v>13</v>
      </c>
      <c r="I3717" s="1" t="s">
        <v>13</v>
      </c>
      <c r="J3717" s="1" t="s">
        <v>20</v>
      </c>
      <c r="K3717" s="1">
        <v>0</v>
      </c>
      <c r="L3717" s="1" t="s">
        <v>21</v>
      </c>
      <c r="M3717" s="1" t="str">
        <f t="shared" si="59"/>
        <v>Consistent</v>
      </c>
      <c r="N3717" s="1" t="str">
        <f>_xlfn.XLOOKUP(H3717, risk_score!A:A, risk_score!B:B, 0)</f>
        <v>Low Risk</v>
      </c>
    </row>
    <row r="3718" spans="1:14">
      <c r="A3718" s="2">
        <v>0.5385416666666667</v>
      </c>
      <c r="B3718" s="3">
        <v>44841</v>
      </c>
      <c r="C3718" s="1">
        <v>675669049</v>
      </c>
      <c r="D3718" s="1">
        <v>4898116032</v>
      </c>
      <c r="E3718" s="1">
        <v>12132.43</v>
      </c>
      <c r="F3718" s="1" t="s">
        <v>12</v>
      </c>
      <c r="G3718" s="1" t="s">
        <v>12</v>
      </c>
      <c r="H3718" s="1" t="s">
        <v>13</v>
      </c>
      <c r="I3718" s="1" t="s">
        <v>13</v>
      </c>
      <c r="J3718" s="1" t="s">
        <v>25</v>
      </c>
      <c r="K3718" s="1">
        <v>0</v>
      </c>
      <c r="L3718" s="1" t="s">
        <v>19</v>
      </c>
      <c r="M3718" s="1" t="str">
        <f t="shared" si="59"/>
        <v>Consistent</v>
      </c>
      <c r="N3718" s="1" t="str">
        <f>_xlfn.XLOOKUP(H3718, risk_score!A:A, risk_score!B:B, 0)</f>
        <v>Low Risk</v>
      </c>
    </row>
    <row r="3719" spans="1:14">
      <c r="A3719" s="2">
        <v>0.53858796296296296</v>
      </c>
      <c r="B3719" s="3">
        <v>44841</v>
      </c>
      <c r="C3719" s="1">
        <v>4082552798</v>
      </c>
      <c r="D3719" s="1">
        <v>4173195094</v>
      </c>
      <c r="E3719" s="1">
        <v>11938.18</v>
      </c>
      <c r="F3719" s="1" t="s">
        <v>12</v>
      </c>
      <c r="G3719" s="1" t="s">
        <v>12</v>
      </c>
      <c r="H3719" s="1" t="s">
        <v>13</v>
      </c>
      <c r="I3719" s="1" t="s">
        <v>13</v>
      </c>
      <c r="J3719" s="1" t="s">
        <v>22</v>
      </c>
      <c r="K3719" s="1">
        <v>0</v>
      </c>
      <c r="L3719" s="1" t="s">
        <v>23</v>
      </c>
      <c r="M3719" s="1" t="str">
        <f t="shared" si="59"/>
        <v>Consistent</v>
      </c>
      <c r="N3719" s="1" t="str">
        <f>_xlfn.XLOOKUP(H3719, risk_score!A:A, risk_score!B:B, 0)</f>
        <v>Low Risk</v>
      </c>
    </row>
    <row r="3720" spans="1:14">
      <c r="A3720" s="2">
        <v>0.53862268518518519</v>
      </c>
      <c r="B3720" s="3">
        <v>44841</v>
      </c>
      <c r="C3720" s="1">
        <v>1307833471</v>
      </c>
      <c r="D3720" s="1">
        <v>3826795727</v>
      </c>
      <c r="E3720" s="1">
        <v>2591.9499999999998</v>
      </c>
      <c r="F3720" s="1" t="s">
        <v>12</v>
      </c>
      <c r="G3720" s="1" t="s">
        <v>12</v>
      </c>
      <c r="H3720" s="1" t="s">
        <v>13</v>
      </c>
      <c r="I3720" s="1" t="s">
        <v>13</v>
      </c>
      <c r="J3720" s="1" t="s">
        <v>14</v>
      </c>
      <c r="K3720" s="1">
        <v>0</v>
      </c>
      <c r="L3720" s="1" t="s">
        <v>15</v>
      </c>
      <c r="M3720" s="1" t="str">
        <f t="shared" si="59"/>
        <v>Consistent</v>
      </c>
      <c r="N3720" s="1" t="str">
        <f>_xlfn.XLOOKUP(H3720, risk_score!A:A, risk_score!B:B, 0)</f>
        <v>Low Risk</v>
      </c>
    </row>
    <row r="3721" spans="1:14">
      <c r="A3721" s="2">
        <v>0.53864583333333338</v>
      </c>
      <c r="B3721" s="3">
        <v>44841</v>
      </c>
      <c r="C3721" s="1">
        <v>7556874867</v>
      </c>
      <c r="D3721" s="1">
        <v>8092477684</v>
      </c>
      <c r="E3721" s="1">
        <v>15332.35</v>
      </c>
      <c r="F3721" s="1" t="s">
        <v>12</v>
      </c>
      <c r="G3721" s="1" t="s">
        <v>29</v>
      </c>
      <c r="H3721" s="1" t="s">
        <v>13</v>
      </c>
      <c r="I3721" s="1" t="s">
        <v>31</v>
      </c>
      <c r="J3721" s="1" t="s">
        <v>18</v>
      </c>
      <c r="K3721" s="1">
        <v>0</v>
      </c>
      <c r="L3721" s="1" t="s">
        <v>21</v>
      </c>
      <c r="M3721" s="1" t="str">
        <f t="shared" si="59"/>
        <v>Potential Layering</v>
      </c>
      <c r="N3721" s="1" t="str">
        <f>_xlfn.XLOOKUP(H3721, risk_score!A:A, risk_score!B:B, 0)</f>
        <v>Low Risk</v>
      </c>
    </row>
    <row r="3722" spans="1:14">
      <c r="A3722" s="2">
        <v>0.53865740740740742</v>
      </c>
      <c r="B3722" s="3">
        <v>44841</v>
      </c>
      <c r="C3722" s="1">
        <v>6953025430</v>
      </c>
      <c r="D3722" s="1">
        <v>8540332707</v>
      </c>
      <c r="E3722" s="1">
        <v>4867.3500000000004</v>
      </c>
      <c r="F3722" s="1" t="s">
        <v>12</v>
      </c>
      <c r="G3722" s="1" t="s">
        <v>32</v>
      </c>
      <c r="H3722" s="1" t="s">
        <v>13</v>
      </c>
      <c r="I3722" s="1" t="s">
        <v>33</v>
      </c>
      <c r="J3722" s="1" t="s">
        <v>18</v>
      </c>
      <c r="K3722" s="1">
        <v>0</v>
      </c>
      <c r="L3722" s="1" t="s">
        <v>21</v>
      </c>
      <c r="M3722" s="1" t="str">
        <f t="shared" si="59"/>
        <v>Potential Layering</v>
      </c>
      <c r="N3722" s="1" t="str">
        <f>_xlfn.XLOOKUP(H3722, risk_score!A:A, risk_score!B:B, 0)</f>
        <v>Low Risk</v>
      </c>
    </row>
    <row r="3723" spans="1:14">
      <c r="A3723" s="2">
        <v>0.53872685185185187</v>
      </c>
      <c r="B3723" s="3">
        <v>44841</v>
      </c>
      <c r="C3723" s="1">
        <v>1394177372</v>
      </c>
      <c r="D3723" s="1">
        <v>1465487567</v>
      </c>
      <c r="E3723" s="1">
        <v>11566.5</v>
      </c>
      <c r="F3723" s="1" t="s">
        <v>12</v>
      </c>
      <c r="G3723" s="1" t="s">
        <v>12</v>
      </c>
      <c r="H3723" s="1" t="s">
        <v>13</v>
      </c>
      <c r="I3723" s="1" t="s">
        <v>13</v>
      </c>
      <c r="J3723" s="1" t="s">
        <v>20</v>
      </c>
      <c r="K3723" s="1">
        <v>0</v>
      </c>
      <c r="L3723" s="1" t="s">
        <v>23</v>
      </c>
      <c r="M3723" s="1" t="str">
        <f t="shared" si="59"/>
        <v>Consistent</v>
      </c>
      <c r="N3723" s="1" t="str">
        <f>_xlfn.XLOOKUP(H3723, risk_score!A:A, risk_score!B:B, 0)</f>
        <v>Low Risk</v>
      </c>
    </row>
    <row r="3724" spans="1:14">
      <c r="A3724" s="2">
        <v>0.53872685185185187</v>
      </c>
      <c r="B3724" s="3">
        <v>44841</v>
      </c>
      <c r="C3724" s="1">
        <v>5511940809</v>
      </c>
      <c r="D3724" s="1">
        <v>1400243933</v>
      </c>
      <c r="E3724" s="1">
        <v>7365.27</v>
      </c>
      <c r="F3724" s="1" t="s">
        <v>12</v>
      </c>
      <c r="G3724" s="1" t="s">
        <v>12</v>
      </c>
      <c r="H3724" s="1" t="s">
        <v>13</v>
      </c>
      <c r="I3724" s="1" t="s">
        <v>13</v>
      </c>
      <c r="J3724" s="1" t="s">
        <v>27</v>
      </c>
      <c r="K3724" s="1">
        <v>0</v>
      </c>
      <c r="L3724" s="1" t="s">
        <v>21</v>
      </c>
      <c r="M3724" s="1" t="str">
        <f t="shared" si="59"/>
        <v>Consistent</v>
      </c>
      <c r="N3724" s="1" t="str">
        <f>_xlfn.XLOOKUP(H3724, risk_score!A:A, risk_score!B:B, 0)</f>
        <v>Low Risk</v>
      </c>
    </row>
    <row r="3725" spans="1:14">
      <c r="A3725" s="2">
        <v>0.5387615740740741</v>
      </c>
      <c r="B3725" s="3">
        <v>44841</v>
      </c>
      <c r="C3725" s="1">
        <v>5495088244</v>
      </c>
      <c r="D3725" s="1">
        <v>6223365730</v>
      </c>
      <c r="E3725" s="1">
        <v>6180.6</v>
      </c>
      <c r="F3725" s="1" t="s">
        <v>12</v>
      </c>
      <c r="G3725" s="1" t="s">
        <v>12</v>
      </c>
      <c r="H3725" s="1" t="s">
        <v>13</v>
      </c>
      <c r="I3725" s="1" t="s">
        <v>13</v>
      </c>
      <c r="J3725" s="1" t="s">
        <v>25</v>
      </c>
      <c r="K3725" s="1">
        <v>0</v>
      </c>
      <c r="L3725" s="1" t="s">
        <v>23</v>
      </c>
      <c r="M3725" s="1" t="str">
        <f t="shared" si="59"/>
        <v>Consistent</v>
      </c>
      <c r="N3725" s="1" t="str">
        <f>_xlfn.XLOOKUP(H3725, risk_score!A:A, risk_score!B:B, 0)</f>
        <v>Low Risk</v>
      </c>
    </row>
    <row r="3726" spans="1:14">
      <c r="A3726" s="2">
        <v>0.53877314814814814</v>
      </c>
      <c r="B3726" s="3">
        <v>44841</v>
      </c>
      <c r="C3726" s="1">
        <v>6116657264</v>
      </c>
      <c r="D3726" s="1">
        <v>144438037</v>
      </c>
      <c r="E3726" s="1">
        <v>5746.56</v>
      </c>
      <c r="F3726" s="1" t="s">
        <v>12</v>
      </c>
      <c r="G3726" s="1" t="s">
        <v>12</v>
      </c>
      <c r="H3726" s="1" t="s">
        <v>13</v>
      </c>
      <c r="I3726" s="1" t="s">
        <v>13</v>
      </c>
      <c r="J3726" s="1" t="s">
        <v>22</v>
      </c>
      <c r="K3726" s="1">
        <v>0</v>
      </c>
      <c r="L3726" s="1" t="s">
        <v>19</v>
      </c>
      <c r="M3726" s="1" t="str">
        <f t="shared" si="59"/>
        <v>Consistent</v>
      </c>
      <c r="N3726" s="1" t="str">
        <f>_xlfn.XLOOKUP(H3726, risk_score!A:A, risk_score!B:B, 0)</f>
        <v>Low Risk</v>
      </c>
    </row>
    <row r="3727" spans="1:14">
      <c r="A3727" s="2">
        <v>0.53878472222222218</v>
      </c>
      <c r="B3727" s="3">
        <v>44841</v>
      </c>
      <c r="C3727" s="1">
        <v>3806252141</v>
      </c>
      <c r="D3727" s="1">
        <v>4082343832</v>
      </c>
      <c r="E3727" s="1">
        <v>1000.26</v>
      </c>
      <c r="F3727" s="1" t="s">
        <v>12</v>
      </c>
      <c r="G3727" s="1" t="s">
        <v>12</v>
      </c>
      <c r="H3727" s="1" t="s">
        <v>13</v>
      </c>
      <c r="I3727" s="1" t="s">
        <v>13</v>
      </c>
      <c r="J3727" s="1" t="s">
        <v>25</v>
      </c>
      <c r="K3727" s="1">
        <v>0</v>
      </c>
      <c r="L3727" s="1" t="s">
        <v>21</v>
      </c>
      <c r="M3727" s="1" t="str">
        <f t="shared" si="59"/>
        <v>Consistent</v>
      </c>
      <c r="N3727" s="1" t="str">
        <f>_xlfn.XLOOKUP(H3727, risk_score!A:A, risk_score!B:B, 0)</f>
        <v>Low Risk</v>
      </c>
    </row>
    <row r="3728" spans="1:14">
      <c r="A3728" s="2">
        <v>0.53880787037037037</v>
      </c>
      <c r="B3728" s="3">
        <v>44841</v>
      </c>
      <c r="C3728" s="1">
        <v>1915450576</v>
      </c>
      <c r="D3728" s="1">
        <v>4706175310</v>
      </c>
      <c r="E3728" s="1">
        <v>6505.37</v>
      </c>
      <c r="F3728" s="1" t="s">
        <v>12</v>
      </c>
      <c r="G3728" s="1" t="s">
        <v>12</v>
      </c>
      <c r="H3728" s="1" t="s">
        <v>13</v>
      </c>
      <c r="I3728" s="1" t="s">
        <v>13</v>
      </c>
      <c r="J3728" s="1" t="s">
        <v>22</v>
      </c>
      <c r="K3728" s="1">
        <v>0</v>
      </c>
      <c r="L3728" s="1" t="s">
        <v>19</v>
      </c>
      <c r="M3728" s="1" t="str">
        <f t="shared" si="59"/>
        <v>Consistent</v>
      </c>
      <c r="N3728" s="1" t="str">
        <f>_xlfn.XLOOKUP(H3728, risk_score!A:A, risk_score!B:B, 0)</f>
        <v>Low Risk</v>
      </c>
    </row>
    <row r="3729" spans="1:14">
      <c r="A3729" s="2">
        <v>0.53880787037037037</v>
      </c>
      <c r="B3729" s="3">
        <v>44841</v>
      </c>
      <c r="C3729" s="1">
        <v>3231840762</v>
      </c>
      <c r="D3729" s="1">
        <v>1343544646</v>
      </c>
      <c r="E3729" s="1">
        <v>2051.6999999999998</v>
      </c>
      <c r="F3729" s="1" t="s">
        <v>12</v>
      </c>
      <c r="G3729" s="1" t="s">
        <v>12</v>
      </c>
      <c r="H3729" s="1" t="s">
        <v>13</v>
      </c>
      <c r="I3729" s="1" t="s">
        <v>13</v>
      </c>
      <c r="J3729" s="1" t="s">
        <v>27</v>
      </c>
      <c r="K3729" s="1">
        <v>0</v>
      </c>
      <c r="L3729" s="1" t="s">
        <v>21</v>
      </c>
      <c r="M3729" s="1" t="str">
        <f t="shared" si="59"/>
        <v>Consistent</v>
      </c>
      <c r="N3729" s="1" t="str">
        <f>_xlfn.XLOOKUP(H3729, risk_score!A:A, risk_score!B:B, 0)</f>
        <v>Low Risk</v>
      </c>
    </row>
    <row r="3730" spans="1:14">
      <c r="A3730" s="2">
        <v>0.53881944444444441</v>
      </c>
      <c r="B3730" s="3">
        <v>44841</v>
      </c>
      <c r="C3730" s="1">
        <v>9599009457</v>
      </c>
      <c r="D3730" s="1">
        <v>835931677</v>
      </c>
      <c r="E3730" s="1">
        <v>15565.86</v>
      </c>
      <c r="F3730" s="1" t="s">
        <v>12</v>
      </c>
      <c r="G3730" s="1" t="s">
        <v>12</v>
      </c>
      <c r="H3730" s="1" t="s">
        <v>13</v>
      </c>
      <c r="I3730" s="1" t="s">
        <v>13</v>
      </c>
      <c r="J3730" s="1" t="s">
        <v>22</v>
      </c>
      <c r="K3730" s="1">
        <v>0</v>
      </c>
      <c r="L3730" s="1" t="s">
        <v>19</v>
      </c>
      <c r="M3730" s="1" t="str">
        <f t="shared" si="59"/>
        <v>Consistent</v>
      </c>
      <c r="N3730" s="1" t="str">
        <f>_xlfn.XLOOKUP(H3730, risk_score!A:A, risk_score!B:B, 0)</f>
        <v>Low Risk</v>
      </c>
    </row>
    <row r="3731" spans="1:14">
      <c r="A3731" s="2">
        <v>0.53886574074074078</v>
      </c>
      <c r="B3731" s="3">
        <v>44841</v>
      </c>
      <c r="C3731" s="1">
        <v>6619905829</v>
      </c>
      <c r="D3731" s="1">
        <v>3381813969</v>
      </c>
      <c r="E3731" s="1">
        <v>4362.28</v>
      </c>
      <c r="F3731" s="1" t="s">
        <v>12</v>
      </c>
      <c r="G3731" s="1" t="s">
        <v>12</v>
      </c>
      <c r="H3731" s="1" t="s">
        <v>13</v>
      </c>
      <c r="I3731" s="1" t="s">
        <v>13</v>
      </c>
      <c r="J3731" s="1" t="s">
        <v>25</v>
      </c>
      <c r="K3731" s="1">
        <v>0</v>
      </c>
      <c r="L3731" s="1" t="s">
        <v>21</v>
      </c>
      <c r="M3731" s="1" t="str">
        <f t="shared" si="59"/>
        <v>Consistent</v>
      </c>
      <c r="N3731" s="1" t="str">
        <f>_xlfn.XLOOKUP(H3731, risk_score!A:A, risk_score!B:B, 0)</f>
        <v>Low Risk</v>
      </c>
    </row>
    <row r="3732" spans="1:14">
      <c r="A3732" s="2">
        <v>0.53887731481481482</v>
      </c>
      <c r="B3732" s="3">
        <v>44841</v>
      </c>
      <c r="C3732" s="1">
        <v>390418862</v>
      </c>
      <c r="D3732" s="1">
        <v>5281798118</v>
      </c>
      <c r="E3732" s="1">
        <v>142.96</v>
      </c>
      <c r="F3732" s="1" t="s">
        <v>12</v>
      </c>
      <c r="G3732" s="1" t="s">
        <v>12</v>
      </c>
      <c r="H3732" s="1" t="s">
        <v>13</v>
      </c>
      <c r="I3732" s="1" t="s">
        <v>13</v>
      </c>
      <c r="J3732" s="1" t="s">
        <v>27</v>
      </c>
      <c r="K3732" s="1">
        <v>0</v>
      </c>
      <c r="L3732" s="1" t="s">
        <v>21</v>
      </c>
      <c r="M3732" s="1" t="str">
        <f t="shared" si="59"/>
        <v>Consistent</v>
      </c>
      <c r="N3732" s="1" t="str">
        <f>_xlfn.XLOOKUP(H3732, risk_score!A:A, risk_score!B:B, 0)</f>
        <v>Low Risk</v>
      </c>
    </row>
    <row r="3733" spans="1:14">
      <c r="A3733" s="2">
        <v>0.53890046296296301</v>
      </c>
      <c r="B3733" s="3">
        <v>44841</v>
      </c>
      <c r="C3733" s="1">
        <v>8111221672</v>
      </c>
      <c r="D3733" s="1">
        <v>4369320829</v>
      </c>
      <c r="E3733" s="1">
        <v>1898.88</v>
      </c>
      <c r="F3733" s="1" t="s">
        <v>12</v>
      </c>
      <c r="G3733" s="1" t="s">
        <v>12</v>
      </c>
      <c r="H3733" s="1" t="s">
        <v>13</v>
      </c>
      <c r="I3733" s="1" t="s">
        <v>13</v>
      </c>
      <c r="J3733" s="1" t="s">
        <v>22</v>
      </c>
      <c r="K3733" s="1">
        <v>0</v>
      </c>
      <c r="L3733" s="1" t="s">
        <v>21</v>
      </c>
      <c r="M3733" s="1" t="str">
        <f t="shared" si="59"/>
        <v>Consistent</v>
      </c>
      <c r="N3733" s="1" t="str">
        <f>_xlfn.XLOOKUP(H3733, risk_score!A:A, risk_score!B:B, 0)</f>
        <v>Low Risk</v>
      </c>
    </row>
    <row r="3734" spans="1:14">
      <c r="A3734" s="2">
        <v>0.53891203703703705</v>
      </c>
      <c r="B3734" s="3">
        <v>44841</v>
      </c>
      <c r="C3734" s="1">
        <v>9165589838</v>
      </c>
      <c r="D3734" s="1">
        <v>435895382</v>
      </c>
      <c r="E3734" s="1">
        <v>2731</v>
      </c>
      <c r="F3734" s="1" t="s">
        <v>12</v>
      </c>
      <c r="G3734" s="1" t="s">
        <v>12</v>
      </c>
      <c r="H3734" s="1" t="s">
        <v>13</v>
      </c>
      <c r="I3734" s="1" t="s">
        <v>13</v>
      </c>
      <c r="J3734" s="1" t="s">
        <v>27</v>
      </c>
      <c r="K3734" s="1">
        <v>0</v>
      </c>
      <c r="L3734" s="1" t="s">
        <v>21</v>
      </c>
      <c r="M3734" s="1" t="str">
        <f t="shared" si="59"/>
        <v>Consistent</v>
      </c>
      <c r="N3734" s="1" t="str">
        <f>_xlfn.XLOOKUP(H3734, risk_score!A:A, risk_score!B:B, 0)</f>
        <v>Low Risk</v>
      </c>
    </row>
    <row r="3735" spans="1:14">
      <c r="A3735" s="2">
        <v>0.53892361111111109</v>
      </c>
      <c r="B3735" s="3">
        <v>44841</v>
      </c>
      <c r="C3735" s="1">
        <v>8053683950</v>
      </c>
      <c r="D3735" s="1">
        <v>6522784509</v>
      </c>
      <c r="E3735" s="1">
        <v>6007.77</v>
      </c>
      <c r="F3735" s="1" t="s">
        <v>12</v>
      </c>
      <c r="G3735" s="1" t="s">
        <v>12</v>
      </c>
      <c r="H3735" s="1" t="s">
        <v>13</v>
      </c>
      <c r="I3735" s="1" t="s">
        <v>13</v>
      </c>
      <c r="J3735" s="1" t="s">
        <v>22</v>
      </c>
      <c r="K3735" s="1">
        <v>0</v>
      </c>
      <c r="L3735" s="1" t="s">
        <v>38</v>
      </c>
      <c r="M3735" s="1" t="str">
        <f t="shared" si="59"/>
        <v>Consistent</v>
      </c>
      <c r="N3735" s="1" t="str">
        <f>_xlfn.XLOOKUP(H3735, risk_score!A:A, risk_score!B:B, 0)</f>
        <v>Low Risk</v>
      </c>
    </row>
    <row r="3736" spans="1:14">
      <c r="A3736" s="2">
        <v>0.53892361111111109</v>
      </c>
      <c r="B3736" s="3">
        <v>44841</v>
      </c>
      <c r="C3736" s="1">
        <v>7354607928</v>
      </c>
      <c r="D3736" s="1">
        <v>3880087226</v>
      </c>
      <c r="E3736" s="1">
        <v>1612.78</v>
      </c>
      <c r="F3736" s="1" t="s">
        <v>12</v>
      </c>
      <c r="G3736" s="1" t="s">
        <v>12</v>
      </c>
      <c r="H3736" s="1" t="s">
        <v>13</v>
      </c>
      <c r="I3736" s="1" t="s">
        <v>13</v>
      </c>
      <c r="J3736" s="1" t="s">
        <v>14</v>
      </c>
      <c r="K3736" s="1">
        <v>0</v>
      </c>
      <c r="L3736" s="1" t="s">
        <v>15</v>
      </c>
      <c r="M3736" s="1" t="str">
        <f t="shared" si="59"/>
        <v>Consistent</v>
      </c>
      <c r="N3736" s="1" t="str">
        <f>_xlfn.XLOOKUP(H3736, risk_score!A:A, risk_score!B:B, 0)</f>
        <v>Low Risk</v>
      </c>
    </row>
    <row r="3737" spans="1:14">
      <c r="A3737" s="2">
        <v>0.53893518518518524</v>
      </c>
      <c r="B3737" s="3">
        <v>44841</v>
      </c>
      <c r="C3737" s="1">
        <v>3452368468</v>
      </c>
      <c r="D3737" s="1">
        <v>8619713223</v>
      </c>
      <c r="E3737" s="1">
        <v>14217.58</v>
      </c>
      <c r="F3737" s="1" t="s">
        <v>12</v>
      </c>
      <c r="G3737" s="1" t="s">
        <v>12</v>
      </c>
      <c r="H3737" s="1" t="s">
        <v>13</v>
      </c>
      <c r="I3737" s="1" t="s">
        <v>13</v>
      </c>
      <c r="J3737" s="1" t="s">
        <v>27</v>
      </c>
      <c r="K3737" s="1">
        <v>0</v>
      </c>
      <c r="L3737" s="1" t="s">
        <v>19</v>
      </c>
      <c r="M3737" s="1" t="str">
        <f t="shared" si="59"/>
        <v>Consistent</v>
      </c>
      <c r="N3737" s="1" t="str">
        <f>_xlfn.XLOOKUP(H3737, risk_score!A:A, risk_score!B:B, 0)</f>
        <v>Low Risk</v>
      </c>
    </row>
    <row r="3738" spans="1:14">
      <c r="A3738" s="2">
        <v>0.53898148148148151</v>
      </c>
      <c r="B3738" s="3">
        <v>44841</v>
      </c>
      <c r="C3738" s="1">
        <v>9762796943</v>
      </c>
      <c r="D3738" s="1">
        <v>1493436023</v>
      </c>
      <c r="E3738" s="1">
        <v>7918.87</v>
      </c>
      <c r="F3738" s="1" t="s">
        <v>12</v>
      </c>
      <c r="G3738" s="1" t="s">
        <v>12</v>
      </c>
      <c r="H3738" s="1" t="s">
        <v>13</v>
      </c>
      <c r="I3738" s="1" t="s">
        <v>13</v>
      </c>
      <c r="J3738" s="1" t="s">
        <v>22</v>
      </c>
      <c r="K3738" s="1">
        <v>0</v>
      </c>
      <c r="L3738" s="1" t="s">
        <v>23</v>
      </c>
      <c r="M3738" s="1" t="str">
        <f t="shared" si="59"/>
        <v>Consistent</v>
      </c>
      <c r="N3738" s="1" t="str">
        <f>_xlfn.XLOOKUP(H3738, risk_score!A:A, risk_score!B:B, 0)</f>
        <v>Low Risk</v>
      </c>
    </row>
    <row r="3739" spans="1:14">
      <c r="A3739" s="2">
        <v>0.53905092592592596</v>
      </c>
      <c r="B3739" s="3">
        <v>44841</v>
      </c>
      <c r="C3739" s="1">
        <v>6352659975</v>
      </c>
      <c r="D3739" s="1">
        <v>8548102881</v>
      </c>
      <c r="E3739" s="1">
        <v>182658.83</v>
      </c>
      <c r="F3739" s="1" t="s">
        <v>12</v>
      </c>
      <c r="G3739" s="1" t="s">
        <v>12</v>
      </c>
      <c r="H3739" s="1" t="s">
        <v>13</v>
      </c>
      <c r="I3739" s="1" t="s">
        <v>13</v>
      </c>
      <c r="J3739" s="1" t="s">
        <v>27</v>
      </c>
      <c r="K3739" s="1">
        <v>0</v>
      </c>
      <c r="L3739" s="1" t="s">
        <v>61</v>
      </c>
      <c r="M3739" s="1" t="str">
        <f t="shared" si="59"/>
        <v>Consistent</v>
      </c>
      <c r="N3739" s="1" t="str">
        <f>_xlfn.XLOOKUP(H3739, risk_score!A:A, risk_score!B:B, 0)</f>
        <v>Low Risk</v>
      </c>
    </row>
    <row r="3740" spans="1:14">
      <c r="A3740" s="2">
        <v>0.53909722222222223</v>
      </c>
      <c r="B3740" s="3">
        <v>44841</v>
      </c>
      <c r="C3740" s="1">
        <v>1613060776</v>
      </c>
      <c r="D3740" s="1">
        <v>7080357663</v>
      </c>
      <c r="E3740" s="1">
        <v>7553.22</v>
      </c>
      <c r="F3740" s="1" t="s">
        <v>12</v>
      </c>
      <c r="G3740" s="1" t="s">
        <v>12</v>
      </c>
      <c r="H3740" s="1" t="s">
        <v>13</v>
      </c>
      <c r="I3740" s="1" t="s">
        <v>13</v>
      </c>
      <c r="J3740" s="1" t="s">
        <v>27</v>
      </c>
      <c r="K3740" s="1">
        <v>0</v>
      </c>
      <c r="L3740" s="1" t="s">
        <v>23</v>
      </c>
      <c r="M3740" s="1" t="str">
        <f t="shared" si="59"/>
        <v>Consistent</v>
      </c>
      <c r="N3740" s="1" t="str">
        <f>_xlfn.XLOOKUP(H3740, risk_score!A:A, risk_score!B:B, 0)</f>
        <v>Low Risk</v>
      </c>
    </row>
    <row r="3741" spans="1:14">
      <c r="A3741" s="2">
        <v>0.53909722222222223</v>
      </c>
      <c r="B3741" s="3">
        <v>44841</v>
      </c>
      <c r="C3741" s="1">
        <v>7390066805</v>
      </c>
      <c r="D3741" s="1">
        <v>920246585</v>
      </c>
      <c r="E3741" s="1">
        <v>366.88</v>
      </c>
      <c r="F3741" s="1" t="s">
        <v>12</v>
      </c>
      <c r="G3741" s="1" t="s">
        <v>12</v>
      </c>
      <c r="H3741" s="1" t="s">
        <v>13</v>
      </c>
      <c r="I3741" s="1" t="s">
        <v>13</v>
      </c>
      <c r="J3741" s="1" t="s">
        <v>25</v>
      </c>
      <c r="K3741" s="1">
        <v>0</v>
      </c>
      <c r="L3741" s="1" t="s">
        <v>21</v>
      </c>
      <c r="M3741" s="1" t="str">
        <f t="shared" si="59"/>
        <v>Consistent</v>
      </c>
      <c r="N3741" s="1" t="str">
        <f>_xlfn.XLOOKUP(H3741, risk_score!A:A, risk_score!B:B, 0)</f>
        <v>Low Risk</v>
      </c>
    </row>
    <row r="3742" spans="1:14">
      <c r="A3742" s="2">
        <v>0.53915509259259264</v>
      </c>
      <c r="B3742" s="3">
        <v>44841</v>
      </c>
      <c r="C3742" s="1">
        <v>4242394387</v>
      </c>
      <c r="D3742" s="1">
        <v>2009776785</v>
      </c>
      <c r="E3742" s="1">
        <v>7426.88</v>
      </c>
      <c r="F3742" s="1" t="s">
        <v>12</v>
      </c>
      <c r="G3742" s="1" t="s">
        <v>12</v>
      </c>
      <c r="H3742" s="1" t="s">
        <v>13</v>
      </c>
      <c r="I3742" s="1" t="s">
        <v>13</v>
      </c>
      <c r="J3742" s="1" t="s">
        <v>22</v>
      </c>
      <c r="K3742" s="1">
        <v>0</v>
      </c>
      <c r="L3742" s="1" t="s">
        <v>21</v>
      </c>
      <c r="M3742" s="1" t="str">
        <f t="shared" si="59"/>
        <v>Consistent</v>
      </c>
      <c r="N3742" s="1" t="str">
        <f>_xlfn.XLOOKUP(H3742, risk_score!A:A, risk_score!B:B, 0)</f>
        <v>Low Risk</v>
      </c>
    </row>
    <row r="3743" spans="1:14">
      <c r="A3743" s="2">
        <v>0.53916666666666668</v>
      </c>
      <c r="B3743" s="3">
        <v>44841</v>
      </c>
      <c r="C3743" s="1">
        <v>7348593047</v>
      </c>
      <c r="D3743" s="1">
        <v>9513914132</v>
      </c>
      <c r="E3743" s="1">
        <v>2282.9499999999998</v>
      </c>
      <c r="F3743" s="1" t="s">
        <v>12</v>
      </c>
      <c r="G3743" s="1" t="s">
        <v>12</v>
      </c>
      <c r="H3743" s="1" t="s">
        <v>13</v>
      </c>
      <c r="I3743" s="1" t="s">
        <v>13</v>
      </c>
      <c r="J3743" s="1" t="s">
        <v>25</v>
      </c>
      <c r="K3743" s="1">
        <v>0</v>
      </c>
      <c r="L3743" s="1" t="s">
        <v>21</v>
      </c>
      <c r="M3743" s="1" t="str">
        <f t="shared" si="59"/>
        <v>Consistent</v>
      </c>
      <c r="N3743" s="1" t="str">
        <f>_xlfn.XLOOKUP(H3743, risk_score!A:A, risk_score!B:B, 0)</f>
        <v>Low Risk</v>
      </c>
    </row>
    <row r="3744" spans="1:14">
      <c r="A3744" s="2">
        <v>0.53916666666666668</v>
      </c>
      <c r="B3744" s="3">
        <v>44841</v>
      </c>
      <c r="C3744" s="1">
        <v>7758268667</v>
      </c>
      <c r="D3744" s="1">
        <v>8992041252</v>
      </c>
      <c r="E3744" s="1">
        <v>7520.93</v>
      </c>
      <c r="F3744" s="1" t="s">
        <v>12</v>
      </c>
      <c r="G3744" s="1" t="s">
        <v>12</v>
      </c>
      <c r="H3744" s="1" t="s">
        <v>13</v>
      </c>
      <c r="I3744" s="1" t="s">
        <v>13</v>
      </c>
      <c r="J3744" s="1" t="s">
        <v>27</v>
      </c>
      <c r="K3744" s="1">
        <v>0</v>
      </c>
      <c r="L3744" s="1" t="s">
        <v>19</v>
      </c>
      <c r="M3744" s="1" t="str">
        <f t="shared" si="59"/>
        <v>Consistent</v>
      </c>
      <c r="N3744" s="1" t="str">
        <f>_xlfn.XLOOKUP(H3744, risk_score!A:A, risk_score!B:B, 0)</f>
        <v>Low Risk</v>
      </c>
    </row>
    <row r="3745" spans="1:14">
      <c r="A3745" s="2">
        <v>0.53917824074074072</v>
      </c>
      <c r="B3745" s="3">
        <v>44841</v>
      </c>
      <c r="C3745" s="1">
        <v>9508047658</v>
      </c>
      <c r="D3745" s="1">
        <v>9628737349</v>
      </c>
      <c r="E3745" s="1">
        <v>625.52</v>
      </c>
      <c r="F3745" s="1" t="s">
        <v>12</v>
      </c>
      <c r="G3745" s="1" t="s">
        <v>12</v>
      </c>
      <c r="H3745" s="1" t="s">
        <v>13</v>
      </c>
      <c r="I3745" s="1" t="s">
        <v>13</v>
      </c>
      <c r="J3745" s="1" t="s">
        <v>20</v>
      </c>
      <c r="K3745" s="1">
        <v>0</v>
      </c>
      <c r="L3745" s="1" t="s">
        <v>21</v>
      </c>
      <c r="M3745" s="1" t="str">
        <f t="shared" si="59"/>
        <v>Consistent</v>
      </c>
      <c r="N3745" s="1" t="str">
        <f>_xlfn.XLOOKUP(H3745, risk_score!A:A, risk_score!B:B, 0)</f>
        <v>Low Risk</v>
      </c>
    </row>
    <row r="3746" spans="1:14">
      <c r="A3746" s="2">
        <v>0.53920138888888891</v>
      </c>
      <c r="B3746" s="3">
        <v>44841</v>
      </c>
      <c r="C3746" s="1">
        <v>1071685840</v>
      </c>
      <c r="D3746" s="1">
        <v>4176313875</v>
      </c>
      <c r="E3746" s="1">
        <v>374.19</v>
      </c>
      <c r="F3746" s="1" t="s">
        <v>12</v>
      </c>
      <c r="G3746" s="1" t="s">
        <v>12</v>
      </c>
      <c r="H3746" s="1" t="s">
        <v>13</v>
      </c>
      <c r="I3746" s="1" t="s">
        <v>13</v>
      </c>
      <c r="J3746" s="1" t="s">
        <v>22</v>
      </c>
      <c r="K3746" s="1">
        <v>0</v>
      </c>
      <c r="L3746" s="1" t="s">
        <v>24</v>
      </c>
      <c r="M3746" s="1" t="str">
        <f t="shared" si="59"/>
        <v>Consistent</v>
      </c>
      <c r="N3746" s="1" t="str">
        <f>_xlfn.XLOOKUP(H3746, risk_score!A:A, risk_score!B:B, 0)</f>
        <v>Low Risk</v>
      </c>
    </row>
    <row r="3747" spans="1:14">
      <c r="A3747" s="2">
        <v>0.53922453703703699</v>
      </c>
      <c r="B3747" s="3">
        <v>44841</v>
      </c>
      <c r="C3747" s="1">
        <v>951146789</v>
      </c>
      <c r="D3747" s="1">
        <v>571729886</v>
      </c>
      <c r="E3747" s="1">
        <v>2098.3000000000002</v>
      </c>
      <c r="F3747" s="1" t="s">
        <v>12</v>
      </c>
      <c r="G3747" s="1" t="s">
        <v>12</v>
      </c>
      <c r="H3747" s="1" t="s">
        <v>13</v>
      </c>
      <c r="I3747" s="1" t="s">
        <v>13</v>
      </c>
      <c r="J3747" s="1" t="s">
        <v>14</v>
      </c>
      <c r="K3747" s="1">
        <v>0</v>
      </c>
      <c r="L3747" s="1" t="s">
        <v>15</v>
      </c>
      <c r="M3747" s="1" t="str">
        <f t="shared" si="59"/>
        <v>Consistent</v>
      </c>
      <c r="N3747" s="1" t="str">
        <f>_xlfn.XLOOKUP(H3747, risk_score!A:A, risk_score!B:B, 0)</f>
        <v>Low Risk</v>
      </c>
    </row>
    <row r="3748" spans="1:14">
      <c r="A3748" s="2">
        <v>0.53922453703703699</v>
      </c>
      <c r="B3748" s="3">
        <v>44841</v>
      </c>
      <c r="C3748" s="1">
        <v>5255009295</v>
      </c>
      <c r="D3748" s="1">
        <v>4293580479</v>
      </c>
      <c r="E3748" s="1">
        <v>18451.21</v>
      </c>
      <c r="F3748" s="1" t="s">
        <v>12</v>
      </c>
      <c r="G3748" s="1" t="s">
        <v>12</v>
      </c>
      <c r="H3748" s="1" t="s">
        <v>13</v>
      </c>
      <c r="I3748" s="1" t="s">
        <v>13</v>
      </c>
      <c r="J3748" s="1" t="s">
        <v>22</v>
      </c>
      <c r="K3748" s="1">
        <v>0</v>
      </c>
      <c r="L3748" s="1" t="s">
        <v>23</v>
      </c>
      <c r="M3748" s="1" t="str">
        <f t="shared" si="59"/>
        <v>Consistent</v>
      </c>
      <c r="N3748" s="1" t="str">
        <f>_xlfn.XLOOKUP(H3748, risk_score!A:A, risk_score!B:B, 0)</f>
        <v>Low Risk</v>
      </c>
    </row>
    <row r="3749" spans="1:14">
      <c r="A3749" s="2">
        <v>0.53925925925925922</v>
      </c>
      <c r="B3749" s="3">
        <v>44841</v>
      </c>
      <c r="C3749" s="1">
        <v>5394366345</v>
      </c>
      <c r="D3749" s="1">
        <v>6925779943</v>
      </c>
      <c r="E3749" s="1">
        <v>391.05</v>
      </c>
      <c r="F3749" s="1" t="s">
        <v>12</v>
      </c>
      <c r="G3749" s="1" t="s">
        <v>12</v>
      </c>
      <c r="H3749" s="1" t="s">
        <v>13</v>
      </c>
      <c r="I3749" s="1" t="s">
        <v>13</v>
      </c>
      <c r="J3749" s="1" t="s">
        <v>25</v>
      </c>
      <c r="K3749" s="1">
        <v>0</v>
      </c>
      <c r="L3749" s="1" t="s">
        <v>21</v>
      </c>
      <c r="M3749" s="1" t="str">
        <f t="shared" si="59"/>
        <v>Consistent</v>
      </c>
      <c r="N3749" s="1" t="str">
        <f>_xlfn.XLOOKUP(H3749, risk_score!A:A, risk_score!B:B, 0)</f>
        <v>Low Risk</v>
      </c>
    </row>
    <row r="3750" spans="1:14">
      <c r="A3750" s="2">
        <v>0.53929398148148144</v>
      </c>
      <c r="B3750" s="3">
        <v>44841</v>
      </c>
      <c r="C3750" s="1">
        <v>3168051873</v>
      </c>
      <c r="D3750" s="1">
        <v>7221383296</v>
      </c>
      <c r="E3750" s="1">
        <v>10130.85</v>
      </c>
      <c r="F3750" s="1" t="s">
        <v>12</v>
      </c>
      <c r="G3750" s="1" t="s">
        <v>12</v>
      </c>
      <c r="H3750" s="1" t="s">
        <v>13</v>
      </c>
      <c r="I3750" s="1" t="s">
        <v>13</v>
      </c>
      <c r="J3750" s="1" t="s">
        <v>22</v>
      </c>
      <c r="K3750" s="1">
        <v>0</v>
      </c>
      <c r="L3750" s="1" t="s">
        <v>19</v>
      </c>
      <c r="M3750" s="1" t="str">
        <f t="shared" si="59"/>
        <v>Consistent</v>
      </c>
      <c r="N3750" s="1" t="str">
        <f>_xlfn.XLOOKUP(H3750, risk_score!A:A, risk_score!B:B, 0)</f>
        <v>Low Risk</v>
      </c>
    </row>
    <row r="3751" spans="1:14">
      <c r="A3751" s="2">
        <v>0.53931712962962963</v>
      </c>
      <c r="B3751" s="3">
        <v>44841</v>
      </c>
      <c r="C3751" s="1">
        <v>9553438593</v>
      </c>
      <c r="D3751" s="1">
        <v>7963654837</v>
      </c>
      <c r="E3751" s="1">
        <v>10083.24</v>
      </c>
      <c r="F3751" s="1" t="s">
        <v>12</v>
      </c>
      <c r="G3751" s="1" t="s">
        <v>12</v>
      </c>
      <c r="H3751" s="1" t="s">
        <v>13</v>
      </c>
      <c r="I3751" s="1" t="s">
        <v>13</v>
      </c>
      <c r="J3751" s="1" t="s">
        <v>27</v>
      </c>
      <c r="K3751" s="1">
        <v>0</v>
      </c>
      <c r="L3751" s="1" t="s">
        <v>21</v>
      </c>
      <c r="M3751" s="1" t="str">
        <f t="shared" si="59"/>
        <v>Consistent</v>
      </c>
      <c r="N3751" s="1" t="str">
        <f>_xlfn.XLOOKUP(H3751, risk_score!A:A, risk_score!B:B, 0)</f>
        <v>Low Risk</v>
      </c>
    </row>
    <row r="3752" spans="1:14">
      <c r="A3752" s="2">
        <v>0.53932870370370367</v>
      </c>
      <c r="B3752" s="3">
        <v>44841</v>
      </c>
      <c r="C3752" s="1">
        <v>9834835348</v>
      </c>
      <c r="D3752" s="1">
        <v>1494141718</v>
      </c>
      <c r="E3752" s="1">
        <v>9370.52</v>
      </c>
      <c r="F3752" s="1" t="s">
        <v>12</v>
      </c>
      <c r="G3752" s="1" t="s">
        <v>12</v>
      </c>
      <c r="H3752" s="1" t="s">
        <v>13</v>
      </c>
      <c r="I3752" s="1" t="s">
        <v>13</v>
      </c>
      <c r="J3752" s="1" t="s">
        <v>22</v>
      </c>
      <c r="K3752" s="1">
        <v>0</v>
      </c>
      <c r="L3752" s="1" t="s">
        <v>21</v>
      </c>
      <c r="M3752" s="1" t="str">
        <f t="shared" si="59"/>
        <v>Consistent</v>
      </c>
      <c r="N3752" s="1" t="str">
        <f>_xlfn.XLOOKUP(H3752, risk_score!A:A, risk_score!B:B, 0)</f>
        <v>Low Risk</v>
      </c>
    </row>
    <row r="3753" spans="1:14">
      <c r="A3753" s="2">
        <v>0.53932870370370367</v>
      </c>
      <c r="B3753" s="3">
        <v>44841</v>
      </c>
      <c r="C3753" s="1">
        <v>6722287675</v>
      </c>
      <c r="D3753" s="1">
        <v>8322489427</v>
      </c>
      <c r="E3753" s="1">
        <v>4951.43</v>
      </c>
      <c r="F3753" s="1" t="s">
        <v>12</v>
      </c>
      <c r="G3753" s="1" t="s">
        <v>12</v>
      </c>
      <c r="H3753" s="1" t="s">
        <v>13</v>
      </c>
      <c r="I3753" s="1" t="s">
        <v>13</v>
      </c>
      <c r="J3753" s="1" t="s">
        <v>25</v>
      </c>
      <c r="K3753" s="1">
        <v>0</v>
      </c>
      <c r="L3753" s="1" t="s">
        <v>21</v>
      </c>
      <c r="M3753" s="1" t="str">
        <f t="shared" si="59"/>
        <v>Consistent</v>
      </c>
      <c r="N3753" s="1" t="str">
        <f>_xlfn.XLOOKUP(H3753, risk_score!A:A, risk_score!B:B, 0)</f>
        <v>Low Risk</v>
      </c>
    </row>
    <row r="3754" spans="1:14">
      <c r="A3754" s="2">
        <v>0.53937500000000005</v>
      </c>
      <c r="B3754" s="3">
        <v>44841</v>
      </c>
      <c r="C3754" s="1">
        <v>7977273130</v>
      </c>
      <c r="D3754" s="1">
        <v>5108832090</v>
      </c>
      <c r="E3754" s="1">
        <v>16744.060000000001</v>
      </c>
      <c r="F3754" s="1" t="s">
        <v>12</v>
      </c>
      <c r="G3754" s="1" t="s">
        <v>12</v>
      </c>
      <c r="H3754" s="1" t="s">
        <v>13</v>
      </c>
      <c r="I3754" s="1" t="s">
        <v>13</v>
      </c>
      <c r="J3754" s="1" t="s">
        <v>25</v>
      </c>
      <c r="K3754" s="1">
        <v>0</v>
      </c>
      <c r="L3754" s="1" t="s">
        <v>21</v>
      </c>
      <c r="M3754" s="1" t="str">
        <f t="shared" si="59"/>
        <v>Consistent</v>
      </c>
      <c r="N3754" s="1" t="str">
        <f>_xlfn.XLOOKUP(H3754, risk_score!A:A, risk_score!B:B, 0)</f>
        <v>Low Risk</v>
      </c>
    </row>
    <row r="3755" spans="1:14">
      <c r="A3755" s="2">
        <v>0.53939814814814813</v>
      </c>
      <c r="B3755" s="3">
        <v>44841</v>
      </c>
      <c r="C3755" s="1">
        <v>8813806690</v>
      </c>
      <c r="D3755" s="1">
        <v>5708936901</v>
      </c>
      <c r="E3755" s="1">
        <v>10106.07</v>
      </c>
      <c r="F3755" s="1" t="s">
        <v>12</v>
      </c>
      <c r="G3755" s="1" t="s">
        <v>12</v>
      </c>
      <c r="H3755" s="1" t="s">
        <v>13</v>
      </c>
      <c r="I3755" s="1" t="s">
        <v>13</v>
      </c>
      <c r="J3755" s="1" t="s">
        <v>25</v>
      </c>
      <c r="K3755" s="1">
        <v>0</v>
      </c>
      <c r="L3755" s="1" t="s">
        <v>23</v>
      </c>
      <c r="M3755" s="1" t="str">
        <f t="shared" si="59"/>
        <v>Consistent</v>
      </c>
      <c r="N3755" s="1" t="str">
        <f>_xlfn.XLOOKUP(H3755, risk_score!A:A, risk_score!B:B, 0)</f>
        <v>Low Risk</v>
      </c>
    </row>
    <row r="3756" spans="1:14">
      <c r="A3756" s="2">
        <v>0.53940972222222228</v>
      </c>
      <c r="B3756" s="3">
        <v>44841</v>
      </c>
      <c r="C3756" s="1">
        <v>257204020</v>
      </c>
      <c r="D3756" s="1">
        <v>562174035</v>
      </c>
      <c r="E3756" s="1">
        <v>2392.86</v>
      </c>
      <c r="F3756" s="1" t="s">
        <v>12</v>
      </c>
      <c r="G3756" s="1" t="s">
        <v>12</v>
      </c>
      <c r="H3756" s="1" t="s">
        <v>13</v>
      </c>
      <c r="I3756" s="1" t="s">
        <v>13</v>
      </c>
      <c r="J3756" s="1" t="s">
        <v>20</v>
      </c>
      <c r="K3756" s="1">
        <v>0</v>
      </c>
      <c r="L3756" s="1" t="s">
        <v>21</v>
      </c>
      <c r="M3756" s="1" t="str">
        <f t="shared" si="59"/>
        <v>Consistent</v>
      </c>
      <c r="N3756" s="1" t="str">
        <f>_xlfn.XLOOKUP(H3756, risk_score!A:A, risk_score!B:B, 0)</f>
        <v>Low Risk</v>
      </c>
    </row>
    <row r="3757" spans="1:14">
      <c r="A3757" s="2">
        <v>0.53940972222222228</v>
      </c>
      <c r="B3757" s="3">
        <v>44841</v>
      </c>
      <c r="C3757" s="1">
        <v>9262436552</v>
      </c>
      <c r="D3757" s="1">
        <v>9353206255</v>
      </c>
      <c r="E3757" s="1">
        <v>267.38</v>
      </c>
      <c r="F3757" s="1" t="s">
        <v>29</v>
      </c>
      <c r="G3757" s="1" t="s">
        <v>12</v>
      </c>
      <c r="H3757" s="1" t="s">
        <v>13</v>
      </c>
      <c r="I3757" s="1" t="s">
        <v>13</v>
      </c>
      <c r="J3757" s="1" t="s">
        <v>22</v>
      </c>
      <c r="K3757" s="1">
        <v>0</v>
      </c>
      <c r="L3757" s="1" t="s">
        <v>21</v>
      </c>
      <c r="M3757" s="1" t="str">
        <f t="shared" si="59"/>
        <v>Potential Layering</v>
      </c>
      <c r="N3757" s="1" t="str">
        <f>_xlfn.XLOOKUP(H3757, risk_score!A:A, risk_score!B:B, 0)</f>
        <v>Low Risk</v>
      </c>
    </row>
    <row r="3758" spans="1:14">
      <c r="A3758" s="2">
        <v>0.53944444444444439</v>
      </c>
      <c r="B3758" s="3">
        <v>44841</v>
      </c>
      <c r="C3758" s="1">
        <v>3543840971</v>
      </c>
      <c r="D3758" s="1">
        <v>2560293621</v>
      </c>
      <c r="E3758" s="1">
        <v>2857.36</v>
      </c>
      <c r="F3758" s="1" t="s">
        <v>12</v>
      </c>
      <c r="G3758" s="1" t="s">
        <v>12</v>
      </c>
      <c r="H3758" s="1" t="s">
        <v>13</v>
      </c>
      <c r="I3758" s="1" t="s">
        <v>13</v>
      </c>
      <c r="J3758" s="1" t="s">
        <v>22</v>
      </c>
      <c r="K3758" s="1">
        <v>0</v>
      </c>
      <c r="L3758" s="1" t="s">
        <v>21</v>
      </c>
      <c r="M3758" s="1" t="str">
        <f t="shared" si="59"/>
        <v>Consistent</v>
      </c>
      <c r="N3758" s="1" t="str">
        <f>_xlfn.XLOOKUP(H3758, risk_score!A:A, risk_score!B:B, 0)</f>
        <v>Low Risk</v>
      </c>
    </row>
    <row r="3759" spans="1:14">
      <c r="A3759" s="2">
        <v>0.53946759259259258</v>
      </c>
      <c r="B3759" s="3">
        <v>44841</v>
      </c>
      <c r="C3759" s="1">
        <v>3221983588</v>
      </c>
      <c r="D3759" s="1">
        <v>1336239843</v>
      </c>
      <c r="E3759" s="1">
        <v>14252.36</v>
      </c>
      <c r="F3759" s="1" t="s">
        <v>12</v>
      </c>
      <c r="G3759" s="1" t="s">
        <v>12</v>
      </c>
      <c r="H3759" s="1" t="s">
        <v>13</v>
      </c>
      <c r="I3759" s="1" t="s">
        <v>13</v>
      </c>
      <c r="J3759" s="1" t="s">
        <v>22</v>
      </c>
      <c r="K3759" s="1">
        <v>0</v>
      </c>
      <c r="L3759" s="1" t="s">
        <v>24</v>
      </c>
      <c r="M3759" s="1" t="str">
        <f t="shared" si="59"/>
        <v>Consistent</v>
      </c>
      <c r="N3759" s="1" t="str">
        <f>_xlfn.XLOOKUP(H3759, risk_score!A:A, risk_score!B:B, 0)</f>
        <v>Low Risk</v>
      </c>
    </row>
    <row r="3760" spans="1:14">
      <c r="A3760" s="2">
        <v>0.53947916666666662</v>
      </c>
      <c r="B3760" s="3">
        <v>44841</v>
      </c>
      <c r="C3760" s="1">
        <v>942349529</v>
      </c>
      <c r="D3760" s="1">
        <v>8518184956</v>
      </c>
      <c r="E3760" s="1">
        <v>6911.18</v>
      </c>
      <c r="F3760" s="1" t="s">
        <v>12</v>
      </c>
      <c r="G3760" s="1" t="s">
        <v>12</v>
      </c>
      <c r="H3760" s="1" t="s">
        <v>13</v>
      </c>
      <c r="I3760" s="1" t="s">
        <v>13</v>
      </c>
      <c r="J3760" s="1" t="s">
        <v>20</v>
      </c>
      <c r="K3760" s="1">
        <v>0</v>
      </c>
      <c r="L3760" s="1" t="s">
        <v>23</v>
      </c>
      <c r="M3760" s="1" t="str">
        <f t="shared" si="59"/>
        <v>Consistent</v>
      </c>
      <c r="N3760" s="1" t="str">
        <f>_xlfn.XLOOKUP(H3760, risk_score!A:A, risk_score!B:B, 0)</f>
        <v>Low Risk</v>
      </c>
    </row>
    <row r="3761" spans="1:14">
      <c r="A3761" s="2">
        <v>0.53947916666666662</v>
      </c>
      <c r="B3761" s="3">
        <v>44841</v>
      </c>
      <c r="C3761" s="1">
        <v>324234020</v>
      </c>
      <c r="D3761" s="1">
        <v>1928640729</v>
      </c>
      <c r="E3761" s="1">
        <v>4436.49</v>
      </c>
      <c r="F3761" s="1" t="s">
        <v>12</v>
      </c>
      <c r="G3761" s="1" t="s">
        <v>12</v>
      </c>
      <c r="H3761" s="1" t="s">
        <v>13</v>
      </c>
      <c r="I3761" s="1" t="s">
        <v>13</v>
      </c>
      <c r="J3761" s="1" t="s">
        <v>22</v>
      </c>
      <c r="K3761" s="1">
        <v>0</v>
      </c>
      <c r="L3761" s="1" t="s">
        <v>21</v>
      </c>
      <c r="M3761" s="1" t="str">
        <f t="shared" si="59"/>
        <v>Consistent</v>
      </c>
      <c r="N3761" s="1" t="str">
        <f>_xlfn.XLOOKUP(H3761, risk_score!A:A, risk_score!B:B, 0)</f>
        <v>Low Risk</v>
      </c>
    </row>
    <row r="3762" spans="1:14">
      <c r="A3762" s="2">
        <v>0.53950231481481481</v>
      </c>
      <c r="B3762" s="3">
        <v>44841</v>
      </c>
      <c r="C3762" s="1">
        <v>841858056</v>
      </c>
      <c r="D3762" s="1">
        <v>83601101</v>
      </c>
      <c r="E3762" s="1">
        <v>250.21</v>
      </c>
      <c r="F3762" s="1" t="s">
        <v>12</v>
      </c>
      <c r="G3762" s="1" t="s">
        <v>12</v>
      </c>
      <c r="H3762" s="1" t="s">
        <v>13</v>
      </c>
      <c r="I3762" s="1" t="s">
        <v>13</v>
      </c>
      <c r="J3762" s="1" t="s">
        <v>27</v>
      </c>
      <c r="K3762" s="1">
        <v>0</v>
      </c>
      <c r="L3762" s="1" t="s">
        <v>21</v>
      </c>
      <c r="M3762" s="1" t="str">
        <f t="shared" si="59"/>
        <v>Consistent</v>
      </c>
      <c r="N3762" s="1" t="str">
        <f>_xlfn.XLOOKUP(H3762, risk_score!A:A, risk_score!B:B, 0)</f>
        <v>Low Risk</v>
      </c>
    </row>
    <row r="3763" spans="1:14">
      <c r="A3763" s="2">
        <v>0.53951388888888885</v>
      </c>
      <c r="B3763" s="3">
        <v>44841</v>
      </c>
      <c r="C3763" s="1">
        <v>5982914936</v>
      </c>
      <c r="D3763" s="1">
        <v>1509557999</v>
      </c>
      <c r="E3763" s="1">
        <v>15890.51</v>
      </c>
      <c r="F3763" s="1" t="s">
        <v>12</v>
      </c>
      <c r="G3763" s="1" t="s">
        <v>12</v>
      </c>
      <c r="H3763" s="1" t="s">
        <v>13</v>
      </c>
      <c r="I3763" s="1" t="s">
        <v>13</v>
      </c>
      <c r="J3763" s="1" t="s">
        <v>20</v>
      </c>
      <c r="K3763" s="1">
        <v>0</v>
      </c>
      <c r="L3763" s="1" t="s">
        <v>19</v>
      </c>
      <c r="M3763" s="1" t="str">
        <f t="shared" si="59"/>
        <v>Consistent</v>
      </c>
      <c r="N3763" s="1" t="str">
        <f>_xlfn.XLOOKUP(H3763, risk_score!A:A, risk_score!B:B, 0)</f>
        <v>Low Risk</v>
      </c>
    </row>
    <row r="3764" spans="1:14">
      <c r="A3764" s="2">
        <v>0.53959490740740745</v>
      </c>
      <c r="B3764" s="3">
        <v>44841</v>
      </c>
      <c r="C3764" s="1">
        <v>6145026715</v>
      </c>
      <c r="D3764" s="1">
        <v>4309668314</v>
      </c>
      <c r="E3764" s="1">
        <v>50.2</v>
      </c>
      <c r="F3764" s="1" t="s">
        <v>12</v>
      </c>
      <c r="G3764" s="1" t="s">
        <v>12</v>
      </c>
      <c r="H3764" s="1" t="s">
        <v>13</v>
      </c>
      <c r="I3764" s="1" t="s">
        <v>13</v>
      </c>
      <c r="J3764" s="1" t="s">
        <v>25</v>
      </c>
      <c r="K3764" s="1">
        <v>0</v>
      </c>
      <c r="L3764" s="1" t="s">
        <v>21</v>
      </c>
      <c r="M3764" s="1" t="str">
        <f t="shared" si="59"/>
        <v>Consistent</v>
      </c>
      <c r="N3764" s="1" t="str">
        <f>_xlfn.XLOOKUP(H3764, risk_score!A:A, risk_score!B:B, 0)</f>
        <v>Low Risk</v>
      </c>
    </row>
    <row r="3765" spans="1:14">
      <c r="A3765" s="2">
        <v>0.53961805555555553</v>
      </c>
      <c r="B3765" s="3">
        <v>44841</v>
      </c>
      <c r="C3765" s="1">
        <v>6640127426</v>
      </c>
      <c r="D3765" s="1">
        <v>9803847813</v>
      </c>
      <c r="E3765" s="1">
        <v>4365.3500000000004</v>
      </c>
      <c r="F3765" s="1" t="s">
        <v>12</v>
      </c>
      <c r="G3765" s="1" t="s">
        <v>12</v>
      </c>
      <c r="H3765" s="1" t="s">
        <v>13</v>
      </c>
      <c r="I3765" s="1" t="s">
        <v>13</v>
      </c>
      <c r="J3765" s="1" t="s">
        <v>20</v>
      </c>
      <c r="K3765" s="1">
        <v>0</v>
      </c>
      <c r="L3765" s="1" t="s">
        <v>24</v>
      </c>
      <c r="M3765" s="1" t="str">
        <f t="shared" si="59"/>
        <v>Consistent</v>
      </c>
      <c r="N3765" s="1" t="str">
        <f>_xlfn.XLOOKUP(H3765, risk_score!A:A, risk_score!B:B, 0)</f>
        <v>Low Risk</v>
      </c>
    </row>
    <row r="3766" spans="1:14">
      <c r="A3766" s="2">
        <v>0.53964120370370372</v>
      </c>
      <c r="B3766" s="3">
        <v>44841</v>
      </c>
      <c r="C3766" s="1">
        <v>8456279067</v>
      </c>
      <c r="D3766" s="1">
        <v>7743294128</v>
      </c>
      <c r="E3766" s="1">
        <v>22453.99</v>
      </c>
      <c r="F3766" s="1" t="s">
        <v>12</v>
      </c>
      <c r="G3766" s="1" t="s">
        <v>12</v>
      </c>
      <c r="H3766" s="1" t="s">
        <v>13</v>
      </c>
      <c r="I3766" s="1" t="s">
        <v>13</v>
      </c>
      <c r="J3766" s="1" t="s">
        <v>20</v>
      </c>
      <c r="K3766" s="1">
        <v>0</v>
      </c>
      <c r="L3766" s="1" t="s">
        <v>19</v>
      </c>
      <c r="M3766" s="1" t="str">
        <f t="shared" si="59"/>
        <v>Consistent</v>
      </c>
      <c r="N3766" s="1" t="str">
        <f>_xlfn.XLOOKUP(H3766, risk_score!A:A, risk_score!B:B, 0)</f>
        <v>Low Risk</v>
      </c>
    </row>
    <row r="3767" spans="1:14">
      <c r="A3767" s="2">
        <v>0.53965277777777776</v>
      </c>
      <c r="B3767" s="3">
        <v>44841</v>
      </c>
      <c r="C3767" s="1">
        <v>8702001169</v>
      </c>
      <c r="D3767" s="1">
        <v>7109611445</v>
      </c>
      <c r="E3767" s="1">
        <v>10169.39</v>
      </c>
      <c r="F3767" s="1" t="s">
        <v>12</v>
      </c>
      <c r="G3767" s="1" t="s">
        <v>12</v>
      </c>
      <c r="H3767" s="1" t="s">
        <v>13</v>
      </c>
      <c r="I3767" s="1" t="s">
        <v>13</v>
      </c>
      <c r="J3767" s="1" t="s">
        <v>27</v>
      </c>
      <c r="K3767" s="1">
        <v>0</v>
      </c>
      <c r="L3767" s="1" t="s">
        <v>21</v>
      </c>
      <c r="M3767" s="1" t="str">
        <f t="shared" si="59"/>
        <v>Consistent</v>
      </c>
      <c r="N3767" s="1" t="str">
        <f>_xlfn.XLOOKUP(H3767, risk_score!A:A, risk_score!B:B, 0)</f>
        <v>Low Risk</v>
      </c>
    </row>
    <row r="3768" spans="1:14">
      <c r="A3768" s="2">
        <v>0.53965277777777776</v>
      </c>
      <c r="B3768" s="3">
        <v>44841</v>
      </c>
      <c r="C3768" s="1">
        <v>8393076103</v>
      </c>
      <c r="D3768" s="1">
        <v>1316458123</v>
      </c>
      <c r="E3768" s="1">
        <v>8154</v>
      </c>
      <c r="F3768" s="1" t="s">
        <v>12</v>
      </c>
      <c r="G3768" s="1" t="s">
        <v>34</v>
      </c>
      <c r="H3768" s="1" t="s">
        <v>13</v>
      </c>
      <c r="I3768" s="1" t="s">
        <v>35</v>
      </c>
      <c r="J3768" s="1" t="s">
        <v>18</v>
      </c>
      <c r="K3768" s="1">
        <v>0</v>
      </c>
      <c r="L3768" s="1" t="s">
        <v>23</v>
      </c>
      <c r="M3768" s="1" t="str">
        <f t="shared" si="59"/>
        <v>Potential Layering</v>
      </c>
      <c r="N3768" s="1" t="str">
        <f>_xlfn.XLOOKUP(H3768, risk_score!A:A, risk_score!B:B, 0)</f>
        <v>Low Risk</v>
      </c>
    </row>
    <row r="3769" spans="1:14">
      <c r="A3769" s="2">
        <v>0.5396643518518518</v>
      </c>
      <c r="B3769" s="3">
        <v>44841</v>
      </c>
      <c r="C3769" s="1">
        <v>9746384104</v>
      </c>
      <c r="D3769" s="1">
        <v>3047959102</v>
      </c>
      <c r="E3769" s="1">
        <v>17513.22</v>
      </c>
      <c r="F3769" s="1" t="s">
        <v>12</v>
      </c>
      <c r="G3769" s="1" t="s">
        <v>12</v>
      </c>
      <c r="H3769" s="1" t="s">
        <v>13</v>
      </c>
      <c r="I3769" s="1" t="s">
        <v>13</v>
      </c>
      <c r="J3769" s="1" t="s">
        <v>27</v>
      </c>
      <c r="K3769" s="1">
        <v>0</v>
      </c>
      <c r="L3769" s="1" t="s">
        <v>19</v>
      </c>
      <c r="M3769" s="1" t="str">
        <f t="shared" si="59"/>
        <v>Consistent</v>
      </c>
      <c r="N3769" s="1" t="str">
        <f>_xlfn.XLOOKUP(H3769, risk_score!A:A, risk_score!B:B, 0)</f>
        <v>Low Risk</v>
      </c>
    </row>
    <row r="3770" spans="1:14">
      <c r="A3770" s="2">
        <v>0.53973379629629625</v>
      </c>
      <c r="B3770" s="3">
        <v>44841</v>
      </c>
      <c r="C3770" s="1">
        <v>3168051873</v>
      </c>
      <c r="D3770" s="1">
        <v>6160971830</v>
      </c>
      <c r="E3770" s="1">
        <v>5818.21</v>
      </c>
      <c r="F3770" s="1" t="s">
        <v>12</v>
      </c>
      <c r="G3770" s="1" t="s">
        <v>12</v>
      </c>
      <c r="H3770" s="1" t="s">
        <v>13</v>
      </c>
      <c r="I3770" s="1" t="s">
        <v>13</v>
      </c>
      <c r="J3770" s="1" t="s">
        <v>27</v>
      </c>
      <c r="K3770" s="1">
        <v>0</v>
      </c>
      <c r="L3770" s="1" t="s">
        <v>19</v>
      </c>
      <c r="M3770" s="1" t="str">
        <f t="shared" si="59"/>
        <v>Consistent</v>
      </c>
      <c r="N3770" s="1" t="str">
        <f>_xlfn.XLOOKUP(H3770, risk_score!A:A, risk_score!B:B, 0)</f>
        <v>Low Risk</v>
      </c>
    </row>
    <row r="3771" spans="1:14">
      <c r="A3771" s="2">
        <v>0.53981481481481486</v>
      </c>
      <c r="B3771" s="3">
        <v>44841</v>
      </c>
      <c r="C3771" s="1">
        <v>2790502538</v>
      </c>
      <c r="D3771" s="1">
        <v>7386959843</v>
      </c>
      <c r="E3771" s="1">
        <v>2732.39</v>
      </c>
      <c r="F3771" s="1" t="s">
        <v>12</v>
      </c>
      <c r="G3771" s="1" t="s">
        <v>12</v>
      </c>
      <c r="H3771" s="1" t="s">
        <v>13</v>
      </c>
      <c r="I3771" s="1" t="s">
        <v>13</v>
      </c>
      <c r="J3771" s="1" t="s">
        <v>27</v>
      </c>
      <c r="K3771" s="1">
        <v>0</v>
      </c>
      <c r="L3771" s="1" t="s">
        <v>21</v>
      </c>
      <c r="M3771" s="1" t="str">
        <f t="shared" si="59"/>
        <v>Consistent</v>
      </c>
      <c r="N3771" s="1" t="str">
        <f>_xlfn.XLOOKUP(H3771, risk_score!A:A, risk_score!B:B, 0)</f>
        <v>Low Risk</v>
      </c>
    </row>
    <row r="3772" spans="1:14">
      <c r="A3772" s="2">
        <v>0.53984953703703709</v>
      </c>
      <c r="B3772" s="3">
        <v>44841</v>
      </c>
      <c r="C3772" s="1">
        <v>2411632294</v>
      </c>
      <c r="D3772" s="1">
        <v>6991398542</v>
      </c>
      <c r="E3772" s="1">
        <v>1360.88</v>
      </c>
      <c r="F3772" s="1" t="s">
        <v>12</v>
      </c>
      <c r="G3772" s="1" t="s">
        <v>12</v>
      </c>
      <c r="H3772" s="1" t="s">
        <v>13</v>
      </c>
      <c r="I3772" s="1" t="s">
        <v>13</v>
      </c>
      <c r="J3772" s="1" t="s">
        <v>14</v>
      </c>
      <c r="K3772" s="1">
        <v>0</v>
      </c>
      <c r="L3772" s="1" t="s">
        <v>15</v>
      </c>
      <c r="M3772" s="1" t="str">
        <f t="shared" si="59"/>
        <v>Consistent</v>
      </c>
      <c r="N3772" s="1" t="str">
        <f>_xlfn.XLOOKUP(H3772, risk_score!A:A, risk_score!B:B, 0)</f>
        <v>Low Risk</v>
      </c>
    </row>
    <row r="3773" spans="1:14">
      <c r="A3773" s="2">
        <v>0.53986111111111112</v>
      </c>
      <c r="B3773" s="3">
        <v>44841</v>
      </c>
      <c r="C3773" s="1">
        <v>2655552102</v>
      </c>
      <c r="D3773" s="1">
        <v>5628674969</v>
      </c>
      <c r="E3773" s="1">
        <v>14500.52</v>
      </c>
      <c r="F3773" s="1" t="s">
        <v>12</v>
      </c>
      <c r="G3773" s="1" t="s">
        <v>12</v>
      </c>
      <c r="H3773" s="1" t="s">
        <v>13</v>
      </c>
      <c r="I3773" s="1" t="s">
        <v>13</v>
      </c>
      <c r="J3773" s="1" t="s">
        <v>20</v>
      </c>
      <c r="K3773" s="1">
        <v>0</v>
      </c>
      <c r="L3773" s="1" t="s">
        <v>23</v>
      </c>
      <c r="M3773" s="1" t="str">
        <f t="shared" si="59"/>
        <v>Consistent</v>
      </c>
      <c r="N3773" s="1" t="str">
        <f>_xlfn.XLOOKUP(H3773, risk_score!A:A, risk_score!B:B, 0)</f>
        <v>Low Risk</v>
      </c>
    </row>
    <row r="3774" spans="1:14">
      <c r="A3774" s="2">
        <v>0.53986111111111112</v>
      </c>
      <c r="B3774" s="3">
        <v>44841</v>
      </c>
      <c r="C3774" s="1">
        <v>6057444675</v>
      </c>
      <c r="D3774" s="1">
        <v>7945788794</v>
      </c>
      <c r="E3774" s="1">
        <v>5200.58</v>
      </c>
      <c r="F3774" s="1" t="s">
        <v>12</v>
      </c>
      <c r="G3774" s="1" t="s">
        <v>12</v>
      </c>
      <c r="H3774" s="1" t="s">
        <v>13</v>
      </c>
      <c r="I3774" s="1" t="s">
        <v>13</v>
      </c>
      <c r="J3774" s="1" t="s">
        <v>27</v>
      </c>
      <c r="K3774" s="1">
        <v>0</v>
      </c>
      <c r="L3774" s="1" t="s">
        <v>19</v>
      </c>
      <c r="M3774" s="1" t="str">
        <f t="shared" si="59"/>
        <v>Consistent</v>
      </c>
      <c r="N3774" s="1" t="str">
        <f>_xlfn.XLOOKUP(H3774, risk_score!A:A, risk_score!B:B, 0)</f>
        <v>Low Risk</v>
      </c>
    </row>
    <row r="3775" spans="1:14">
      <c r="A3775" s="2">
        <v>0.53991898148148143</v>
      </c>
      <c r="B3775" s="3">
        <v>44841</v>
      </c>
      <c r="C3775" s="1">
        <v>3022138924</v>
      </c>
      <c r="D3775" s="1">
        <v>4727357532</v>
      </c>
      <c r="E3775" s="1">
        <v>20749.669999999998</v>
      </c>
      <c r="F3775" s="1" t="s">
        <v>12</v>
      </c>
      <c r="G3775" s="1" t="s">
        <v>12</v>
      </c>
      <c r="H3775" s="1" t="s">
        <v>13</v>
      </c>
      <c r="I3775" s="1" t="s">
        <v>13</v>
      </c>
      <c r="J3775" s="1" t="s">
        <v>27</v>
      </c>
      <c r="K3775" s="1">
        <v>0</v>
      </c>
      <c r="L3775" s="1" t="s">
        <v>21</v>
      </c>
      <c r="M3775" s="1" t="str">
        <f t="shared" ref="M3775:M3838" si="60">IF(F3775=G3775, "Consistent", "Potential Layering")</f>
        <v>Consistent</v>
      </c>
      <c r="N3775" s="1" t="str">
        <f>_xlfn.XLOOKUP(H3775, risk_score!A:A, risk_score!B:B, 0)</f>
        <v>Low Risk</v>
      </c>
    </row>
    <row r="3776" spans="1:14">
      <c r="A3776" s="2">
        <v>0.53998842592592589</v>
      </c>
      <c r="B3776" s="3">
        <v>44841</v>
      </c>
      <c r="C3776" s="1">
        <v>5691675777</v>
      </c>
      <c r="D3776" s="1">
        <v>6615179883</v>
      </c>
      <c r="E3776" s="1">
        <v>16375.06</v>
      </c>
      <c r="F3776" s="1" t="s">
        <v>12</v>
      </c>
      <c r="G3776" s="1" t="s">
        <v>12</v>
      </c>
      <c r="H3776" s="1" t="s">
        <v>13</v>
      </c>
      <c r="I3776" s="1" t="s">
        <v>13</v>
      </c>
      <c r="J3776" s="1" t="s">
        <v>20</v>
      </c>
      <c r="K3776" s="1">
        <v>0</v>
      </c>
      <c r="L3776" s="1" t="s">
        <v>38</v>
      </c>
      <c r="M3776" s="1" t="str">
        <f t="shared" si="60"/>
        <v>Consistent</v>
      </c>
      <c r="N3776" s="1" t="str">
        <f>_xlfn.XLOOKUP(H3776, risk_score!A:A, risk_score!B:B, 0)</f>
        <v>Low Risk</v>
      </c>
    </row>
    <row r="3777" spans="1:14">
      <c r="A3777" s="2">
        <v>0.54</v>
      </c>
      <c r="B3777" s="3">
        <v>44841</v>
      </c>
      <c r="C3777" s="1">
        <v>2982551092</v>
      </c>
      <c r="D3777" s="1">
        <v>86198390</v>
      </c>
      <c r="E3777" s="1">
        <v>1800.44</v>
      </c>
      <c r="F3777" s="1" t="s">
        <v>12</v>
      </c>
      <c r="G3777" s="1" t="s">
        <v>12</v>
      </c>
      <c r="H3777" s="1" t="s">
        <v>13</v>
      </c>
      <c r="I3777" s="1" t="s">
        <v>13</v>
      </c>
      <c r="J3777" s="1" t="s">
        <v>22</v>
      </c>
      <c r="K3777" s="1">
        <v>0</v>
      </c>
      <c r="L3777" s="1" t="s">
        <v>21</v>
      </c>
      <c r="M3777" s="1" t="str">
        <f t="shared" si="60"/>
        <v>Consistent</v>
      </c>
      <c r="N3777" s="1" t="str">
        <f>_xlfn.XLOOKUP(H3777, risk_score!A:A, risk_score!B:B, 0)</f>
        <v>Low Risk</v>
      </c>
    </row>
    <row r="3778" spans="1:14">
      <c r="A3778" s="2">
        <v>0.54001157407407407</v>
      </c>
      <c r="B3778" s="3">
        <v>44841</v>
      </c>
      <c r="C3778" s="1">
        <v>7758268667</v>
      </c>
      <c r="D3778" s="1">
        <v>5402206630</v>
      </c>
      <c r="E3778" s="1">
        <v>6219.5</v>
      </c>
      <c r="F3778" s="1" t="s">
        <v>12</v>
      </c>
      <c r="G3778" s="1" t="s">
        <v>12</v>
      </c>
      <c r="H3778" s="1" t="s">
        <v>13</v>
      </c>
      <c r="I3778" s="1" t="s">
        <v>13</v>
      </c>
      <c r="J3778" s="1" t="s">
        <v>25</v>
      </c>
      <c r="K3778" s="1">
        <v>0</v>
      </c>
      <c r="L3778" s="1" t="s">
        <v>19</v>
      </c>
      <c r="M3778" s="1" t="str">
        <f t="shared" si="60"/>
        <v>Consistent</v>
      </c>
      <c r="N3778" s="1" t="str">
        <f>_xlfn.XLOOKUP(H3778, risk_score!A:A, risk_score!B:B, 0)</f>
        <v>Low Risk</v>
      </c>
    </row>
    <row r="3779" spans="1:14">
      <c r="A3779" s="2">
        <v>0.54003472222222226</v>
      </c>
      <c r="B3779" s="3">
        <v>44841</v>
      </c>
      <c r="C3779" s="1">
        <v>5092597759</v>
      </c>
      <c r="D3779" s="1">
        <v>6112112769</v>
      </c>
      <c r="E3779" s="1">
        <v>1273.94</v>
      </c>
      <c r="F3779" s="1" t="s">
        <v>12</v>
      </c>
      <c r="G3779" s="1" t="s">
        <v>12</v>
      </c>
      <c r="H3779" s="1" t="s">
        <v>13</v>
      </c>
      <c r="I3779" s="1" t="s">
        <v>13</v>
      </c>
      <c r="J3779" s="1" t="s">
        <v>14</v>
      </c>
      <c r="K3779" s="1">
        <v>0</v>
      </c>
      <c r="L3779" s="1" t="s">
        <v>15</v>
      </c>
      <c r="M3779" s="1" t="str">
        <f t="shared" si="60"/>
        <v>Consistent</v>
      </c>
      <c r="N3779" s="1" t="str">
        <f>_xlfn.XLOOKUP(H3779, risk_score!A:A, risk_score!B:B, 0)</f>
        <v>Low Risk</v>
      </c>
    </row>
    <row r="3780" spans="1:14">
      <c r="A3780" s="2">
        <v>0.5400462962962963</v>
      </c>
      <c r="B3780" s="3">
        <v>44841</v>
      </c>
      <c r="C3780" s="1">
        <v>4723297015</v>
      </c>
      <c r="D3780" s="1">
        <v>4985199811</v>
      </c>
      <c r="E3780" s="1">
        <v>2100.44</v>
      </c>
      <c r="F3780" s="1" t="s">
        <v>12</v>
      </c>
      <c r="G3780" s="1" t="s">
        <v>12</v>
      </c>
      <c r="H3780" s="1" t="s">
        <v>13</v>
      </c>
      <c r="I3780" s="1" t="s">
        <v>13</v>
      </c>
      <c r="J3780" s="1" t="s">
        <v>20</v>
      </c>
      <c r="K3780" s="1">
        <v>0</v>
      </c>
      <c r="L3780" s="1" t="s">
        <v>21</v>
      </c>
      <c r="M3780" s="1" t="str">
        <f t="shared" si="60"/>
        <v>Consistent</v>
      </c>
      <c r="N3780" s="1" t="str">
        <f>_xlfn.XLOOKUP(H3780, risk_score!A:A, risk_score!B:B, 0)</f>
        <v>Low Risk</v>
      </c>
    </row>
    <row r="3781" spans="1:14">
      <c r="A3781" s="2">
        <v>0.5400462962962963</v>
      </c>
      <c r="B3781" s="3">
        <v>44841</v>
      </c>
      <c r="C3781" s="1">
        <v>2365007895</v>
      </c>
      <c r="D3781" s="1">
        <v>2812285491</v>
      </c>
      <c r="E3781" s="1">
        <v>13118.46</v>
      </c>
      <c r="F3781" s="1" t="s">
        <v>12</v>
      </c>
      <c r="G3781" s="1" t="s">
        <v>12</v>
      </c>
      <c r="H3781" s="1" t="s">
        <v>13</v>
      </c>
      <c r="I3781" s="1" t="s">
        <v>13</v>
      </c>
      <c r="J3781" s="1" t="s">
        <v>20</v>
      </c>
      <c r="K3781" s="1">
        <v>0</v>
      </c>
      <c r="L3781" s="1" t="s">
        <v>19</v>
      </c>
      <c r="M3781" s="1" t="str">
        <f t="shared" si="60"/>
        <v>Consistent</v>
      </c>
      <c r="N3781" s="1" t="str">
        <f>_xlfn.XLOOKUP(H3781, risk_score!A:A, risk_score!B:B, 0)</f>
        <v>Low Risk</v>
      </c>
    </row>
    <row r="3782" spans="1:14">
      <c r="A3782" s="2">
        <v>0.54006944444444449</v>
      </c>
      <c r="B3782" s="3">
        <v>44841</v>
      </c>
      <c r="C3782" s="1">
        <v>7325304291</v>
      </c>
      <c r="D3782" s="1">
        <v>8974559268</v>
      </c>
      <c r="E3782" s="1">
        <v>3864.03</v>
      </c>
      <c r="F3782" s="1" t="s">
        <v>12</v>
      </c>
      <c r="G3782" s="1" t="s">
        <v>12</v>
      </c>
      <c r="H3782" s="1" t="s">
        <v>13</v>
      </c>
      <c r="I3782" s="1" t="s">
        <v>13</v>
      </c>
      <c r="J3782" s="1" t="s">
        <v>22</v>
      </c>
      <c r="K3782" s="1">
        <v>0</v>
      </c>
      <c r="L3782" s="1" t="s">
        <v>24</v>
      </c>
      <c r="M3782" s="1" t="str">
        <f t="shared" si="60"/>
        <v>Consistent</v>
      </c>
      <c r="N3782" s="1" t="str">
        <f>_xlfn.XLOOKUP(H3782, risk_score!A:A, risk_score!B:B, 0)</f>
        <v>Low Risk</v>
      </c>
    </row>
    <row r="3783" spans="1:14">
      <c r="A3783" s="2">
        <v>0.54010416666666672</v>
      </c>
      <c r="B3783" s="3">
        <v>44841</v>
      </c>
      <c r="C3783" s="1">
        <v>5402696227</v>
      </c>
      <c r="D3783" s="1">
        <v>8153546944</v>
      </c>
      <c r="E3783" s="1">
        <v>6090.31</v>
      </c>
      <c r="F3783" s="1" t="s">
        <v>12</v>
      </c>
      <c r="G3783" s="1" t="s">
        <v>12</v>
      </c>
      <c r="H3783" s="1" t="s">
        <v>13</v>
      </c>
      <c r="I3783" s="1" t="s">
        <v>13</v>
      </c>
      <c r="J3783" s="1" t="s">
        <v>25</v>
      </c>
      <c r="K3783" s="1">
        <v>0</v>
      </c>
      <c r="L3783" s="1" t="s">
        <v>49</v>
      </c>
      <c r="M3783" s="1" t="str">
        <f t="shared" si="60"/>
        <v>Consistent</v>
      </c>
      <c r="N3783" s="1" t="str">
        <f>_xlfn.XLOOKUP(H3783, risk_score!A:A, risk_score!B:B, 0)</f>
        <v>Low Risk</v>
      </c>
    </row>
    <row r="3784" spans="1:14">
      <c r="A3784" s="2">
        <v>0.54010416666666672</v>
      </c>
      <c r="B3784" s="3">
        <v>44841</v>
      </c>
      <c r="C3784" s="1">
        <v>5118630682</v>
      </c>
      <c r="D3784" s="1">
        <v>9998615864</v>
      </c>
      <c r="E3784" s="1">
        <v>186.28</v>
      </c>
      <c r="F3784" s="1" t="s">
        <v>12</v>
      </c>
      <c r="G3784" s="1" t="s">
        <v>12</v>
      </c>
      <c r="H3784" s="1" t="s">
        <v>13</v>
      </c>
      <c r="I3784" s="1" t="s">
        <v>13</v>
      </c>
      <c r="J3784" s="1" t="s">
        <v>25</v>
      </c>
      <c r="K3784" s="1">
        <v>0</v>
      </c>
      <c r="L3784" s="1" t="s">
        <v>21</v>
      </c>
      <c r="M3784" s="1" t="str">
        <f t="shared" si="60"/>
        <v>Consistent</v>
      </c>
      <c r="N3784" s="1" t="str">
        <f>_xlfn.XLOOKUP(H3784, risk_score!A:A, risk_score!B:B, 0)</f>
        <v>Low Risk</v>
      </c>
    </row>
    <row r="3785" spans="1:14">
      <c r="A3785" s="2">
        <v>0.54011574074074076</v>
      </c>
      <c r="B3785" s="3">
        <v>44841</v>
      </c>
      <c r="C3785" s="1">
        <v>8818313824</v>
      </c>
      <c r="D3785" s="1">
        <v>8981466749</v>
      </c>
      <c r="E3785" s="1">
        <v>202.83</v>
      </c>
      <c r="F3785" s="1" t="s">
        <v>12</v>
      </c>
      <c r="G3785" s="1" t="s">
        <v>12</v>
      </c>
      <c r="H3785" s="1" t="s">
        <v>13</v>
      </c>
      <c r="I3785" s="1" t="s">
        <v>13</v>
      </c>
      <c r="J3785" s="1" t="s">
        <v>22</v>
      </c>
      <c r="K3785" s="1">
        <v>0</v>
      </c>
      <c r="L3785" s="1" t="s">
        <v>21</v>
      </c>
      <c r="M3785" s="1" t="str">
        <f t="shared" si="60"/>
        <v>Consistent</v>
      </c>
      <c r="N3785" s="1" t="str">
        <f>_xlfn.XLOOKUP(H3785, risk_score!A:A, risk_score!B:B, 0)</f>
        <v>Low Risk</v>
      </c>
    </row>
    <row r="3786" spans="1:14">
      <c r="A3786" s="2">
        <v>0.54013888888888884</v>
      </c>
      <c r="B3786" s="3">
        <v>44841</v>
      </c>
      <c r="C3786" s="1">
        <v>2832385272</v>
      </c>
      <c r="D3786" s="1">
        <v>2138505015</v>
      </c>
      <c r="E3786" s="1">
        <v>8964.1299999999992</v>
      </c>
      <c r="F3786" s="1" t="s">
        <v>12</v>
      </c>
      <c r="G3786" s="1" t="s">
        <v>16</v>
      </c>
      <c r="H3786" s="1" t="s">
        <v>13</v>
      </c>
      <c r="I3786" s="1" t="s">
        <v>17</v>
      </c>
      <c r="J3786" s="1" t="s">
        <v>18</v>
      </c>
      <c r="K3786" s="1">
        <v>0</v>
      </c>
      <c r="L3786" s="1" t="s">
        <v>23</v>
      </c>
      <c r="M3786" s="1" t="str">
        <f t="shared" si="60"/>
        <v>Potential Layering</v>
      </c>
      <c r="N3786" s="1" t="str">
        <f>_xlfn.XLOOKUP(H3786, risk_score!A:A, risk_score!B:B, 0)</f>
        <v>Low Risk</v>
      </c>
    </row>
    <row r="3787" spans="1:14">
      <c r="A3787" s="2">
        <v>0.54018518518518521</v>
      </c>
      <c r="B3787" s="3">
        <v>44841</v>
      </c>
      <c r="C3787" s="1">
        <v>347559621</v>
      </c>
      <c r="D3787" s="1">
        <v>6011295240</v>
      </c>
      <c r="E3787" s="1">
        <v>3298</v>
      </c>
      <c r="F3787" s="1" t="s">
        <v>12</v>
      </c>
      <c r="G3787" s="1" t="s">
        <v>12</v>
      </c>
      <c r="H3787" s="1" t="s">
        <v>13</v>
      </c>
      <c r="I3787" s="1" t="s">
        <v>13</v>
      </c>
      <c r="J3787" s="1" t="s">
        <v>14</v>
      </c>
      <c r="K3787" s="1">
        <v>0</v>
      </c>
      <c r="L3787" s="1" t="s">
        <v>15</v>
      </c>
      <c r="M3787" s="1" t="str">
        <f t="shared" si="60"/>
        <v>Consistent</v>
      </c>
      <c r="N3787" s="1" t="str">
        <f>_xlfn.XLOOKUP(H3787, risk_score!A:A, risk_score!B:B, 0)</f>
        <v>Low Risk</v>
      </c>
    </row>
    <row r="3788" spans="1:14">
      <c r="A3788" s="2">
        <v>0.54020833333333329</v>
      </c>
      <c r="B3788" s="3">
        <v>44841</v>
      </c>
      <c r="C3788" s="1">
        <v>4413376578</v>
      </c>
      <c r="D3788" s="1">
        <v>7943065505</v>
      </c>
      <c r="E3788" s="1">
        <v>15552.59</v>
      </c>
      <c r="F3788" s="1" t="s">
        <v>12</v>
      </c>
      <c r="G3788" s="1" t="s">
        <v>12</v>
      </c>
      <c r="H3788" s="1" t="s">
        <v>13</v>
      </c>
      <c r="I3788" s="1" t="s">
        <v>13</v>
      </c>
      <c r="J3788" s="1" t="s">
        <v>22</v>
      </c>
      <c r="K3788" s="1">
        <v>0</v>
      </c>
      <c r="L3788" s="1" t="s">
        <v>49</v>
      </c>
      <c r="M3788" s="1" t="str">
        <f t="shared" si="60"/>
        <v>Consistent</v>
      </c>
      <c r="N3788" s="1" t="str">
        <f>_xlfn.XLOOKUP(H3788, risk_score!A:A, risk_score!B:B, 0)</f>
        <v>Low Risk</v>
      </c>
    </row>
    <row r="3789" spans="1:14">
      <c r="A3789" s="2">
        <v>0.54023148148148148</v>
      </c>
      <c r="B3789" s="3">
        <v>44841</v>
      </c>
      <c r="C3789" s="1">
        <v>5106424412</v>
      </c>
      <c r="D3789" s="1">
        <v>3588381961</v>
      </c>
      <c r="E3789" s="1">
        <v>167.22</v>
      </c>
      <c r="F3789" s="1" t="s">
        <v>12</v>
      </c>
      <c r="G3789" s="1" t="s">
        <v>12</v>
      </c>
      <c r="H3789" s="1" t="s">
        <v>13</v>
      </c>
      <c r="I3789" s="1" t="s">
        <v>13</v>
      </c>
      <c r="J3789" s="1" t="s">
        <v>25</v>
      </c>
      <c r="K3789" s="1">
        <v>0</v>
      </c>
      <c r="L3789" s="1" t="s">
        <v>21</v>
      </c>
      <c r="M3789" s="1" t="str">
        <f t="shared" si="60"/>
        <v>Consistent</v>
      </c>
      <c r="N3789" s="1" t="str">
        <f>_xlfn.XLOOKUP(H3789, risk_score!A:A, risk_score!B:B, 0)</f>
        <v>Low Risk</v>
      </c>
    </row>
    <row r="3790" spans="1:14">
      <c r="A3790" s="2">
        <v>0.54024305555555552</v>
      </c>
      <c r="B3790" s="3">
        <v>44841</v>
      </c>
      <c r="C3790" s="1">
        <v>3510078932</v>
      </c>
      <c r="D3790" s="1">
        <v>1379534157</v>
      </c>
      <c r="E3790" s="1">
        <v>5022.17</v>
      </c>
      <c r="F3790" s="1" t="s">
        <v>12</v>
      </c>
      <c r="G3790" s="1" t="s">
        <v>12</v>
      </c>
      <c r="H3790" s="1" t="s">
        <v>13</v>
      </c>
      <c r="I3790" s="1" t="s">
        <v>13</v>
      </c>
      <c r="J3790" s="1" t="s">
        <v>25</v>
      </c>
      <c r="K3790" s="1">
        <v>0</v>
      </c>
      <c r="L3790" s="1" t="s">
        <v>19</v>
      </c>
      <c r="M3790" s="1" t="str">
        <f t="shared" si="60"/>
        <v>Consistent</v>
      </c>
      <c r="N3790" s="1" t="str">
        <f>_xlfn.XLOOKUP(H3790, risk_score!A:A, risk_score!B:B, 0)</f>
        <v>Low Risk</v>
      </c>
    </row>
    <row r="3791" spans="1:14">
      <c r="A3791" s="2">
        <v>0.54025462962962967</v>
      </c>
      <c r="B3791" s="3">
        <v>44841</v>
      </c>
      <c r="C3791" s="1">
        <v>7688200623</v>
      </c>
      <c r="D3791" s="1">
        <v>3520671145</v>
      </c>
      <c r="E3791" s="1">
        <v>3460.67</v>
      </c>
      <c r="F3791" s="1" t="s">
        <v>12</v>
      </c>
      <c r="G3791" s="1" t="s">
        <v>12</v>
      </c>
      <c r="H3791" s="1" t="s">
        <v>13</v>
      </c>
      <c r="I3791" s="1" t="s">
        <v>13</v>
      </c>
      <c r="J3791" s="1" t="s">
        <v>14</v>
      </c>
      <c r="K3791" s="1">
        <v>0</v>
      </c>
      <c r="L3791" s="1" t="s">
        <v>15</v>
      </c>
      <c r="M3791" s="1" t="str">
        <f t="shared" si="60"/>
        <v>Consistent</v>
      </c>
      <c r="N3791" s="1" t="str">
        <f>_xlfn.XLOOKUP(H3791, risk_score!A:A, risk_score!B:B, 0)</f>
        <v>Low Risk</v>
      </c>
    </row>
    <row r="3792" spans="1:14">
      <c r="A3792" s="2">
        <v>0.54026620370370371</v>
      </c>
      <c r="B3792" s="3">
        <v>44841</v>
      </c>
      <c r="C3792" s="1">
        <v>1139132462</v>
      </c>
      <c r="D3792" s="1">
        <v>7199625988</v>
      </c>
      <c r="E3792" s="1">
        <v>10570.07</v>
      </c>
      <c r="F3792" s="1" t="s">
        <v>16</v>
      </c>
      <c r="G3792" s="1" t="s">
        <v>12</v>
      </c>
      <c r="H3792" s="1" t="s">
        <v>17</v>
      </c>
      <c r="I3792" s="1" t="s">
        <v>13</v>
      </c>
      <c r="J3792" s="1" t="s">
        <v>18</v>
      </c>
      <c r="K3792" s="1">
        <v>0</v>
      </c>
      <c r="L3792" s="1" t="s">
        <v>23</v>
      </c>
      <c r="M3792" s="1" t="str">
        <f t="shared" si="60"/>
        <v>Potential Layering</v>
      </c>
      <c r="N3792" s="1" t="str">
        <f>_xlfn.XLOOKUP(H3792, risk_score!A:A, risk_score!B:B, 0)</f>
        <v>Medium Risk</v>
      </c>
    </row>
    <row r="3793" spans="1:14">
      <c r="A3793" s="2">
        <v>0.54027777777777775</v>
      </c>
      <c r="B3793" s="3">
        <v>44841</v>
      </c>
      <c r="C3793" s="1">
        <v>3246990702</v>
      </c>
      <c r="D3793" s="1">
        <v>3199579452</v>
      </c>
      <c r="E3793" s="1">
        <v>971.5</v>
      </c>
      <c r="F3793" s="1" t="s">
        <v>12</v>
      </c>
      <c r="G3793" s="1" t="s">
        <v>12</v>
      </c>
      <c r="H3793" s="1" t="s">
        <v>13</v>
      </c>
      <c r="I3793" s="1" t="s">
        <v>13</v>
      </c>
      <c r="J3793" s="1" t="s">
        <v>22</v>
      </c>
      <c r="K3793" s="1">
        <v>0</v>
      </c>
      <c r="L3793" s="1" t="s">
        <v>21</v>
      </c>
      <c r="M3793" s="1" t="str">
        <f t="shared" si="60"/>
        <v>Consistent</v>
      </c>
      <c r="N3793" s="1" t="str">
        <f>_xlfn.XLOOKUP(H3793, risk_score!A:A, risk_score!B:B, 0)</f>
        <v>Low Risk</v>
      </c>
    </row>
    <row r="3794" spans="1:14">
      <c r="A3794" s="2">
        <v>0.5402893518518519</v>
      </c>
      <c r="B3794" s="3">
        <v>44841</v>
      </c>
      <c r="C3794" s="1">
        <v>5467199644</v>
      </c>
      <c r="D3794" s="1">
        <v>4664589854</v>
      </c>
      <c r="E3794" s="1">
        <v>23310.07</v>
      </c>
      <c r="F3794" s="1" t="s">
        <v>12</v>
      </c>
      <c r="G3794" s="1" t="s">
        <v>12</v>
      </c>
      <c r="H3794" s="1" t="s">
        <v>13</v>
      </c>
      <c r="I3794" s="1" t="s">
        <v>13</v>
      </c>
      <c r="J3794" s="1" t="s">
        <v>25</v>
      </c>
      <c r="K3794" s="1">
        <v>0</v>
      </c>
      <c r="L3794" s="1" t="s">
        <v>49</v>
      </c>
      <c r="M3794" s="1" t="str">
        <f t="shared" si="60"/>
        <v>Consistent</v>
      </c>
      <c r="N3794" s="1" t="str">
        <f>_xlfn.XLOOKUP(H3794, risk_score!A:A, risk_score!B:B, 0)</f>
        <v>Low Risk</v>
      </c>
    </row>
    <row r="3795" spans="1:14">
      <c r="A3795" s="2">
        <v>0.54033564814814816</v>
      </c>
      <c r="B3795" s="3">
        <v>44841</v>
      </c>
      <c r="C3795" s="1">
        <v>5676450637</v>
      </c>
      <c r="D3795" s="1">
        <v>4715509122</v>
      </c>
      <c r="E3795" s="1">
        <v>2020.51</v>
      </c>
      <c r="F3795" s="1" t="s">
        <v>12</v>
      </c>
      <c r="G3795" s="1" t="s">
        <v>12</v>
      </c>
      <c r="H3795" s="1" t="s">
        <v>13</v>
      </c>
      <c r="I3795" s="1" t="s">
        <v>13</v>
      </c>
      <c r="J3795" s="1" t="s">
        <v>20</v>
      </c>
      <c r="K3795" s="1">
        <v>0</v>
      </c>
      <c r="L3795" s="1" t="s">
        <v>21</v>
      </c>
      <c r="M3795" s="1" t="str">
        <f t="shared" si="60"/>
        <v>Consistent</v>
      </c>
      <c r="N3795" s="1" t="str">
        <f>_xlfn.XLOOKUP(H3795, risk_score!A:A, risk_score!B:B, 0)</f>
        <v>Low Risk</v>
      </c>
    </row>
    <row r="3796" spans="1:14">
      <c r="A3796" s="2">
        <v>0.54038194444444443</v>
      </c>
      <c r="B3796" s="3">
        <v>44841</v>
      </c>
      <c r="C3796" s="1">
        <v>1378784400</v>
      </c>
      <c r="D3796" s="1">
        <v>8436759372</v>
      </c>
      <c r="E3796" s="1">
        <v>6197.42</v>
      </c>
      <c r="F3796" s="1" t="s">
        <v>12</v>
      </c>
      <c r="G3796" s="1" t="s">
        <v>12</v>
      </c>
      <c r="H3796" s="1" t="s">
        <v>13</v>
      </c>
      <c r="I3796" s="1" t="s">
        <v>13</v>
      </c>
      <c r="J3796" s="1" t="s">
        <v>25</v>
      </c>
      <c r="K3796" s="1">
        <v>0</v>
      </c>
      <c r="L3796" s="1" t="s">
        <v>19</v>
      </c>
      <c r="M3796" s="1" t="str">
        <f t="shared" si="60"/>
        <v>Consistent</v>
      </c>
      <c r="N3796" s="1" t="str">
        <f>_xlfn.XLOOKUP(H3796, risk_score!A:A, risk_score!B:B, 0)</f>
        <v>Low Risk</v>
      </c>
    </row>
    <row r="3797" spans="1:14">
      <c r="A3797" s="2">
        <v>0.54043981481481485</v>
      </c>
      <c r="B3797" s="3">
        <v>44841</v>
      </c>
      <c r="C3797" s="1">
        <v>6496125384</v>
      </c>
      <c r="D3797" s="1">
        <v>2668607916</v>
      </c>
      <c r="E3797" s="1">
        <v>248.45</v>
      </c>
      <c r="F3797" s="1" t="s">
        <v>12</v>
      </c>
      <c r="G3797" s="1" t="s">
        <v>12</v>
      </c>
      <c r="H3797" s="1" t="s">
        <v>13</v>
      </c>
      <c r="I3797" s="1" t="s">
        <v>13</v>
      </c>
      <c r="J3797" s="1" t="s">
        <v>22</v>
      </c>
      <c r="K3797" s="1">
        <v>0</v>
      </c>
      <c r="L3797" s="1" t="s">
        <v>21</v>
      </c>
      <c r="M3797" s="1" t="str">
        <f t="shared" si="60"/>
        <v>Consistent</v>
      </c>
      <c r="N3797" s="1" t="str">
        <f>_xlfn.XLOOKUP(H3797, risk_score!A:A, risk_score!B:B, 0)</f>
        <v>Low Risk</v>
      </c>
    </row>
    <row r="3798" spans="1:14">
      <c r="A3798" s="2">
        <v>0.54045138888888888</v>
      </c>
      <c r="B3798" s="3">
        <v>44841</v>
      </c>
      <c r="C3798" s="1">
        <v>8857611669</v>
      </c>
      <c r="D3798" s="1">
        <v>3037691384</v>
      </c>
      <c r="E3798" s="1">
        <v>630.58000000000004</v>
      </c>
      <c r="F3798" s="1" t="s">
        <v>12</v>
      </c>
      <c r="G3798" s="1" t="s">
        <v>12</v>
      </c>
      <c r="H3798" s="1" t="s">
        <v>13</v>
      </c>
      <c r="I3798" s="1" t="s">
        <v>13</v>
      </c>
      <c r="J3798" s="1" t="s">
        <v>27</v>
      </c>
      <c r="K3798" s="1">
        <v>0</v>
      </c>
      <c r="L3798" s="1" t="s">
        <v>21</v>
      </c>
      <c r="M3798" s="1" t="str">
        <f t="shared" si="60"/>
        <v>Consistent</v>
      </c>
      <c r="N3798" s="1" t="str">
        <f>_xlfn.XLOOKUP(H3798, risk_score!A:A, risk_score!B:B, 0)</f>
        <v>Low Risk</v>
      </c>
    </row>
    <row r="3799" spans="1:14">
      <c r="A3799" s="2">
        <v>0.54045138888888888</v>
      </c>
      <c r="B3799" s="3">
        <v>44841</v>
      </c>
      <c r="C3799" s="1">
        <v>7533532620</v>
      </c>
      <c r="D3799" s="1">
        <v>9844781055</v>
      </c>
      <c r="E3799" s="1">
        <v>2094.8200000000002</v>
      </c>
      <c r="F3799" s="1" t="s">
        <v>12</v>
      </c>
      <c r="G3799" s="1" t="s">
        <v>12</v>
      </c>
      <c r="H3799" s="1" t="s">
        <v>13</v>
      </c>
      <c r="I3799" s="1" t="s">
        <v>13</v>
      </c>
      <c r="J3799" s="1" t="s">
        <v>27</v>
      </c>
      <c r="K3799" s="1">
        <v>0</v>
      </c>
      <c r="L3799" s="1" t="s">
        <v>24</v>
      </c>
      <c r="M3799" s="1" t="str">
        <f t="shared" si="60"/>
        <v>Consistent</v>
      </c>
      <c r="N3799" s="1" t="str">
        <f>_xlfn.XLOOKUP(H3799, risk_score!A:A, risk_score!B:B, 0)</f>
        <v>Low Risk</v>
      </c>
    </row>
    <row r="3800" spans="1:14">
      <c r="A3800" s="2">
        <v>0.54046296296296292</v>
      </c>
      <c r="B3800" s="3">
        <v>44841</v>
      </c>
      <c r="C3800" s="1">
        <v>6562248766</v>
      </c>
      <c r="D3800" s="1">
        <v>6444220418</v>
      </c>
      <c r="E3800" s="1">
        <v>19895.98</v>
      </c>
      <c r="F3800" s="1" t="s">
        <v>12</v>
      </c>
      <c r="G3800" s="1" t="s">
        <v>12</v>
      </c>
      <c r="H3800" s="1" t="s">
        <v>13</v>
      </c>
      <c r="I3800" s="1" t="s">
        <v>13</v>
      </c>
      <c r="J3800" s="1" t="s">
        <v>27</v>
      </c>
      <c r="K3800" s="1">
        <v>0</v>
      </c>
      <c r="L3800" s="1" t="s">
        <v>23</v>
      </c>
      <c r="M3800" s="1" t="str">
        <f t="shared" si="60"/>
        <v>Consistent</v>
      </c>
      <c r="N3800" s="1" t="str">
        <f>_xlfn.XLOOKUP(H3800, risk_score!A:A, risk_score!B:B, 0)</f>
        <v>Low Risk</v>
      </c>
    </row>
    <row r="3801" spans="1:14">
      <c r="A3801" s="2">
        <v>0.54047453703703707</v>
      </c>
      <c r="B3801" s="3">
        <v>44841</v>
      </c>
      <c r="C3801" s="1">
        <v>884222528</v>
      </c>
      <c r="D3801" s="1">
        <v>7561576402</v>
      </c>
      <c r="E3801" s="1">
        <v>1348.15</v>
      </c>
      <c r="F3801" s="1" t="s">
        <v>12</v>
      </c>
      <c r="G3801" s="1" t="s">
        <v>12</v>
      </c>
      <c r="H3801" s="1" t="s">
        <v>13</v>
      </c>
      <c r="I3801" s="1" t="s">
        <v>13</v>
      </c>
      <c r="J3801" s="1" t="s">
        <v>22</v>
      </c>
      <c r="K3801" s="1">
        <v>0</v>
      </c>
      <c r="L3801" s="1" t="s">
        <v>21</v>
      </c>
      <c r="M3801" s="1" t="str">
        <f t="shared" si="60"/>
        <v>Consistent</v>
      </c>
      <c r="N3801" s="1" t="str">
        <f>_xlfn.XLOOKUP(H3801, risk_score!A:A, risk_score!B:B, 0)</f>
        <v>Low Risk</v>
      </c>
    </row>
    <row r="3802" spans="1:14">
      <c r="A3802" s="2">
        <v>0.54047453703703707</v>
      </c>
      <c r="B3802" s="3">
        <v>44841</v>
      </c>
      <c r="C3802" s="1">
        <v>6224077124</v>
      </c>
      <c r="D3802" s="1">
        <v>4983670465</v>
      </c>
      <c r="E3802" s="1">
        <v>5165.92</v>
      </c>
      <c r="F3802" s="1" t="s">
        <v>12</v>
      </c>
      <c r="G3802" s="1" t="s">
        <v>12</v>
      </c>
      <c r="H3802" s="1" t="s">
        <v>13</v>
      </c>
      <c r="I3802" s="1" t="s">
        <v>13</v>
      </c>
      <c r="J3802" s="1" t="s">
        <v>22</v>
      </c>
      <c r="K3802" s="1">
        <v>0</v>
      </c>
      <c r="L3802" s="1" t="s">
        <v>21</v>
      </c>
      <c r="M3802" s="1" t="str">
        <f t="shared" si="60"/>
        <v>Consistent</v>
      </c>
      <c r="N3802" s="1" t="str">
        <f>_xlfn.XLOOKUP(H3802, risk_score!A:A, risk_score!B:B, 0)</f>
        <v>Low Risk</v>
      </c>
    </row>
    <row r="3803" spans="1:14">
      <c r="A3803" s="2">
        <v>0.5405092592592593</v>
      </c>
      <c r="B3803" s="3">
        <v>44841</v>
      </c>
      <c r="C3803" s="1">
        <v>369175348</v>
      </c>
      <c r="D3803" s="1">
        <v>1431561040</v>
      </c>
      <c r="E3803" s="1">
        <v>12217.72</v>
      </c>
      <c r="F3803" s="1" t="s">
        <v>12</v>
      </c>
      <c r="G3803" s="1" t="s">
        <v>12</v>
      </c>
      <c r="H3803" s="1" t="s">
        <v>13</v>
      </c>
      <c r="I3803" s="1" t="s">
        <v>13</v>
      </c>
      <c r="J3803" s="1" t="s">
        <v>22</v>
      </c>
      <c r="K3803" s="1">
        <v>0</v>
      </c>
      <c r="L3803" s="1" t="s">
        <v>23</v>
      </c>
      <c r="M3803" s="1" t="str">
        <f t="shared" si="60"/>
        <v>Consistent</v>
      </c>
      <c r="N3803" s="1" t="str">
        <f>_xlfn.XLOOKUP(H3803, risk_score!A:A, risk_score!B:B, 0)</f>
        <v>Low Risk</v>
      </c>
    </row>
    <row r="3804" spans="1:14">
      <c r="A3804" s="2">
        <v>0.5405092592592593</v>
      </c>
      <c r="B3804" s="3">
        <v>44841</v>
      </c>
      <c r="C3804" s="1">
        <v>7707725699</v>
      </c>
      <c r="D3804" s="1">
        <v>7424439461</v>
      </c>
      <c r="E3804" s="1">
        <v>8588.43</v>
      </c>
      <c r="F3804" s="1" t="s">
        <v>12</v>
      </c>
      <c r="G3804" s="1" t="s">
        <v>12</v>
      </c>
      <c r="H3804" s="1" t="s">
        <v>13</v>
      </c>
      <c r="I3804" s="1" t="s">
        <v>13</v>
      </c>
      <c r="J3804" s="1" t="s">
        <v>20</v>
      </c>
      <c r="K3804" s="1">
        <v>0</v>
      </c>
      <c r="L3804" s="1" t="s">
        <v>21</v>
      </c>
      <c r="M3804" s="1" t="str">
        <f t="shared" si="60"/>
        <v>Consistent</v>
      </c>
      <c r="N3804" s="1" t="str">
        <f>_xlfn.XLOOKUP(H3804, risk_score!A:A, risk_score!B:B, 0)</f>
        <v>Low Risk</v>
      </c>
    </row>
    <row r="3805" spans="1:14">
      <c r="A3805" s="2">
        <v>0.54056712962962961</v>
      </c>
      <c r="B3805" s="3">
        <v>44841</v>
      </c>
      <c r="C3805" s="1">
        <v>6456964355</v>
      </c>
      <c r="D3805" s="1">
        <v>6646502650</v>
      </c>
      <c r="E3805" s="1">
        <v>5662.65</v>
      </c>
      <c r="F3805" s="1" t="s">
        <v>12</v>
      </c>
      <c r="G3805" s="1" t="s">
        <v>29</v>
      </c>
      <c r="H3805" s="1" t="s">
        <v>13</v>
      </c>
      <c r="I3805" s="1" t="s">
        <v>31</v>
      </c>
      <c r="J3805" s="1" t="s">
        <v>18</v>
      </c>
      <c r="K3805" s="1">
        <v>0</v>
      </c>
      <c r="L3805" s="1" t="s">
        <v>23</v>
      </c>
      <c r="M3805" s="1" t="str">
        <f t="shared" si="60"/>
        <v>Potential Layering</v>
      </c>
      <c r="N3805" s="1" t="str">
        <f>_xlfn.XLOOKUP(H3805, risk_score!A:A, risk_score!B:B, 0)</f>
        <v>Low Risk</v>
      </c>
    </row>
    <row r="3806" spans="1:14">
      <c r="A3806" s="2">
        <v>0.54061342592592587</v>
      </c>
      <c r="B3806" s="3">
        <v>44841</v>
      </c>
      <c r="C3806" s="1">
        <v>6500267083</v>
      </c>
      <c r="D3806" s="1">
        <v>5466123934</v>
      </c>
      <c r="E3806" s="1">
        <v>8120.82</v>
      </c>
      <c r="F3806" s="1" t="s">
        <v>12</v>
      </c>
      <c r="G3806" s="1" t="s">
        <v>12</v>
      </c>
      <c r="H3806" s="1" t="s">
        <v>13</v>
      </c>
      <c r="I3806" s="1" t="s">
        <v>13</v>
      </c>
      <c r="J3806" s="1" t="s">
        <v>22</v>
      </c>
      <c r="K3806" s="1">
        <v>0</v>
      </c>
      <c r="L3806" s="1" t="s">
        <v>23</v>
      </c>
      <c r="M3806" s="1" t="str">
        <f t="shared" si="60"/>
        <v>Consistent</v>
      </c>
      <c r="N3806" s="1" t="str">
        <f>_xlfn.XLOOKUP(H3806, risk_score!A:A, risk_score!B:B, 0)</f>
        <v>Low Risk</v>
      </c>
    </row>
    <row r="3807" spans="1:14">
      <c r="A3807" s="2">
        <v>0.54065972222222225</v>
      </c>
      <c r="B3807" s="3">
        <v>44841</v>
      </c>
      <c r="C3807" s="1">
        <v>6116657264</v>
      </c>
      <c r="D3807" s="1">
        <v>7749320382</v>
      </c>
      <c r="E3807" s="1">
        <v>10820.86</v>
      </c>
      <c r="F3807" s="1" t="s">
        <v>12</v>
      </c>
      <c r="G3807" s="1" t="s">
        <v>12</v>
      </c>
      <c r="H3807" s="1" t="s">
        <v>13</v>
      </c>
      <c r="I3807" s="1" t="s">
        <v>13</v>
      </c>
      <c r="J3807" s="1" t="s">
        <v>22</v>
      </c>
      <c r="K3807" s="1">
        <v>0</v>
      </c>
      <c r="L3807" s="1" t="s">
        <v>19</v>
      </c>
      <c r="M3807" s="1" t="str">
        <f t="shared" si="60"/>
        <v>Consistent</v>
      </c>
      <c r="N3807" s="1" t="str">
        <f>_xlfn.XLOOKUP(H3807, risk_score!A:A, risk_score!B:B, 0)</f>
        <v>Low Risk</v>
      </c>
    </row>
    <row r="3808" spans="1:14">
      <c r="A3808" s="2">
        <v>0.54069444444444448</v>
      </c>
      <c r="B3808" s="3">
        <v>44841</v>
      </c>
      <c r="C3808" s="1">
        <v>2101877453</v>
      </c>
      <c r="D3808" s="1">
        <v>621060264</v>
      </c>
      <c r="E3808" s="1">
        <v>10437.69</v>
      </c>
      <c r="F3808" s="1" t="s">
        <v>12</v>
      </c>
      <c r="G3808" s="1" t="s">
        <v>12</v>
      </c>
      <c r="H3808" s="1" t="s">
        <v>13</v>
      </c>
      <c r="I3808" s="1" t="s">
        <v>13</v>
      </c>
      <c r="J3808" s="1" t="s">
        <v>22</v>
      </c>
      <c r="K3808" s="1">
        <v>0</v>
      </c>
      <c r="L3808" s="1" t="s">
        <v>23</v>
      </c>
      <c r="M3808" s="1" t="str">
        <f t="shared" si="60"/>
        <v>Consistent</v>
      </c>
      <c r="N3808" s="1" t="str">
        <f>_xlfn.XLOOKUP(H3808, risk_score!A:A, risk_score!B:B, 0)</f>
        <v>Low Risk</v>
      </c>
    </row>
    <row r="3809" spans="1:14">
      <c r="A3809" s="2">
        <v>0.54072916666666671</v>
      </c>
      <c r="B3809" s="3">
        <v>44841</v>
      </c>
      <c r="C3809" s="1">
        <v>5594881859</v>
      </c>
      <c r="D3809" s="1">
        <v>6188149181</v>
      </c>
      <c r="E3809" s="1">
        <v>1913.07</v>
      </c>
      <c r="F3809" s="1" t="s">
        <v>12</v>
      </c>
      <c r="G3809" s="1" t="s">
        <v>12</v>
      </c>
      <c r="H3809" s="1" t="s">
        <v>13</v>
      </c>
      <c r="I3809" s="1" t="s">
        <v>13</v>
      </c>
      <c r="J3809" s="1" t="s">
        <v>25</v>
      </c>
      <c r="K3809" s="1">
        <v>0</v>
      </c>
      <c r="L3809" s="1" t="s">
        <v>21</v>
      </c>
      <c r="M3809" s="1" t="str">
        <f t="shared" si="60"/>
        <v>Consistent</v>
      </c>
      <c r="N3809" s="1" t="str">
        <f>_xlfn.XLOOKUP(H3809, risk_score!A:A, risk_score!B:B, 0)</f>
        <v>Low Risk</v>
      </c>
    </row>
    <row r="3810" spans="1:14">
      <c r="A3810" s="2">
        <v>0.54075231481481478</v>
      </c>
      <c r="B3810" s="3">
        <v>44841</v>
      </c>
      <c r="C3810" s="1">
        <v>832407541</v>
      </c>
      <c r="D3810" s="1">
        <v>9603268691</v>
      </c>
      <c r="E3810" s="1">
        <v>412.29</v>
      </c>
      <c r="F3810" s="1" t="s">
        <v>12</v>
      </c>
      <c r="G3810" s="1" t="s">
        <v>12</v>
      </c>
      <c r="H3810" s="1" t="s">
        <v>13</v>
      </c>
      <c r="I3810" s="1" t="s">
        <v>13</v>
      </c>
      <c r="J3810" s="1" t="s">
        <v>20</v>
      </c>
      <c r="K3810" s="1">
        <v>0</v>
      </c>
      <c r="L3810" s="1" t="s">
        <v>21</v>
      </c>
      <c r="M3810" s="1" t="str">
        <f t="shared" si="60"/>
        <v>Consistent</v>
      </c>
      <c r="N3810" s="1" t="str">
        <f>_xlfn.XLOOKUP(H3810, risk_score!A:A, risk_score!B:B, 0)</f>
        <v>Low Risk</v>
      </c>
    </row>
    <row r="3811" spans="1:14">
      <c r="A3811" s="2">
        <v>0.54076388888888893</v>
      </c>
      <c r="B3811" s="3">
        <v>44841</v>
      </c>
      <c r="C3811" s="1">
        <v>7002889770</v>
      </c>
      <c r="D3811" s="1">
        <v>9763203015</v>
      </c>
      <c r="E3811" s="1">
        <v>1529.77</v>
      </c>
      <c r="F3811" s="1" t="s">
        <v>12</v>
      </c>
      <c r="G3811" s="1" t="s">
        <v>12</v>
      </c>
      <c r="H3811" s="1" t="s">
        <v>13</v>
      </c>
      <c r="I3811" s="1" t="s">
        <v>13</v>
      </c>
      <c r="J3811" s="1" t="s">
        <v>22</v>
      </c>
      <c r="K3811" s="1">
        <v>0</v>
      </c>
      <c r="L3811" s="1" t="s">
        <v>21</v>
      </c>
      <c r="M3811" s="1" t="str">
        <f t="shared" si="60"/>
        <v>Consistent</v>
      </c>
      <c r="N3811" s="1" t="str">
        <f>_xlfn.XLOOKUP(H3811, risk_score!A:A, risk_score!B:B, 0)</f>
        <v>Low Risk</v>
      </c>
    </row>
    <row r="3812" spans="1:14">
      <c r="A3812" s="2">
        <v>0.54079861111111116</v>
      </c>
      <c r="B3812" s="3">
        <v>44841</v>
      </c>
      <c r="C3812" s="1">
        <v>1378784400</v>
      </c>
      <c r="D3812" s="1">
        <v>8410469287</v>
      </c>
      <c r="E3812" s="1">
        <v>8958.43</v>
      </c>
      <c r="F3812" s="1" t="s">
        <v>12</v>
      </c>
      <c r="G3812" s="1" t="s">
        <v>12</v>
      </c>
      <c r="H3812" s="1" t="s">
        <v>13</v>
      </c>
      <c r="I3812" s="1" t="s">
        <v>13</v>
      </c>
      <c r="J3812" s="1" t="s">
        <v>22</v>
      </c>
      <c r="K3812" s="1">
        <v>0</v>
      </c>
      <c r="L3812" s="1" t="s">
        <v>19</v>
      </c>
      <c r="M3812" s="1" t="str">
        <f t="shared" si="60"/>
        <v>Consistent</v>
      </c>
      <c r="N3812" s="1" t="str">
        <f>_xlfn.XLOOKUP(H3812, risk_score!A:A, risk_score!B:B, 0)</f>
        <v>Low Risk</v>
      </c>
    </row>
    <row r="3813" spans="1:14">
      <c r="A3813" s="2">
        <v>0.54084490740740743</v>
      </c>
      <c r="B3813" s="3">
        <v>44841</v>
      </c>
      <c r="C3813" s="1">
        <v>8463742774</v>
      </c>
      <c r="D3813" s="1">
        <v>1465487567</v>
      </c>
      <c r="E3813" s="1">
        <v>15026.44</v>
      </c>
      <c r="F3813" s="1" t="s">
        <v>12</v>
      </c>
      <c r="G3813" s="1" t="s">
        <v>12</v>
      </c>
      <c r="H3813" s="1" t="s">
        <v>13</v>
      </c>
      <c r="I3813" s="1" t="s">
        <v>13</v>
      </c>
      <c r="J3813" s="1" t="s">
        <v>25</v>
      </c>
      <c r="K3813" s="1">
        <v>0</v>
      </c>
      <c r="L3813" s="1" t="s">
        <v>23</v>
      </c>
      <c r="M3813" s="1" t="str">
        <f t="shared" si="60"/>
        <v>Consistent</v>
      </c>
      <c r="N3813" s="1" t="str">
        <f>_xlfn.XLOOKUP(H3813, risk_score!A:A, risk_score!B:B, 0)</f>
        <v>Low Risk</v>
      </c>
    </row>
    <row r="3814" spans="1:14">
      <c r="A3814" s="2">
        <v>0.5408680555555555</v>
      </c>
      <c r="B3814" s="3">
        <v>44841</v>
      </c>
      <c r="C3814" s="1">
        <v>1382513766</v>
      </c>
      <c r="D3814" s="1">
        <v>6444220418</v>
      </c>
      <c r="E3814" s="1">
        <v>8551.86</v>
      </c>
      <c r="F3814" s="1" t="s">
        <v>12</v>
      </c>
      <c r="G3814" s="1" t="s">
        <v>12</v>
      </c>
      <c r="H3814" s="1" t="s">
        <v>13</v>
      </c>
      <c r="I3814" s="1" t="s">
        <v>13</v>
      </c>
      <c r="J3814" s="1" t="s">
        <v>25</v>
      </c>
      <c r="K3814" s="1">
        <v>0</v>
      </c>
      <c r="L3814" s="1" t="s">
        <v>23</v>
      </c>
      <c r="M3814" s="1" t="str">
        <f t="shared" si="60"/>
        <v>Consistent</v>
      </c>
      <c r="N3814" s="1" t="str">
        <f>_xlfn.XLOOKUP(H3814, risk_score!A:A, risk_score!B:B, 0)</f>
        <v>Low Risk</v>
      </c>
    </row>
    <row r="3815" spans="1:14">
      <c r="A3815" s="2">
        <v>0.54087962962962965</v>
      </c>
      <c r="B3815" s="3">
        <v>44841</v>
      </c>
      <c r="C3815" s="1">
        <v>5801455343</v>
      </c>
      <c r="D3815" s="1">
        <v>3449771733</v>
      </c>
      <c r="E3815" s="1">
        <v>720.61</v>
      </c>
      <c r="F3815" s="1" t="s">
        <v>12</v>
      </c>
      <c r="G3815" s="1" t="s">
        <v>12</v>
      </c>
      <c r="H3815" s="1" t="s">
        <v>13</v>
      </c>
      <c r="I3815" s="1" t="s">
        <v>13</v>
      </c>
      <c r="J3815" s="1" t="s">
        <v>22</v>
      </c>
      <c r="K3815" s="1">
        <v>0</v>
      </c>
      <c r="L3815" s="1" t="s">
        <v>21</v>
      </c>
      <c r="M3815" s="1" t="str">
        <f t="shared" si="60"/>
        <v>Consistent</v>
      </c>
      <c r="N3815" s="1" t="str">
        <f>_xlfn.XLOOKUP(H3815, risk_score!A:A, risk_score!B:B, 0)</f>
        <v>Low Risk</v>
      </c>
    </row>
    <row r="3816" spans="1:14">
      <c r="A3816" s="2">
        <v>0.54089120370370369</v>
      </c>
      <c r="B3816" s="3">
        <v>44841</v>
      </c>
      <c r="C3816" s="1">
        <v>3607428362</v>
      </c>
      <c r="D3816" s="1">
        <v>4480073652</v>
      </c>
      <c r="E3816" s="1">
        <v>258.2</v>
      </c>
      <c r="F3816" s="1" t="s">
        <v>12</v>
      </c>
      <c r="G3816" s="1" t="s">
        <v>12</v>
      </c>
      <c r="H3816" s="1" t="s">
        <v>13</v>
      </c>
      <c r="I3816" s="1" t="s">
        <v>13</v>
      </c>
      <c r="J3816" s="1" t="s">
        <v>14</v>
      </c>
      <c r="K3816" s="1">
        <v>0</v>
      </c>
      <c r="L3816" s="1" t="s">
        <v>15</v>
      </c>
      <c r="M3816" s="1" t="str">
        <f t="shared" si="60"/>
        <v>Consistent</v>
      </c>
      <c r="N3816" s="1" t="str">
        <f>_xlfn.XLOOKUP(H3816, risk_score!A:A, risk_score!B:B, 0)</f>
        <v>Low Risk</v>
      </c>
    </row>
    <row r="3817" spans="1:14">
      <c r="A3817" s="2">
        <v>0.54091435185185188</v>
      </c>
      <c r="B3817" s="3">
        <v>44841</v>
      </c>
      <c r="C3817" s="1">
        <v>4412198503</v>
      </c>
      <c r="D3817" s="1">
        <v>9671691553</v>
      </c>
      <c r="E3817" s="1">
        <v>161.09</v>
      </c>
      <c r="F3817" s="1" t="s">
        <v>12</v>
      </c>
      <c r="G3817" s="1" t="s">
        <v>12</v>
      </c>
      <c r="H3817" s="1" t="s">
        <v>13</v>
      </c>
      <c r="I3817" s="1" t="s">
        <v>13</v>
      </c>
      <c r="J3817" s="1" t="s">
        <v>20</v>
      </c>
      <c r="K3817" s="1">
        <v>0</v>
      </c>
      <c r="L3817" s="1" t="s">
        <v>21</v>
      </c>
      <c r="M3817" s="1" t="str">
        <f t="shared" si="60"/>
        <v>Consistent</v>
      </c>
      <c r="N3817" s="1" t="str">
        <f>_xlfn.XLOOKUP(H3817, risk_score!A:A, risk_score!B:B, 0)</f>
        <v>Low Risk</v>
      </c>
    </row>
    <row r="3818" spans="1:14">
      <c r="A3818" s="2">
        <v>0.54092592592592592</v>
      </c>
      <c r="B3818" s="3">
        <v>44841</v>
      </c>
      <c r="C3818" s="1">
        <v>3614082527</v>
      </c>
      <c r="D3818" s="1">
        <v>833800673</v>
      </c>
      <c r="E3818" s="1">
        <v>19706.62</v>
      </c>
      <c r="F3818" s="1" t="s">
        <v>12</v>
      </c>
      <c r="G3818" s="1" t="s">
        <v>12</v>
      </c>
      <c r="H3818" s="1" t="s">
        <v>13</v>
      </c>
      <c r="I3818" s="1" t="s">
        <v>13</v>
      </c>
      <c r="J3818" s="1" t="s">
        <v>22</v>
      </c>
      <c r="K3818" s="1">
        <v>0</v>
      </c>
      <c r="L3818" s="1" t="s">
        <v>19</v>
      </c>
      <c r="M3818" s="1" t="str">
        <f t="shared" si="60"/>
        <v>Consistent</v>
      </c>
      <c r="N3818" s="1" t="str">
        <f>_xlfn.XLOOKUP(H3818, risk_score!A:A, risk_score!B:B, 0)</f>
        <v>Low Risk</v>
      </c>
    </row>
    <row r="3819" spans="1:14">
      <c r="A3819" s="2">
        <v>0.54094907407407411</v>
      </c>
      <c r="B3819" s="3">
        <v>44841</v>
      </c>
      <c r="C3819" s="1">
        <v>5021785800</v>
      </c>
      <c r="D3819" s="1">
        <v>1883329014</v>
      </c>
      <c r="E3819" s="1">
        <v>8007.49</v>
      </c>
      <c r="F3819" s="1" t="s">
        <v>12</v>
      </c>
      <c r="G3819" s="1" t="s">
        <v>12</v>
      </c>
      <c r="H3819" s="1" t="s">
        <v>13</v>
      </c>
      <c r="I3819" s="1" t="s">
        <v>13</v>
      </c>
      <c r="J3819" s="1" t="s">
        <v>22</v>
      </c>
      <c r="K3819" s="1">
        <v>0</v>
      </c>
      <c r="L3819" s="1" t="s">
        <v>19</v>
      </c>
      <c r="M3819" s="1" t="str">
        <f t="shared" si="60"/>
        <v>Consistent</v>
      </c>
      <c r="N3819" s="1" t="str">
        <f>_xlfn.XLOOKUP(H3819, risk_score!A:A, risk_score!B:B, 0)</f>
        <v>Low Risk</v>
      </c>
    </row>
    <row r="3820" spans="1:14">
      <c r="A3820" s="2">
        <v>0.54094907407407411</v>
      </c>
      <c r="B3820" s="3">
        <v>44841</v>
      </c>
      <c r="C3820" s="1">
        <v>8544620861</v>
      </c>
      <c r="D3820" s="1">
        <v>3798163620</v>
      </c>
      <c r="E3820" s="1">
        <v>6401.14</v>
      </c>
      <c r="F3820" s="1" t="s">
        <v>12</v>
      </c>
      <c r="G3820" s="1" t="s">
        <v>12</v>
      </c>
      <c r="H3820" s="1" t="s">
        <v>13</v>
      </c>
      <c r="I3820" s="1" t="s">
        <v>13</v>
      </c>
      <c r="J3820" s="1" t="s">
        <v>27</v>
      </c>
      <c r="K3820" s="1">
        <v>0</v>
      </c>
      <c r="L3820" s="1" t="s">
        <v>24</v>
      </c>
      <c r="M3820" s="1" t="str">
        <f t="shared" si="60"/>
        <v>Consistent</v>
      </c>
      <c r="N3820" s="1" t="str">
        <f>_xlfn.XLOOKUP(H3820, risk_score!A:A, risk_score!B:B, 0)</f>
        <v>Low Risk</v>
      </c>
    </row>
    <row r="3821" spans="1:14">
      <c r="A3821" s="2">
        <v>0.54098379629629634</v>
      </c>
      <c r="B3821" s="3">
        <v>44841</v>
      </c>
      <c r="C3821" s="1">
        <v>5021785800</v>
      </c>
      <c r="D3821" s="1">
        <v>5064372260</v>
      </c>
      <c r="E3821" s="1">
        <v>10088.4</v>
      </c>
      <c r="F3821" s="1" t="s">
        <v>12</v>
      </c>
      <c r="G3821" s="1" t="s">
        <v>12</v>
      </c>
      <c r="H3821" s="1" t="s">
        <v>13</v>
      </c>
      <c r="I3821" s="1" t="s">
        <v>13</v>
      </c>
      <c r="J3821" s="1" t="s">
        <v>22</v>
      </c>
      <c r="K3821" s="1">
        <v>0</v>
      </c>
      <c r="L3821" s="1" t="s">
        <v>19</v>
      </c>
      <c r="M3821" s="1" t="str">
        <f t="shared" si="60"/>
        <v>Consistent</v>
      </c>
      <c r="N3821" s="1" t="str">
        <f>_xlfn.XLOOKUP(H3821, risk_score!A:A, risk_score!B:B, 0)</f>
        <v>Low Risk</v>
      </c>
    </row>
    <row r="3822" spans="1:14">
      <c r="A3822" s="2">
        <v>0.54099537037037038</v>
      </c>
      <c r="B3822" s="3">
        <v>44841</v>
      </c>
      <c r="C3822" s="1">
        <v>5021785800</v>
      </c>
      <c r="D3822" s="1">
        <v>8611137585</v>
      </c>
      <c r="E3822" s="1">
        <v>6201.21</v>
      </c>
      <c r="F3822" s="1" t="s">
        <v>12</v>
      </c>
      <c r="G3822" s="1" t="s">
        <v>12</v>
      </c>
      <c r="H3822" s="1" t="s">
        <v>13</v>
      </c>
      <c r="I3822" s="1" t="s">
        <v>13</v>
      </c>
      <c r="J3822" s="1" t="s">
        <v>25</v>
      </c>
      <c r="K3822" s="1">
        <v>0</v>
      </c>
      <c r="L3822" s="1" t="s">
        <v>19</v>
      </c>
      <c r="M3822" s="1" t="str">
        <f t="shared" si="60"/>
        <v>Consistent</v>
      </c>
      <c r="N3822" s="1" t="str">
        <f>_xlfn.XLOOKUP(H3822, risk_score!A:A, risk_score!B:B, 0)</f>
        <v>Low Risk</v>
      </c>
    </row>
    <row r="3823" spans="1:14">
      <c r="A3823" s="2">
        <v>0.54104166666666664</v>
      </c>
      <c r="B3823" s="3">
        <v>44841</v>
      </c>
      <c r="C3823" s="1">
        <v>6096368517</v>
      </c>
      <c r="D3823" s="1">
        <v>5676678400</v>
      </c>
      <c r="E3823" s="1">
        <v>2854.13</v>
      </c>
      <c r="F3823" s="1" t="s">
        <v>12</v>
      </c>
      <c r="G3823" s="1" t="s">
        <v>12</v>
      </c>
      <c r="H3823" s="1" t="s">
        <v>13</v>
      </c>
      <c r="I3823" s="1" t="s">
        <v>13</v>
      </c>
      <c r="J3823" s="1" t="s">
        <v>27</v>
      </c>
      <c r="K3823" s="1">
        <v>0</v>
      </c>
      <c r="L3823" s="1" t="s">
        <v>21</v>
      </c>
      <c r="M3823" s="1" t="str">
        <f t="shared" si="60"/>
        <v>Consistent</v>
      </c>
      <c r="N3823" s="1" t="str">
        <f>_xlfn.XLOOKUP(H3823, risk_score!A:A, risk_score!B:B, 0)</f>
        <v>Low Risk</v>
      </c>
    </row>
    <row r="3824" spans="1:14">
      <c r="A3824" s="2">
        <v>0.54109953703703706</v>
      </c>
      <c r="B3824" s="3">
        <v>44841</v>
      </c>
      <c r="C3824" s="1">
        <v>7501327339</v>
      </c>
      <c r="D3824" s="1">
        <v>881702872</v>
      </c>
      <c r="E3824" s="1">
        <v>8789.3799999999992</v>
      </c>
      <c r="F3824" s="1" t="s">
        <v>12</v>
      </c>
      <c r="G3824" s="1" t="s">
        <v>12</v>
      </c>
      <c r="H3824" s="1" t="s">
        <v>13</v>
      </c>
      <c r="I3824" s="1" t="s">
        <v>13</v>
      </c>
      <c r="J3824" s="1" t="s">
        <v>27</v>
      </c>
      <c r="K3824" s="1">
        <v>0</v>
      </c>
      <c r="L3824" s="1" t="s">
        <v>19</v>
      </c>
      <c r="M3824" s="1" t="str">
        <f t="shared" si="60"/>
        <v>Consistent</v>
      </c>
      <c r="N3824" s="1" t="str">
        <f>_xlfn.XLOOKUP(H3824, risk_score!A:A, risk_score!B:B, 0)</f>
        <v>Low Risk</v>
      </c>
    </row>
    <row r="3825" spans="1:14">
      <c r="A3825" s="2">
        <v>0.54113425925925929</v>
      </c>
      <c r="B3825" s="3">
        <v>44841</v>
      </c>
      <c r="C3825" s="1">
        <v>8150407247</v>
      </c>
      <c r="D3825" s="1">
        <v>9271533389</v>
      </c>
      <c r="E3825" s="1">
        <v>4881.08</v>
      </c>
      <c r="F3825" s="1" t="s">
        <v>12</v>
      </c>
      <c r="G3825" s="1" t="s">
        <v>12</v>
      </c>
      <c r="H3825" s="1" t="s">
        <v>13</v>
      </c>
      <c r="I3825" s="1" t="s">
        <v>13</v>
      </c>
      <c r="J3825" s="1" t="s">
        <v>14</v>
      </c>
      <c r="K3825" s="1">
        <v>0</v>
      </c>
      <c r="L3825" s="1" t="s">
        <v>15</v>
      </c>
      <c r="M3825" s="1" t="str">
        <f t="shared" si="60"/>
        <v>Consistent</v>
      </c>
      <c r="N3825" s="1" t="str">
        <f>_xlfn.XLOOKUP(H3825, risk_score!A:A, risk_score!B:B, 0)</f>
        <v>Low Risk</v>
      </c>
    </row>
    <row r="3826" spans="1:14">
      <c r="A3826" s="2">
        <v>0.54125000000000001</v>
      </c>
      <c r="B3826" s="3">
        <v>44841</v>
      </c>
      <c r="C3826" s="1">
        <v>2365007895</v>
      </c>
      <c r="D3826" s="1">
        <v>9797294707</v>
      </c>
      <c r="E3826" s="1">
        <v>9072.67</v>
      </c>
      <c r="F3826" s="1" t="s">
        <v>12</v>
      </c>
      <c r="G3826" s="1" t="s">
        <v>12</v>
      </c>
      <c r="H3826" s="1" t="s">
        <v>13</v>
      </c>
      <c r="I3826" s="1" t="s">
        <v>13</v>
      </c>
      <c r="J3826" s="1" t="s">
        <v>22</v>
      </c>
      <c r="K3826" s="1">
        <v>0</v>
      </c>
      <c r="L3826" s="1" t="s">
        <v>19</v>
      </c>
      <c r="M3826" s="1" t="str">
        <f t="shared" si="60"/>
        <v>Consistent</v>
      </c>
      <c r="N3826" s="1" t="str">
        <f>_xlfn.XLOOKUP(H3826, risk_score!A:A, risk_score!B:B, 0)</f>
        <v>Low Risk</v>
      </c>
    </row>
    <row r="3827" spans="1:14">
      <c r="A3827" s="2">
        <v>0.54126157407407405</v>
      </c>
      <c r="B3827" s="3">
        <v>44841</v>
      </c>
      <c r="C3827" s="1">
        <v>374414130</v>
      </c>
      <c r="D3827" s="1">
        <v>3220735304</v>
      </c>
      <c r="E3827" s="1">
        <v>10432</v>
      </c>
      <c r="F3827" s="1" t="s">
        <v>12</v>
      </c>
      <c r="G3827" s="1" t="s">
        <v>12</v>
      </c>
      <c r="H3827" s="1" t="s">
        <v>13</v>
      </c>
      <c r="I3827" s="1" t="s">
        <v>13</v>
      </c>
      <c r="J3827" s="1" t="s">
        <v>25</v>
      </c>
      <c r="K3827" s="1">
        <v>0</v>
      </c>
      <c r="L3827" s="1" t="s">
        <v>23</v>
      </c>
      <c r="M3827" s="1" t="str">
        <f t="shared" si="60"/>
        <v>Consistent</v>
      </c>
      <c r="N3827" s="1" t="str">
        <f>_xlfn.XLOOKUP(H3827, risk_score!A:A, risk_score!B:B, 0)</f>
        <v>Low Risk</v>
      </c>
    </row>
    <row r="3828" spans="1:14">
      <c r="A3828" s="2">
        <v>0.54130787037037043</v>
      </c>
      <c r="B3828" s="3">
        <v>44841</v>
      </c>
      <c r="C3828" s="1">
        <v>1688983889</v>
      </c>
      <c r="D3828" s="1">
        <v>9707335883</v>
      </c>
      <c r="E3828" s="1">
        <v>384.12</v>
      </c>
      <c r="F3828" s="1" t="s">
        <v>12</v>
      </c>
      <c r="G3828" s="1" t="s">
        <v>12</v>
      </c>
      <c r="H3828" s="1" t="s">
        <v>13</v>
      </c>
      <c r="I3828" s="1" t="s">
        <v>13</v>
      </c>
      <c r="J3828" s="1" t="s">
        <v>27</v>
      </c>
      <c r="K3828" s="1">
        <v>0</v>
      </c>
      <c r="L3828" s="1" t="s">
        <v>21</v>
      </c>
      <c r="M3828" s="1" t="str">
        <f t="shared" si="60"/>
        <v>Consistent</v>
      </c>
      <c r="N3828" s="1" t="str">
        <f>_xlfn.XLOOKUP(H3828, risk_score!A:A, risk_score!B:B, 0)</f>
        <v>Low Risk</v>
      </c>
    </row>
    <row r="3829" spans="1:14">
      <c r="A3829" s="2">
        <v>0.54131944444444446</v>
      </c>
      <c r="B3829" s="3">
        <v>44841</v>
      </c>
      <c r="C3829" s="1">
        <v>8389148416</v>
      </c>
      <c r="D3829" s="1">
        <v>66319223</v>
      </c>
      <c r="E3829" s="1">
        <v>8018.06</v>
      </c>
      <c r="F3829" s="1" t="s">
        <v>12</v>
      </c>
      <c r="G3829" s="1" t="s">
        <v>12</v>
      </c>
      <c r="H3829" s="1" t="s">
        <v>13</v>
      </c>
      <c r="I3829" s="1" t="s">
        <v>13</v>
      </c>
      <c r="J3829" s="1" t="s">
        <v>22</v>
      </c>
      <c r="K3829" s="1">
        <v>0</v>
      </c>
      <c r="L3829" s="1" t="s">
        <v>19</v>
      </c>
      <c r="M3829" s="1" t="str">
        <f t="shared" si="60"/>
        <v>Consistent</v>
      </c>
      <c r="N3829" s="1" t="str">
        <f>_xlfn.XLOOKUP(H3829, risk_score!A:A, risk_score!B:B, 0)</f>
        <v>Low Risk</v>
      </c>
    </row>
    <row r="3830" spans="1:14">
      <c r="A3830" s="2">
        <v>0.54131944444444446</v>
      </c>
      <c r="B3830" s="3">
        <v>44841</v>
      </c>
      <c r="C3830" s="1">
        <v>1551228889</v>
      </c>
      <c r="D3830" s="1">
        <v>9105769228</v>
      </c>
      <c r="E3830" s="1">
        <v>5899.69</v>
      </c>
      <c r="F3830" s="1" t="s">
        <v>12</v>
      </c>
      <c r="G3830" s="1" t="s">
        <v>12</v>
      </c>
      <c r="H3830" s="1" t="s">
        <v>13</v>
      </c>
      <c r="I3830" s="1" t="s">
        <v>13</v>
      </c>
      <c r="J3830" s="1" t="s">
        <v>20</v>
      </c>
      <c r="K3830" s="1">
        <v>0</v>
      </c>
      <c r="L3830" s="1" t="s">
        <v>23</v>
      </c>
      <c r="M3830" s="1" t="str">
        <f t="shared" si="60"/>
        <v>Consistent</v>
      </c>
      <c r="N3830" s="1" t="str">
        <f>_xlfn.XLOOKUP(H3830, risk_score!A:A, risk_score!B:B, 0)</f>
        <v>Low Risk</v>
      </c>
    </row>
    <row r="3831" spans="1:14">
      <c r="A3831" s="2">
        <v>0.54131944444444446</v>
      </c>
      <c r="B3831" s="3">
        <v>44841</v>
      </c>
      <c r="C3831" s="1">
        <v>805132319</v>
      </c>
      <c r="D3831" s="1">
        <v>1770180847</v>
      </c>
      <c r="E3831" s="1">
        <v>4175.79</v>
      </c>
      <c r="F3831" s="1" t="s">
        <v>12</v>
      </c>
      <c r="G3831" s="1" t="s">
        <v>12</v>
      </c>
      <c r="H3831" s="1" t="s">
        <v>13</v>
      </c>
      <c r="I3831" s="1" t="s">
        <v>13</v>
      </c>
      <c r="J3831" s="1" t="s">
        <v>25</v>
      </c>
      <c r="K3831" s="1">
        <v>0</v>
      </c>
      <c r="L3831" s="1" t="s">
        <v>21</v>
      </c>
      <c r="M3831" s="1" t="str">
        <f t="shared" si="60"/>
        <v>Consistent</v>
      </c>
      <c r="N3831" s="1" t="str">
        <f>_xlfn.XLOOKUP(H3831, risk_score!A:A, risk_score!B:B, 0)</f>
        <v>Low Risk</v>
      </c>
    </row>
    <row r="3832" spans="1:14">
      <c r="A3832" s="2">
        <v>0.54131944444444446</v>
      </c>
      <c r="B3832" s="3">
        <v>44841</v>
      </c>
      <c r="C3832" s="1">
        <v>7304266241</v>
      </c>
      <c r="D3832" s="1">
        <v>3131416737</v>
      </c>
      <c r="E3832" s="1">
        <v>17585.07</v>
      </c>
      <c r="F3832" s="1" t="s">
        <v>12</v>
      </c>
      <c r="G3832" s="1" t="s">
        <v>12</v>
      </c>
      <c r="H3832" s="1" t="s">
        <v>13</v>
      </c>
      <c r="I3832" s="1" t="s">
        <v>13</v>
      </c>
      <c r="J3832" s="1" t="s">
        <v>27</v>
      </c>
      <c r="K3832" s="1">
        <v>0</v>
      </c>
      <c r="L3832" s="1" t="s">
        <v>21</v>
      </c>
      <c r="M3832" s="1" t="str">
        <f t="shared" si="60"/>
        <v>Consistent</v>
      </c>
      <c r="N3832" s="1" t="str">
        <f>_xlfn.XLOOKUP(H3832, risk_score!A:A, risk_score!B:B, 0)</f>
        <v>Low Risk</v>
      </c>
    </row>
    <row r="3833" spans="1:14">
      <c r="A3833" s="2">
        <v>0.5413310185185185</v>
      </c>
      <c r="B3833" s="3">
        <v>44841</v>
      </c>
      <c r="C3833" s="1">
        <v>4737367377</v>
      </c>
      <c r="D3833" s="1">
        <v>9600420220</v>
      </c>
      <c r="E3833" s="1">
        <v>7908.16</v>
      </c>
      <c r="F3833" s="1" t="s">
        <v>12</v>
      </c>
      <c r="G3833" s="1" t="s">
        <v>12</v>
      </c>
      <c r="H3833" s="1" t="s">
        <v>13</v>
      </c>
      <c r="I3833" s="1" t="s">
        <v>13</v>
      </c>
      <c r="J3833" s="1" t="s">
        <v>25</v>
      </c>
      <c r="K3833" s="1">
        <v>0</v>
      </c>
      <c r="L3833" s="1" t="s">
        <v>23</v>
      </c>
      <c r="M3833" s="1" t="str">
        <f t="shared" si="60"/>
        <v>Consistent</v>
      </c>
      <c r="N3833" s="1" t="str">
        <f>_xlfn.XLOOKUP(H3833, risk_score!A:A, risk_score!B:B, 0)</f>
        <v>Low Risk</v>
      </c>
    </row>
    <row r="3834" spans="1:14">
      <c r="A3834" s="2">
        <v>0.5413310185185185</v>
      </c>
      <c r="B3834" s="3">
        <v>44841</v>
      </c>
      <c r="C3834" s="1">
        <v>9469442466</v>
      </c>
      <c r="D3834" s="1">
        <v>3066321263</v>
      </c>
      <c r="E3834" s="1">
        <v>18715.240000000002</v>
      </c>
      <c r="F3834" s="1" t="s">
        <v>12</v>
      </c>
      <c r="G3834" s="1" t="s">
        <v>12</v>
      </c>
      <c r="H3834" s="1" t="s">
        <v>13</v>
      </c>
      <c r="I3834" s="1" t="s">
        <v>13</v>
      </c>
      <c r="J3834" s="1" t="s">
        <v>25</v>
      </c>
      <c r="K3834" s="1">
        <v>0</v>
      </c>
      <c r="L3834" s="1" t="s">
        <v>23</v>
      </c>
      <c r="M3834" s="1" t="str">
        <f t="shared" si="60"/>
        <v>Consistent</v>
      </c>
      <c r="N3834" s="1" t="str">
        <f>_xlfn.XLOOKUP(H3834, risk_score!A:A, risk_score!B:B, 0)</f>
        <v>Low Risk</v>
      </c>
    </row>
    <row r="3835" spans="1:14">
      <c r="A3835" s="2">
        <v>0.54138888888888892</v>
      </c>
      <c r="B3835" s="3">
        <v>44841</v>
      </c>
      <c r="C3835" s="1">
        <v>3913884391</v>
      </c>
      <c r="D3835" s="1">
        <v>5965713780</v>
      </c>
      <c r="E3835" s="1">
        <v>1328.91</v>
      </c>
      <c r="F3835" s="1" t="s">
        <v>12</v>
      </c>
      <c r="G3835" s="1" t="s">
        <v>12</v>
      </c>
      <c r="H3835" s="1" t="s">
        <v>13</v>
      </c>
      <c r="I3835" s="1" t="s">
        <v>13</v>
      </c>
      <c r="J3835" s="1" t="s">
        <v>14</v>
      </c>
      <c r="K3835" s="1">
        <v>0</v>
      </c>
      <c r="L3835" s="1" t="s">
        <v>15</v>
      </c>
      <c r="M3835" s="1" t="str">
        <f t="shared" si="60"/>
        <v>Consistent</v>
      </c>
      <c r="N3835" s="1" t="str">
        <f>_xlfn.XLOOKUP(H3835, risk_score!A:A, risk_score!B:B, 0)</f>
        <v>Low Risk</v>
      </c>
    </row>
    <row r="3836" spans="1:14">
      <c r="A3836" s="2">
        <v>0.54142361111111115</v>
      </c>
      <c r="B3836" s="3">
        <v>44841</v>
      </c>
      <c r="C3836" s="1">
        <v>6086421020</v>
      </c>
      <c r="D3836" s="1">
        <v>674564051</v>
      </c>
      <c r="E3836" s="1">
        <v>14141.81</v>
      </c>
      <c r="F3836" s="1" t="s">
        <v>12</v>
      </c>
      <c r="G3836" s="1" t="s">
        <v>12</v>
      </c>
      <c r="H3836" s="1" t="s">
        <v>13</v>
      </c>
      <c r="I3836" s="1" t="s">
        <v>13</v>
      </c>
      <c r="J3836" s="1" t="s">
        <v>20</v>
      </c>
      <c r="K3836" s="1">
        <v>0</v>
      </c>
      <c r="L3836" s="1" t="s">
        <v>19</v>
      </c>
      <c r="M3836" s="1" t="str">
        <f t="shared" si="60"/>
        <v>Consistent</v>
      </c>
      <c r="N3836" s="1" t="str">
        <f>_xlfn.XLOOKUP(H3836, risk_score!A:A, risk_score!B:B, 0)</f>
        <v>Low Risk</v>
      </c>
    </row>
    <row r="3837" spans="1:14">
      <c r="A3837" s="2">
        <v>0.54150462962962964</v>
      </c>
      <c r="B3837" s="3">
        <v>44841</v>
      </c>
      <c r="C3837" s="1">
        <v>9242992240</v>
      </c>
      <c r="D3837" s="1">
        <v>4290876455</v>
      </c>
      <c r="E3837" s="1">
        <v>818.26</v>
      </c>
      <c r="F3837" s="1" t="s">
        <v>12</v>
      </c>
      <c r="G3837" s="1" t="s">
        <v>12</v>
      </c>
      <c r="H3837" s="1" t="s">
        <v>13</v>
      </c>
      <c r="I3837" s="1" t="s">
        <v>13</v>
      </c>
      <c r="J3837" s="1" t="s">
        <v>14</v>
      </c>
      <c r="K3837" s="1">
        <v>0</v>
      </c>
      <c r="L3837" s="1" t="s">
        <v>15</v>
      </c>
      <c r="M3837" s="1" t="str">
        <f t="shared" si="60"/>
        <v>Consistent</v>
      </c>
      <c r="N3837" s="1" t="str">
        <f>_xlfn.XLOOKUP(H3837, risk_score!A:A, risk_score!B:B, 0)</f>
        <v>Low Risk</v>
      </c>
    </row>
    <row r="3838" spans="1:14">
      <c r="A3838" s="2">
        <v>0.54151620370370368</v>
      </c>
      <c r="B3838" s="3">
        <v>44841</v>
      </c>
      <c r="C3838" s="1">
        <v>1378784400</v>
      </c>
      <c r="D3838" s="1">
        <v>8436759372</v>
      </c>
      <c r="E3838" s="1">
        <v>6175.76</v>
      </c>
      <c r="F3838" s="1" t="s">
        <v>12</v>
      </c>
      <c r="G3838" s="1" t="s">
        <v>12</v>
      </c>
      <c r="H3838" s="1" t="s">
        <v>13</v>
      </c>
      <c r="I3838" s="1" t="s">
        <v>13</v>
      </c>
      <c r="J3838" s="1" t="s">
        <v>20</v>
      </c>
      <c r="K3838" s="1">
        <v>0</v>
      </c>
      <c r="L3838" s="1" t="s">
        <v>19</v>
      </c>
      <c r="M3838" s="1" t="str">
        <f t="shared" si="60"/>
        <v>Consistent</v>
      </c>
      <c r="N3838" s="1" t="str">
        <f>_xlfn.XLOOKUP(H3838, risk_score!A:A, risk_score!B:B, 0)</f>
        <v>Low Risk</v>
      </c>
    </row>
    <row r="3839" spans="1:14">
      <c r="A3839" s="2">
        <v>0.54152777777777783</v>
      </c>
      <c r="B3839" s="3">
        <v>44841</v>
      </c>
      <c r="C3839" s="1">
        <v>6541552727</v>
      </c>
      <c r="D3839" s="1">
        <v>3844741692</v>
      </c>
      <c r="E3839" s="1">
        <v>10965.78</v>
      </c>
      <c r="F3839" s="1" t="s">
        <v>12</v>
      </c>
      <c r="G3839" s="1" t="s">
        <v>12</v>
      </c>
      <c r="H3839" s="1" t="s">
        <v>13</v>
      </c>
      <c r="I3839" s="1" t="s">
        <v>13</v>
      </c>
      <c r="J3839" s="1" t="s">
        <v>22</v>
      </c>
      <c r="K3839" s="1">
        <v>0</v>
      </c>
      <c r="L3839" s="1" t="s">
        <v>19</v>
      </c>
      <c r="M3839" s="1" t="str">
        <f t="shared" ref="M3839:M3902" si="61">IF(F3839=G3839, "Consistent", "Potential Layering")</f>
        <v>Consistent</v>
      </c>
      <c r="N3839" s="1" t="str">
        <f>_xlfn.XLOOKUP(H3839, risk_score!A:A, risk_score!B:B, 0)</f>
        <v>Low Risk</v>
      </c>
    </row>
    <row r="3840" spans="1:14">
      <c r="A3840" s="2">
        <v>0.54155092592592591</v>
      </c>
      <c r="B3840" s="3">
        <v>44841</v>
      </c>
      <c r="C3840" s="1">
        <v>2447373678</v>
      </c>
      <c r="D3840" s="1">
        <v>4625069658</v>
      </c>
      <c r="E3840" s="1">
        <v>527.9</v>
      </c>
      <c r="F3840" s="1" t="s">
        <v>12</v>
      </c>
      <c r="G3840" s="1" t="s">
        <v>12</v>
      </c>
      <c r="H3840" s="1" t="s">
        <v>13</v>
      </c>
      <c r="I3840" s="1" t="s">
        <v>13</v>
      </c>
      <c r="J3840" s="1" t="s">
        <v>20</v>
      </c>
      <c r="K3840" s="1">
        <v>0</v>
      </c>
      <c r="L3840" s="1" t="s">
        <v>21</v>
      </c>
      <c r="M3840" s="1" t="str">
        <f t="shared" si="61"/>
        <v>Consistent</v>
      </c>
      <c r="N3840" s="1" t="str">
        <f>_xlfn.XLOOKUP(H3840, risk_score!A:A, risk_score!B:B, 0)</f>
        <v>Low Risk</v>
      </c>
    </row>
    <row r="3841" spans="1:14">
      <c r="A3841" s="2">
        <v>0.54156249999999995</v>
      </c>
      <c r="B3841" s="3">
        <v>44841</v>
      </c>
      <c r="C3841" s="1">
        <v>7674756610</v>
      </c>
      <c r="D3841" s="1">
        <v>4336977506</v>
      </c>
      <c r="E3841" s="1">
        <v>13237.19</v>
      </c>
      <c r="F3841" s="1" t="s">
        <v>12</v>
      </c>
      <c r="G3841" s="1" t="s">
        <v>12</v>
      </c>
      <c r="H3841" s="1" t="s">
        <v>13</v>
      </c>
      <c r="I3841" s="1" t="s">
        <v>13</v>
      </c>
      <c r="J3841" s="1" t="s">
        <v>25</v>
      </c>
      <c r="K3841" s="1">
        <v>0</v>
      </c>
      <c r="L3841" s="1" t="s">
        <v>23</v>
      </c>
      <c r="M3841" s="1" t="str">
        <f t="shared" si="61"/>
        <v>Consistent</v>
      </c>
      <c r="N3841" s="1" t="str">
        <f>_xlfn.XLOOKUP(H3841, risk_score!A:A, risk_score!B:B, 0)</f>
        <v>Low Risk</v>
      </c>
    </row>
    <row r="3842" spans="1:14">
      <c r="A3842" s="2">
        <v>0.5415740740740741</v>
      </c>
      <c r="B3842" s="3">
        <v>44841</v>
      </c>
      <c r="C3842" s="1">
        <v>1996285523</v>
      </c>
      <c r="D3842" s="1">
        <v>8518184956</v>
      </c>
      <c r="E3842" s="1">
        <v>15740.03</v>
      </c>
      <c r="F3842" s="1" t="s">
        <v>12</v>
      </c>
      <c r="G3842" s="1" t="s">
        <v>12</v>
      </c>
      <c r="H3842" s="1" t="s">
        <v>13</v>
      </c>
      <c r="I3842" s="1" t="s">
        <v>13</v>
      </c>
      <c r="J3842" s="1" t="s">
        <v>22</v>
      </c>
      <c r="K3842" s="1">
        <v>0</v>
      </c>
      <c r="L3842" s="1" t="s">
        <v>23</v>
      </c>
      <c r="M3842" s="1" t="str">
        <f t="shared" si="61"/>
        <v>Consistent</v>
      </c>
      <c r="N3842" s="1" t="str">
        <f>_xlfn.XLOOKUP(H3842, risk_score!A:A, risk_score!B:B, 0)</f>
        <v>Low Risk</v>
      </c>
    </row>
    <row r="3843" spans="1:14">
      <c r="A3843" s="2">
        <v>0.54158564814814814</v>
      </c>
      <c r="B3843" s="3">
        <v>44841</v>
      </c>
      <c r="C3843" s="1">
        <v>5708403349</v>
      </c>
      <c r="D3843" s="1">
        <v>7189249650</v>
      </c>
      <c r="E3843" s="1">
        <v>973.53</v>
      </c>
      <c r="F3843" s="1" t="s">
        <v>12</v>
      </c>
      <c r="G3843" s="1" t="s">
        <v>12</v>
      </c>
      <c r="H3843" s="1" t="s">
        <v>13</v>
      </c>
      <c r="I3843" s="1" t="s">
        <v>13</v>
      </c>
      <c r="J3843" s="1" t="s">
        <v>22</v>
      </c>
      <c r="K3843" s="1">
        <v>0</v>
      </c>
      <c r="L3843" s="1" t="s">
        <v>21</v>
      </c>
      <c r="M3843" s="1" t="str">
        <f t="shared" si="61"/>
        <v>Consistent</v>
      </c>
      <c r="N3843" s="1" t="str">
        <f>_xlfn.XLOOKUP(H3843, risk_score!A:A, risk_score!B:B, 0)</f>
        <v>Low Risk</v>
      </c>
    </row>
    <row r="3844" spans="1:14">
      <c r="A3844" s="2">
        <v>0.54159722222222217</v>
      </c>
      <c r="B3844" s="3">
        <v>44841</v>
      </c>
      <c r="C3844" s="1">
        <v>2310443897</v>
      </c>
      <c r="D3844" s="1">
        <v>3844054762</v>
      </c>
      <c r="E3844" s="1">
        <v>478.64</v>
      </c>
      <c r="F3844" s="1" t="s">
        <v>12</v>
      </c>
      <c r="G3844" s="1" t="s">
        <v>12</v>
      </c>
      <c r="H3844" s="1" t="s">
        <v>13</v>
      </c>
      <c r="I3844" s="1" t="s">
        <v>13</v>
      </c>
      <c r="J3844" s="1" t="s">
        <v>27</v>
      </c>
      <c r="K3844" s="1">
        <v>0</v>
      </c>
      <c r="L3844" s="1" t="s">
        <v>21</v>
      </c>
      <c r="M3844" s="1" t="str">
        <f t="shared" si="61"/>
        <v>Consistent</v>
      </c>
      <c r="N3844" s="1" t="str">
        <f>_xlfn.XLOOKUP(H3844, risk_score!A:A, risk_score!B:B, 0)</f>
        <v>Low Risk</v>
      </c>
    </row>
    <row r="3845" spans="1:14">
      <c r="A3845" s="2">
        <v>0.54160879629629632</v>
      </c>
      <c r="B3845" s="3">
        <v>44841</v>
      </c>
      <c r="C3845" s="1">
        <v>9100957331</v>
      </c>
      <c r="D3845" s="1">
        <v>8518184956</v>
      </c>
      <c r="E3845" s="1">
        <v>6371.52</v>
      </c>
      <c r="F3845" s="1" t="s">
        <v>12</v>
      </c>
      <c r="G3845" s="1" t="s">
        <v>12</v>
      </c>
      <c r="H3845" s="1" t="s">
        <v>13</v>
      </c>
      <c r="I3845" s="1" t="s">
        <v>13</v>
      </c>
      <c r="J3845" s="1" t="s">
        <v>22</v>
      </c>
      <c r="K3845" s="1">
        <v>0</v>
      </c>
      <c r="L3845" s="1" t="s">
        <v>23</v>
      </c>
      <c r="M3845" s="1" t="str">
        <f t="shared" si="61"/>
        <v>Consistent</v>
      </c>
      <c r="N3845" s="1" t="str">
        <f>_xlfn.XLOOKUP(H3845, risk_score!A:A, risk_score!B:B, 0)</f>
        <v>Low Risk</v>
      </c>
    </row>
    <row r="3846" spans="1:14">
      <c r="A3846" s="2">
        <v>0.54164351851851855</v>
      </c>
      <c r="B3846" s="3">
        <v>44841</v>
      </c>
      <c r="C3846" s="1">
        <v>6305611995</v>
      </c>
      <c r="D3846" s="1">
        <v>1289072017</v>
      </c>
      <c r="E3846" s="1">
        <v>3175.62</v>
      </c>
      <c r="F3846" s="1" t="s">
        <v>12</v>
      </c>
      <c r="G3846" s="1" t="s">
        <v>12</v>
      </c>
      <c r="H3846" s="1" t="s">
        <v>13</v>
      </c>
      <c r="I3846" s="1" t="s">
        <v>13</v>
      </c>
      <c r="J3846" s="1" t="s">
        <v>14</v>
      </c>
      <c r="K3846" s="1">
        <v>0</v>
      </c>
      <c r="L3846" s="1" t="s">
        <v>15</v>
      </c>
      <c r="M3846" s="1" t="str">
        <f t="shared" si="61"/>
        <v>Consistent</v>
      </c>
      <c r="N3846" s="1" t="str">
        <f>_xlfn.XLOOKUP(H3846, risk_score!A:A, risk_score!B:B, 0)</f>
        <v>Low Risk</v>
      </c>
    </row>
    <row r="3847" spans="1:14">
      <c r="A3847" s="2">
        <v>0.54165509259259259</v>
      </c>
      <c r="B3847" s="3">
        <v>44841</v>
      </c>
      <c r="C3847" s="1">
        <v>7252414916</v>
      </c>
      <c r="D3847" s="1">
        <v>621060264</v>
      </c>
      <c r="E3847" s="1">
        <v>36245.75</v>
      </c>
      <c r="F3847" s="1" t="s">
        <v>12</v>
      </c>
      <c r="G3847" s="1" t="s">
        <v>12</v>
      </c>
      <c r="H3847" s="1" t="s">
        <v>13</v>
      </c>
      <c r="I3847" s="1" t="s">
        <v>13</v>
      </c>
      <c r="J3847" s="1" t="s">
        <v>27</v>
      </c>
      <c r="K3847" s="1">
        <v>0</v>
      </c>
      <c r="L3847" s="1" t="s">
        <v>23</v>
      </c>
      <c r="M3847" s="1" t="str">
        <f t="shared" si="61"/>
        <v>Consistent</v>
      </c>
      <c r="N3847" s="1" t="str">
        <f>_xlfn.XLOOKUP(H3847, risk_score!A:A, risk_score!B:B, 0)</f>
        <v>Low Risk</v>
      </c>
    </row>
    <row r="3848" spans="1:14">
      <c r="A3848" s="2">
        <v>0.54168981481481482</v>
      </c>
      <c r="B3848" s="3">
        <v>44841</v>
      </c>
      <c r="C3848" s="1">
        <v>3168051873</v>
      </c>
      <c r="D3848" s="1">
        <v>6160971830</v>
      </c>
      <c r="E3848" s="1">
        <v>5823.28</v>
      </c>
      <c r="F3848" s="1" t="s">
        <v>12</v>
      </c>
      <c r="G3848" s="1" t="s">
        <v>12</v>
      </c>
      <c r="H3848" s="1" t="s">
        <v>13</v>
      </c>
      <c r="I3848" s="1" t="s">
        <v>13</v>
      </c>
      <c r="J3848" s="1" t="s">
        <v>25</v>
      </c>
      <c r="K3848" s="1">
        <v>0</v>
      </c>
      <c r="L3848" s="1" t="s">
        <v>19</v>
      </c>
      <c r="M3848" s="1" t="str">
        <f t="shared" si="61"/>
        <v>Consistent</v>
      </c>
      <c r="N3848" s="1" t="str">
        <f>_xlfn.XLOOKUP(H3848, risk_score!A:A, risk_score!B:B, 0)</f>
        <v>Low Risk</v>
      </c>
    </row>
    <row r="3849" spans="1:14">
      <c r="A3849" s="2">
        <v>0.54172453703703705</v>
      </c>
      <c r="B3849" s="3">
        <v>44841</v>
      </c>
      <c r="C3849" s="1">
        <v>7315251649</v>
      </c>
      <c r="D3849" s="1">
        <v>1712962258</v>
      </c>
      <c r="E3849" s="1">
        <v>1883.53</v>
      </c>
      <c r="F3849" s="1" t="s">
        <v>12</v>
      </c>
      <c r="G3849" s="1" t="s">
        <v>12</v>
      </c>
      <c r="H3849" s="1" t="s">
        <v>13</v>
      </c>
      <c r="I3849" s="1" t="s">
        <v>13</v>
      </c>
      <c r="J3849" s="1" t="s">
        <v>14</v>
      </c>
      <c r="K3849" s="1">
        <v>0</v>
      </c>
      <c r="L3849" s="1" t="s">
        <v>15</v>
      </c>
      <c r="M3849" s="1" t="str">
        <f t="shared" si="61"/>
        <v>Consistent</v>
      </c>
      <c r="N3849" s="1" t="str">
        <f>_xlfn.XLOOKUP(H3849, risk_score!A:A, risk_score!B:B, 0)</f>
        <v>Low Risk</v>
      </c>
    </row>
    <row r="3850" spans="1:14">
      <c r="A3850" s="2">
        <v>0.54173611111111108</v>
      </c>
      <c r="B3850" s="3">
        <v>44841</v>
      </c>
      <c r="C3850" s="1">
        <v>3213805967</v>
      </c>
      <c r="D3850" s="1">
        <v>9600420220</v>
      </c>
      <c r="E3850" s="1">
        <v>14298.42</v>
      </c>
      <c r="F3850" s="1" t="s">
        <v>12</v>
      </c>
      <c r="G3850" s="1" t="s">
        <v>12</v>
      </c>
      <c r="H3850" s="1" t="s">
        <v>13</v>
      </c>
      <c r="I3850" s="1" t="s">
        <v>13</v>
      </c>
      <c r="J3850" s="1" t="s">
        <v>27</v>
      </c>
      <c r="K3850" s="1">
        <v>0</v>
      </c>
      <c r="L3850" s="1" t="s">
        <v>23</v>
      </c>
      <c r="M3850" s="1" t="str">
        <f t="shared" si="61"/>
        <v>Consistent</v>
      </c>
      <c r="N3850" s="1" t="str">
        <f>_xlfn.XLOOKUP(H3850, risk_score!A:A, risk_score!B:B, 0)</f>
        <v>Low Risk</v>
      </c>
    </row>
    <row r="3851" spans="1:14">
      <c r="A3851" s="2">
        <v>0.54174768518518523</v>
      </c>
      <c r="B3851" s="3">
        <v>44841</v>
      </c>
      <c r="C3851" s="1">
        <v>6094346971</v>
      </c>
      <c r="D3851" s="1">
        <v>2781245873</v>
      </c>
      <c r="E3851" s="1">
        <v>1972.51</v>
      </c>
      <c r="F3851" s="1" t="s">
        <v>12</v>
      </c>
      <c r="G3851" s="1" t="s">
        <v>12</v>
      </c>
      <c r="H3851" s="1" t="s">
        <v>13</v>
      </c>
      <c r="I3851" s="1" t="s">
        <v>13</v>
      </c>
      <c r="J3851" s="1" t="s">
        <v>22</v>
      </c>
      <c r="K3851" s="1">
        <v>0</v>
      </c>
      <c r="L3851" s="1" t="s">
        <v>21</v>
      </c>
      <c r="M3851" s="1" t="str">
        <f t="shared" si="61"/>
        <v>Consistent</v>
      </c>
      <c r="N3851" s="1" t="str">
        <f>_xlfn.XLOOKUP(H3851, risk_score!A:A, risk_score!B:B, 0)</f>
        <v>Low Risk</v>
      </c>
    </row>
    <row r="3852" spans="1:14">
      <c r="A3852" s="2">
        <v>0.54185185185185181</v>
      </c>
      <c r="B3852" s="3">
        <v>44841</v>
      </c>
      <c r="C3852" s="1">
        <v>3408749958</v>
      </c>
      <c r="D3852" s="1">
        <v>1367513792</v>
      </c>
      <c r="E3852" s="1">
        <v>2066.16</v>
      </c>
      <c r="F3852" s="1" t="s">
        <v>12</v>
      </c>
      <c r="G3852" s="1" t="s">
        <v>12</v>
      </c>
      <c r="H3852" s="1" t="s">
        <v>13</v>
      </c>
      <c r="I3852" s="1" t="s">
        <v>13</v>
      </c>
      <c r="J3852" s="1" t="s">
        <v>20</v>
      </c>
      <c r="K3852" s="1">
        <v>0</v>
      </c>
      <c r="L3852" s="1" t="s">
        <v>21</v>
      </c>
      <c r="M3852" s="1" t="str">
        <f t="shared" si="61"/>
        <v>Consistent</v>
      </c>
      <c r="N3852" s="1" t="str">
        <f>_xlfn.XLOOKUP(H3852, risk_score!A:A, risk_score!B:B, 0)</f>
        <v>Low Risk</v>
      </c>
    </row>
    <row r="3853" spans="1:14">
      <c r="A3853" s="2">
        <v>0.54192129629629626</v>
      </c>
      <c r="B3853" s="3">
        <v>44841</v>
      </c>
      <c r="C3853" s="1">
        <v>1915450576</v>
      </c>
      <c r="D3853" s="1">
        <v>7315208637</v>
      </c>
      <c r="E3853" s="1">
        <v>6523.95</v>
      </c>
      <c r="F3853" s="1" t="s">
        <v>12</v>
      </c>
      <c r="G3853" s="1" t="s">
        <v>12</v>
      </c>
      <c r="H3853" s="1" t="s">
        <v>13</v>
      </c>
      <c r="I3853" s="1" t="s">
        <v>13</v>
      </c>
      <c r="J3853" s="1" t="s">
        <v>25</v>
      </c>
      <c r="K3853" s="1">
        <v>0</v>
      </c>
      <c r="L3853" s="1" t="s">
        <v>19</v>
      </c>
      <c r="M3853" s="1" t="str">
        <f t="shared" si="61"/>
        <v>Consistent</v>
      </c>
      <c r="N3853" s="1" t="str">
        <f>_xlfn.XLOOKUP(H3853, risk_score!A:A, risk_score!B:B, 0)</f>
        <v>Low Risk</v>
      </c>
    </row>
    <row r="3854" spans="1:14">
      <c r="A3854" s="2">
        <v>0.54193287037037041</v>
      </c>
      <c r="B3854" s="3">
        <v>44841</v>
      </c>
      <c r="C3854" s="1">
        <v>3614082527</v>
      </c>
      <c r="D3854" s="1">
        <v>5318241045</v>
      </c>
      <c r="E3854" s="1">
        <v>8356.9699999999993</v>
      </c>
      <c r="F3854" s="1" t="s">
        <v>12</v>
      </c>
      <c r="G3854" s="1" t="s">
        <v>44</v>
      </c>
      <c r="H3854" s="1" t="s">
        <v>13</v>
      </c>
      <c r="I3854" s="1" t="s">
        <v>45</v>
      </c>
      <c r="J3854" s="1" t="s">
        <v>18</v>
      </c>
      <c r="K3854" s="1">
        <v>0</v>
      </c>
      <c r="L3854" s="1" t="s">
        <v>19</v>
      </c>
      <c r="M3854" s="1" t="str">
        <f t="shared" si="61"/>
        <v>Potential Layering</v>
      </c>
      <c r="N3854" s="1" t="str">
        <f>_xlfn.XLOOKUP(H3854, risk_score!A:A, risk_score!B:B, 0)</f>
        <v>Low Risk</v>
      </c>
    </row>
    <row r="3855" spans="1:14">
      <c r="A3855" s="2">
        <v>0.54194444444444445</v>
      </c>
      <c r="B3855" s="3">
        <v>44841</v>
      </c>
      <c r="C3855" s="1">
        <v>9103659322</v>
      </c>
      <c r="D3855" s="1">
        <v>5547718525</v>
      </c>
      <c r="E3855" s="1">
        <v>2060.21</v>
      </c>
      <c r="F3855" s="1" t="s">
        <v>12</v>
      </c>
      <c r="G3855" s="1" t="s">
        <v>12</v>
      </c>
      <c r="H3855" s="1" t="s">
        <v>13</v>
      </c>
      <c r="I3855" s="1" t="s">
        <v>13</v>
      </c>
      <c r="J3855" s="1" t="s">
        <v>20</v>
      </c>
      <c r="K3855" s="1">
        <v>0</v>
      </c>
      <c r="L3855" s="1" t="s">
        <v>38</v>
      </c>
      <c r="M3855" s="1" t="str">
        <f t="shared" si="61"/>
        <v>Consistent</v>
      </c>
      <c r="N3855" s="1" t="str">
        <f>_xlfn.XLOOKUP(H3855, risk_score!A:A, risk_score!B:B, 0)</f>
        <v>Low Risk</v>
      </c>
    </row>
    <row r="3856" spans="1:14">
      <c r="A3856" s="2">
        <v>0.54212962962962963</v>
      </c>
      <c r="B3856" s="3">
        <v>44841</v>
      </c>
      <c r="C3856" s="1">
        <v>2699549684</v>
      </c>
      <c r="D3856" s="1">
        <v>7308503741</v>
      </c>
      <c r="E3856" s="1">
        <v>5081.3599999999997</v>
      </c>
      <c r="F3856" s="1" t="s">
        <v>12</v>
      </c>
      <c r="G3856" s="1" t="s">
        <v>12</v>
      </c>
      <c r="H3856" s="1" t="s">
        <v>13</v>
      </c>
      <c r="I3856" s="1" t="s">
        <v>13</v>
      </c>
      <c r="J3856" s="1" t="s">
        <v>14</v>
      </c>
      <c r="K3856" s="1">
        <v>0</v>
      </c>
      <c r="L3856" s="1" t="s">
        <v>15</v>
      </c>
      <c r="M3856" s="1" t="str">
        <f t="shared" si="61"/>
        <v>Consistent</v>
      </c>
      <c r="N3856" s="1" t="str">
        <f>_xlfn.XLOOKUP(H3856, risk_score!A:A, risk_score!B:B, 0)</f>
        <v>Low Risk</v>
      </c>
    </row>
    <row r="3857" spans="1:14">
      <c r="A3857" s="2">
        <v>0.54212962962962963</v>
      </c>
      <c r="B3857" s="3">
        <v>44841</v>
      </c>
      <c r="C3857" s="1">
        <v>6086421020</v>
      </c>
      <c r="D3857" s="1">
        <v>8785037379</v>
      </c>
      <c r="E3857" s="1">
        <v>8218.75</v>
      </c>
      <c r="F3857" s="1" t="s">
        <v>12</v>
      </c>
      <c r="G3857" s="1" t="s">
        <v>12</v>
      </c>
      <c r="H3857" s="1" t="s">
        <v>13</v>
      </c>
      <c r="I3857" s="1" t="s">
        <v>13</v>
      </c>
      <c r="J3857" s="1" t="s">
        <v>20</v>
      </c>
      <c r="K3857" s="1">
        <v>0</v>
      </c>
      <c r="L3857" s="1" t="s">
        <v>19</v>
      </c>
      <c r="M3857" s="1" t="str">
        <f t="shared" si="61"/>
        <v>Consistent</v>
      </c>
      <c r="N3857" s="1" t="str">
        <f>_xlfn.XLOOKUP(H3857, risk_score!A:A, risk_score!B:B, 0)</f>
        <v>Low Risk</v>
      </c>
    </row>
    <row r="3858" spans="1:14">
      <c r="A3858" s="2">
        <v>0.54215277777777782</v>
      </c>
      <c r="B3858" s="3">
        <v>44841</v>
      </c>
      <c r="C3858" s="1">
        <v>4746860563</v>
      </c>
      <c r="D3858" s="1">
        <v>6251667539</v>
      </c>
      <c r="E3858" s="1">
        <v>1604.87</v>
      </c>
      <c r="F3858" s="1" t="s">
        <v>12</v>
      </c>
      <c r="G3858" s="1" t="s">
        <v>12</v>
      </c>
      <c r="H3858" s="1" t="s">
        <v>13</v>
      </c>
      <c r="I3858" s="1" t="s">
        <v>13</v>
      </c>
      <c r="J3858" s="1" t="s">
        <v>27</v>
      </c>
      <c r="K3858" s="1">
        <v>0</v>
      </c>
      <c r="L3858" s="1" t="s">
        <v>21</v>
      </c>
      <c r="M3858" s="1" t="str">
        <f t="shared" si="61"/>
        <v>Consistent</v>
      </c>
      <c r="N3858" s="1" t="str">
        <f>_xlfn.XLOOKUP(H3858, risk_score!A:A, risk_score!B:B, 0)</f>
        <v>Low Risk</v>
      </c>
    </row>
    <row r="3859" spans="1:14">
      <c r="A3859" s="2">
        <v>0.54222222222222227</v>
      </c>
      <c r="B3859" s="3">
        <v>44841</v>
      </c>
      <c r="C3859" s="1">
        <v>6086421020</v>
      </c>
      <c r="D3859" s="1">
        <v>2415686992</v>
      </c>
      <c r="E3859" s="1">
        <v>4560.5200000000004</v>
      </c>
      <c r="F3859" s="1" t="s">
        <v>12</v>
      </c>
      <c r="G3859" s="1" t="s">
        <v>12</v>
      </c>
      <c r="H3859" s="1" t="s">
        <v>13</v>
      </c>
      <c r="I3859" s="1" t="s">
        <v>13</v>
      </c>
      <c r="J3859" s="1" t="s">
        <v>22</v>
      </c>
      <c r="K3859" s="1">
        <v>0</v>
      </c>
      <c r="L3859" s="1" t="s">
        <v>19</v>
      </c>
      <c r="M3859" s="1" t="str">
        <f t="shared" si="61"/>
        <v>Consistent</v>
      </c>
      <c r="N3859" s="1" t="str">
        <f>_xlfn.XLOOKUP(H3859, risk_score!A:A, risk_score!B:B, 0)</f>
        <v>Low Risk</v>
      </c>
    </row>
    <row r="3860" spans="1:14">
      <c r="A3860" s="2">
        <v>0.54223379629629631</v>
      </c>
      <c r="B3860" s="3">
        <v>44841</v>
      </c>
      <c r="C3860" s="1">
        <v>7634512819</v>
      </c>
      <c r="D3860" s="1">
        <v>1431561040</v>
      </c>
      <c r="E3860" s="1">
        <v>16498.189999999999</v>
      </c>
      <c r="F3860" s="1" t="s">
        <v>12</v>
      </c>
      <c r="G3860" s="1" t="s">
        <v>12</v>
      </c>
      <c r="H3860" s="1" t="s">
        <v>13</v>
      </c>
      <c r="I3860" s="1" t="s">
        <v>13</v>
      </c>
      <c r="J3860" s="1" t="s">
        <v>27</v>
      </c>
      <c r="K3860" s="1">
        <v>0</v>
      </c>
      <c r="L3860" s="1" t="s">
        <v>23</v>
      </c>
      <c r="M3860" s="1" t="str">
        <f t="shared" si="61"/>
        <v>Consistent</v>
      </c>
      <c r="N3860" s="1" t="str">
        <f>_xlfn.XLOOKUP(H3860, risk_score!A:A, risk_score!B:B, 0)</f>
        <v>Low Risk</v>
      </c>
    </row>
    <row r="3861" spans="1:14">
      <c r="A3861" s="2">
        <v>0.54223379629629631</v>
      </c>
      <c r="B3861" s="3">
        <v>44841</v>
      </c>
      <c r="C3861" s="1">
        <v>4898931369</v>
      </c>
      <c r="D3861" s="1">
        <v>4776681852</v>
      </c>
      <c r="E3861" s="1">
        <v>3362.06</v>
      </c>
      <c r="F3861" s="1" t="s">
        <v>12</v>
      </c>
      <c r="G3861" s="1" t="s">
        <v>12</v>
      </c>
      <c r="H3861" s="1" t="s">
        <v>13</v>
      </c>
      <c r="I3861" s="1" t="s">
        <v>13</v>
      </c>
      <c r="J3861" s="1" t="s">
        <v>22</v>
      </c>
      <c r="K3861" s="1">
        <v>0</v>
      </c>
      <c r="L3861" s="1" t="s">
        <v>21</v>
      </c>
      <c r="M3861" s="1" t="str">
        <f t="shared" si="61"/>
        <v>Consistent</v>
      </c>
      <c r="N3861" s="1" t="str">
        <f>_xlfn.XLOOKUP(H3861, risk_score!A:A, risk_score!B:B, 0)</f>
        <v>Low Risk</v>
      </c>
    </row>
    <row r="3862" spans="1:14">
      <c r="A3862" s="2">
        <v>0.54226851851851854</v>
      </c>
      <c r="B3862" s="3">
        <v>44841</v>
      </c>
      <c r="C3862" s="1">
        <v>6844756212</v>
      </c>
      <c r="D3862" s="1">
        <v>5363117119</v>
      </c>
      <c r="E3862" s="1">
        <v>5509.45</v>
      </c>
      <c r="F3862" s="1" t="s">
        <v>12</v>
      </c>
      <c r="G3862" s="1" t="s">
        <v>12</v>
      </c>
      <c r="H3862" s="1" t="s">
        <v>13</v>
      </c>
      <c r="I3862" s="1" t="s">
        <v>13</v>
      </c>
      <c r="J3862" s="1" t="s">
        <v>22</v>
      </c>
      <c r="K3862" s="1">
        <v>0</v>
      </c>
      <c r="L3862" s="1" t="s">
        <v>23</v>
      </c>
      <c r="M3862" s="1" t="str">
        <f t="shared" si="61"/>
        <v>Consistent</v>
      </c>
      <c r="N3862" s="1" t="str">
        <f>_xlfn.XLOOKUP(H3862, risk_score!A:A, risk_score!B:B, 0)</f>
        <v>Low Risk</v>
      </c>
    </row>
    <row r="3863" spans="1:14">
      <c r="A3863" s="2">
        <v>0.54232638888888884</v>
      </c>
      <c r="B3863" s="3">
        <v>44841</v>
      </c>
      <c r="C3863" s="1">
        <v>8386202710</v>
      </c>
      <c r="D3863" s="1">
        <v>1554860508</v>
      </c>
      <c r="E3863" s="1">
        <v>5232.92</v>
      </c>
      <c r="F3863" s="1" t="s">
        <v>12</v>
      </c>
      <c r="G3863" s="1" t="s">
        <v>12</v>
      </c>
      <c r="H3863" s="1" t="s">
        <v>13</v>
      </c>
      <c r="I3863" s="1" t="s">
        <v>13</v>
      </c>
      <c r="J3863" s="1" t="s">
        <v>27</v>
      </c>
      <c r="K3863" s="1">
        <v>0</v>
      </c>
      <c r="L3863" s="1" t="s">
        <v>21</v>
      </c>
      <c r="M3863" s="1" t="str">
        <f t="shared" si="61"/>
        <v>Consistent</v>
      </c>
      <c r="N3863" s="1" t="str">
        <f>_xlfn.XLOOKUP(H3863, risk_score!A:A, risk_score!B:B, 0)</f>
        <v>Low Risk</v>
      </c>
    </row>
    <row r="3864" spans="1:14">
      <c r="A3864" s="2">
        <v>0.54236111111111107</v>
      </c>
      <c r="B3864" s="3">
        <v>44841</v>
      </c>
      <c r="C3864" s="1">
        <v>4789303308</v>
      </c>
      <c r="D3864" s="1">
        <v>1161579894</v>
      </c>
      <c r="E3864" s="1">
        <v>2947.04</v>
      </c>
      <c r="F3864" s="1" t="s">
        <v>12</v>
      </c>
      <c r="G3864" s="1" t="s">
        <v>12</v>
      </c>
      <c r="H3864" s="1" t="s">
        <v>13</v>
      </c>
      <c r="I3864" s="1" t="s">
        <v>13</v>
      </c>
      <c r="J3864" s="1" t="s">
        <v>25</v>
      </c>
      <c r="K3864" s="1">
        <v>0</v>
      </c>
      <c r="L3864" s="1" t="s">
        <v>21</v>
      </c>
      <c r="M3864" s="1" t="str">
        <f t="shared" si="61"/>
        <v>Consistent</v>
      </c>
      <c r="N3864" s="1" t="str">
        <f>_xlfn.XLOOKUP(H3864, risk_score!A:A, risk_score!B:B, 0)</f>
        <v>Low Risk</v>
      </c>
    </row>
    <row r="3865" spans="1:14">
      <c r="A3865" s="2">
        <v>0.54238425925925926</v>
      </c>
      <c r="B3865" s="3">
        <v>44841</v>
      </c>
      <c r="C3865" s="1">
        <v>9746384104</v>
      </c>
      <c r="D3865" s="1">
        <v>6333926499</v>
      </c>
      <c r="E3865" s="1">
        <v>13219.86</v>
      </c>
      <c r="F3865" s="1" t="s">
        <v>12</v>
      </c>
      <c r="G3865" s="1" t="s">
        <v>12</v>
      </c>
      <c r="H3865" s="1" t="s">
        <v>13</v>
      </c>
      <c r="I3865" s="1" t="s">
        <v>13</v>
      </c>
      <c r="J3865" s="1" t="s">
        <v>20</v>
      </c>
      <c r="K3865" s="1">
        <v>0</v>
      </c>
      <c r="L3865" s="1" t="s">
        <v>19</v>
      </c>
      <c r="M3865" s="1" t="str">
        <f t="shared" si="61"/>
        <v>Consistent</v>
      </c>
      <c r="N3865" s="1" t="str">
        <f>_xlfn.XLOOKUP(H3865, risk_score!A:A, risk_score!B:B, 0)</f>
        <v>Low Risk</v>
      </c>
    </row>
    <row r="3866" spans="1:14">
      <c r="A3866" s="2">
        <v>0.5423958333333333</v>
      </c>
      <c r="B3866" s="3">
        <v>44841</v>
      </c>
      <c r="C3866" s="1">
        <v>4269265087</v>
      </c>
      <c r="D3866" s="1">
        <v>2014982075</v>
      </c>
      <c r="E3866" s="1">
        <v>554.35</v>
      </c>
      <c r="F3866" s="1" t="s">
        <v>12</v>
      </c>
      <c r="G3866" s="1" t="s">
        <v>12</v>
      </c>
      <c r="H3866" s="1" t="s">
        <v>13</v>
      </c>
      <c r="I3866" s="1" t="s">
        <v>13</v>
      </c>
      <c r="J3866" s="1" t="s">
        <v>14</v>
      </c>
      <c r="K3866" s="1">
        <v>0</v>
      </c>
      <c r="L3866" s="1" t="s">
        <v>15</v>
      </c>
      <c r="M3866" s="1" t="str">
        <f t="shared" si="61"/>
        <v>Consistent</v>
      </c>
      <c r="N3866" s="1" t="str">
        <f>_xlfn.XLOOKUP(H3866, risk_score!A:A, risk_score!B:B, 0)</f>
        <v>Low Risk</v>
      </c>
    </row>
    <row r="3867" spans="1:14">
      <c r="A3867" s="2">
        <v>0.54243055555555553</v>
      </c>
      <c r="B3867" s="3">
        <v>44841</v>
      </c>
      <c r="C3867" s="1">
        <v>2354794695</v>
      </c>
      <c r="D3867" s="1">
        <v>8124696406</v>
      </c>
      <c r="E3867" s="1">
        <v>28029.59</v>
      </c>
      <c r="F3867" s="1" t="s">
        <v>12</v>
      </c>
      <c r="G3867" s="1" t="s">
        <v>12</v>
      </c>
      <c r="H3867" s="1" t="s">
        <v>13</v>
      </c>
      <c r="I3867" s="1" t="s">
        <v>13</v>
      </c>
      <c r="J3867" s="1" t="s">
        <v>22</v>
      </c>
      <c r="K3867" s="1">
        <v>0</v>
      </c>
      <c r="L3867" s="1" t="s">
        <v>49</v>
      </c>
      <c r="M3867" s="1" t="str">
        <f t="shared" si="61"/>
        <v>Consistent</v>
      </c>
      <c r="N3867" s="1" t="str">
        <f>_xlfn.XLOOKUP(H3867, risk_score!A:A, risk_score!B:B, 0)</f>
        <v>Low Risk</v>
      </c>
    </row>
    <row r="3868" spans="1:14">
      <c r="A3868" s="2">
        <v>0.54246527777777775</v>
      </c>
      <c r="B3868" s="3">
        <v>44841</v>
      </c>
      <c r="C3868" s="1">
        <v>7746588679</v>
      </c>
      <c r="D3868" s="1">
        <v>774740194</v>
      </c>
      <c r="E3868" s="1">
        <v>925.34</v>
      </c>
      <c r="F3868" s="1" t="s">
        <v>12</v>
      </c>
      <c r="G3868" s="1" t="s">
        <v>12</v>
      </c>
      <c r="H3868" s="1" t="s">
        <v>13</v>
      </c>
      <c r="I3868" s="1" t="s">
        <v>13</v>
      </c>
      <c r="J3868" s="1" t="s">
        <v>22</v>
      </c>
      <c r="K3868" s="1">
        <v>0</v>
      </c>
      <c r="L3868" s="1" t="s">
        <v>21</v>
      </c>
      <c r="M3868" s="1" t="str">
        <f t="shared" si="61"/>
        <v>Consistent</v>
      </c>
      <c r="N3868" s="1" t="str">
        <f>_xlfn.XLOOKUP(H3868, risk_score!A:A, risk_score!B:B, 0)</f>
        <v>Low Risk</v>
      </c>
    </row>
    <row r="3869" spans="1:14">
      <c r="A3869" s="2">
        <v>0.54249999999999998</v>
      </c>
      <c r="B3869" s="3">
        <v>44841</v>
      </c>
      <c r="C3869" s="1">
        <v>6916264887</v>
      </c>
      <c r="D3869" s="1">
        <v>6953672776</v>
      </c>
      <c r="E3869" s="1">
        <v>6760.21</v>
      </c>
      <c r="F3869" s="1" t="s">
        <v>12</v>
      </c>
      <c r="G3869" s="1" t="s">
        <v>34</v>
      </c>
      <c r="H3869" s="1" t="s">
        <v>13</v>
      </c>
      <c r="I3869" s="1" t="s">
        <v>35</v>
      </c>
      <c r="J3869" s="1" t="s">
        <v>18</v>
      </c>
      <c r="K3869" s="1">
        <v>0</v>
      </c>
      <c r="L3869" s="1" t="s">
        <v>23</v>
      </c>
      <c r="M3869" s="1" t="str">
        <f t="shared" si="61"/>
        <v>Potential Layering</v>
      </c>
      <c r="N3869" s="1" t="str">
        <f>_xlfn.XLOOKUP(H3869, risk_score!A:A, risk_score!B:B, 0)</f>
        <v>Low Risk</v>
      </c>
    </row>
    <row r="3870" spans="1:14">
      <c r="A3870" s="2">
        <v>0.54251157407407402</v>
      </c>
      <c r="B3870" s="3">
        <v>44841</v>
      </c>
      <c r="C3870" s="1">
        <v>3709430533</v>
      </c>
      <c r="D3870" s="1">
        <v>3402269996</v>
      </c>
      <c r="E3870" s="1">
        <v>8042.58</v>
      </c>
      <c r="F3870" s="1" t="s">
        <v>12</v>
      </c>
      <c r="G3870" s="1" t="s">
        <v>12</v>
      </c>
      <c r="H3870" s="1" t="s">
        <v>13</v>
      </c>
      <c r="I3870" s="1" t="s">
        <v>13</v>
      </c>
      <c r="J3870" s="1" t="s">
        <v>20</v>
      </c>
      <c r="K3870" s="1">
        <v>0</v>
      </c>
      <c r="L3870" s="1" t="s">
        <v>19</v>
      </c>
      <c r="M3870" s="1" t="str">
        <f t="shared" si="61"/>
        <v>Consistent</v>
      </c>
      <c r="N3870" s="1" t="str">
        <f>_xlfn.XLOOKUP(H3870, risk_score!A:A, risk_score!B:B, 0)</f>
        <v>Low Risk</v>
      </c>
    </row>
    <row r="3871" spans="1:14">
      <c r="A3871" s="2">
        <v>0.54254629629629625</v>
      </c>
      <c r="B3871" s="3">
        <v>44841</v>
      </c>
      <c r="C3871" s="1">
        <v>7501327339</v>
      </c>
      <c r="D3871" s="1">
        <v>8562263055</v>
      </c>
      <c r="E3871" s="1">
        <v>6243.49</v>
      </c>
      <c r="F3871" s="1" t="s">
        <v>12</v>
      </c>
      <c r="G3871" s="1" t="s">
        <v>12</v>
      </c>
      <c r="H3871" s="1" t="s">
        <v>13</v>
      </c>
      <c r="I3871" s="1" t="s">
        <v>13</v>
      </c>
      <c r="J3871" s="1" t="s">
        <v>27</v>
      </c>
      <c r="K3871" s="1">
        <v>0</v>
      </c>
      <c r="L3871" s="1" t="s">
        <v>19</v>
      </c>
      <c r="M3871" s="1" t="str">
        <f t="shared" si="61"/>
        <v>Consistent</v>
      </c>
      <c r="N3871" s="1" t="str">
        <f>_xlfn.XLOOKUP(H3871, risk_score!A:A, risk_score!B:B, 0)</f>
        <v>Low Risk</v>
      </c>
    </row>
    <row r="3872" spans="1:14">
      <c r="A3872" s="2">
        <v>0.54254629629629625</v>
      </c>
      <c r="B3872" s="3">
        <v>44841</v>
      </c>
      <c r="C3872" s="1">
        <v>5876006003</v>
      </c>
      <c r="D3872" s="1">
        <v>6183867950</v>
      </c>
      <c r="E3872" s="1">
        <v>2667.46</v>
      </c>
      <c r="F3872" s="1" t="s">
        <v>12</v>
      </c>
      <c r="G3872" s="1" t="s">
        <v>12</v>
      </c>
      <c r="H3872" s="1" t="s">
        <v>13</v>
      </c>
      <c r="I3872" s="1" t="s">
        <v>13</v>
      </c>
      <c r="J3872" s="1" t="s">
        <v>20</v>
      </c>
      <c r="K3872" s="1">
        <v>0</v>
      </c>
      <c r="L3872" s="1" t="s">
        <v>24</v>
      </c>
      <c r="M3872" s="1" t="str">
        <f t="shared" si="61"/>
        <v>Consistent</v>
      </c>
      <c r="N3872" s="1" t="str">
        <f>_xlfn.XLOOKUP(H3872, risk_score!A:A, risk_score!B:B, 0)</f>
        <v>Low Risk</v>
      </c>
    </row>
    <row r="3873" spans="1:14">
      <c r="A3873" s="2">
        <v>0.54260416666666667</v>
      </c>
      <c r="B3873" s="3">
        <v>44841</v>
      </c>
      <c r="C3873" s="1">
        <v>1043505774</v>
      </c>
      <c r="D3873" s="1">
        <v>6953672776</v>
      </c>
      <c r="E3873" s="1">
        <v>6115.7</v>
      </c>
      <c r="F3873" s="1" t="s">
        <v>12</v>
      </c>
      <c r="G3873" s="1" t="s">
        <v>34</v>
      </c>
      <c r="H3873" s="1" t="s">
        <v>13</v>
      </c>
      <c r="I3873" s="1" t="s">
        <v>35</v>
      </c>
      <c r="J3873" s="1" t="s">
        <v>18</v>
      </c>
      <c r="K3873" s="1">
        <v>0</v>
      </c>
      <c r="L3873" s="1" t="s">
        <v>23</v>
      </c>
      <c r="M3873" s="1" t="str">
        <f t="shared" si="61"/>
        <v>Potential Layering</v>
      </c>
      <c r="N3873" s="1" t="str">
        <f>_xlfn.XLOOKUP(H3873, risk_score!A:A, risk_score!B:B, 0)</f>
        <v>Low Risk</v>
      </c>
    </row>
    <row r="3874" spans="1:14">
      <c r="A3874" s="2">
        <v>0.54262731481481485</v>
      </c>
      <c r="B3874" s="3">
        <v>44841</v>
      </c>
      <c r="C3874" s="1">
        <v>2028959593</v>
      </c>
      <c r="D3874" s="1">
        <v>5466123934</v>
      </c>
      <c r="E3874" s="1">
        <v>4738.25</v>
      </c>
      <c r="F3874" s="1" t="s">
        <v>12</v>
      </c>
      <c r="G3874" s="1" t="s">
        <v>12</v>
      </c>
      <c r="H3874" s="1" t="s">
        <v>13</v>
      </c>
      <c r="I3874" s="1" t="s">
        <v>13</v>
      </c>
      <c r="J3874" s="1" t="s">
        <v>22</v>
      </c>
      <c r="K3874" s="1">
        <v>0</v>
      </c>
      <c r="L3874" s="1" t="s">
        <v>23</v>
      </c>
      <c r="M3874" s="1" t="str">
        <f t="shared" si="61"/>
        <v>Consistent</v>
      </c>
      <c r="N3874" s="1" t="str">
        <f>_xlfn.XLOOKUP(H3874, risk_score!A:A, risk_score!B:B, 0)</f>
        <v>Low Risk</v>
      </c>
    </row>
    <row r="3875" spans="1:14">
      <c r="A3875" s="2">
        <v>0.54263888888888889</v>
      </c>
      <c r="B3875" s="3">
        <v>44841</v>
      </c>
      <c r="C3875" s="1">
        <v>8463742774</v>
      </c>
      <c r="D3875" s="1">
        <v>1465487567</v>
      </c>
      <c r="E3875" s="1">
        <v>15015.83</v>
      </c>
      <c r="F3875" s="1" t="s">
        <v>12</v>
      </c>
      <c r="G3875" s="1" t="s">
        <v>12</v>
      </c>
      <c r="H3875" s="1" t="s">
        <v>13</v>
      </c>
      <c r="I3875" s="1" t="s">
        <v>13</v>
      </c>
      <c r="J3875" s="1" t="s">
        <v>25</v>
      </c>
      <c r="K3875" s="1">
        <v>0</v>
      </c>
      <c r="L3875" s="1" t="s">
        <v>23</v>
      </c>
      <c r="M3875" s="1" t="str">
        <f t="shared" si="61"/>
        <v>Consistent</v>
      </c>
      <c r="N3875" s="1" t="str">
        <f>_xlfn.XLOOKUP(H3875, risk_score!A:A, risk_score!B:B, 0)</f>
        <v>Low Risk</v>
      </c>
    </row>
    <row r="3876" spans="1:14">
      <c r="A3876" s="2">
        <v>0.54265046296296293</v>
      </c>
      <c r="B3876" s="3">
        <v>44841</v>
      </c>
      <c r="C3876" s="1">
        <v>274250227</v>
      </c>
      <c r="D3876" s="1">
        <v>5624113151</v>
      </c>
      <c r="E3876" s="1">
        <v>245.1</v>
      </c>
      <c r="F3876" s="1" t="s">
        <v>12</v>
      </c>
      <c r="G3876" s="1" t="s">
        <v>12</v>
      </c>
      <c r="H3876" s="1" t="s">
        <v>13</v>
      </c>
      <c r="I3876" s="1" t="s">
        <v>13</v>
      </c>
      <c r="J3876" s="1" t="s">
        <v>20</v>
      </c>
      <c r="K3876" s="1">
        <v>0</v>
      </c>
      <c r="L3876" s="1" t="s">
        <v>21</v>
      </c>
      <c r="M3876" s="1" t="str">
        <f t="shared" si="61"/>
        <v>Consistent</v>
      </c>
      <c r="N3876" s="1" t="str">
        <f>_xlfn.XLOOKUP(H3876, risk_score!A:A, risk_score!B:B, 0)</f>
        <v>Low Risk</v>
      </c>
    </row>
    <row r="3877" spans="1:14">
      <c r="A3877" s="2">
        <v>0.54281250000000003</v>
      </c>
      <c r="B3877" s="3">
        <v>44841</v>
      </c>
      <c r="C3877" s="1">
        <v>9152139918</v>
      </c>
      <c r="D3877" s="1">
        <v>195951043</v>
      </c>
      <c r="E3877" s="1">
        <v>1560.99</v>
      </c>
      <c r="F3877" s="1" t="s">
        <v>12</v>
      </c>
      <c r="G3877" s="1" t="s">
        <v>12</v>
      </c>
      <c r="H3877" s="1" t="s">
        <v>13</v>
      </c>
      <c r="I3877" s="1" t="s">
        <v>13</v>
      </c>
      <c r="J3877" s="1" t="s">
        <v>22</v>
      </c>
      <c r="K3877" s="1">
        <v>0</v>
      </c>
      <c r="L3877" s="1" t="s">
        <v>21</v>
      </c>
      <c r="M3877" s="1" t="str">
        <f t="shared" si="61"/>
        <v>Consistent</v>
      </c>
      <c r="N3877" s="1" t="str">
        <f>_xlfn.XLOOKUP(H3877, risk_score!A:A, risk_score!B:B, 0)</f>
        <v>Low Risk</v>
      </c>
    </row>
    <row r="3878" spans="1:14">
      <c r="A3878" s="2">
        <v>0.54287037037037034</v>
      </c>
      <c r="B3878" s="3">
        <v>44841</v>
      </c>
      <c r="C3878" s="1">
        <v>8456279067</v>
      </c>
      <c r="D3878" s="1">
        <v>5344331047</v>
      </c>
      <c r="E3878" s="1">
        <v>4675.79</v>
      </c>
      <c r="F3878" s="1" t="s">
        <v>12</v>
      </c>
      <c r="G3878" s="1" t="s">
        <v>12</v>
      </c>
      <c r="H3878" s="1" t="s">
        <v>13</v>
      </c>
      <c r="I3878" s="1" t="s">
        <v>13</v>
      </c>
      <c r="J3878" s="1" t="s">
        <v>20</v>
      </c>
      <c r="K3878" s="1">
        <v>0</v>
      </c>
      <c r="L3878" s="1" t="s">
        <v>19</v>
      </c>
      <c r="M3878" s="1" t="str">
        <f t="shared" si="61"/>
        <v>Consistent</v>
      </c>
      <c r="N3878" s="1" t="str">
        <f>_xlfn.XLOOKUP(H3878, risk_score!A:A, risk_score!B:B, 0)</f>
        <v>Low Risk</v>
      </c>
    </row>
    <row r="3879" spans="1:14">
      <c r="A3879" s="2">
        <v>0.54292824074074075</v>
      </c>
      <c r="B3879" s="3">
        <v>44841</v>
      </c>
      <c r="C3879" s="1">
        <v>5334788886</v>
      </c>
      <c r="D3879" s="1">
        <v>1751653259</v>
      </c>
      <c r="E3879" s="1">
        <v>2005.86</v>
      </c>
      <c r="F3879" s="1" t="s">
        <v>12</v>
      </c>
      <c r="G3879" s="1" t="s">
        <v>12</v>
      </c>
      <c r="H3879" s="1" t="s">
        <v>13</v>
      </c>
      <c r="I3879" s="1" t="s">
        <v>13</v>
      </c>
      <c r="J3879" s="1" t="s">
        <v>20</v>
      </c>
      <c r="K3879" s="1">
        <v>0</v>
      </c>
      <c r="L3879" s="1" t="s">
        <v>21</v>
      </c>
      <c r="M3879" s="1" t="str">
        <f t="shared" si="61"/>
        <v>Consistent</v>
      </c>
      <c r="N3879" s="1" t="str">
        <f>_xlfn.XLOOKUP(H3879, risk_score!A:A, risk_score!B:B, 0)</f>
        <v>Low Risk</v>
      </c>
    </row>
    <row r="3880" spans="1:14">
      <c r="A3880" s="2">
        <v>0.54293981481481479</v>
      </c>
      <c r="B3880" s="3">
        <v>44841</v>
      </c>
      <c r="C3880" s="1">
        <v>6436958188</v>
      </c>
      <c r="D3880" s="1">
        <v>7362490129</v>
      </c>
      <c r="E3880" s="1">
        <v>1248.6400000000001</v>
      </c>
      <c r="F3880" s="1" t="s">
        <v>12</v>
      </c>
      <c r="G3880" s="1" t="s">
        <v>12</v>
      </c>
      <c r="H3880" s="1" t="s">
        <v>13</v>
      </c>
      <c r="I3880" s="1" t="s">
        <v>13</v>
      </c>
      <c r="J3880" s="1" t="s">
        <v>22</v>
      </c>
      <c r="K3880" s="1">
        <v>0</v>
      </c>
      <c r="L3880" s="1" t="s">
        <v>21</v>
      </c>
      <c r="M3880" s="1" t="str">
        <f t="shared" si="61"/>
        <v>Consistent</v>
      </c>
      <c r="N3880" s="1" t="str">
        <f>_xlfn.XLOOKUP(H3880, risk_score!A:A, risk_score!B:B, 0)</f>
        <v>Low Risk</v>
      </c>
    </row>
    <row r="3881" spans="1:14">
      <c r="A3881" s="2">
        <v>0.54295138888888894</v>
      </c>
      <c r="B3881" s="3">
        <v>44841</v>
      </c>
      <c r="C3881" s="1">
        <v>6404135406</v>
      </c>
      <c r="D3881" s="1">
        <v>2118817860</v>
      </c>
      <c r="E3881" s="1">
        <v>5313.8</v>
      </c>
      <c r="F3881" s="1" t="s">
        <v>12</v>
      </c>
      <c r="G3881" s="1" t="s">
        <v>12</v>
      </c>
      <c r="H3881" s="1" t="s">
        <v>13</v>
      </c>
      <c r="I3881" s="1" t="s">
        <v>13</v>
      </c>
      <c r="J3881" s="1" t="s">
        <v>14</v>
      </c>
      <c r="K3881" s="1">
        <v>0</v>
      </c>
      <c r="L3881" s="1" t="s">
        <v>15</v>
      </c>
      <c r="M3881" s="1" t="str">
        <f t="shared" si="61"/>
        <v>Consistent</v>
      </c>
      <c r="N3881" s="1" t="str">
        <f>_xlfn.XLOOKUP(H3881, risk_score!A:A, risk_score!B:B, 0)</f>
        <v>Low Risk</v>
      </c>
    </row>
    <row r="3882" spans="1:14">
      <c r="A3882" s="2">
        <v>0.54298611111111106</v>
      </c>
      <c r="B3882" s="3">
        <v>44841</v>
      </c>
      <c r="C3882" s="1">
        <v>5452687367</v>
      </c>
      <c r="D3882" s="1">
        <v>6444220418</v>
      </c>
      <c r="E3882" s="1">
        <v>8285.18</v>
      </c>
      <c r="F3882" s="1" t="s">
        <v>12</v>
      </c>
      <c r="G3882" s="1" t="s">
        <v>12</v>
      </c>
      <c r="H3882" s="1" t="s">
        <v>13</v>
      </c>
      <c r="I3882" s="1" t="s">
        <v>13</v>
      </c>
      <c r="J3882" s="1" t="s">
        <v>22</v>
      </c>
      <c r="K3882" s="1">
        <v>0</v>
      </c>
      <c r="L3882" s="1" t="s">
        <v>23</v>
      </c>
      <c r="M3882" s="1" t="str">
        <f t="shared" si="61"/>
        <v>Consistent</v>
      </c>
      <c r="N3882" s="1" t="str">
        <f>_xlfn.XLOOKUP(H3882, risk_score!A:A, risk_score!B:B, 0)</f>
        <v>Low Risk</v>
      </c>
    </row>
    <row r="3883" spans="1:14">
      <c r="A3883" s="2">
        <v>0.54299768518518521</v>
      </c>
      <c r="B3883" s="3">
        <v>44841</v>
      </c>
      <c r="C3883" s="1">
        <v>3526097821</v>
      </c>
      <c r="D3883" s="1">
        <v>5393257563</v>
      </c>
      <c r="E3883" s="1">
        <v>337.03</v>
      </c>
      <c r="F3883" s="1" t="s">
        <v>12</v>
      </c>
      <c r="G3883" s="1" t="s">
        <v>12</v>
      </c>
      <c r="H3883" s="1" t="s">
        <v>13</v>
      </c>
      <c r="I3883" s="1" t="s">
        <v>13</v>
      </c>
      <c r="J3883" s="1" t="s">
        <v>20</v>
      </c>
      <c r="K3883" s="1">
        <v>0</v>
      </c>
      <c r="L3883" s="1" t="s">
        <v>21</v>
      </c>
      <c r="M3883" s="1" t="str">
        <f t="shared" si="61"/>
        <v>Consistent</v>
      </c>
      <c r="N3883" s="1" t="str">
        <f>_xlfn.XLOOKUP(H3883, risk_score!A:A, risk_score!B:B, 0)</f>
        <v>Low Risk</v>
      </c>
    </row>
    <row r="3884" spans="1:14">
      <c r="A3884" s="2">
        <v>0.54300925925925925</v>
      </c>
      <c r="B3884" s="3">
        <v>44841</v>
      </c>
      <c r="C3884" s="1">
        <v>7501327339</v>
      </c>
      <c r="D3884" s="1">
        <v>5481350266</v>
      </c>
      <c r="E3884" s="1">
        <v>18476.22</v>
      </c>
      <c r="F3884" s="1" t="s">
        <v>12</v>
      </c>
      <c r="G3884" s="1" t="s">
        <v>12</v>
      </c>
      <c r="H3884" s="1" t="s">
        <v>13</v>
      </c>
      <c r="I3884" s="1" t="s">
        <v>13</v>
      </c>
      <c r="J3884" s="1" t="s">
        <v>25</v>
      </c>
      <c r="K3884" s="1">
        <v>0</v>
      </c>
      <c r="L3884" s="1" t="s">
        <v>19</v>
      </c>
      <c r="M3884" s="1" t="str">
        <f t="shared" si="61"/>
        <v>Consistent</v>
      </c>
      <c r="N3884" s="1" t="str">
        <f>_xlfn.XLOOKUP(H3884, risk_score!A:A, risk_score!B:B, 0)</f>
        <v>Low Risk</v>
      </c>
    </row>
    <row r="3885" spans="1:14">
      <c r="A3885" s="2">
        <v>0.54302083333333329</v>
      </c>
      <c r="B3885" s="3">
        <v>44841</v>
      </c>
      <c r="C3885" s="1">
        <v>1378784400</v>
      </c>
      <c r="D3885" s="1">
        <v>5224271258</v>
      </c>
      <c r="E3885" s="1">
        <v>17088.259999999998</v>
      </c>
      <c r="F3885" s="1" t="s">
        <v>12</v>
      </c>
      <c r="G3885" s="1" t="s">
        <v>12</v>
      </c>
      <c r="H3885" s="1" t="s">
        <v>13</v>
      </c>
      <c r="I3885" s="1" t="s">
        <v>13</v>
      </c>
      <c r="J3885" s="1" t="s">
        <v>25</v>
      </c>
      <c r="K3885" s="1">
        <v>0</v>
      </c>
      <c r="L3885" s="1" t="s">
        <v>19</v>
      </c>
      <c r="M3885" s="1" t="str">
        <f t="shared" si="61"/>
        <v>Consistent</v>
      </c>
      <c r="N3885" s="1" t="str">
        <f>_xlfn.XLOOKUP(H3885, risk_score!A:A, risk_score!B:B, 0)</f>
        <v>Low Risk</v>
      </c>
    </row>
    <row r="3886" spans="1:14">
      <c r="A3886" s="2">
        <v>0.54303240740740744</v>
      </c>
      <c r="B3886" s="3">
        <v>44841</v>
      </c>
      <c r="C3886" s="1">
        <v>9337018014</v>
      </c>
      <c r="D3886" s="1">
        <v>3079818547</v>
      </c>
      <c r="E3886" s="1">
        <v>7744.57</v>
      </c>
      <c r="F3886" s="1" t="s">
        <v>12</v>
      </c>
      <c r="G3886" s="1" t="s">
        <v>12</v>
      </c>
      <c r="H3886" s="1" t="s">
        <v>13</v>
      </c>
      <c r="I3886" s="1" t="s">
        <v>13</v>
      </c>
      <c r="J3886" s="1" t="s">
        <v>27</v>
      </c>
      <c r="K3886" s="1">
        <v>0</v>
      </c>
      <c r="L3886" s="1" t="s">
        <v>23</v>
      </c>
      <c r="M3886" s="1" t="str">
        <f t="shared" si="61"/>
        <v>Consistent</v>
      </c>
      <c r="N3886" s="1" t="str">
        <f>_xlfn.XLOOKUP(H3886, risk_score!A:A, risk_score!B:B, 0)</f>
        <v>Low Risk</v>
      </c>
    </row>
    <row r="3887" spans="1:14">
      <c r="A3887" s="2">
        <v>0.54303240740740744</v>
      </c>
      <c r="B3887" s="3">
        <v>44841</v>
      </c>
      <c r="C3887" s="1">
        <v>9017186262</v>
      </c>
      <c r="D3887" s="1">
        <v>9614603409</v>
      </c>
      <c r="E3887" s="1">
        <v>267.39999999999998</v>
      </c>
      <c r="F3887" s="1" t="s">
        <v>12</v>
      </c>
      <c r="G3887" s="1" t="s">
        <v>12</v>
      </c>
      <c r="H3887" s="1" t="s">
        <v>13</v>
      </c>
      <c r="I3887" s="1" t="s">
        <v>13</v>
      </c>
      <c r="J3887" s="1" t="s">
        <v>22</v>
      </c>
      <c r="K3887" s="1">
        <v>0</v>
      </c>
      <c r="L3887" s="1" t="s">
        <v>21</v>
      </c>
      <c r="M3887" s="1" t="str">
        <f t="shared" si="61"/>
        <v>Consistent</v>
      </c>
      <c r="N3887" s="1" t="str">
        <f>_xlfn.XLOOKUP(H3887, risk_score!A:A, risk_score!B:B, 0)</f>
        <v>Low Risk</v>
      </c>
    </row>
    <row r="3888" spans="1:14">
      <c r="A3888" s="2">
        <v>0.54304398148148147</v>
      </c>
      <c r="B3888" s="3">
        <v>44841</v>
      </c>
      <c r="C3888" s="1">
        <v>3346627595</v>
      </c>
      <c r="D3888" s="1">
        <v>1398057556</v>
      </c>
      <c r="E3888" s="1">
        <v>5252.25</v>
      </c>
      <c r="F3888" s="1" t="s">
        <v>12</v>
      </c>
      <c r="G3888" s="1" t="s">
        <v>12</v>
      </c>
      <c r="H3888" s="1" t="s">
        <v>13</v>
      </c>
      <c r="I3888" s="1" t="s">
        <v>13</v>
      </c>
      <c r="J3888" s="1" t="s">
        <v>14</v>
      </c>
      <c r="K3888" s="1">
        <v>0</v>
      </c>
      <c r="L3888" s="1" t="s">
        <v>15</v>
      </c>
      <c r="M3888" s="1" t="str">
        <f t="shared" si="61"/>
        <v>Consistent</v>
      </c>
      <c r="N3888" s="1" t="str">
        <f>_xlfn.XLOOKUP(H3888, risk_score!A:A, risk_score!B:B, 0)</f>
        <v>Low Risk</v>
      </c>
    </row>
    <row r="3889" spans="1:14">
      <c r="A3889" s="2">
        <v>0.5430787037037037</v>
      </c>
      <c r="B3889" s="3">
        <v>44841</v>
      </c>
      <c r="C3889" s="1">
        <v>9034591740</v>
      </c>
      <c r="D3889" s="1">
        <v>6989832152</v>
      </c>
      <c r="E3889" s="1">
        <v>1904.87</v>
      </c>
      <c r="F3889" s="1" t="s">
        <v>12</v>
      </c>
      <c r="G3889" s="1" t="s">
        <v>12</v>
      </c>
      <c r="H3889" s="1" t="s">
        <v>13</v>
      </c>
      <c r="I3889" s="1" t="s">
        <v>13</v>
      </c>
      <c r="J3889" s="1" t="s">
        <v>14</v>
      </c>
      <c r="K3889" s="1">
        <v>0</v>
      </c>
      <c r="L3889" s="1" t="s">
        <v>15</v>
      </c>
      <c r="M3889" s="1" t="str">
        <f t="shared" si="61"/>
        <v>Consistent</v>
      </c>
      <c r="N3889" s="1" t="str">
        <f>_xlfn.XLOOKUP(H3889, risk_score!A:A, risk_score!B:B, 0)</f>
        <v>Low Risk</v>
      </c>
    </row>
    <row r="3890" spans="1:14">
      <c r="A3890" s="2">
        <v>0.5431597222222222</v>
      </c>
      <c r="B3890" s="3">
        <v>44841</v>
      </c>
      <c r="C3890" s="1">
        <v>5656797672</v>
      </c>
      <c r="D3890" s="1">
        <v>2908587855</v>
      </c>
      <c r="E3890" s="1">
        <v>11.78</v>
      </c>
      <c r="F3890" s="1" t="s">
        <v>12</v>
      </c>
      <c r="G3890" s="1" t="s">
        <v>12</v>
      </c>
      <c r="H3890" s="1" t="s">
        <v>13</v>
      </c>
      <c r="I3890" s="1" t="s">
        <v>13</v>
      </c>
      <c r="J3890" s="1" t="s">
        <v>36</v>
      </c>
      <c r="K3890" s="1">
        <v>0</v>
      </c>
      <c r="L3890" s="1" t="s">
        <v>37</v>
      </c>
      <c r="M3890" s="1" t="str">
        <f t="shared" si="61"/>
        <v>Consistent</v>
      </c>
      <c r="N3890" s="1" t="str">
        <f>_xlfn.XLOOKUP(H3890, risk_score!A:A, risk_score!B:B, 0)</f>
        <v>Low Risk</v>
      </c>
    </row>
    <row r="3891" spans="1:14">
      <c r="A3891" s="2">
        <v>0.54317129629629635</v>
      </c>
      <c r="B3891" s="3">
        <v>44841</v>
      </c>
      <c r="C3891" s="1">
        <v>7012967496</v>
      </c>
      <c r="D3891" s="1">
        <v>6855935396</v>
      </c>
      <c r="E3891" s="1">
        <v>5521.21</v>
      </c>
      <c r="F3891" s="1" t="s">
        <v>12</v>
      </c>
      <c r="G3891" s="1" t="s">
        <v>12</v>
      </c>
      <c r="H3891" s="1" t="s">
        <v>13</v>
      </c>
      <c r="I3891" s="1" t="s">
        <v>13</v>
      </c>
      <c r="J3891" s="1" t="s">
        <v>27</v>
      </c>
      <c r="K3891" s="1">
        <v>0</v>
      </c>
      <c r="L3891" s="1" t="s">
        <v>23</v>
      </c>
      <c r="M3891" s="1" t="str">
        <f t="shared" si="61"/>
        <v>Consistent</v>
      </c>
      <c r="N3891" s="1" t="str">
        <f>_xlfn.XLOOKUP(H3891, risk_score!A:A, risk_score!B:B, 0)</f>
        <v>Low Risk</v>
      </c>
    </row>
    <row r="3892" spans="1:14">
      <c r="A3892" s="2">
        <v>0.54318287037037039</v>
      </c>
      <c r="B3892" s="3">
        <v>44841</v>
      </c>
      <c r="C3892" s="1">
        <v>5659307753</v>
      </c>
      <c r="D3892" s="1">
        <v>5133717985</v>
      </c>
      <c r="E3892" s="1">
        <v>328.46</v>
      </c>
      <c r="F3892" s="1" t="s">
        <v>12</v>
      </c>
      <c r="G3892" s="1" t="s">
        <v>12</v>
      </c>
      <c r="H3892" s="1" t="s">
        <v>13</v>
      </c>
      <c r="I3892" s="1" t="s">
        <v>13</v>
      </c>
      <c r="J3892" s="1" t="s">
        <v>25</v>
      </c>
      <c r="K3892" s="1">
        <v>0</v>
      </c>
      <c r="L3892" s="1" t="s">
        <v>21</v>
      </c>
      <c r="M3892" s="1" t="str">
        <f t="shared" si="61"/>
        <v>Consistent</v>
      </c>
      <c r="N3892" s="1" t="str">
        <f>_xlfn.XLOOKUP(H3892, risk_score!A:A, risk_score!B:B, 0)</f>
        <v>Low Risk</v>
      </c>
    </row>
    <row r="3893" spans="1:14">
      <c r="A3893" s="2">
        <v>0.54324074074074069</v>
      </c>
      <c r="B3893" s="3">
        <v>44841</v>
      </c>
      <c r="C3893" s="1">
        <v>4532749549</v>
      </c>
      <c r="D3893" s="1">
        <v>9312099578</v>
      </c>
      <c r="E3893" s="1">
        <v>16470.759999999998</v>
      </c>
      <c r="F3893" s="1" t="s">
        <v>12</v>
      </c>
      <c r="G3893" s="1" t="s">
        <v>12</v>
      </c>
      <c r="H3893" s="1" t="s">
        <v>13</v>
      </c>
      <c r="I3893" s="1" t="s">
        <v>13</v>
      </c>
      <c r="J3893" s="1" t="s">
        <v>20</v>
      </c>
      <c r="K3893" s="1">
        <v>0</v>
      </c>
      <c r="L3893" s="1" t="s">
        <v>24</v>
      </c>
      <c r="M3893" s="1" t="str">
        <f t="shared" si="61"/>
        <v>Consistent</v>
      </c>
      <c r="N3893" s="1" t="str">
        <f>_xlfn.XLOOKUP(H3893, risk_score!A:A, risk_score!B:B, 0)</f>
        <v>Low Risk</v>
      </c>
    </row>
    <row r="3894" spans="1:14">
      <c r="A3894" s="2">
        <v>0.54327546296296292</v>
      </c>
      <c r="B3894" s="3">
        <v>44841</v>
      </c>
      <c r="C3894" s="1">
        <v>9002420822</v>
      </c>
      <c r="D3894" s="1">
        <v>5258139692</v>
      </c>
      <c r="E3894" s="1">
        <v>4259.6099999999997</v>
      </c>
      <c r="F3894" s="1" t="s">
        <v>12</v>
      </c>
      <c r="G3894" s="1" t="s">
        <v>12</v>
      </c>
      <c r="H3894" s="1" t="s">
        <v>13</v>
      </c>
      <c r="I3894" s="1" t="s">
        <v>13</v>
      </c>
      <c r="J3894" s="1" t="s">
        <v>14</v>
      </c>
      <c r="K3894" s="1">
        <v>0</v>
      </c>
      <c r="L3894" s="1" t="s">
        <v>15</v>
      </c>
      <c r="M3894" s="1" t="str">
        <f t="shared" si="61"/>
        <v>Consistent</v>
      </c>
      <c r="N3894" s="1" t="str">
        <f>_xlfn.XLOOKUP(H3894, risk_score!A:A, risk_score!B:B, 0)</f>
        <v>Low Risk</v>
      </c>
    </row>
    <row r="3895" spans="1:14">
      <c r="A3895" s="2">
        <v>0.54327546296296292</v>
      </c>
      <c r="B3895" s="3">
        <v>44841</v>
      </c>
      <c r="C3895" s="1">
        <v>9186430345</v>
      </c>
      <c r="D3895" s="1">
        <v>3132018804</v>
      </c>
      <c r="E3895" s="1">
        <v>801.74</v>
      </c>
      <c r="F3895" s="1" t="s">
        <v>12</v>
      </c>
      <c r="G3895" s="1" t="s">
        <v>12</v>
      </c>
      <c r="H3895" s="1" t="s">
        <v>13</v>
      </c>
      <c r="I3895" s="1" t="s">
        <v>13</v>
      </c>
      <c r="J3895" s="1" t="s">
        <v>25</v>
      </c>
      <c r="K3895" s="1">
        <v>0</v>
      </c>
      <c r="L3895" s="1" t="s">
        <v>24</v>
      </c>
      <c r="M3895" s="1" t="str">
        <f t="shared" si="61"/>
        <v>Consistent</v>
      </c>
      <c r="N3895" s="1" t="str">
        <f>_xlfn.XLOOKUP(H3895, risk_score!A:A, risk_score!B:B, 0)</f>
        <v>Low Risk</v>
      </c>
    </row>
    <row r="3896" spans="1:14">
      <c r="A3896" s="2">
        <v>0.54331018518518515</v>
      </c>
      <c r="B3896" s="3">
        <v>44841</v>
      </c>
      <c r="C3896" s="1">
        <v>6541552727</v>
      </c>
      <c r="D3896" s="1">
        <v>7551466050</v>
      </c>
      <c r="E3896" s="1">
        <v>6422.04</v>
      </c>
      <c r="F3896" s="1" t="s">
        <v>12</v>
      </c>
      <c r="G3896" s="1" t="s">
        <v>12</v>
      </c>
      <c r="H3896" s="1" t="s">
        <v>13</v>
      </c>
      <c r="I3896" s="1" t="s">
        <v>13</v>
      </c>
      <c r="J3896" s="1" t="s">
        <v>27</v>
      </c>
      <c r="K3896" s="1">
        <v>0</v>
      </c>
      <c r="L3896" s="1" t="s">
        <v>19</v>
      </c>
      <c r="M3896" s="1" t="str">
        <f t="shared" si="61"/>
        <v>Consistent</v>
      </c>
      <c r="N3896" s="1" t="str">
        <f>_xlfn.XLOOKUP(H3896, risk_score!A:A, risk_score!B:B, 0)</f>
        <v>Low Risk</v>
      </c>
    </row>
    <row r="3897" spans="1:14">
      <c r="A3897" s="2">
        <v>0.5433217592592593</v>
      </c>
      <c r="B3897" s="3">
        <v>44841</v>
      </c>
      <c r="C3897" s="1">
        <v>7501327339</v>
      </c>
      <c r="D3897" s="1">
        <v>8061984977</v>
      </c>
      <c r="E3897" s="1">
        <v>9490.6299999999992</v>
      </c>
      <c r="F3897" s="1" t="s">
        <v>12</v>
      </c>
      <c r="G3897" s="1" t="s">
        <v>12</v>
      </c>
      <c r="H3897" s="1" t="s">
        <v>13</v>
      </c>
      <c r="I3897" s="1" t="s">
        <v>13</v>
      </c>
      <c r="J3897" s="1" t="s">
        <v>20</v>
      </c>
      <c r="K3897" s="1">
        <v>0</v>
      </c>
      <c r="L3897" s="1" t="s">
        <v>19</v>
      </c>
      <c r="M3897" s="1" t="str">
        <f t="shared" si="61"/>
        <v>Consistent</v>
      </c>
      <c r="N3897" s="1" t="str">
        <f>_xlfn.XLOOKUP(H3897, risk_score!A:A, risk_score!B:B, 0)</f>
        <v>Low Risk</v>
      </c>
    </row>
    <row r="3898" spans="1:14">
      <c r="A3898" s="2">
        <v>0.54340277777777779</v>
      </c>
      <c r="B3898" s="3">
        <v>44841</v>
      </c>
      <c r="C3898" s="1">
        <v>5021785800</v>
      </c>
      <c r="D3898" s="1">
        <v>2626537854</v>
      </c>
      <c r="E3898" s="1">
        <v>6566.42</v>
      </c>
      <c r="F3898" s="1" t="s">
        <v>12</v>
      </c>
      <c r="G3898" s="1" t="s">
        <v>12</v>
      </c>
      <c r="H3898" s="1" t="s">
        <v>13</v>
      </c>
      <c r="I3898" s="1" t="s">
        <v>13</v>
      </c>
      <c r="J3898" s="1" t="s">
        <v>25</v>
      </c>
      <c r="K3898" s="1">
        <v>0</v>
      </c>
      <c r="L3898" s="1" t="s">
        <v>19</v>
      </c>
      <c r="M3898" s="1" t="str">
        <f t="shared" si="61"/>
        <v>Consistent</v>
      </c>
      <c r="N3898" s="1" t="str">
        <f>_xlfn.XLOOKUP(H3898, risk_score!A:A, risk_score!B:B, 0)</f>
        <v>Low Risk</v>
      </c>
    </row>
    <row r="3899" spans="1:14">
      <c r="A3899" s="2">
        <v>0.54341435185185183</v>
      </c>
      <c r="B3899" s="3">
        <v>44841</v>
      </c>
      <c r="C3899" s="1">
        <v>2709154044</v>
      </c>
      <c r="D3899" s="1">
        <v>3361664357</v>
      </c>
      <c r="E3899" s="1">
        <v>75.400000000000006</v>
      </c>
      <c r="F3899" s="1" t="s">
        <v>12</v>
      </c>
      <c r="G3899" s="1" t="s">
        <v>12</v>
      </c>
      <c r="H3899" s="1" t="s">
        <v>13</v>
      </c>
      <c r="I3899" s="1" t="s">
        <v>13</v>
      </c>
      <c r="J3899" s="1" t="s">
        <v>20</v>
      </c>
      <c r="K3899" s="1">
        <v>0</v>
      </c>
      <c r="L3899" s="1" t="s">
        <v>21</v>
      </c>
      <c r="M3899" s="1" t="str">
        <f t="shared" si="61"/>
        <v>Consistent</v>
      </c>
      <c r="N3899" s="1" t="str">
        <f>_xlfn.XLOOKUP(H3899, risk_score!A:A, risk_score!B:B, 0)</f>
        <v>Low Risk</v>
      </c>
    </row>
    <row r="3900" spans="1:14">
      <c r="A3900" s="2">
        <v>0.54342592592592598</v>
      </c>
      <c r="B3900" s="3">
        <v>44841</v>
      </c>
      <c r="C3900" s="1">
        <v>9534729015</v>
      </c>
      <c r="D3900" s="1">
        <v>1825986618</v>
      </c>
      <c r="E3900" s="1">
        <v>8324.0400000000009</v>
      </c>
      <c r="F3900" s="1" t="s">
        <v>12</v>
      </c>
      <c r="G3900" s="1" t="s">
        <v>12</v>
      </c>
      <c r="H3900" s="1" t="s">
        <v>13</v>
      </c>
      <c r="I3900" s="1" t="s">
        <v>13</v>
      </c>
      <c r="J3900" s="1" t="s">
        <v>22</v>
      </c>
      <c r="K3900" s="1">
        <v>0</v>
      </c>
      <c r="L3900" s="1" t="s">
        <v>19</v>
      </c>
      <c r="M3900" s="1" t="str">
        <f t="shared" si="61"/>
        <v>Consistent</v>
      </c>
      <c r="N3900" s="1" t="str">
        <f>_xlfn.XLOOKUP(H3900, risk_score!A:A, risk_score!B:B, 0)</f>
        <v>Low Risk</v>
      </c>
    </row>
    <row r="3901" spans="1:14">
      <c r="A3901" s="2">
        <v>0.54351851851851851</v>
      </c>
      <c r="B3901" s="3">
        <v>44841</v>
      </c>
      <c r="C3901" s="1">
        <v>2369116599</v>
      </c>
      <c r="D3901" s="1">
        <v>4173195094</v>
      </c>
      <c r="E3901" s="1">
        <v>16520.68</v>
      </c>
      <c r="F3901" s="1" t="s">
        <v>12</v>
      </c>
      <c r="G3901" s="1" t="s">
        <v>12</v>
      </c>
      <c r="H3901" s="1" t="s">
        <v>13</v>
      </c>
      <c r="I3901" s="1" t="s">
        <v>13</v>
      </c>
      <c r="J3901" s="1" t="s">
        <v>20</v>
      </c>
      <c r="K3901" s="1">
        <v>0</v>
      </c>
      <c r="L3901" s="1" t="s">
        <v>23</v>
      </c>
      <c r="M3901" s="1" t="str">
        <f t="shared" si="61"/>
        <v>Consistent</v>
      </c>
      <c r="N3901" s="1" t="str">
        <f>_xlfn.XLOOKUP(H3901, risk_score!A:A, risk_score!B:B, 0)</f>
        <v>Low Risk</v>
      </c>
    </row>
    <row r="3902" spans="1:14">
      <c r="A3902" s="2">
        <v>0.54353009259259255</v>
      </c>
      <c r="B3902" s="3">
        <v>44841</v>
      </c>
      <c r="C3902" s="1">
        <v>6086421020</v>
      </c>
      <c r="D3902" s="1">
        <v>5033682319</v>
      </c>
      <c r="E3902" s="1">
        <v>14770.06</v>
      </c>
      <c r="F3902" s="1" t="s">
        <v>12</v>
      </c>
      <c r="G3902" s="1" t="s">
        <v>12</v>
      </c>
      <c r="H3902" s="1" t="s">
        <v>13</v>
      </c>
      <c r="I3902" s="1" t="s">
        <v>13</v>
      </c>
      <c r="J3902" s="1" t="s">
        <v>25</v>
      </c>
      <c r="K3902" s="1">
        <v>0</v>
      </c>
      <c r="L3902" s="1" t="s">
        <v>19</v>
      </c>
      <c r="M3902" s="1" t="str">
        <f t="shared" si="61"/>
        <v>Consistent</v>
      </c>
      <c r="N3902" s="1" t="str">
        <f>_xlfn.XLOOKUP(H3902, risk_score!A:A, risk_score!B:B, 0)</f>
        <v>Low Risk</v>
      </c>
    </row>
    <row r="3903" spans="1:14">
      <c r="A3903" s="2">
        <v>0.54353009259259255</v>
      </c>
      <c r="B3903" s="3">
        <v>44841</v>
      </c>
      <c r="C3903" s="1">
        <v>478932706</v>
      </c>
      <c r="D3903" s="1">
        <v>8818408613</v>
      </c>
      <c r="E3903" s="1">
        <v>326.24</v>
      </c>
      <c r="F3903" s="1" t="s">
        <v>12</v>
      </c>
      <c r="G3903" s="1" t="s">
        <v>12</v>
      </c>
      <c r="H3903" s="1" t="s">
        <v>13</v>
      </c>
      <c r="I3903" s="1" t="s">
        <v>13</v>
      </c>
      <c r="J3903" s="1" t="s">
        <v>27</v>
      </c>
      <c r="K3903" s="1">
        <v>0</v>
      </c>
      <c r="L3903" s="1" t="s">
        <v>21</v>
      </c>
      <c r="M3903" s="1" t="str">
        <f t="shared" ref="M3903:M3966" si="62">IF(F3903=G3903, "Consistent", "Potential Layering")</f>
        <v>Consistent</v>
      </c>
      <c r="N3903" s="1" t="str">
        <f>_xlfn.XLOOKUP(H3903, risk_score!A:A, risk_score!B:B, 0)</f>
        <v>Low Risk</v>
      </c>
    </row>
    <row r="3904" spans="1:14">
      <c r="A3904" s="2">
        <v>0.5435416666666667</v>
      </c>
      <c r="B3904" s="3">
        <v>44841</v>
      </c>
      <c r="C3904" s="1">
        <v>9701936157</v>
      </c>
      <c r="D3904" s="1">
        <v>7464562559</v>
      </c>
      <c r="E3904" s="1">
        <v>414.13</v>
      </c>
      <c r="F3904" s="1" t="s">
        <v>12</v>
      </c>
      <c r="G3904" s="1" t="s">
        <v>12</v>
      </c>
      <c r="H3904" s="1" t="s">
        <v>13</v>
      </c>
      <c r="I3904" s="1" t="s">
        <v>13</v>
      </c>
      <c r="J3904" s="1" t="s">
        <v>27</v>
      </c>
      <c r="K3904" s="1">
        <v>0</v>
      </c>
      <c r="L3904" s="1" t="s">
        <v>21</v>
      </c>
      <c r="M3904" s="1" t="str">
        <f t="shared" si="62"/>
        <v>Consistent</v>
      </c>
      <c r="N3904" s="1" t="str">
        <f>_xlfn.XLOOKUP(H3904, risk_score!A:A, risk_score!B:B, 0)</f>
        <v>Low Risk</v>
      </c>
    </row>
    <row r="3905" spans="1:14">
      <c r="A3905" s="2">
        <v>0.54356481481481478</v>
      </c>
      <c r="B3905" s="3">
        <v>44841</v>
      </c>
      <c r="C3905" s="1">
        <v>8413340671</v>
      </c>
      <c r="D3905" s="1">
        <v>2138505015</v>
      </c>
      <c r="E3905" s="1">
        <v>6756.87</v>
      </c>
      <c r="F3905" s="1" t="s">
        <v>12</v>
      </c>
      <c r="G3905" s="1" t="s">
        <v>16</v>
      </c>
      <c r="H3905" s="1" t="s">
        <v>13</v>
      </c>
      <c r="I3905" s="1" t="s">
        <v>17</v>
      </c>
      <c r="J3905" s="1" t="s">
        <v>18</v>
      </c>
      <c r="K3905" s="1">
        <v>0</v>
      </c>
      <c r="L3905" s="1" t="s">
        <v>23</v>
      </c>
      <c r="M3905" s="1" t="str">
        <f t="shared" si="62"/>
        <v>Potential Layering</v>
      </c>
      <c r="N3905" s="1" t="str">
        <f>_xlfn.XLOOKUP(H3905, risk_score!A:A, risk_score!B:B, 0)</f>
        <v>Low Risk</v>
      </c>
    </row>
    <row r="3906" spans="1:14">
      <c r="A3906" s="2">
        <v>0.54358796296296297</v>
      </c>
      <c r="B3906" s="3">
        <v>44841</v>
      </c>
      <c r="C3906" s="1">
        <v>2797271466</v>
      </c>
      <c r="D3906" s="1">
        <v>7981094247</v>
      </c>
      <c r="E3906" s="1">
        <v>7655.89</v>
      </c>
      <c r="F3906" s="1" t="s">
        <v>12</v>
      </c>
      <c r="G3906" s="1" t="s">
        <v>12</v>
      </c>
      <c r="H3906" s="1" t="s">
        <v>13</v>
      </c>
      <c r="I3906" s="1" t="s">
        <v>13</v>
      </c>
      <c r="J3906" s="1" t="s">
        <v>25</v>
      </c>
      <c r="K3906" s="1">
        <v>0</v>
      </c>
      <c r="L3906" s="1" t="s">
        <v>19</v>
      </c>
      <c r="M3906" s="1" t="str">
        <f t="shared" si="62"/>
        <v>Consistent</v>
      </c>
      <c r="N3906" s="1" t="str">
        <f>_xlfn.XLOOKUP(H3906, risk_score!A:A, risk_score!B:B, 0)</f>
        <v>Low Risk</v>
      </c>
    </row>
    <row r="3907" spans="1:14">
      <c r="A3907" s="2">
        <v>0.54359953703703701</v>
      </c>
      <c r="B3907" s="3">
        <v>44841</v>
      </c>
      <c r="C3907" s="1">
        <v>3618092542</v>
      </c>
      <c r="D3907" s="1">
        <v>4831316139</v>
      </c>
      <c r="E3907" s="1">
        <v>4609.87</v>
      </c>
      <c r="F3907" s="1" t="s">
        <v>12</v>
      </c>
      <c r="G3907" s="1" t="s">
        <v>12</v>
      </c>
      <c r="H3907" s="1" t="s">
        <v>13</v>
      </c>
      <c r="I3907" s="1" t="s">
        <v>13</v>
      </c>
      <c r="J3907" s="1" t="s">
        <v>25</v>
      </c>
      <c r="K3907" s="1">
        <v>0</v>
      </c>
      <c r="L3907" s="1" t="s">
        <v>21</v>
      </c>
      <c r="M3907" s="1" t="str">
        <f t="shared" si="62"/>
        <v>Consistent</v>
      </c>
      <c r="N3907" s="1" t="str">
        <f>_xlfn.XLOOKUP(H3907, risk_score!A:A, risk_score!B:B, 0)</f>
        <v>Low Risk</v>
      </c>
    </row>
    <row r="3908" spans="1:14">
      <c r="A3908" s="2">
        <v>0.54361111111111116</v>
      </c>
      <c r="B3908" s="3">
        <v>44841</v>
      </c>
      <c r="C3908" s="1">
        <v>7695306517</v>
      </c>
      <c r="D3908" s="1">
        <v>1320927231</v>
      </c>
      <c r="E3908" s="1">
        <v>9450.67</v>
      </c>
      <c r="F3908" s="1" t="s">
        <v>12</v>
      </c>
      <c r="G3908" s="1" t="s">
        <v>12</v>
      </c>
      <c r="H3908" s="1" t="s">
        <v>13</v>
      </c>
      <c r="I3908" s="1" t="s">
        <v>13</v>
      </c>
      <c r="J3908" s="1" t="s">
        <v>27</v>
      </c>
      <c r="K3908" s="1">
        <v>0</v>
      </c>
      <c r="L3908" s="1" t="s">
        <v>23</v>
      </c>
      <c r="M3908" s="1" t="str">
        <f t="shared" si="62"/>
        <v>Consistent</v>
      </c>
      <c r="N3908" s="1" t="str">
        <f>_xlfn.XLOOKUP(H3908, risk_score!A:A, risk_score!B:B, 0)</f>
        <v>Low Risk</v>
      </c>
    </row>
    <row r="3909" spans="1:14">
      <c r="A3909" s="2">
        <v>0.54361111111111116</v>
      </c>
      <c r="B3909" s="3">
        <v>44841</v>
      </c>
      <c r="C3909" s="1">
        <v>6555497435</v>
      </c>
      <c r="D3909" s="1">
        <v>4988002972</v>
      </c>
      <c r="E3909" s="1">
        <v>102.09</v>
      </c>
      <c r="F3909" s="1" t="s">
        <v>12</v>
      </c>
      <c r="G3909" s="1" t="s">
        <v>12</v>
      </c>
      <c r="H3909" s="1" t="s">
        <v>13</v>
      </c>
      <c r="I3909" s="1" t="s">
        <v>13</v>
      </c>
      <c r="J3909" s="1" t="s">
        <v>36</v>
      </c>
      <c r="K3909" s="1">
        <v>0</v>
      </c>
      <c r="L3909" s="1" t="s">
        <v>37</v>
      </c>
      <c r="M3909" s="1" t="str">
        <f t="shared" si="62"/>
        <v>Consistent</v>
      </c>
      <c r="N3909" s="1" t="str">
        <f>_xlfn.XLOOKUP(H3909, risk_score!A:A, risk_score!B:B, 0)</f>
        <v>Low Risk</v>
      </c>
    </row>
    <row r="3910" spans="1:14">
      <c r="A3910" s="2">
        <v>0.54362268518518519</v>
      </c>
      <c r="B3910" s="3">
        <v>44841</v>
      </c>
      <c r="C3910" s="1">
        <v>369175348</v>
      </c>
      <c r="D3910" s="1">
        <v>1431561040</v>
      </c>
      <c r="E3910" s="1">
        <v>12242.89</v>
      </c>
      <c r="F3910" s="1" t="s">
        <v>12</v>
      </c>
      <c r="G3910" s="1" t="s">
        <v>12</v>
      </c>
      <c r="H3910" s="1" t="s">
        <v>13</v>
      </c>
      <c r="I3910" s="1" t="s">
        <v>13</v>
      </c>
      <c r="J3910" s="1" t="s">
        <v>20</v>
      </c>
      <c r="K3910" s="1">
        <v>0</v>
      </c>
      <c r="L3910" s="1" t="s">
        <v>23</v>
      </c>
      <c r="M3910" s="1" t="str">
        <f t="shared" si="62"/>
        <v>Consistent</v>
      </c>
      <c r="N3910" s="1" t="str">
        <f>_xlfn.XLOOKUP(H3910, risk_score!A:A, risk_score!B:B, 0)</f>
        <v>Low Risk</v>
      </c>
    </row>
    <row r="3911" spans="1:14">
      <c r="A3911" s="2">
        <v>0.54362268518518519</v>
      </c>
      <c r="B3911" s="3">
        <v>44841</v>
      </c>
      <c r="C3911" s="1">
        <v>1805171806</v>
      </c>
      <c r="D3911" s="1">
        <v>1465487567</v>
      </c>
      <c r="E3911" s="1">
        <v>5877.13</v>
      </c>
      <c r="F3911" s="1" t="s">
        <v>12</v>
      </c>
      <c r="G3911" s="1" t="s">
        <v>12</v>
      </c>
      <c r="H3911" s="1" t="s">
        <v>13</v>
      </c>
      <c r="I3911" s="1" t="s">
        <v>13</v>
      </c>
      <c r="J3911" s="1" t="s">
        <v>22</v>
      </c>
      <c r="K3911" s="1">
        <v>0</v>
      </c>
      <c r="L3911" s="1" t="s">
        <v>23</v>
      </c>
      <c r="M3911" s="1" t="str">
        <f t="shared" si="62"/>
        <v>Consistent</v>
      </c>
      <c r="N3911" s="1" t="str">
        <f>_xlfn.XLOOKUP(H3911, risk_score!A:A, risk_score!B:B, 0)</f>
        <v>Low Risk</v>
      </c>
    </row>
    <row r="3912" spans="1:14">
      <c r="A3912" s="2">
        <v>0.54364583333333338</v>
      </c>
      <c r="B3912" s="3">
        <v>44841</v>
      </c>
      <c r="C3912" s="1">
        <v>8207246869</v>
      </c>
      <c r="D3912" s="1">
        <v>5628674969</v>
      </c>
      <c r="E3912" s="1">
        <v>6935.01</v>
      </c>
      <c r="F3912" s="1" t="s">
        <v>12</v>
      </c>
      <c r="G3912" s="1" t="s">
        <v>12</v>
      </c>
      <c r="H3912" s="1" t="s">
        <v>13</v>
      </c>
      <c r="I3912" s="1" t="s">
        <v>13</v>
      </c>
      <c r="J3912" s="1" t="s">
        <v>22</v>
      </c>
      <c r="K3912" s="1">
        <v>0</v>
      </c>
      <c r="L3912" s="1" t="s">
        <v>23</v>
      </c>
      <c r="M3912" s="1" t="str">
        <f t="shared" si="62"/>
        <v>Consistent</v>
      </c>
      <c r="N3912" s="1" t="str">
        <f>_xlfn.XLOOKUP(H3912, risk_score!A:A, risk_score!B:B, 0)</f>
        <v>Low Risk</v>
      </c>
    </row>
    <row r="3913" spans="1:14">
      <c r="A3913" s="2">
        <v>0.54365740740740742</v>
      </c>
      <c r="B3913" s="3">
        <v>44841</v>
      </c>
      <c r="C3913" s="1">
        <v>9375688722</v>
      </c>
      <c r="D3913" s="1">
        <v>2656259015</v>
      </c>
      <c r="E3913" s="1">
        <v>752</v>
      </c>
      <c r="F3913" s="1" t="s">
        <v>12</v>
      </c>
      <c r="G3913" s="1" t="s">
        <v>12</v>
      </c>
      <c r="H3913" s="1" t="s">
        <v>13</v>
      </c>
      <c r="I3913" s="1" t="s">
        <v>13</v>
      </c>
      <c r="J3913" s="1" t="s">
        <v>27</v>
      </c>
      <c r="K3913" s="1">
        <v>0</v>
      </c>
      <c r="L3913" s="1" t="s">
        <v>21</v>
      </c>
      <c r="M3913" s="1" t="str">
        <f t="shared" si="62"/>
        <v>Consistent</v>
      </c>
      <c r="N3913" s="1" t="str">
        <f>_xlfn.XLOOKUP(H3913, risk_score!A:A, risk_score!B:B, 0)</f>
        <v>Low Risk</v>
      </c>
    </row>
    <row r="3914" spans="1:14">
      <c r="A3914" s="2">
        <v>0.54365740740740742</v>
      </c>
      <c r="B3914" s="3">
        <v>44841</v>
      </c>
      <c r="C3914" s="1">
        <v>7438507951</v>
      </c>
      <c r="D3914" s="1">
        <v>3220735304</v>
      </c>
      <c r="E3914" s="1">
        <v>18841.439999999999</v>
      </c>
      <c r="F3914" s="1" t="s">
        <v>12</v>
      </c>
      <c r="G3914" s="1" t="s">
        <v>12</v>
      </c>
      <c r="H3914" s="1" t="s">
        <v>13</v>
      </c>
      <c r="I3914" s="1" t="s">
        <v>13</v>
      </c>
      <c r="J3914" s="1" t="s">
        <v>22</v>
      </c>
      <c r="K3914" s="1">
        <v>0</v>
      </c>
      <c r="L3914" s="1" t="s">
        <v>23</v>
      </c>
      <c r="M3914" s="1" t="str">
        <f t="shared" si="62"/>
        <v>Consistent</v>
      </c>
      <c r="N3914" s="1" t="str">
        <f>_xlfn.XLOOKUP(H3914, risk_score!A:A, risk_score!B:B, 0)</f>
        <v>Low Risk</v>
      </c>
    </row>
    <row r="3915" spans="1:14">
      <c r="A3915" s="2">
        <v>0.54366898148148146</v>
      </c>
      <c r="B3915" s="3">
        <v>44841</v>
      </c>
      <c r="C3915" s="1">
        <v>2508215300</v>
      </c>
      <c r="D3915" s="1">
        <v>5290496112</v>
      </c>
      <c r="E3915" s="1">
        <v>321.10000000000002</v>
      </c>
      <c r="F3915" s="1" t="s">
        <v>12</v>
      </c>
      <c r="G3915" s="1" t="s">
        <v>12</v>
      </c>
      <c r="H3915" s="1" t="s">
        <v>13</v>
      </c>
      <c r="I3915" s="1" t="s">
        <v>13</v>
      </c>
      <c r="J3915" s="1" t="s">
        <v>25</v>
      </c>
      <c r="K3915" s="1">
        <v>0</v>
      </c>
      <c r="L3915" s="1" t="s">
        <v>21</v>
      </c>
      <c r="M3915" s="1" t="str">
        <f t="shared" si="62"/>
        <v>Consistent</v>
      </c>
      <c r="N3915" s="1" t="str">
        <f>_xlfn.XLOOKUP(H3915, risk_score!A:A, risk_score!B:B, 0)</f>
        <v>Low Risk</v>
      </c>
    </row>
    <row r="3916" spans="1:14">
      <c r="A3916" s="2">
        <v>0.54366898148148146</v>
      </c>
      <c r="B3916" s="3">
        <v>44841</v>
      </c>
      <c r="C3916" s="1">
        <v>7421451752</v>
      </c>
      <c r="D3916" s="1">
        <v>4009702480</v>
      </c>
      <c r="E3916" s="1">
        <v>12455.75</v>
      </c>
      <c r="F3916" s="1" t="s">
        <v>12</v>
      </c>
      <c r="G3916" s="1" t="s">
        <v>12</v>
      </c>
      <c r="H3916" s="1" t="s">
        <v>13</v>
      </c>
      <c r="I3916" s="1" t="s">
        <v>13</v>
      </c>
      <c r="J3916" s="1" t="s">
        <v>27</v>
      </c>
      <c r="K3916" s="1">
        <v>0</v>
      </c>
      <c r="L3916" s="1" t="s">
        <v>19</v>
      </c>
      <c r="M3916" s="1" t="str">
        <f t="shared" si="62"/>
        <v>Consistent</v>
      </c>
      <c r="N3916" s="1" t="str">
        <f>_xlfn.XLOOKUP(H3916, risk_score!A:A, risk_score!B:B, 0)</f>
        <v>Low Risk</v>
      </c>
    </row>
    <row r="3917" spans="1:14">
      <c r="A3917" s="2">
        <v>0.5436805555555555</v>
      </c>
      <c r="B3917" s="3">
        <v>44841</v>
      </c>
      <c r="C3917" s="1">
        <v>4932722043</v>
      </c>
      <c r="D3917" s="1">
        <v>7199625988</v>
      </c>
      <c r="E3917" s="1">
        <v>20496.46</v>
      </c>
      <c r="F3917" s="1" t="s">
        <v>12</v>
      </c>
      <c r="G3917" s="1" t="s">
        <v>29</v>
      </c>
      <c r="H3917" s="1" t="s">
        <v>13</v>
      </c>
      <c r="I3917" s="1" t="s">
        <v>13</v>
      </c>
      <c r="J3917" s="1" t="s">
        <v>25</v>
      </c>
      <c r="K3917" s="1">
        <v>0</v>
      </c>
      <c r="L3917" s="1" t="s">
        <v>23</v>
      </c>
      <c r="M3917" s="1" t="str">
        <f t="shared" si="62"/>
        <v>Potential Layering</v>
      </c>
      <c r="N3917" s="1" t="str">
        <f>_xlfn.XLOOKUP(H3917, risk_score!A:A, risk_score!B:B, 0)</f>
        <v>Low Risk</v>
      </c>
    </row>
    <row r="3918" spans="1:14">
      <c r="A3918" s="2">
        <v>0.54369212962962965</v>
      </c>
      <c r="B3918" s="3">
        <v>44841</v>
      </c>
      <c r="C3918" s="1">
        <v>5971751243</v>
      </c>
      <c r="D3918" s="1">
        <v>6406540474</v>
      </c>
      <c r="E3918" s="1">
        <v>120</v>
      </c>
      <c r="F3918" s="1" t="s">
        <v>12</v>
      </c>
      <c r="G3918" s="1" t="s">
        <v>12</v>
      </c>
      <c r="H3918" s="1" t="s">
        <v>13</v>
      </c>
      <c r="I3918" s="1" t="s">
        <v>13</v>
      </c>
      <c r="J3918" s="1" t="s">
        <v>36</v>
      </c>
      <c r="K3918" s="1">
        <v>0</v>
      </c>
      <c r="L3918" s="1" t="s">
        <v>37</v>
      </c>
      <c r="M3918" s="1" t="str">
        <f t="shared" si="62"/>
        <v>Consistent</v>
      </c>
      <c r="N3918" s="1" t="str">
        <f>_xlfn.XLOOKUP(H3918, risk_score!A:A, risk_score!B:B, 0)</f>
        <v>Low Risk</v>
      </c>
    </row>
    <row r="3919" spans="1:14">
      <c r="A3919" s="2">
        <v>0.54370370370370369</v>
      </c>
      <c r="B3919" s="3">
        <v>44841</v>
      </c>
      <c r="C3919" s="1">
        <v>4712930207</v>
      </c>
      <c r="D3919" s="1">
        <v>1493436023</v>
      </c>
      <c r="E3919" s="1">
        <v>13472.8</v>
      </c>
      <c r="F3919" s="1" t="s">
        <v>12</v>
      </c>
      <c r="G3919" s="1" t="s">
        <v>12</v>
      </c>
      <c r="H3919" s="1" t="s">
        <v>13</v>
      </c>
      <c r="I3919" s="1" t="s">
        <v>13</v>
      </c>
      <c r="J3919" s="1" t="s">
        <v>22</v>
      </c>
      <c r="K3919" s="1">
        <v>0</v>
      </c>
      <c r="L3919" s="1" t="s">
        <v>23</v>
      </c>
      <c r="M3919" s="1" t="str">
        <f t="shared" si="62"/>
        <v>Consistent</v>
      </c>
      <c r="N3919" s="1" t="str">
        <f>_xlfn.XLOOKUP(H3919, risk_score!A:A, risk_score!B:B, 0)</f>
        <v>Low Risk</v>
      </c>
    </row>
    <row r="3920" spans="1:14">
      <c r="A3920" s="2">
        <v>0.54371527777777773</v>
      </c>
      <c r="B3920" s="3">
        <v>44841</v>
      </c>
      <c r="C3920" s="1">
        <v>7758268667</v>
      </c>
      <c r="D3920" s="1">
        <v>3795566341</v>
      </c>
      <c r="E3920" s="1">
        <v>6263.85</v>
      </c>
      <c r="F3920" s="1" t="s">
        <v>12</v>
      </c>
      <c r="G3920" s="1" t="s">
        <v>12</v>
      </c>
      <c r="H3920" s="1" t="s">
        <v>13</v>
      </c>
      <c r="I3920" s="1" t="s">
        <v>13</v>
      </c>
      <c r="J3920" s="1" t="s">
        <v>22</v>
      </c>
      <c r="K3920" s="1">
        <v>0</v>
      </c>
      <c r="L3920" s="1" t="s">
        <v>19</v>
      </c>
      <c r="M3920" s="1" t="str">
        <f t="shared" si="62"/>
        <v>Consistent</v>
      </c>
      <c r="N3920" s="1" t="str">
        <f>_xlfn.XLOOKUP(H3920, risk_score!A:A, risk_score!B:B, 0)</f>
        <v>Low Risk</v>
      </c>
    </row>
    <row r="3921" spans="1:14">
      <c r="A3921" s="2">
        <v>0.54373842592592592</v>
      </c>
      <c r="B3921" s="3">
        <v>44841</v>
      </c>
      <c r="C3921" s="1">
        <v>6648904622</v>
      </c>
      <c r="D3921" s="1">
        <v>4529918474</v>
      </c>
      <c r="E3921" s="1">
        <v>638.91999999999996</v>
      </c>
      <c r="F3921" s="1" t="s">
        <v>12</v>
      </c>
      <c r="G3921" s="1" t="s">
        <v>12</v>
      </c>
      <c r="H3921" s="1" t="s">
        <v>13</v>
      </c>
      <c r="I3921" s="1" t="s">
        <v>13</v>
      </c>
      <c r="J3921" s="1" t="s">
        <v>22</v>
      </c>
      <c r="K3921" s="1">
        <v>0</v>
      </c>
      <c r="L3921" s="1" t="s">
        <v>21</v>
      </c>
      <c r="M3921" s="1" t="str">
        <f t="shared" si="62"/>
        <v>Consistent</v>
      </c>
      <c r="N3921" s="1" t="str">
        <f>_xlfn.XLOOKUP(H3921, risk_score!A:A, risk_score!B:B, 0)</f>
        <v>Low Risk</v>
      </c>
    </row>
    <row r="3922" spans="1:14">
      <c r="A3922" s="2">
        <v>0.54377314814814814</v>
      </c>
      <c r="B3922" s="3">
        <v>44841</v>
      </c>
      <c r="C3922" s="1">
        <v>7669236826</v>
      </c>
      <c r="D3922" s="1">
        <v>9544469020</v>
      </c>
      <c r="E3922" s="1">
        <v>7324.64</v>
      </c>
      <c r="F3922" s="1" t="s">
        <v>12</v>
      </c>
      <c r="G3922" s="1" t="s">
        <v>12</v>
      </c>
      <c r="H3922" s="1" t="s">
        <v>13</v>
      </c>
      <c r="I3922" s="1" t="s">
        <v>13</v>
      </c>
      <c r="J3922" s="1" t="s">
        <v>27</v>
      </c>
      <c r="K3922" s="1">
        <v>0</v>
      </c>
      <c r="L3922" s="1" t="s">
        <v>19</v>
      </c>
      <c r="M3922" s="1" t="str">
        <f t="shared" si="62"/>
        <v>Consistent</v>
      </c>
      <c r="N3922" s="1" t="str">
        <f>_xlfn.XLOOKUP(H3922, risk_score!A:A, risk_score!B:B, 0)</f>
        <v>Low Risk</v>
      </c>
    </row>
    <row r="3923" spans="1:14">
      <c r="A3923" s="2">
        <v>0.54379629629629633</v>
      </c>
      <c r="B3923" s="3">
        <v>44841</v>
      </c>
      <c r="C3923" s="1">
        <v>2299676190</v>
      </c>
      <c r="D3923" s="1">
        <v>2534644942</v>
      </c>
      <c r="E3923" s="1">
        <v>5854.12</v>
      </c>
      <c r="F3923" s="1" t="s">
        <v>12</v>
      </c>
      <c r="G3923" s="1" t="s">
        <v>29</v>
      </c>
      <c r="H3923" s="1" t="s">
        <v>13</v>
      </c>
      <c r="I3923" s="1" t="s">
        <v>31</v>
      </c>
      <c r="J3923" s="1" t="s">
        <v>18</v>
      </c>
      <c r="K3923" s="1">
        <v>0</v>
      </c>
      <c r="L3923" s="1" t="s">
        <v>23</v>
      </c>
      <c r="M3923" s="1" t="str">
        <f t="shared" si="62"/>
        <v>Potential Layering</v>
      </c>
      <c r="N3923" s="1" t="str">
        <f>_xlfn.XLOOKUP(H3923, risk_score!A:A, risk_score!B:B, 0)</f>
        <v>Low Risk</v>
      </c>
    </row>
    <row r="3924" spans="1:14">
      <c r="A3924" s="2">
        <v>0.54380787037037037</v>
      </c>
      <c r="B3924" s="3">
        <v>44841</v>
      </c>
      <c r="C3924" s="1">
        <v>8987848252</v>
      </c>
      <c r="D3924" s="1">
        <v>1896020736</v>
      </c>
      <c r="E3924" s="1">
        <v>5825.69</v>
      </c>
      <c r="F3924" s="1" t="s">
        <v>12</v>
      </c>
      <c r="G3924" s="1" t="s">
        <v>12</v>
      </c>
      <c r="H3924" s="1" t="s">
        <v>13</v>
      </c>
      <c r="I3924" s="1" t="s">
        <v>13</v>
      </c>
      <c r="J3924" s="1" t="s">
        <v>25</v>
      </c>
      <c r="K3924" s="1">
        <v>0</v>
      </c>
      <c r="L3924" s="1" t="s">
        <v>19</v>
      </c>
      <c r="M3924" s="1" t="str">
        <f t="shared" si="62"/>
        <v>Consistent</v>
      </c>
      <c r="N3924" s="1" t="str">
        <f>_xlfn.XLOOKUP(H3924, risk_score!A:A, risk_score!B:B, 0)</f>
        <v>Low Risk</v>
      </c>
    </row>
    <row r="3925" spans="1:14">
      <c r="A3925" s="2">
        <v>0.54381944444444441</v>
      </c>
      <c r="B3925" s="3">
        <v>44841</v>
      </c>
      <c r="C3925" s="1">
        <v>8365969009</v>
      </c>
      <c r="D3925" s="1">
        <v>693522868</v>
      </c>
      <c r="E3925" s="1">
        <v>8919.94</v>
      </c>
      <c r="F3925" s="1" t="s">
        <v>12</v>
      </c>
      <c r="G3925" s="1" t="s">
        <v>12</v>
      </c>
      <c r="H3925" s="1" t="s">
        <v>13</v>
      </c>
      <c r="I3925" s="1" t="s">
        <v>13</v>
      </c>
      <c r="J3925" s="1" t="s">
        <v>22</v>
      </c>
      <c r="K3925" s="1">
        <v>0</v>
      </c>
      <c r="L3925" s="1" t="s">
        <v>38</v>
      </c>
      <c r="M3925" s="1" t="str">
        <f t="shared" si="62"/>
        <v>Consistent</v>
      </c>
      <c r="N3925" s="1" t="str">
        <f>_xlfn.XLOOKUP(H3925, risk_score!A:A, risk_score!B:B, 0)</f>
        <v>Low Risk</v>
      </c>
    </row>
    <row r="3926" spans="1:14">
      <c r="A3926" s="2">
        <v>0.54383101851851856</v>
      </c>
      <c r="B3926" s="3">
        <v>44841</v>
      </c>
      <c r="C3926" s="1">
        <v>1039261140</v>
      </c>
      <c r="D3926" s="1">
        <v>1465487567</v>
      </c>
      <c r="E3926" s="1">
        <v>16321.89</v>
      </c>
      <c r="F3926" s="1" t="s">
        <v>12</v>
      </c>
      <c r="G3926" s="1" t="s">
        <v>12</v>
      </c>
      <c r="H3926" s="1" t="s">
        <v>13</v>
      </c>
      <c r="I3926" s="1" t="s">
        <v>13</v>
      </c>
      <c r="J3926" s="1" t="s">
        <v>25</v>
      </c>
      <c r="K3926" s="1">
        <v>0</v>
      </c>
      <c r="L3926" s="1" t="s">
        <v>23</v>
      </c>
      <c r="M3926" s="1" t="str">
        <f t="shared" si="62"/>
        <v>Consistent</v>
      </c>
      <c r="N3926" s="1" t="str">
        <f>_xlfn.XLOOKUP(H3926, risk_score!A:A, risk_score!B:B, 0)</f>
        <v>Low Risk</v>
      </c>
    </row>
    <row r="3927" spans="1:14">
      <c r="A3927" s="2">
        <v>0.5438425925925926</v>
      </c>
      <c r="B3927" s="3">
        <v>44841</v>
      </c>
      <c r="C3927" s="1">
        <v>1491989064</v>
      </c>
      <c r="D3927" s="1">
        <v>478973149</v>
      </c>
      <c r="E3927" s="1">
        <v>6478.51</v>
      </c>
      <c r="F3927" s="1" t="s">
        <v>12</v>
      </c>
      <c r="G3927" s="1" t="s">
        <v>12</v>
      </c>
      <c r="H3927" s="1" t="s">
        <v>13</v>
      </c>
      <c r="I3927" s="1" t="s">
        <v>13</v>
      </c>
      <c r="J3927" s="1" t="s">
        <v>27</v>
      </c>
      <c r="K3927" s="1">
        <v>0</v>
      </c>
      <c r="L3927" s="1" t="s">
        <v>19</v>
      </c>
      <c r="M3927" s="1" t="str">
        <f t="shared" si="62"/>
        <v>Consistent</v>
      </c>
      <c r="N3927" s="1" t="str">
        <f>_xlfn.XLOOKUP(H3927, risk_score!A:A, risk_score!B:B, 0)</f>
        <v>Low Risk</v>
      </c>
    </row>
    <row r="3928" spans="1:14">
      <c r="A3928" s="2">
        <v>0.54385416666666664</v>
      </c>
      <c r="B3928" s="3">
        <v>44841</v>
      </c>
      <c r="C3928" s="1">
        <v>2906190749</v>
      </c>
      <c r="D3928" s="1">
        <v>6034997194</v>
      </c>
      <c r="E3928" s="1">
        <v>18639.650000000001</v>
      </c>
      <c r="F3928" s="1" t="s">
        <v>12</v>
      </c>
      <c r="G3928" s="1" t="s">
        <v>12</v>
      </c>
      <c r="H3928" s="1" t="s">
        <v>13</v>
      </c>
      <c r="I3928" s="1" t="s">
        <v>13</v>
      </c>
      <c r="J3928" s="1" t="s">
        <v>27</v>
      </c>
      <c r="K3928" s="1">
        <v>0</v>
      </c>
      <c r="L3928" s="1" t="s">
        <v>23</v>
      </c>
      <c r="M3928" s="1" t="str">
        <f t="shared" si="62"/>
        <v>Consistent</v>
      </c>
      <c r="N3928" s="1" t="str">
        <f>_xlfn.XLOOKUP(H3928, risk_score!A:A, risk_score!B:B, 0)</f>
        <v>Low Risk</v>
      </c>
    </row>
    <row r="3929" spans="1:14">
      <c r="A3929" s="2">
        <v>0.54385416666666664</v>
      </c>
      <c r="B3929" s="3">
        <v>44841</v>
      </c>
      <c r="C3929" s="1">
        <v>4412594608</v>
      </c>
      <c r="D3929" s="1">
        <v>1802934841</v>
      </c>
      <c r="E3929" s="1">
        <v>2088.23</v>
      </c>
      <c r="F3929" s="1" t="s">
        <v>12</v>
      </c>
      <c r="G3929" s="1" t="s">
        <v>12</v>
      </c>
      <c r="H3929" s="1" t="s">
        <v>13</v>
      </c>
      <c r="I3929" s="1" t="s">
        <v>13</v>
      </c>
      <c r="J3929" s="1" t="s">
        <v>20</v>
      </c>
      <c r="K3929" s="1">
        <v>0</v>
      </c>
      <c r="L3929" s="1" t="s">
        <v>21</v>
      </c>
      <c r="M3929" s="1" t="str">
        <f t="shared" si="62"/>
        <v>Consistent</v>
      </c>
      <c r="N3929" s="1" t="str">
        <f>_xlfn.XLOOKUP(H3929, risk_score!A:A, risk_score!B:B, 0)</f>
        <v>Low Risk</v>
      </c>
    </row>
    <row r="3930" spans="1:14">
      <c r="A3930" s="2">
        <v>0.54392361111111109</v>
      </c>
      <c r="B3930" s="3">
        <v>44841</v>
      </c>
      <c r="C3930" s="1">
        <v>5276618736</v>
      </c>
      <c r="D3930" s="1">
        <v>8172080174</v>
      </c>
      <c r="E3930" s="1">
        <v>6112.62</v>
      </c>
      <c r="F3930" s="1" t="s">
        <v>12</v>
      </c>
      <c r="G3930" s="1" t="s">
        <v>12</v>
      </c>
      <c r="H3930" s="1" t="s">
        <v>13</v>
      </c>
      <c r="I3930" s="1" t="s">
        <v>13</v>
      </c>
      <c r="J3930" s="1" t="s">
        <v>25</v>
      </c>
      <c r="K3930" s="1">
        <v>0</v>
      </c>
      <c r="L3930" s="1" t="s">
        <v>23</v>
      </c>
      <c r="M3930" s="1" t="str">
        <f t="shared" si="62"/>
        <v>Consistent</v>
      </c>
      <c r="N3930" s="1" t="str">
        <f>_xlfn.XLOOKUP(H3930, risk_score!A:A, risk_score!B:B, 0)</f>
        <v>Low Risk</v>
      </c>
    </row>
    <row r="3931" spans="1:14">
      <c r="A3931" s="2">
        <v>0.54393518518518513</v>
      </c>
      <c r="B3931" s="3">
        <v>44841</v>
      </c>
      <c r="C3931" s="1">
        <v>8082566832</v>
      </c>
      <c r="D3931" s="1">
        <v>1565658946</v>
      </c>
      <c r="E3931" s="1">
        <v>2041.25</v>
      </c>
      <c r="F3931" s="1" t="s">
        <v>12</v>
      </c>
      <c r="G3931" s="1" t="s">
        <v>12</v>
      </c>
      <c r="H3931" s="1" t="s">
        <v>13</v>
      </c>
      <c r="I3931" s="1" t="s">
        <v>13</v>
      </c>
      <c r="J3931" s="1" t="s">
        <v>20</v>
      </c>
      <c r="K3931" s="1">
        <v>0</v>
      </c>
      <c r="L3931" s="1" t="s">
        <v>21</v>
      </c>
      <c r="M3931" s="1" t="str">
        <f t="shared" si="62"/>
        <v>Consistent</v>
      </c>
      <c r="N3931" s="1" t="str">
        <f>_xlfn.XLOOKUP(H3931, risk_score!A:A, risk_score!B:B, 0)</f>
        <v>Low Risk</v>
      </c>
    </row>
    <row r="3932" spans="1:14">
      <c r="A3932" s="2">
        <v>0.54396990740740736</v>
      </c>
      <c r="B3932" s="3">
        <v>44841</v>
      </c>
      <c r="C3932" s="1">
        <v>1484950116</v>
      </c>
      <c r="D3932" s="1">
        <v>2826369480</v>
      </c>
      <c r="E3932" s="1">
        <v>249.76</v>
      </c>
      <c r="F3932" s="1" t="s">
        <v>12</v>
      </c>
      <c r="G3932" s="1" t="s">
        <v>12</v>
      </c>
      <c r="H3932" s="1" t="s">
        <v>13</v>
      </c>
      <c r="I3932" s="1" t="s">
        <v>13</v>
      </c>
      <c r="J3932" s="1" t="s">
        <v>14</v>
      </c>
      <c r="K3932" s="1">
        <v>0</v>
      </c>
      <c r="L3932" s="1" t="s">
        <v>15</v>
      </c>
      <c r="M3932" s="1" t="str">
        <f t="shared" si="62"/>
        <v>Consistent</v>
      </c>
      <c r="N3932" s="1" t="str">
        <f>_xlfn.XLOOKUP(H3932, risk_score!A:A, risk_score!B:B, 0)</f>
        <v>Low Risk</v>
      </c>
    </row>
    <row r="3933" spans="1:14">
      <c r="A3933" s="2">
        <v>0.54396990740740736</v>
      </c>
      <c r="B3933" s="3">
        <v>44841</v>
      </c>
      <c r="C3933" s="1">
        <v>255845645</v>
      </c>
      <c r="D3933" s="1">
        <v>7080357663</v>
      </c>
      <c r="E3933" s="1">
        <v>10603.64</v>
      </c>
      <c r="F3933" s="1" t="s">
        <v>12</v>
      </c>
      <c r="G3933" s="1" t="s">
        <v>12</v>
      </c>
      <c r="H3933" s="1" t="s">
        <v>13</v>
      </c>
      <c r="I3933" s="1" t="s">
        <v>13</v>
      </c>
      <c r="J3933" s="1" t="s">
        <v>27</v>
      </c>
      <c r="K3933" s="1">
        <v>0</v>
      </c>
      <c r="L3933" s="1" t="s">
        <v>23</v>
      </c>
      <c r="M3933" s="1" t="str">
        <f t="shared" si="62"/>
        <v>Consistent</v>
      </c>
      <c r="N3933" s="1" t="str">
        <f>_xlfn.XLOOKUP(H3933, risk_score!A:A, risk_score!B:B, 0)</f>
        <v>Low Risk</v>
      </c>
    </row>
    <row r="3934" spans="1:14">
      <c r="A3934" s="2">
        <v>0.54398148148148151</v>
      </c>
      <c r="B3934" s="3">
        <v>44841</v>
      </c>
      <c r="C3934" s="1">
        <v>5097207315</v>
      </c>
      <c r="D3934" s="1">
        <v>1557007697</v>
      </c>
      <c r="E3934" s="1">
        <v>3293.33</v>
      </c>
      <c r="F3934" s="1" t="s">
        <v>12</v>
      </c>
      <c r="G3934" s="1" t="s">
        <v>12</v>
      </c>
      <c r="H3934" s="1" t="s">
        <v>13</v>
      </c>
      <c r="I3934" s="1" t="s">
        <v>13</v>
      </c>
      <c r="J3934" s="1" t="s">
        <v>20</v>
      </c>
      <c r="K3934" s="1">
        <v>0</v>
      </c>
      <c r="L3934" s="1" t="s">
        <v>21</v>
      </c>
      <c r="M3934" s="1" t="str">
        <f t="shared" si="62"/>
        <v>Consistent</v>
      </c>
      <c r="N3934" s="1" t="str">
        <f>_xlfn.XLOOKUP(H3934, risk_score!A:A, risk_score!B:B, 0)</f>
        <v>Low Risk</v>
      </c>
    </row>
    <row r="3935" spans="1:14">
      <c r="A3935" s="2">
        <v>0.54398148148148151</v>
      </c>
      <c r="B3935" s="3">
        <v>44841</v>
      </c>
      <c r="C3935" s="1">
        <v>1970777900</v>
      </c>
      <c r="D3935" s="1">
        <v>5147353792</v>
      </c>
      <c r="E3935" s="1">
        <v>2284.56</v>
      </c>
      <c r="F3935" s="1" t="s">
        <v>12</v>
      </c>
      <c r="G3935" s="1" t="s">
        <v>12</v>
      </c>
      <c r="H3935" s="1" t="s">
        <v>13</v>
      </c>
      <c r="I3935" s="1" t="s">
        <v>13</v>
      </c>
      <c r="J3935" s="1" t="s">
        <v>20</v>
      </c>
      <c r="K3935" s="1">
        <v>0</v>
      </c>
      <c r="L3935" s="1" t="s">
        <v>21</v>
      </c>
      <c r="M3935" s="1" t="str">
        <f t="shared" si="62"/>
        <v>Consistent</v>
      </c>
      <c r="N3935" s="1" t="str">
        <f>_xlfn.XLOOKUP(H3935, risk_score!A:A, risk_score!B:B, 0)</f>
        <v>Low Risk</v>
      </c>
    </row>
    <row r="3936" spans="1:14">
      <c r="A3936" s="2">
        <v>0.54399305555555555</v>
      </c>
      <c r="B3936" s="3">
        <v>44841</v>
      </c>
      <c r="C3936" s="1">
        <v>703647888</v>
      </c>
      <c r="D3936" s="1">
        <v>1431561040</v>
      </c>
      <c r="E3936" s="1">
        <v>19928.21</v>
      </c>
      <c r="F3936" s="1" t="s">
        <v>12</v>
      </c>
      <c r="G3936" s="1" t="s">
        <v>12</v>
      </c>
      <c r="H3936" s="1" t="s">
        <v>13</v>
      </c>
      <c r="I3936" s="1" t="s">
        <v>13</v>
      </c>
      <c r="J3936" s="1" t="s">
        <v>22</v>
      </c>
      <c r="K3936" s="1">
        <v>0</v>
      </c>
      <c r="L3936" s="1" t="s">
        <v>23</v>
      </c>
      <c r="M3936" s="1" t="str">
        <f t="shared" si="62"/>
        <v>Consistent</v>
      </c>
      <c r="N3936" s="1" t="str">
        <f>_xlfn.XLOOKUP(H3936, risk_score!A:A, risk_score!B:B, 0)</f>
        <v>Low Risk</v>
      </c>
    </row>
    <row r="3937" spans="1:14">
      <c r="A3937" s="2">
        <v>0.54402777777777778</v>
      </c>
      <c r="B3937" s="3">
        <v>44841</v>
      </c>
      <c r="C3937" s="1">
        <v>4636265179</v>
      </c>
      <c r="D3937" s="1">
        <v>6402401441</v>
      </c>
      <c r="E3937" s="1">
        <v>269.99</v>
      </c>
      <c r="F3937" s="1" t="s">
        <v>12</v>
      </c>
      <c r="G3937" s="1" t="s">
        <v>12</v>
      </c>
      <c r="H3937" s="1" t="s">
        <v>13</v>
      </c>
      <c r="I3937" s="1" t="s">
        <v>13</v>
      </c>
      <c r="J3937" s="1" t="s">
        <v>22</v>
      </c>
      <c r="K3937" s="1">
        <v>0</v>
      </c>
      <c r="L3937" s="1" t="s">
        <v>21</v>
      </c>
      <c r="M3937" s="1" t="str">
        <f t="shared" si="62"/>
        <v>Consistent</v>
      </c>
      <c r="N3937" s="1" t="str">
        <f>_xlfn.XLOOKUP(H3937, risk_score!A:A, risk_score!B:B, 0)</f>
        <v>Low Risk</v>
      </c>
    </row>
    <row r="3938" spans="1:14">
      <c r="A3938" s="2">
        <v>0.54403935185185182</v>
      </c>
      <c r="B3938" s="3">
        <v>44841</v>
      </c>
      <c r="C3938" s="1">
        <v>9541087936</v>
      </c>
      <c r="D3938" s="1">
        <v>4432690383</v>
      </c>
      <c r="E3938" s="1">
        <v>7912</v>
      </c>
      <c r="F3938" s="1" t="s">
        <v>12</v>
      </c>
      <c r="G3938" s="1" t="s">
        <v>12</v>
      </c>
      <c r="H3938" s="1" t="s">
        <v>13</v>
      </c>
      <c r="I3938" s="1" t="s">
        <v>13</v>
      </c>
      <c r="J3938" s="1" t="s">
        <v>27</v>
      </c>
      <c r="K3938" s="1">
        <v>0</v>
      </c>
      <c r="L3938" s="1" t="s">
        <v>38</v>
      </c>
      <c r="M3938" s="1" t="str">
        <f t="shared" si="62"/>
        <v>Consistent</v>
      </c>
      <c r="N3938" s="1" t="str">
        <f>_xlfn.XLOOKUP(H3938, risk_score!A:A, risk_score!B:B, 0)</f>
        <v>Low Risk</v>
      </c>
    </row>
    <row r="3939" spans="1:14">
      <c r="A3939" s="2">
        <v>0.54403935185185182</v>
      </c>
      <c r="B3939" s="3">
        <v>44841</v>
      </c>
      <c r="C3939" s="1">
        <v>5982914936</v>
      </c>
      <c r="D3939" s="1">
        <v>6615626527</v>
      </c>
      <c r="E3939" s="1">
        <v>22245.53</v>
      </c>
      <c r="F3939" s="1" t="s">
        <v>12</v>
      </c>
      <c r="G3939" s="1" t="s">
        <v>12</v>
      </c>
      <c r="H3939" s="1" t="s">
        <v>13</v>
      </c>
      <c r="I3939" s="1" t="s">
        <v>13</v>
      </c>
      <c r="J3939" s="1" t="s">
        <v>27</v>
      </c>
      <c r="K3939" s="1">
        <v>0</v>
      </c>
      <c r="L3939" s="1" t="s">
        <v>19</v>
      </c>
      <c r="M3939" s="1" t="str">
        <f t="shared" si="62"/>
        <v>Consistent</v>
      </c>
      <c r="N3939" s="1" t="str">
        <f>_xlfn.XLOOKUP(H3939, risk_score!A:A, risk_score!B:B, 0)</f>
        <v>Low Risk</v>
      </c>
    </row>
    <row r="3940" spans="1:14">
      <c r="A3940" s="2">
        <v>0.54412037037037042</v>
      </c>
      <c r="B3940" s="3">
        <v>44841</v>
      </c>
      <c r="C3940" s="1">
        <v>6679205752</v>
      </c>
      <c r="D3940" s="1">
        <v>5109623450</v>
      </c>
      <c r="E3940" s="1">
        <v>12178.04</v>
      </c>
      <c r="F3940" s="1" t="s">
        <v>12</v>
      </c>
      <c r="G3940" s="1" t="s">
        <v>12</v>
      </c>
      <c r="H3940" s="1" t="s">
        <v>13</v>
      </c>
      <c r="I3940" s="1" t="s">
        <v>13</v>
      </c>
      <c r="J3940" s="1" t="s">
        <v>22</v>
      </c>
      <c r="K3940" s="1">
        <v>0</v>
      </c>
      <c r="L3940" s="1" t="s">
        <v>23</v>
      </c>
      <c r="M3940" s="1" t="str">
        <f t="shared" si="62"/>
        <v>Consistent</v>
      </c>
      <c r="N3940" s="1" t="str">
        <f>_xlfn.XLOOKUP(H3940, risk_score!A:A, risk_score!B:B, 0)</f>
        <v>Low Risk</v>
      </c>
    </row>
    <row r="3941" spans="1:14">
      <c r="A3941" s="2">
        <v>0.54417824074074073</v>
      </c>
      <c r="B3941" s="3">
        <v>44841</v>
      </c>
      <c r="C3941" s="1">
        <v>3614082527</v>
      </c>
      <c r="D3941" s="1">
        <v>9145896387</v>
      </c>
      <c r="E3941" s="1">
        <v>8278.0499999999993</v>
      </c>
      <c r="F3941" s="1" t="s">
        <v>12</v>
      </c>
      <c r="G3941" s="1" t="s">
        <v>12</v>
      </c>
      <c r="H3941" s="1" t="s">
        <v>13</v>
      </c>
      <c r="I3941" s="1" t="s">
        <v>13</v>
      </c>
      <c r="J3941" s="1" t="s">
        <v>25</v>
      </c>
      <c r="K3941" s="1">
        <v>0</v>
      </c>
      <c r="L3941" s="1" t="s">
        <v>19</v>
      </c>
      <c r="M3941" s="1" t="str">
        <f t="shared" si="62"/>
        <v>Consistent</v>
      </c>
      <c r="N3941" s="1" t="str">
        <f>_xlfn.XLOOKUP(H3941, risk_score!A:A, risk_score!B:B, 0)</f>
        <v>Low Risk</v>
      </c>
    </row>
    <row r="3942" spans="1:14">
      <c r="A3942" s="2">
        <v>0.54417824074074073</v>
      </c>
      <c r="B3942" s="3">
        <v>44841</v>
      </c>
      <c r="C3942" s="1">
        <v>5300701883</v>
      </c>
      <c r="D3942" s="1">
        <v>6254659797</v>
      </c>
      <c r="E3942" s="1">
        <v>522.95000000000005</v>
      </c>
      <c r="F3942" s="1" t="s">
        <v>12</v>
      </c>
      <c r="G3942" s="1" t="s">
        <v>12</v>
      </c>
      <c r="H3942" s="1" t="s">
        <v>13</v>
      </c>
      <c r="I3942" s="1" t="s">
        <v>13</v>
      </c>
      <c r="J3942" s="1" t="s">
        <v>14</v>
      </c>
      <c r="K3942" s="1">
        <v>0</v>
      </c>
      <c r="L3942" s="1" t="s">
        <v>15</v>
      </c>
      <c r="M3942" s="1" t="str">
        <f t="shared" si="62"/>
        <v>Consistent</v>
      </c>
      <c r="N3942" s="1" t="str">
        <f>_xlfn.XLOOKUP(H3942, risk_score!A:A, risk_score!B:B, 0)</f>
        <v>Low Risk</v>
      </c>
    </row>
    <row r="3943" spans="1:14">
      <c r="A3943" s="2">
        <v>0.54418981481481477</v>
      </c>
      <c r="B3943" s="3">
        <v>44841</v>
      </c>
      <c r="C3943" s="1">
        <v>1171263460</v>
      </c>
      <c r="D3943" s="1">
        <v>351184098</v>
      </c>
      <c r="E3943" s="1">
        <v>7173.29</v>
      </c>
      <c r="F3943" s="1" t="s">
        <v>12</v>
      </c>
      <c r="G3943" s="1" t="s">
        <v>12</v>
      </c>
      <c r="H3943" s="1" t="s">
        <v>13</v>
      </c>
      <c r="I3943" s="1" t="s">
        <v>13</v>
      </c>
      <c r="J3943" s="1" t="s">
        <v>22</v>
      </c>
      <c r="K3943" s="1">
        <v>0</v>
      </c>
      <c r="L3943" s="1" t="s">
        <v>24</v>
      </c>
      <c r="M3943" s="1" t="str">
        <f t="shared" si="62"/>
        <v>Consistent</v>
      </c>
      <c r="N3943" s="1" t="str">
        <f>_xlfn.XLOOKUP(H3943, risk_score!A:A, risk_score!B:B, 0)</f>
        <v>Low Risk</v>
      </c>
    </row>
    <row r="3944" spans="1:14">
      <c r="A3944" s="2">
        <v>0.54422453703703699</v>
      </c>
      <c r="B3944" s="3">
        <v>44841</v>
      </c>
      <c r="C3944" s="1">
        <v>45683332</v>
      </c>
      <c r="D3944" s="1">
        <v>3881391727</v>
      </c>
      <c r="E3944" s="1">
        <v>15679.96</v>
      </c>
      <c r="F3944" s="1" t="s">
        <v>12</v>
      </c>
      <c r="G3944" s="1" t="s">
        <v>12</v>
      </c>
      <c r="H3944" s="1" t="s">
        <v>13</v>
      </c>
      <c r="I3944" s="1" t="s">
        <v>13</v>
      </c>
      <c r="J3944" s="1" t="s">
        <v>27</v>
      </c>
      <c r="K3944" s="1">
        <v>0</v>
      </c>
      <c r="L3944" s="1" t="s">
        <v>21</v>
      </c>
      <c r="M3944" s="1" t="str">
        <f t="shared" si="62"/>
        <v>Consistent</v>
      </c>
      <c r="N3944" s="1" t="str">
        <f>_xlfn.XLOOKUP(H3944, risk_score!A:A, risk_score!B:B, 0)</f>
        <v>Low Risk</v>
      </c>
    </row>
    <row r="3945" spans="1:14">
      <c r="A3945" s="2">
        <v>0.54425925925925922</v>
      </c>
      <c r="B3945" s="3">
        <v>44841</v>
      </c>
      <c r="C3945" s="1">
        <v>9296142684</v>
      </c>
      <c r="D3945" s="1">
        <v>5708936901</v>
      </c>
      <c r="E3945" s="1">
        <v>7418.22</v>
      </c>
      <c r="F3945" s="1" t="s">
        <v>12</v>
      </c>
      <c r="G3945" s="1" t="s">
        <v>12</v>
      </c>
      <c r="H3945" s="1" t="s">
        <v>13</v>
      </c>
      <c r="I3945" s="1" t="s">
        <v>13</v>
      </c>
      <c r="J3945" s="1" t="s">
        <v>20</v>
      </c>
      <c r="K3945" s="1">
        <v>0</v>
      </c>
      <c r="L3945" s="1" t="s">
        <v>23</v>
      </c>
      <c r="M3945" s="1" t="str">
        <f t="shared" si="62"/>
        <v>Consistent</v>
      </c>
      <c r="N3945" s="1" t="str">
        <f>_xlfn.XLOOKUP(H3945, risk_score!A:A, risk_score!B:B, 0)</f>
        <v>Low Risk</v>
      </c>
    </row>
    <row r="3946" spans="1:14">
      <c r="A3946" s="2">
        <v>0.54429398148148145</v>
      </c>
      <c r="B3946" s="3">
        <v>44841</v>
      </c>
      <c r="C3946" s="1">
        <v>3614082527</v>
      </c>
      <c r="D3946" s="1">
        <v>833800673</v>
      </c>
      <c r="E3946" s="1">
        <v>20224.419999999998</v>
      </c>
      <c r="F3946" s="1" t="s">
        <v>12</v>
      </c>
      <c r="G3946" s="1" t="s">
        <v>12</v>
      </c>
      <c r="H3946" s="1" t="s">
        <v>13</v>
      </c>
      <c r="I3946" s="1" t="s">
        <v>13</v>
      </c>
      <c r="J3946" s="1" t="s">
        <v>27</v>
      </c>
      <c r="K3946" s="1">
        <v>0</v>
      </c>
      <c r="L3946" s="1" t="s">
        <v>19</v>
      </c>
      <c r="M3946" s="1" t="str">
        <f t="shared" si="62"/>
        <v>Consistent</v>
      </c>
      <c r="N3946" s="1" t="str">
        <f>_xlfn.XLOOKUP(H3946, risk_score!A:A, risk_score!B:B, 0)</f>
        <v>Low Risk</v>
      </c>
    </row>
    <row r="3947" spans="1:14">
      <c r="A3947" s="2">
        <v>0.54432870370370368</v>
      </c>
      <c r="B3947" s="3">
        <v>44841</v>
      </c>
      <c r="C3947" s="1">
        <v>5452849099</v>
      </c>
      <c r="D3947" s="1">
        <v>4336977506</v>
      </c>
      <c r="E3947" s="1">
        <v>8616.7800000000007</v>
      </c>
      <c r="F3947" s="1" t="s">
        <v>12</v>
      </c>
      <c r="G3947" s="1" t="s">
        <v>12</v>
      </c>
      <c r="H3947" s="1" t="s">
        <v>13</v>
      </c>
      <c r="I3947" s="1" t="s">
        <v>13</v>
      </c>
      <c r="J3947" s="1" t="s">
        <v>27</v>
      </c>
      <c r="K3947" s="1">
        <v>0</v>
      </c>
      <c r="L3947" s="1" t="s">
        <v>23</v>
      </c>
      <c r="M3947" s="1" t="str">
        <f t="shared" si="62"/>
        <v>Consistent</v>
      </c>
      <c r="N3947" s="1" t="str">
        <f>_xlfn.XLOOKUP(H3947, risk_score!A:A, risk_score!B:B, 0)</f>
        <v>Low Risk</v>
      </c>
    </row>
    <row r="3948" spans="1:14">
      <c r="A3948" s="2">
        <v>0.5443634259259259</v>
      </c>
      <c r="B3948" s="3">
        <v>44841</v>
      </c>
      <c r="C3948" s="1">
        <v>3918102756</v>
      </c>
      <c r="D3948" s="1">
        <v>1940409825</v>
      </c>
      <c r="E3948" s="1">
        <v>3019.15</v>
      </c>
      <c r="F3948" s="1" t="s">
        <v>12</v>
      </c>
      <c r="G3948" s="1" t="s">
        <v>12</v>
      </c>
      <c r="H3948" s="1" t="s">
        <v>13</v>
      </c>
      <c r="I3948" s="1" t="s">
        <v>13</v>
      </c>
      <c r="J3948" s="1" t="s">
        <v>27</v>
      </c>
      <c r="K3948" s="1">
        <v>0</v>
      </c>
      <c r="L3948" s="1" t="s">
        <v>21</v>
      </c>
      <c r="M3948" s="1" t="str">
        <f t="shared" si="62"/>
        <v>Consistent</v>
      </c>
      <c r="N3948" s="1" t="str">
        <f>_xlfn.XLOOKUP(H3948, risk_score!A:A, risk_score!B:B, 0)</f>
        <v>Low Risk</v>
      </c>
    </row>
    <row r="3949" spans="1:14">
      <c r="A3949" s="2">
        <v>0.5443634259259259</v>
      </c>
      <c r="B3949" s="3">
        <v>44841</v>
      </c>
      <c r="C3949" s="1">
        <v>398847987</v>
      </c>
      <c r="D3949" s="1">
        <v>6953672776</v>
      </c>
      <c r="E3949" s="1">
        <v>13308.63</v>
      </c>
      <c r="F3949" s="1" t="s">
        <v>12</v>
      </c>
      <c r="G3949" s="1" t="s">
        <v>34</v>
      </c>
      <c r="H3949" s="1" t="s">
        <v>13</v>
      </c>
      <c r="I3949" s="1" t="s">
        <v>35</v>
      </c>
      <c r="J3949" s="1" t="s">
        <v>18</v>
      </c>
      <c r="K3949" s="1">
        <v>0</v>
      </c>
      <c r="L3949" s="1" t="s">
        <v>23</v>
      </c>
      <c r="M3949" s="1" t="str">
        <f t="shared" si="62"/>
        <v>Potential Layering</v>
      </c>
      <c r="N3949" s="1" t="str">
        <f>_xlfn.XLOOKUP(H3949, risk_score!A:A, risk_score!B:B, 0)</f>
        <v>Low Risk</v>
      </c>
    </row>
    <row r="3950" spans="1:14">
      <c r="A3950" s="2">
        <v>0.5443634259259259</v>
      </c>
      <c r="B3950" s="3">
        <v>44841</v>
      </c>
      <c r="C3950" s="1">
        <v>7126621709</v>
      </c>
      <c r="D3950" s="1">
        <v>3020817875</v>
      </c>
      <c r="E3950" s="1">
        <v>5548.18</v>
      </c>
      <c r="F3950" s="1" t="s">
        <v>12</v>
      </c>
      <c r="G3950" s="1" t="s">
        <v>12</v>
      </c>
      <c r="H3950" s="1" t="s">
        <v>13</v>
      </c>
      <c r="I3950" s="1" t="s">
        <v>13</v>
      </c>
      <c r="J3950" s="1" t="s">
        <v>22</v>
      </c>
      <c r="K3950" s="1">
        <v>0</v>
      </c>
      <c r="L3950" s="1" t="s">
        <v>21</v>
      </c>
      <c r="M3950" s="1" t="str">
        <f t="shared" si="62"/>
        <v>Consistent</v>
      </c>
      <c r="N3950" s="1" t="str">
        <f>_xlfn.XLOOKUP(H3950, risk_score!A:A, risk_score!B:B, 0)</f>
        <v>Low Risk</v>
      </c>
    </row>
    <row r="3951" spans="1:14">
      <c r="A3951" s="2">
        <v>0.54438657407407409</v>
      </c>
      <c r="B3951" s="3">
        <v>44841</v>
      </c>
      <c r="C3951" s="1">
        <v>5359860218</v>
      </c>
      <c r="D3951" s="1">
        <v>6624071688</v>
      </c>
      <c r="E3951" s="1">
        <v>715.29</v>
      </c>
      <c r="F3951" s="1" t="s">
        <v>12</v>
      </c>
      <c r="G3951" s="1" t="s">
        <v>12</v>
      </c>
      <c r="H3951" s="1" t="s">
        <v>13</v>
      </c>
      <c r="I3951" s="1" t="s">
        <v>13</v>
      </c>
      <c r="J3951" s="1" t="s">
        <v>22</v>
      </c>
      <c r="K3951" s="1">
        <v>0</v>
      </c>
      <c r="L3951" s="1" t="s">
        <v>21</v>
      </c>
      <c r="M3951" s="1" t="str">
        <f t="shared" si="62"/>
        <v>Consistent</v>
      </c>
      <c r="N3951" s="1" t="str">
        <f>_xlfn.XLOOKUP(H3951, risk_score!A:A, risk_score!B:B, 0)</f>
        <v>Low Risk</v>
      </c>
    </row>
    <row r="3952" spans="1:14">
      <c r="A3952" s="2">
        <v>0.54439814814814813</v>
      </c>
      <c r="B3952" s="3">
        <v>44841</v>
      </c>
      <c r="C3952" s="1">
        <v>7391340607</v>
      </c>
      <c r="D3952" s="1">
        <v>843169680</v>
      </c>
      <c r="E3952" s="1">
        <v>649.46</v>
      </c>
      <c r="F3952" s="1" t="s">
        <v>12</v>
      </c>
      <c r="G3952" s="1" t="s">
        <v>12</v>
      </c>
      <c r="H3952" s="1" t="s">
        <v>13</v>
      </c>
      <c r="I3952" s="1" t="s">
        <v>13</v>
      </c>
      <c r="J3952" s="1" t="s">
        <v>20</v>
      </c>
      <c r="K3952" s="1">
        <v>0</v>
      </c>
      <c r="L3952" s="1" t="s">
        <v>21</v>
      </c>
      <c r="M3952" s="1" t="str">
        <f t="shared" si="62"/>
        <v>Consistent</v>
      </c>
      <c r="N3952" s="1" t="str">
        <f>_xlfn.XLOOKUP(H3952, risk_score!A:A, risk_score!B:B, 0)</f>
        <v>Low Risk</v>
      </c>
    </row>
    <row r="3953" spans="1:14">
      <c r="A3953" s="2">
        <v>0.54442129629629632</v>
      </c>
      <c r="B3953" s="3">
        <v>44841</v>
      </c>
      <c r="C3953" s="1">
        <v>1597361156</v>
      </c>
      <c r="D3953" s="1">
        <v>5090625597</v>
      </c>
      <c r="E3953" s="1">
        <v>58.44</v>
      </c>
      <c r="F3953" s="1" t="s">
        <v>12</v>
      </c>
      <c r="G3953" s="1" t="s">
        <v>12</v>
      </c>
      <c r="H3953" s="1" t="s">
        <v>13</v>
      </c>
      <c r="I3953" s="1" t="s">
        <v>13</v>
      </c>
      <c r="J3953" s="1" t="s">
        <v>20</v>
      </c>
      <c r="K3953" s="1">
        <v>0</v>
      </c>
      <c r="L3953" s="1" t="s">
        <v>21</v>
      </c>
      <c r="M3953" s="1" t="str">
        <f t="shared" si="62"/>
        <v>Consistent</v>
      </c>
      <c r="N3953" s="1" t="str">
        <f>_xlfn.XLOOKUP(H3953, risk_score!A:A, risk_score!B:B, 0)</f>
        <v>Low Risk</v>
      </c>
    </row>
    <row r="3954" spans="1:14">
      <c r="A3954" s="2">
        <v>0.54447916666666663</v>
      </c>
      <c r="B3954" s="3">
        <v>44841</v>
      </c>
      <c r="C3954" s="1">
        <v>8987848252</v>
      </c>
      <c r="D3954" s="1">
        <v>7140265767</v>
      </c>
      <c r="E3954" s="1">
        <v>5305.34</v>
      </c>
      <c r="F3954" s="1" t="s">
        <v>12</v>
      </c>
      <c r="G3954" s="1" t="s">
        <v>12</v>
      </c>
      <c r="H3954" s="1" t="s">
        <v>13</v>
      </c>
      <c r="I3954" s="1" t="s">
        <v>13</v>
      </c>
      <c r="J3954" s="1" t="s">
        <v>20</v>
      </c>
      <c r="K3954" s="1">
        <v>0</v>
      </c>
      <c r="L3954" s="1" t="s">
        <v>19</v>
      </c>
      <c r="M3954" s="1" t="str">
        <f t="shared" si="62"/>
        <v>Consistent</v>
      </c>
      <c r="N3954" s="1" t="str">
        <f>_xlfn.XLOOKUP(H3954, risk_score!A:A, risk_score!B:B, 0)</f>
        <v>Low Risk</v>
      </c>
    </row>
    <row r="3955" spans="1:14">
      <c r="A3955" s="2">
        <v>0.54447916666666663</v>
      </c>
      <c r="B3955" s="3">
        <v>44841</v>
      </c>
      <c r="C3955" s="1">
        <v>5764479195</v>
      </c>
      <c r="D3955" s="1">
        <v>6855935396</v>
      </c>
      <c r="E3955" s="1">
        <v>5771.01</v>
      </c>
      <c r="F3955" s="1" t="s">
        <v>12</v>
      </c>
      <c r="G3955" s="1" t="s">
        <v>12</v>
      </c>
      <c r="H3955" s="1" t="s">
        <v>13</v>
      </c>
      <c r="I3955" s="1" t="s">
        <v>13</v>
      </c>
      <c r="J3955" s="1" t="s">
        <v>22</v>
      </c>
      <c r="K3955" s="1">
        <v>0</v>
      </c>
      <c r="L3955" s="1" t="s">
        <v>23</v>
      </c>
      <c r="M3955" s="1" t="str">
        <f t="shared" si="62"/>
        <v>Consistent</v>
      </c>
      <c r="N3955" s="1" t="str">
        <f>_xlfn.XLOOKUP(H3955, risk_score!A:A, risk_score!B:B, 0)</f>
        <v>Low Risk</v>
      </c>
    </row>
    <row r="3956" spans="1:14">
      <c r="A3956" s="2">
        <v>0.54447916666666663</v>
      </c>
      <c r="B3956" s="3">
        <v>44841</v>
      </c>
      <c r="C3956" s="1">
        <v>4333653993</v>
      </c>
      <c r="D3956" s="1">
        <v>5625518678</v>
      </c>
      <c r="E3956" s="1">
        <v>4449.6099999999997</v>
      </c>
      <c r="F3956" s="1" t="s">
        <v>12</v>
      </c>
      <c r="G3956" s="1" t="s">
        <v>12</v>
      </c>
      <c r="H3956" s="1" t="s">
        <v>13</v>
      </c>
      <c r="I3956" s="1" t="s">
        <v>13</v>
      </c>
      <c r="J3956" s="1" t="s">
        <v>25</v>
      </c>
      <c r="K3956" s="1">
        <v>0</v>
      </c>
      <c r="L3956" s="1" t="s">
        <v>21</v>
      </c>
      <c r="M3956" s="1" t="str">
        <f t="shared" si="62"/>
        <v>Consistent</v>
      </c>
      <c r="N3956" s="1" t="str">
        <f>_xlfn.XLOOKUP(H3956, risk_score!A:A, risk_score!B:B, 0)</f>
        <v>Low Risk</v>
      </c>
    </row>
    <row r="3957" spans="1:14">
      <c r="A3957" s="2">
        <v>0.54454861111111108</v>
      </c>
      <c r="B3957" s="3">
        <v>44841</v>
      </c>
      <c r="C3957" s="1">
        <v>7512140206</v>
      </c>
      <c r="D3957" s="1">
        <v>6646502650</v>
      </c>
      <c r="E3957" s="1">
        <v>7977.04</v>
      </c>
      <c r="F3957" s="1" t="s">
        <v>12</v>
      </c>
      <c r="G3957" s="1" t="s">
        <v>29</v>
      </c>
      <c r="H3957" s="1" t="s">
        <v>13</v>
      </c>
      <c r="I3957" s="1" t="s">
        <v>31</v>
      </c>
      <c r="J3957" s="1" t="s">
        <v>18</v>
      </c>
      <c r="K3957" s="1">
        <v>0</v>
      </c>
      <c r="L3957" s="1" t="s">
        <v>23</v>
      </c>
      <c r="M3957" s="1" t="str">
        <f t="shared" si="62"/>
        <v>Potential Layering</v>
      </c>
      <c r="N3957" s="1" t="str">
        <f>_xlfn.XLOOKUP(H3957, risk_score!A:A, risk_score!B:B, 0)</f>
        <v>Low Risk</v>
      </c>
    </row>
    <row r="3958" spans="1:14">
      <c r="A3958" s="2">
        <v>0.54456018518518523</v>
      </c>
      <c r="B3958" s="3">
        <v>44841</v>
      </c>
      <c r="C3958" s="1">
        <v>6949764034</v>
      </c>
      <c r="D3958" s="1">
        <v>1612314007</v>
      </c>
      <c r="E3958" s="1">
        <v>14515.56</v>
      </c>
      <c r="F3958" s="1" t="s">
        <v>12</v>
      </c>
      <c r="G3958" s="1" t="s">
        <v>12</v>
      </c>
      <c r="H3958" s="1" t="s">
        <v>13</v>
      </c>
      <c r="I3958" s="1" t="s">
        <v>13</v>
      </c>
      <c r="J3958" s="1" t="s">
        <v>27</v>
      </c>
      <c r="K3958" s="1">
        <v>0</v>
      </c>
      <c r="L3958" s="1" t="s">
        <v>38</v>
      </c>
      <c r="M3958" s="1" t="str">
        <f t="shared" si="62"/>
        <v>Consistent</v>
      </c>
      <c r="N3958" s="1" t="str">
        <f>_xlfn.XLOOKUP(H3958, risk_score!A:A, risk_score!B:B, 0)</f>
        <v>Low Risk</v>
      </c>
    </row>
    <row r="3959" spans="1:14">
      <c r="A3959" s="2">
        <v>0.5446064814814815</v>
      </c>
      <c r="B3959" s="3">
        <v>44841</v>
      </c>
      <c r="C3959" s="1">
        <v>5774648533</v>
      </c>
      <c r="D3959" s="1">
        <v>7892884492</v>
      </c>
      <c r="E3959" s="1">
        <v>11014.02</v>
      </c>
      <c r="F3959" s="1" t="s">
        <v>12</v>
      </c>
      <c r="G3959" s="1" t="s">
        <v>32</v>
      </c>
      <c r="H3959" s="1" t="s">
        <v>13</v>
      </c>
      <c r="I3959" s="1" t="s">
        <v>33</v>
      </c>
      <c r="J3959" s="1" t="s">
        <v>18</v>
      </c>
      <c r="K3959" s="1">
        <v>0</v>
      </c>
      <c r="L3959" s="1" t="s">
        <v>23</v>
      </c>
      <c r="M3959" s="1" t="str">
        <f t="shared" si="62"/>
        <v>Potential Layering</v>
      </c>
      <c r="N3959" s="1" t="str">
        <f>_xlfn.XLOOKUP(H3959, risk_score!A:A, risk_score!B:B, 0)</f>
        <v>Low Risk</v>
      </c>
    </row>
    <row r="3960" spans="1:14">
      <c r="A3960" s="2">
        <v>0.54461805555555554</v>
      </c>
      <c r="B3960" s="3">
        <v>44841</v>
      </c>
      <c r="C3960" s="1">
        <v>1915450576</v>
      </c>
      <c r="D3960" s="1">
        <v>5162401694</v>
      </c>
      <c r="E3960" s="1">
        <v>10491.33</v>
      </c>
      <c r="F3960" s="1" t="s">
        <v>12</v>
      </c>
      <c r="G3960" s="1" t="s">
        <v>12</v>
      </c>
      <c r="H3960" s="1" t="s">
        <v>13</v>
      </c>
      <c r="I3960" s="1" t="s">
        <v>13</v>
      </c>
      <c r="J3960" s="1" t="s">
        <v>20</v>
      </c>
      <c r="K3960" s="1">
        <v>0</v>
      </c>
      <c r="L3960" s="1" t="s">
        <v>19</v>
      </c>
      <c r="M3960" s="1" t="str">
        <f t="shared" si="62"/>
        <v>Consistent</v>
      </c>
      <c r="N3960" s="1" t="str">
        <f>_xlfn.XLOOKUP(H3960, risk_score!A:A, risk_score!B:B, 0)</f>
        <v>Low Risk</v>
      </c>
    </row>
    <row r="3961" spans="1:14">
      <c r="A3961" s="2">
        <v>0.54461805555555554</v>
      </c>
      <c r="B3961" s="3">
        <v>44841</v>
      </c>
      <c r="C3961" s="1">
        <v>5242230374</v>
      </c>
      <c r="D3961" s="1">
        <v>7261835634</v>
      </c>
      <c r="E3961" s="1">
        <v>265152.74</v>
      </c>
      <c r="F3961" s="1" t="s">
        <v>12</v>
      </c>
      <c r="G3961" s="1" t="s">
        <v>12</v>
      </c>
      <c r="H3961" s="1" t="s">
        <v>13</v>
      </c>
      <c r="I3961" s="1" t="s">
        <v>13</v>
      </c>
      <c r="J3961" s="1" t="s">
        <v>20</v>
      </c>
      <c r="K3961" s="1">
        <v>0</v>
      </c>
      <c r="L3961" s="1" t="s">
        <v>61</v>
      </c>
      <c r="M3961" s="1" t="str">
        <f t="shared" si="62"/>
        <v>Consistent</v>
      </c>
      <c r="N3961" s="1" t="str">
        <f>_xlfn.XLOOKUP(H3961, risk_score!A:A, risk_score!B:B, 0)</f>
        <v>Low Risk</v>
      </c>
    </row>
    <row r="3962" spans="1:14">
      <c r="A3962" s="2">
        <v>0.54468749999999999</v>
      </c>
      <c r="B3962" s="3">
        <v>44841</v>
      </c>
      <c r="C3962" s="1">
        <v>520713149</v>
      </c>
      <c r="D3962" s="1">
        <v>2570595920</v>
      </c>
      <c r="E3962" s="1">
        <v>3333.62</v>
      </c>
      <c r="F3962" s="1" t="s">
        <v>12</v>
      </c>
      <c r="G3962" s="1" t="s">
        <v>12</v>
      </c>
      <c r="H3962" s="1" t="s">
        <v>13</v>
      </c>
      <c r="I3962" s="1" t="s">
        <v>13</v>
      </c>
      <c r="J3962" s="1" t="s">
        <v>25</v>
      </c>
      <c r="K3962" s="1">
        <v>0</v>
      </c>
      <c r="L3962" s="1" t="s">
        <v>21</v>
      </c>
      <c r="M3962" s="1" t="str">
        <f t="shared" si="62"/>
        <v>Consistent</v>
      </c>
      <c r="N3962" s="1" t="str">
        <f>_xlfn.XLOOKUP(H3962, risk_score!A:A, risk_score!B:B, 0)</f>
        <v>Low Risk</v>
      </c>
    </row>
    <row r="3963" spans="1:14">
      <c r="A3963" s="2">
        <v>0.54468749999999999</v>
      </c>
      <c r="B3963" s="3">
        <v>44841</v>
      </c>
      <c r="C3963" s="1">
        <v>3182765311</v>
      </c>
      <c r="D3963" s="1">
        <v>3200398368</v>
      </c>
      <c r="E3963" s="1">
        <v>4909.9399999999996</v>
      </c>
      <c r="F3963" s="1" t="s">
        <v>12</v>
      </c>
      <c r="G3963" s="1" t="s">
        <v>12</v>
      </c>
      <c r="H3963" s="1" t="s">
        <v>13</v>
      </c>
      <c r="I3963" s="1" t="s">
        <v>13</v>
      </c>
      <c r="J3963" s="1" t="s">
        <v>20</v>
      </c>
      <c r="K3963" s="1">
        <v>0</v>
      </c>
      <c r="L3963" s="1" t="s">
        <v>21</v>
      </c>
      <c r="M3963" s="1" t="str">
        <f t="shared" si="62"/>
        <v>Consistent</v>
      </c>
      <c r="N3963" s="1" t="str">
        <f>_xlfn.XLOOKUP(H3963, risk_score!A:A, risk_score!B:B, 0)</f>
        <v>Low Risk</v>
      </c>
    </row>
    <row r="3964" spans="1:14">
      <c r="A3964" s="2">
        <v>0.54471064814814818</v>
      </c>
      <c r="B3964" s="3">
        <v>44841</v>
      </c>
      <c r="C3964" s="1">
        <v>4024921053</v>
      </c>
      <c r="D3964" s="1">
        <v>1431561040</v>
      </c>
      <c r="E3964" s="1">
        <v>7003.8</v>
      </c>
      <c r="F3964" s="1" t="s">
        <v>12</v>
      </c>
      <c r="G3964" s="1" t="s">
        <v>12</v>
      </c>
      <c r="H3964" s="1" t="s">
        <v>13</v>
      </c>
      <c r="I3964" s="1" t="s">
        <v>13</v>
      </c>
      <c r="J3964" s="1" t="s">
        <v>27</v>
      </c>
      <c r="K3964" s="1">
        <v>0</v>
      </c>
      <c r="L3964" s="1" t="s">
        <v>23</v>
      </c>
      <c r="M3964" s="1" t="str">
        <f t="shared" si="62"/>
        <v>Consistent</v>
      </c>
      <c r="N3964" s="1" t="str">
        <f>_xlfn.XLOOKUP(H3964, risk_score!A:A, risk_score!B:B, 0)</f>
        <v>Low Risk</v>
      </c>
    </row>
    <row r="3965" spans="1:14">
      <c r="A3965" s="2">
        <v>0.54471064814814818</v>
      </c>
      <c r="B3965" s="3">
        <v>44841</v>
      </c>
      <c r="C3965" s="1">
        <v>4117755003</v>
      </c>
      <c r="D3965" s="1">
        <v>6646502650</v>
      </c>
      <c r="E3965" s="1">
        <v>8452.5400000000009</v>
      </c>
      <c r="F3965" s="1" t="s">
        <v>12</v>
      </c>
      <c r="G3965" s="1" t="s">
        <v>29</v>
      </c>
      <c r="H3965" s="1" t="s">
        <v>13</v>
      </c>
      <c r="I3965" s="1" t="s">
        <v>31</v>
      </c>
      <c r="J3965" s="1" t="s">
        <v>18</v>
      </c>
      <c r="K3965" s="1">
        <v>0</v>
      </c>
      <c r="L3965" s="1" t="s">
        <v>23</v>
      </c>
      <c r="M3965" s="1" t="str">
        <f t="shared" si="62"/>
        <v>Potential Layering</v>
      </c>
      <c r="N3965" s="1" t="str">
        <f>_xlfn.XLOOKUP(H3965, risk_score!A:A, risk_score!B:B, 0)</f>
        <v>Low Risk</v>
      </c>
    </row>
    <row r="3966" spans="1:14">
      <c r="A3966" s="2">
        <v>0.54472222222222222</v>
      </c>
      <c r="B3966" s="3">
        <v>44841</v>
      </c>
      <c r="C3966" s="1">
        <v>5341263239</v>
      </c>
      <c r="D3966" s="1">
        <v>1176518598</v>
      </c>
      <c r="E3966" s="1">
        <v>1077.44</v>
      </c>
      <c r="F3966" s="1" t="s">
        <v>12</v>
      </c>
      <c r="G3966" s="1" t="s">
        <v>12</v>
      </c>
      <c r="H3966" s="1" t="s">
        <v>13</v>
      </c>
      <c r="I3966" s="1" t="s">
        <v>13</v>
      </c>
      <c r="J3966" s="1" t="s">
        <v>25</v>
      </c>
      <c r="K3966" s="1">
        <v>0</v>
      </c>
      <c r="L3966" s="1" t="s">
        <v>21</v>
      </c>
      <c r="M3966" s="1" t="str">
        <f t="shared" si="62"/>
        <v>Consistent</v>
      </c>
      <c r="N3966" s="1" t="str">
        <f>_xlfn.XLOOKUP(H3966, risk_score!A:A, risk_score!B:B, 0)</f>
        <v>Low Risk</v>
      </c>
    </row>
    <row r="3967" spans="1:14">
      <c r="A3967" s="2">
        <v>0.54474537037037041</v>
      </c>
      <c r="B3967" s="3">
        <v>44841</v>
      </c>
      <c r="C3967" s="1">
        <v>9162887426</v>
      </c>
      <c r="D3967" s="1">
        <v>7160736915</v>
      </c>
      <c r="E3967" s="1">
        <v>5235.54</v>
      </c>
      <c r="F3967" s="1" t="s">
        <v>12</v>
      </c>
      <c r="G3967" s="1" t="s">
        <v>12</v>
      </c>
      <c r="H3967" s="1" t="s">
        <v>13</v>
      </c>
      <c r="I3967" s="1" t="s">
        <v>13</v>
      </c>
      <c r="J3967" s="1" t="s">
        <v>22</v>
      </c>
      <c r="K3967" s="1">
        <v>0</v>
      </c>
      <c r="L3967" s="1" t="s">
        <v>23</v>
      </c>
      <c r="M3967" s="1" t="str">
        <f t="shared" ref="M3967:M4030" si="63">IF(F3967=G3967, "Consistent", "Potential Layering")</f>
        <v>Consistent</v>
      </c>
      <c r="N3967" s="1" t="str">
        <f>_xlfn.XLOOKUP(H3967, risk_score!A:A, risk_score!B:B, 0)</f>
        <v>Low Risk</v>
      </c>
    </row>
    <row r="3968" spans="1:14">
      <c r="A3968" s="2">
        <v>0.54475694444444445</v>
      </c>
      <c r="B3968" s="3">
        <v>44841</v>
      </c>
      <c r="C3968" s="1">
        <v>7234361451</v>
      </c>
      <c r="D3968" s="1">
        <v>8300197589</v>
      </c>
      <c r="E3968" s="1">
        <v>3188.09</v>
      </c>
      <c r="F3968" s="1" t="s">
        <v>12</v>
      </c>
      <c r="G3968" s="1" t="s">
        <v>12</v>
      </c>
      <c r="H3968" s="1" t="s">
        <v>13</v>
      </c>
      <c r="I3968" s="1" t="s">
        <v>13</v>
      </c>
      <c r="J3968" s="1" t="s">
        <v>25</v>
      </c>
      <c r="K3968" s="1">
        <v>0</v>
      </c>
      <c r="L3968" s="1" t="s">
        <v>21</v>
      </c>
      <c r="M3968" s="1" t="str">
        <f t="shared" si="63"/>
        <v>Consistent</v>
      </c>
      <c r="N3968" s="1" t="str">
        <f>_xlfn.XLOOKUP(H3968, risk_score!A:A, risk_score!B:B, 0)</f>
        <v>Low Risk</v>
      </c>
    </row>
    <row r="3969" spans="1:14">
      <c r="A3969" s="2">
        <v>0.54478009259259264</v>
      </c>
      <c r="B3969" s="3">
        <v>44841</v>
      </c>
      <c r="C3969" s="1">
        <v>2920086918</v>
      </c>
      <c r="D3969" s="1">
        <v>1317923989</v>
      </c>
      <c r="E3969" s="1">
        <v>13987.71</v>
      </c>
      <c r="F3969" s="1" t="s">
        <v>12</v>
      </c>
      <c r="G3969" s="1" t="s">
        <v>12</v>
      </c>
      <c r="H3969" s="1" t="s">
        <v>13</v>
      </c>
      <c r="I3969" s="1" t="s">
        <v>13</v>
      </c>
      <c r="J3969" s="1" t="s">
        <v>22</v>
      </c>
      <c r="K3969" s="1">
        <v>0</v>
      </c>
      <c r="L3969" s="1" t="s">
        <v>21</v>
      </c>
      <c r="M3969" s="1" t="str">
        <f t="shared" si="63"/>
        <v>Consistent</v>
      </c>
      <c r="N3969" s="1" t="str">
        <f>_xlfn.XLOOKUP(H3969, risk_score!A:A, risk_score!B:B, 0)</f>
        <v>Low Risk</v>
      </c>
    </row>
    <row r="3970" spans="1:14">
      <c r="A3970" s="2">
        <v>0.54481481481481486</v>
      </c>
      <c r="B3970" s="3">
        <v>44841</v>
      </c>
      <c r="C3970" s="1">
        <v>1915450576</v>
      </c>
      <c r="D3970" s="1">
        <v>6338941383</v>
      </c>
      <c r="E3970" s="1">
        <v>6247.75</v>
      </c>
      <c r="F3970" s="1" t="s">
        <v>12</v>
      </c>
      <c r="G3970" s="1" t="s">
        <v>12</v>
      </c>
      <c r="H3970" s="1" t="s">
        <v>13</v>
      </c>
      <c r="I3970" s="1" t="s">
        <v>13</v>
      </c>
      <c r="J3970" s="1" t="s">
        <v>20</v>
      </c>
      <c r="K3970" s="1">
        <v>0</v>
      </c>
      <c r="L3970" s="1" t="s">
        <v>19</v>
      </c>
      <c r="M3970" s="1" t="str">
        <f t="shared" si="63"/>
        <v>Consistent</v>
      </c>
      <c r="N3970" s="1" t="str">
        <f>_xlfn.XLOOKUP(H3970, risk_score!A:A, risk_score!B:B, 0)</f>
        <v>Low Risk</v>
      </c>
    </row>
    <row r="3971" spans="1:14">
      <c r="A3971" s="2">
        <v>0.54483796296296294</v>
      </c>
      <c r="B3971" s="3">
        <v>44841</v>
      </c>
      <c r="C3971" s="1">
        <v>4157434602</v>
      </c>
      <c r="D3971" s="1">
        <v>4158555857</v>
      </c>
      <c r="E3971" s="1">
        <v>285.25</v>
      </c>
      <c r="F3971" s="1" t="s">
        <v>12</v>
      </c>
      <c r="G3971" s="1" t="s">
        <v>12</v>
      </c>
      <c r="H3971" s="1" t="s">
        <v>13</v>
      </c>
      <c r="I3971" s="1" t="s">
        <v>13</v>
      </c>
      <c r="J3971" s="1" t="s">
        <v>27</v>
      </c>
      <c r="K3971" s="1">
        <v>0</v>
      </c>
      <c r="L3971" s="1" t="s">
        <v>21</v>
      </c>
      <c r="M3971" s="1" t="str">
        <f t="shared" si="63"/>
        <v>Consistent</v>
      </c>
      <c r="N3971" s="1" t="str">
        <f>_xlfn.XLOOKUP(H3971, risk_score!A:A, risk_score!B:B, 0)</f>
        <v>Low Risk</v>
      </c>
    </row>
    <row r="3972" spans="1:14">
      <c r="A3972" s="2">
        <v>0.54486111111111113</v>
      </c>
      <c r="B3972" s="3">
        <v>44841</v>
      </c>
      <c r="C3972" s="1">
        <v>9534729015</v>
      </c>
      <c r="D3972" s="1">
        <v>4787209426</v>
      </c>
      <c r="E3972" s="1">
        <v>12111.49</v>
      </c>
      <c r="F3972" s="1" t="s">
        <v>12</v>
      </c>
      <c r="G3972" s="1" t="s">
        <v>12</v>
      </c>
      <c r="H3972" s="1" t="s">
        <v>13</v>
      </c>
      <c r="I3972" s="1" t="s">
        <v>13</v>
      </c>
      <c r="J3972" s="1" t="s">
        <v>25</v>
      </c>
      <c r="K3972" s="1">
        <v>0</v>
      </c>
      <c r="L3972" s="1" t="s">
        <v>19</v>
      </c>
      <c r="M3972" s="1" t="str">
        <f t="shared" si="63"/>
        <v>Consistent</v>
      </c>
      <c r="N3972" s="1" t="str">
        <f>_xlfn.XLOOKUP(H3972, risk_score!A:A, risk_score!B:B, 0)</f>
        <v>Low Risk</v>
      </c>
    </row>
    <row r="3973" spans="1:14">
      <c r="A3973" s="2">
        <v>0.54488425925925921</v>
      </c>
      <c r="B3973" s="3">
        <v>44841</v>
      </c>
      <c r="C3973" s="1">
        <v>9707989791</v>
      </c>
      <c r="D3973" s="1">
        <v>6513250919</v>
      </c>
      <c r="E3973" s="1">
        <v>10888.77</v>
      </c>
      <c r="F3973" s="1" t="s">
        <v>12</v>
      </c>
      <c r="G3973" s="1" t="s">
        <v>12</v>
      </c>
      <c r="H3973" s="1" t="s">
        <v>13</v>
      </c>
      <c r="I3973" s="1" t="s">
        <v>13</v>
      </c>
      <c r="J3973" s="1" t="s">
        <v>22</v>
      </c>
      <c r="K3973" s="1">
        <v>0</v>
      </c>
      <c r="L3973" s="1" t="s">
        <v>21</v>
      </c>
      <c r="M3973" s="1" t="str">
        <f t="shared" si="63"/>
        <v>Consistent</v>
      </c>
      <c r="N3973" s="1" t="str">
        <f>_xlfn.XLOOKUP(H3973, risk_score!A:A, risk_score!B:B, 0)</f>
        <v>Low Risk</v>
      </c>
    </row>
    <row r="3974" spans="1:14">
      <c r="A3974" s="2">
        <v>0.5449074074074074</v>
      </c>
      <c r="B3974" s="3">
        <v>44841</v>
      </c>
      <c r="C3974" s="1">
        <v>4401693545</v>
      </c>
      <c r="D3974" s="1">
        <v>3374945735</v>
      </c>
      <c r="E3974" s="1">
        <v>208.43</v>
      </c>
      <c r="F3974" s="1" t="s">
        <v>12</v>
      </c>
      <c r="G3974" s="1" t="s">
        <v>12</v>
      </c>
      <c r="H3974" s="1" t="s">
        <v>13</v>
      </c>
      <c r="I3974" s="1" t="s">
        <v>13</v>
      </c>
      <c r="J3974" s="1" t="s">
        <v>36</v>
      </c>
      <c r="K3974" s="1">
        <v>0</v>
      </c>
      <c r="L3974" s="1" t="s">
        <v>37</v>
      </c>
      <c r="M3974" s="1" t="str">
        <f t="shared" si="63"/>
        <v>Consistent</v>
      </c>
      <c r="N3974" s="1" t="str">
        <f>_xlfn.XLOOKUP(H3974, risk_score!A:A, risk_score!B:B, 0)</f>
        <v>Low Risk</v>
      </c>
    </row>
    <row r="3975" spans="1:14">
      <c r="A3975" s="2">
        <v>0.5449074074074074</v>
      </c>
      <c r="B3975" s="3">
        <v>44841</v>
      </c>
      <c r="C3975" s="1">
        <v>7648291450</v>
      </c>
      <c r="D3975" s="1">
        <v>2941130754</v>
      </c>
      <c r="E3975" s="1">
        <v>3534.2</v>
      </c>
      <c r="F3975" s="1" t="s">
        <v>12</v>
      </c>
      <c r="G3975" s="1" t="s">
        <v>12</v>
      </c>
      <c r="H3975" s="1" t="s">
        <v>13</v>
      </c>
      <c r="I3975" s="1" t="s">
        <v>13</v>
      </c>
      <c r="J3975" s="1" t="s">
        <v>25</v>
      </c>
      <c r="K3975" s="1">
        <v>0</v>
      </c>
      <c r="L3975" s="1" t="s">
        <v>21</v>
      </c>
      <c r="M3975" s="1" t="str">
        <f t="shared" si="63"/>
        <v>Consistent</v>
      </c>
      <c r="N3975" s="1" t="str">
        <f>_xlfn.XLOOKUP(H3975, risk_score!A:A, risk_score!B:B, 0)</f>
        <v>Low Risk</v>
      </c>
    </row>
    <row r="3976" spans="1:14">
      <c r="A3976" s="2">
        <v>0.54493055555555558</v>
      </c>
      <c r="B3976" s="3">
        <v>44841</v>
      </c>
      <c r="C3976" s="1">
        <v>2557121940</v>
      </c>
      <c r="D3976" s="1">
        <v>9839566913</v>
      </c>
      <c r="E3976" s="1">
        <v>2816.96</v>
      </c>
      <c r="F3976" s="1" t="s">
        <v>12</v>
      </c>
      <c r="G3976" s="1" t="s">
        <v>12</v>
      </c>
      <c r="H3976" s="1" t="s">
        <v>13</v>
      </c>
      <c r="I3976" s="1" t="s">
        <v>13</v>
      </c>
      <c r="J3976" s="1" t="s">
        <v>22</v>
      </c>
      <c r="K3976" s="1">
        <v>0</v>
      </c>
      <c r="L3976" s="1" t="s">
        <v>24</v>
      </c>
      <c r="M3976" s="1" t="str">
        <f t="shared" si="63"/>
        <v>Consistent</v>
      </c>
      <c r="N3976" s="1" t="str">
        <f>_xlfn.XLOOKUP(H3976, risk_score!A:A, risk_score!B:B, 0)</f>
        <v>Low Risk</v>
      </c>
    </row>
    <row r="3977" spans="1:14">
      <c r="A3977" s="2">
        <v>0.54495370370370366</v>
      </c>
      <c r="B3977" s="3">
        <v>44841</v>
      </c>
      <c r="C3977" s="1">
        <v>6679205752</v>
      </c>
      <c r="D3977" s="1">
        <v>5109623450</v>
      </c>
      <c r="E3977" s="1">
        <v>12083.23</v>
      </c>
      <c r="F3977" s="1" t="s">
        <v>12</v>
      </c>
      <c r="G3977" s="1" t="s">
        <v>12</v>
      </c>
      <c r="H3977" s="1" t="s">
        <v>13</v>
      </c>
      <c r="I3977" s="1" t="s">
        <v>13</v>
      </c>
      <c r="J3977" s="1" t="s">
        <v>20</v>
      </c>
      <c r="K3977" s="1">
        <v>0</v>
      </c>
      <c r="L3977" s="1" t="s">
        <v>23</v>
      </c>
      <c r="M3977" s="1" t="str">
        <f t="shared" si="63"/>
        <v>Consistent</v>
      </c>
      <c r="N3977" s="1" t="str">
        <f>_xlfn.XLOOKUP(H3977, risk_score!A:A, risk_score!B:B, 0)</f>
        <v>Low Risk</v>
      </c>
    </row>
    <row r="3978" spans="1:14">
      <c r="A3978" s="2">
        <v>0.54498842592592589</v>
      </c>
      <c r="B3978" s="3">
        <v>44841</v>
      </c>
      <c r="C3978" s="1">
        <v>5770573061</v>
      </c>
      <c r="D3978" s="1">
        <v>5293429200</v>
      </c>
      <c r="E3978" s="1">
        <v>2063.7800000000002</v>
      </c>
      <c r="F3978" s="1" t="s">
        <v>12</v>
      </c>
      <c r="G3978" s="1" t="s">
        <v>12</v>
      </c>
      <c r="H3978" s="1" t="s">
        <v>13</v>
      </c>
      <c r="I3978" s="1" t="s">
        <v>13</v>
      </c>
      <c r="J3978" s="1" t="s">
        <v>14</v>
      </c>
      <c r="K3978" s="1">
        <v>0</v>
      </c>
      <c r="L3978" s="1" t="s">
        <v>15</v>
      </c>
      <c r="M3978" s="1" t="str">
        <f t="shared" si="63"/>
        <v>Consistent</v>
      </c>
      <c r="N3978" s="1" t="str">
        <f>_xlfn.XLOOKUP(H3978, risk_score!A:A, risk_score!B:B, 0)</f>
        <v>Low Risk</v>
      </c>
    </row>
    <row r="3979" spans="1:14">
      <c r="A3979" s="2">
        <v>0.54500000000000004</v>
      </c>
      <c r="B3979" s="3">
        <v>44841</v>
      </c>
      <c r="C3979" s="1">
        <v>483243369</v>
      </c>
      <c r="D3979" s="1">
        <v>1563430485</v>
      </c>
      <c r="E3979" s="1">
        <v>11178.91</v>
      </c>
      <c r="F3979" s="1" t="s">
        <v>12</v>
      </c>
      <c r="G3979" s="1" t="s">
        <v>12</v>
      </c>
      <c r="H3979" s="1" t="s">
        <v>13</v>
      </c>
      <c r="I3979" s="1" t="s">
        <v>13</v>
      </c>
      <c r="J3979" s="1" t="s">
        <v>27</v>
      </c>
      <c r="K3979" s="1">
        <v>0</v>
      </c>
      <c r="L3979" s="1" t="s">
        <v>21</v>
      </c>
      <c r="M3979" s="1" t="str">
        <f t="shared" si="63"/>
        <v>Consistent</v>
      </c>
      <c r="N3979" s="1" t="str">
        <f>_xlfn.XLOOKUP(H3979, risk_score!A:A, risk_score!B:B, 0)</f>
        <v>Low Risk</v>
      </c>
    </row>
    <row r="3980" spans="1:14">
      <c r="A3980" s="2">
        <v>0.54503472222222227</v>
      </c>
      <c r="B3980" s="3">
        <v>44841</v>
      </c>
      <c r="C3980" s="1">
        <v>9450567744</v>
      </c>
      <c r="D3980" s="1">
        <v>9858405154</v>
      </c>
      <c r="E3980" s="1">
        <v>3892.5</v>
      </c>
      <c r="F3980" s="1" t="s">
        <v>12</v>
      </c>
      <c r="G3980" s="1" t="s">
        <v>12</v>
      </c>
      <c r="H3980" s="1" t="s">
        <v>13</v>
      </c>
      <c r="I3980" s="1" t="s">
        <v>13</v>
      </c>
      <c r="J3980" s="1" t="s">
        <v>22</v>
      </c>
      <c r="K3980" s="1">
        <v>0</v>
      </c>
      <c r="L3980" s="1" t="s">
        <v>21</v>
      </c>
      <c r="M3980" s="1" t="str">
        <f t="shared" si="63"/>
        <v>Consistent</v>
      </c>
      <c r="N3980" s="1" t="str">
        <f>_xlfn.XLOOKUP(H3980, risk_score!A:A, risk_score!B:B, 0)</f>
        <v>Low Risk</v>
      </c>
    </row>
    <row r="3981" spans="1:14">
      <c r="A3981" s="2">
        <v>0.5450694444444445</v>
      </c>
      <c r="B3981" s="3">
        <v>44841</v>
      </c>
      <c r="C3981" s="1">
        <v>478656214</v>
      </c>
      <c r="D3981" s="1">
        <v>3958180238</v>
      </c>
      <c r="E3981" s="1">
        <v>60076.95</v>
      </c>
      <c r="F3981" s="1" t="s">
        <v>12</v>
      </c>
      <c r="G3981" s="1" t="s">
        <v>12</v>
      </c>
      <c r="H3981" s="1" t="s">
        <v>13</v>
      </c>
      <c r="I3981" s="1" t="s">
        <v>13</v>
      </c>
      <c r="J3981" s="1" t="s">
        <v>22</v>
      </c>
      <c r="K3981" s="1">
        <v>0</v>
      </c>
      <c r="L3981" s="1" t="s">
        <v>21</v>
      </c>
      <c r="M3981" s="1" t="str">
        <f t="shared" si="63"/>
        <v>Consistent</v>
      </c>
      <c r="N3981" s="1" t="str">
        <f>_xlfn.XLOOKUP(H3981, risk_score!A:A, risk_score!B:B, 0)</f>
        <v>Low Risk</v>
      </c>
    </row>
    <row r="3982" spans="1:14">
      <c r="A3982" s="2">
        <v>0.54509259259259257</v>
      </c>
      <c r="B3982" s="3">
        <v>44841</v>
      </c>
      <c r="C3982" s="1">
        <v>5056154035</v>
      </c>
      <c r="D3982" s="1">
        <v>7882534453</v>
      </c>
      <c r="E3982" s="1">
        <v>874.91</v>
      </c>
      <c r="F3982" s="1" t="s">
        <v>12</v>
      </c>
      <c r="G3982" s="1" t="s">
        <v>12</v>
      </c>
      <c r="H3982" s="1" t="s">
        <v>13</v>
      </c>
      <c r="I3982" s="1" t="s">
        <v>13</v>
      </c>
      <c r="J3982" s="1" t="s">
        <v>25</v>
      </c>
      <c r="K3982" s="1">
        <v>0</v>
      </c>
      <c r="L3982" s="1" t="s">
        <v>21</v>
      </c>
      <c r="M3982" s="1" t="str">
        <f t="shared" si="63"/>
        <v>Consistent</v>
      </c>
      <c r="N3982" s="1" t="str">
        <f>_xlfn.XLOOKUP(H3982, risk_score!A:A, risk_score!B:B, 0)</f>
        <v>Low Risk</v>
      </c>
    </row>
    <row r="3983" spans="1:14">
      <c r="A3983" s="2">
        <v>0.54511574074074076</v>
      </c>
      <c r="B3983" s="3">
        <v>44841</v>
      </c>
      <c r="C3983" s="1">
        <v>4024921053</v>
      </c>
      <c r="D3983" s="1">
        <v>1431561040</v>
      </c>
      <c r="E3983" s="1">
        <v>6946.5</v>
      </c>
      <c r="F3983" s="1" t="s">
        <v>12</v>
      </c>
      <c r="G3983" s="1" t="s">
        <v>12</v>
      </c>
      <c r="H3983" s="1" t="s">
        <v>13</v>
      </c>
      <c r="I3983" s="1" t="s">
        <v>13</v>
      </c>
      <c r="J3983" s="1" t="s">
        <v>20</v>
      </c>
      <c r="K3983" s="1">
        <v>0</v>
      </c>
      <c r="L3983" s="1" t="s">
        <v>23</v>
      </c>
      <c r="M3983" s="1" t="str">
        <f t="shared" si="63"/>
        <v>Consistent</v>
      </c>
      <c r="N3983" s="1" t="str">
        <f>_xlfn.XLOOKUP(H3983, risk_score!A:A, risk_score!B:B, 0)</f>
        <v>Low Risk</v>
      </c>
    </row>
    <row r="3984" spans="1:14">
      <c r="A3984" s="2">
        <v>0.5451273148148148</v>
      </c>
      <c r="B3984" s="3">
        <v>44841</v>
      </c>
      <c r="C3984" s="1">
        <v>5021785800</v>
      </c>
      <c r="D3984" s="1">
        <v>5064372260</v>
      </c>
      <c r="E3984" s="1">
        <v>10033.469999999999</v>
      </c>
      <c r="F3984" s="1" t="s">
        <v>12</v>
      </c>
      <c r="G3984" s="1" t="s">
        <v>12</v>
      </c>
      <c r="H3984" s="1" t="s">
        <v>13</v>
      </c>
      <c r="I3984" s="1" t="s">
        <v>13</v>
      </c>
      <c r="J3984" s="1" t="s">
        <v>27</v>
      </c>
      <c r="K3984" s="1">
        <v>0</v>
      </c>
      <c r="L3984" s="1" t="s">
        <v>19</v>
      </c>
      <c r="M3984" s="1" t="str">
        <f t="shared" si="63"/>
        <v>Consistent</v>
      </c>
      <c r="N3984" s="1" t="str">
        <f>_xlfn.XLOOKUP(H3984, risk_score!A:A, risk_score!B:B, 0)</f>
        <v>Low Risk</v>
      </c>
    </row>
    <row r="3985" spans="1:14">
      <c r="A3985" s="2">
        <v>0.54513888888888884</v>
      </c>
      <c r="B3985" s="3">
        <v>44841</v>
      </c>
      <c r="C3985" s="1">
        <v>4928880336</v>
      </c>
      <c r="D3985" s="1">
        <v>1082642344</v>
      </c>
      <c r="E3985" s="1">
        <v>10753.2672698154</v>
      </c>
      <c r="F3985" s="1" t="s">
        <v>51</v>
      </c>
      <c r="G3985" s="1" t="s">
        <v>12</v>
      </c>
      <c r="H3985" s="1" t="s">
        <v>52</v>
      </c>
      <c r="I3985" s="1" t="s">
        <v>13</v>
      </c>
      <c r="J3985" s="1" t="s">
        <v>18</v>
      </c>
      <c r="K3985" s="4">
        <v>1</v>
      </c>
      <c r="L3985" s="1" t="s">
        <v>66</v>
      </c>
      <c r="M3985" s="1" t="str">
        <f t="shared" si="63"/>
        <v>Potential Layering</v>
      </c>
      <c r="N3985" s="1" t="str">
        <f>_xlfn.XLOOKUP(H3985, risk_score!A:A, risk_score!B:B, 0)</f>
        <v>Medium Risk</v>
      </c>
    </row>
    <row r="3986" spans="1:14">
      <c r="A3986" s="2">
        <v>0.54516203703703703</v>
      </c>
      <c r="B3986" s="3">
        <v>44841</v>
      </c>
      <c r="C3986" s="1">
        <v>557472407</v>
      </c>
      <c r="D3986" s="1">
        <v>790889166</v>
      </c>
      <c r="E3986" s="1">
        <v>16282.58</v>
      </c>
      <c r="F3986" s="1" t="s">
        <v>12</v>
      </c>
      <c r="G3986" s="1" t="s">
        <v>12</v>
      </c>
      <c r="H3986" s="1" t="s">
        <v>13</v>
      </c>
      <c r="I3986" s="1" t="s">
        <v>13</v>
      </c>
      <c r="J3986" s="1" t="s">
        <v>20</v>
      </c>
      <c r="K3986" s="1">
        <v>0</v>
      </c>
      <c r="L3986" s="1" t="s">
        <v>21</v>
      </c>
      <c r="M3986" s="1" t="str">
        <f t="shared" si="63"/>
        <v>Consistent</v>
      </c>
      <c r="N3986" s="1" t="str">
        <f>_xlfn.XLOOKUP(H3986, risk_score!A:A, risk_score!B:B, 0)</f>
        <v>Low Risk</v>
      </c>
    </row>
    <row r="3987" spans="1:14">
      <c r="A3987" s="2">
        <v>0.54519675925925926</v>
      </c>
      <c r="B3987" s="3">
        <v>44841</v>
      </c>
      <c r="C3987" s="1">
        <v>5171934087</v>
      </c>
      <c r="D3987" s="1">
        <v>4544577994</v>
      </c>
      <c r="E3987" s="1">
        <v>224.55</v>
      </c>
      <c r="F3987" s="1" t="s">
        <v>12</v>
      </c>
      <c r="G3987" s="1" t="s">
        <v>12</v>
      </c>
      <c r="H3987" s="1" t="s">
        <v>13</v>
      </c>
      <c r="I3987" s="1" t="s">
        <v>13</v>
      </c>
      <c r="J3987" s="1" t="s">
        <v>36</v>
      </c>
      <c r="K3987" s="1">
        <v>0</v>
      </c>
      <c r="L3987" s="1" t="s">
        <v>37</v>
      </c>
      <c r="M3987" s="1" t="str">
        <f t="shared" si="63"/>
        <v>Consistent</v>
      </c>
      <c r="N3987" s="1" t="str">
        <f>_xlfn.XLOOKUP(H3987, risk_score!A:A, risk_score!B:B, 0)</f>
        <v>Low Risk</v>
      </c>
    </row>
    <row r="3988" spans="1:14">
      <c r="A3988" s="2">
        <v>0.54523148148148148</v>
      </c>
      <c r="B3988" s="3">
        <v>44841</v>
      </c>
      <c r="C3988" s="1">
        <v>2299676190</v>
      </c>
      <c r="D3988" s="1">
        <v>2534644942</v>
      </c>
      <c r="E3988" s="1">
        <v>5904.93</v>
      </c>
      <c r="F3988" s="1" t="s">
        <v>12</v>
      </c>
      <c r="G3988" s="1" t="s">
        <v>29</v>
      </c>
      <c r="H3988" s="1" t="s">
        <v>13</v>
      </c>
      <c r="I3988" s="1" t="s">
        <v>31</v>
      </c>
      <c r="J3988" s="1" t="s">
        <v>18</v>
      </c>
      <c r="K3988" s="1">
        <v>0</v>
      </c>
      <c r="L3988" s="1" t="s">
        <v>23</v>
      </c>
      <c r="M3988" s="1" t="str">
        <f t="shared" si="63"/>
        <v>Potential Layering</v>
      </c>
      <c r="N3988" s="1" t="str">
        <f>_xlfn.XLOOKUP(H3988, risk_score!A:A, risk_score!B:B, 0)</f>
        <v>Low Risk</v>
      </c>
    </row>
    <row r="3989" spans="1:14">
      <c r="A3989" s="2">
        <v>0.54524305555555552</v>
      </c>
      <c r="B3989" s="3">
        <v>44841</v>
      </c>
      <c r="C3989" s="1">
        <v>1915450576</v>
      </c>
      <c r="D3989" s="1">
        <v>4706175310</v>
      </c>
      <c r="E3989" s="1">
        <v>6532.4</v>
      </c>
      <c r="F3989" s="1" t="s">
        <v>12</v>
      </c>
      <c r="G3989" s="1" t="s">
        <v>12</v>
      </c>
      <c r="H3989" s="1" t="s">
        <v>13</v>
      </c>
      <c r="I3989" s="1" t="s">
        <v>13</v>
      </c>
      <c r="J3989" s="1" t="s">
        <v>27</v>
      </c>
      <c r="K3989" s="1">
        <v>0</v>
      </c>
      <c r="L3989" s="1" t="s">
        <v>19</v>
      </c>
      <c r="M3989" s="1" t="str">
        <f t="shared" si="63"/>
        <v>Consistent</v>
      </c>
      <c r="N3989" s="1" t="str">
        <f>_xlfn.XLOOKUP(H3989, risk_score!A:A, risk_score!B:B, 0)</f>
        <v>Low Risk</v>
      </c>
    </row>
    <row r="3990" spans="1:14">
      <c r="A3990" s="2">
        <v>0.54525462962962967</v>
      </c>
      <c r="B3990" s="3">
        <v>44841</v>
      </c>
      <c r="C3990" s="1">
        <v>7788310039</v>
      </c>
      <c r="D3990" s="1">
        <v>5103043844</v>
      </c>
      <c r="E3990" s="1">
        <v>10720.19</v>
      </c>
      <c r="F3990" s="1" t="s">
        <v>12</v>
      </c>
      <c r="G3990" s="1" t="s">
        <v>44</v>
      </c>
      <c r="H3990" s="1" t="s">
        <v>13</v>
      </c>
      <c r="I3990" s="1" t="s">
        <v>45</v>
      </c>
      <c r="J3990" s="1" t="s">
        <v>18</v>
      </c>
      <c r="K3990" s="1">
        <v>0</v>
      </c>
      <c r="L3990" s="1" t="s">
        <v>23</v>
      </c>
      <c r="M3990" s="1" t="str">
        <f t="shared" si="63"/>
        <v>Potential Layering</v>
      </c>
      <c r="N3990" s="1" t="str">
        <f>_xlfn.XLOOKUP(H3990, risk_score!A:A, risk_score!B:B, 0)</f>
        <v>Low Risk</v>
      </c>
    </row>
    <row r="3991" spans="1:14">
      <c r="A3991" s="2">
        <v>0.54533564814814817</v>
      </c>
      <c r="B3991" s="3">
        <v>44841</v>
      </c>
      <c r="C3991" s="1">
        <v>1300794618</v>
      </c>
      <c r="D3991" s="1">
        <v>2138505015</v>
      </c>
      <c r="E3991" s="1">
        <v>7844.3</v>
      </c>
      <c r="F3991" s="1" t="s">
        <v>29</v>
      </c>
      <c r="G3991" s="1" t="s">
        <v>16</v>
      </c>
      <c r="H3991" s="1" t="s">
        <v>31</v>
      </c>
      <c r="I3991" s="1" t="s">
        <v>17</v>
      </c>
      <c r="J3991" s="1" t="s">
        <v>18</v>
      </c>
      <c r="K3991" s="1">
        <v>0</v>
      </c>
      <c r="L3991" s="1" t="s">
        <v>23</v>
      </c>
      <c r="M3991" s="1" t="str">
        <f t="shared" si="63"/>
        <v>Potential Layering</v>
      </c>
      <c r="N3991" s="1" t="str">
        <f>_xlfn.XLOOKUP(H3991, risk_score!A:A, risk_score!B:B, 0)</f>
        <v>Low Risk</v>
      </c>
    </row>
    <row r="3992" spans="1:14">
      <c r="A3992" s="2">
        <v>0.54540509259259262</v>
      </c>
      <c r="B3992" s="3">
        <v>44841</v>
      </c>
      <c r="C3992" s="1">
        <v>7421451752</v>
      </c>
      <c r="D3992" s="1">
        <v>1103906765</v>
      </c>
      <c r="E3992" s="1">
        <v>20657.919999999998</v>
      </c>
      <c r="F3992" s="1" t="s">
        <v>12</v>
      </c>
      <c r="G3992" s="1" t="s">
        <v>12</v>
      </c>
      <c r="H3992" s="1" t="s">
        <v>13</v>
      </c>
      <c r="I3992" s="1" t="s">
        <v>13</v>
      </c>
      <c r="J3992" s="1" t="s">
        <v>20</v>
      </c>
      <c r="K3992" s="1">
        <v>0</v>
      </c>
      <c r="L3992" s="1" t="s">
        <v>19</v>
      </c>
      <c r="M3992" s="1" t="str">
        <f t="shared" si="63"/>
        <v>Consistent</v>
      </c>
      <c r="N3992" s="1" t="str">
        <f>_xlfn.XLOOKUP(H3992, risk_score!A:A, risk_score!B:B, 0)</f>
        <v>Low Risk</v>
      </c>
    </row>
    <row r="3993" spans="1:14">
      <c r="A3993" s="2">
        <v>0.54540509259259262</v>
      </c>
      <c r="B3993" s="3">
        <v>44841</v>
      </c>
      <c r="C3993" s="1">
        <v>1503552540</v>
      </c>
      <c r="D3993" s="1">
        <v>9270301533</v>
      </c>
      <c r="E3993" s="1">
        <v>178.02</v>
      </c>
      <c r="F3993" s="1" t="s">
        <v>12</v>
      </c>
      <c r="G3993" s="1" t="s">
        <v>12</v>
      </c>
      <c r="H3993" s="1" t="s">
        <v>13</v>
      </c>
      <c r="I3993" s="1" t="s">
        <v>13</v>
      </c>
      <c r="J3993" s="1" t="s">
        <v>36</v>
      </c>
      <c r="K3993" s="1">
        <v>0</v>
      </c>
      <c r="L3993" s="1" t="s">
        <v>37</v>
      </c>
      <c r="M3993" s="1" t="str">
        <f t="shared" si="63"/>
        <v>Consistent</v>
      </c>
      <c r="N3993" s="1" t="str">
        <f>_xlfn.XLOOKUP(H3993, risk_score!A:A, risk_score!B:B, 0)</f>
        <v>Low Risk</v>
      </c>
    </row>
    <row r="3994" spans="1:14">
      <c r="A3994" s="2">
        <v>0.54545138888888889</v>
      </c>
      <c r="B3994" s="3">
        <v>44841</v>
      </c>
      <c r="C3994" s="1">
        <v>3452368468</v>
      </c>
      <c r="D3994" s="1">
        <v>5517479211</v>
      </c>
      <c r="E3994" s="1">
        <v>13491.18</v>
      </c>
      <c r="F3994" s="1" t="s">
        <v>12</v>
      </c>
      <c r="G3994" s="1" t="s">
        <v>12</v>
      </c>
      <c r="H3994" s="1" t="s">
        <v>13</v>
      </c>
      <c r="I3994" s="1" t="s">
        <v>13</v>
      </c>
      <c r="J3994" s="1" t="s">
        <v>27</v>
      </c>
      <c r="K3994" s="1">
        <v>0</v>
      </c>
      <c r="L3994" s="1" t="s">
        <v>19</v>
      </c>
      <c r="M3994" s="1" t="str">
        <f t="shared" si="63"/>
        <v>Consistent</v>
      </c>
      <c r="N3994" s="1" t="str">
        <f>_xlfn.XLOOKUP(H3994, risk_score!A:A, risk_score!B:B, 0)</f>
        <v>Low Risk</v>
      </c>
    </row>
    <row r="3995" spans="1:14">
      <c r="A3995" s="2">
        <v>0.54545138888888889</v>
      </c>
      <c r="B3995" s="3">
        <v>44841</v>
      </c>
      <c r="C3995" s="1">
        <v>7501327339</v>
      </c>
      <c r="D3995" s="1">
        <v>8061984977</v>
      </c>
      <c r="E3995" s="1">
        <v>9487.9</v>
      </c>
      <c r="F3995" s="1" t="s">
        <v>12</v>
      </c>
      <c r="G3995" s="1" t="s">
        <v>12</v>
      </c>
      <c r="H3995" s="1" t="s">
        <v>13</v>
      </c>
      <c r="I3995" s="1" t="s">
        <v>13</v>
      </c>
      <c r="J3995" s="1" t="s">
        <v>22</v>
      </c>
      <c r="K3995" s="1">
        <v>0</v>
      </c>
      <c r="L3995" s="1" t="s">
        <v>19</v>
      </c>
      <c r="M3995" s="1" t="str">
        <f t="shared" si="63"/>
        <v>Consistent</v>
      </c>
      <c r="N3995" s="1" t="str">
        <f>_xlfn.XLOOKUP(H3995, risk_score!A:A, risk_score!B:B, 0)</f>
        <v>Low Risk</v>
      </c>
    </row>
    <row r="3996" spans="1:14">
      <c r="A3996" s="2">
        <v>0.54546296296296293</v>
      </c>
      <c r="B3996" s="3">
        <v>44841</v>
      </c>
      <c r="C3996" s="1">
        <v>8820389620</v>
      </c>
      <c r="D3996" s="1">
        <v>4336977506</v>
      </c>
      <c r="E3996" s="1">
        <v>7384.96</v>
      </c>
      <c r="F3996" s="1" t="s">
        <v>12</v>
      </c>
      <c r="G3996" s="1" t="s">
        <v>12</v>
      </c>
      <c r="H3996" s="1" t="s">
        <v>13</v>
      </c>
      <c r="I3996" s="1" t="s">
        <v>13</v>
      </c>
      <c r="J3996" s="1" t="s">
        <v>27</v>
      </c>
      <c r="K3996" s="1">
        <v>0</v>
      </c>
      <c r="L3996" s="1" t="s">
        <v>23</v>
      </c>
      <c r="M3996" s="1" t="str">
        <f t="shared" si="63"/>
        <v>Consistent</v>
      </c>
      <c r="N3996" s="1" t="str">
        <f>_xlfn.XLOOKUP(H3996, risk_score!A:A, risk_score!B:B, 0)</f>
        <v>Low Risk</v>
      </c>
    </row>
    <row r="3997" spans="1:14">
      <c r="A3997" s="2">
        <v>0.54549768518518515</v>
      </c>
      <c r="B3997" s="3">
        <v>44841</v>
      </c>
      <c r="C3997" s="1">
        <v>6377408382</v>
      </c>
      <c r="D3997" s="1">
        <v>1377603863</v>
      </c>
      <c r="E3997" s="1">
        <v>5532</v>
      </c>
      <c r="F3997" s="1" t="s">
        <v>12</v>
      </c>
      <c r="G3997" s="1" t="s">
        <v>12</v>
      </c>
      <c r="H3997" s="1" t="s">
        <v>13</v>
      </c>
      <c r="I3997" s="1" t="s">
        <v>13</v>
      </c>
      <c r="J3997" s="1" t="s">
        <v>25</v>
      </c>
      <c r="K3997" s="1">
        <v>0</v>
      </c>
      <c r="L3997" s="1" t="s">
        <v>23</v>
      </c>
      <c r="M3997" s="1" t="str">
        <f t="shared" si="63"/>
        <v>Consistent</v>
      </c>
      <c r="N3997" s="1" t="str">
        <f>_xlfn.XLOOKUP(H3997, risk_score!A:A, risk_score!B:B, 0)</f>
        <v>Low Risk</v>
      </c>
    </row>
    <row r="3998" spans="1:14">
      <c r="A3998" s="2">
        <v>0.54552083333333334</v>
      </c>
      <c r="B3998" s="3">
        <v>44841</v>
      </c>
      <c r="C3998" s="1">
        <v>1573450167</v>
      </c>
      <c r="D3998" s="1">
        <v>6953672776</v>
      </c>
      <c r="E3998" s="1">
        <v>10623.89</v>
      </c>
      <c r="F3998" s="1" t="s">
        <v>12</v>
      </c>
      <c r="G3998" s="1" t="s">
        <v>34</v>
      </c>
      <c r="H3998" s="1" t="s">
        <v>13</v>
      </c>
      <c r="I3998" s="1" t="s">
        <v>35</v>
      </c>
      <c r="J3998" s="1" t="s">
        <v>18</v>
      </c>
      <c r="K3998" s="1">
        <v>0</v>
      </c>
      <c r="L3998" s="1" t="s">
        <v>23</v>
      </c>
      <c r="M3998" s="1" t="str">
        <f t="shared" si="63"/>
        <v>Potential Layering</v>
      </c>
      <c r="N3998" s="1" t="str">
        <f>_xlfn.XLOOKUP(H3998, risk_score!A:A, risk_score!B:B, 0)</f>
        <v>Low Risk</v>
      </c>
    </row>
    <row r="3999" spans="1:14">
      <c r="A3999" s="2">
        <v>0.54556712962962961</v>
      </c>
      <c r="B3999" s="3">
        <v>44841</v>
      </c>
      <c r="C3999" s="1">
        <v>3510078932</v>
      </c>
      <c r="D3999" s="1">
        <v>6544532856</v>
      </c>
      <c r="E3999" s="1">
        <v>15847.04</v>
      </c>
      <c r="F3999" s="1" t="s">
        <v>12</v>
      </c>
      <c r="G3999" s="1" t="s">
        <v>12</v>
      </c>
      <c r="H3999" s="1" t="s">
        <v>13</v>
      </c>
      <c r="I3999" s="1" t="s">
        <v>13</v>
      </c>
      <c r="J3999" s="1" t="s">
        <v>22</v>
      </c>
      <c r="K3999" s="1">
        <v>0</v>
      </c>
      <c r="L3999" s="1" t="s">
        <v>19</v>
      </c>
      <c r="M3999" s="1" t="str">
        <f t="shared" si="63"/>
        <v>Consistent</v>
      </c>
      <c r="N3999" s="1" t="str">
        <f>_xlfn.XLOOKUP(H3999, risk_score!A:A, risk_score!B:B, 0)</f>
        <v>Low Risk</v>
      </c>
    </row>
    <row r="4000" spans="1:14">
      <c r="A4000" s="2">
        <v>0.5455902777777778</v>
      </c>
      <c r="B4000" s="3">
        <v>44841</v>
      </c>
      <c r="C4000" s="1">
        <v>22513864</v>
      </c>
      <c r="D4000" s="1">
        <v>3773299204</v>
      </c>
      <c r="E4000" s="1">
        <v>6319.09</v>
      </c>
      <c r="F4000" s="1" t="s">
        <v>12</v>
      </c>
      <c r="G4000" s="1" t="s">
        <v>12</v>
      </c>
      <c r="H4000" s="1" t="s">
        <v>13</v>
      </c>
      <c r="I4000" s="1" t="s">
        <v>13</v>
      </c>
      <c r="J4000" s="1" t="s">
        <v>20</v>
      </c>
      <c r="K4000" s="1">
        <v>0</v>
      </c>
      <c r="L4000" s="1" t="s">
        <v>21</v>
      </c>
      <c r="M4000" s="1" t="str">
        <f t="shared" si="63"/>
        <v>Consistent</v>
      </c>
      <c r="N4000" s="1" t="str">
        <f>_xlfn.XLOOKUP(H4000, risk_score!A:A, risk_score!B:B, 0)</f>
        <v>Low Risk</v>
      </c>
    </row>
    <row r="4001" spans="1:14">
      <c r="A4001" s="2">
        <v>0.5455902777777778</v>
      </c>
      <c r="B4001" s="3">
        <v>44841</v>
      </c>
      <c r="C4001" s="1">
        <v>2258004917</v>
      </c>
      <c r="D4001" s="1">
        <v>5221082217</v>
      </c>
      <c r="E4001" s="1">
        <v>1570.77</v>
      </c>
      <c r="F4001" s="1" t="s">
        <v>12</v>
      </c>
      <c r="G4001" s="1" t="s">
        <v>12</v>
      </c>
      <c r="H4001" s="1" t="s">
        <v>13</v>
      </c>
      <c r="I4001" s="1" t="s">
        <v>13</v>
      </c>
      <c r="J4001" s="1" t="s">
        <v>22</v>
      </c>
      <c r="K4001" s="1">
        <v>0</v>
      </c>
      <c r="L4001" s="1" t="s">
        <v>49</v>
      </c>
      <c r="M4001" s="1" t="str">
        <f t="shared" si="63"/>
        <v>Consistent</v>
      </c>
      <c r="N4001" s="1" t="str">
        <f>_xlfn.XLOOKUP(H4001, risk_score!A:A, risk_score!B:B, 0)</f>
        <v>Low Risk</v>
      </c>
    </row>
    <row r="4002" spans="1:14">
      <c r="A4002" s="2">
        <v>0.54561342592592588</v>
      </c>
      <c r="B4002" s="3">
        <v>44841</v>
      </c>
      <c r="C4002" s="1">
        <v>7815302114</v>
      </c>
      <c r="D4002" s="1">
        <v>1842633217</v>
      </c>
      <c r="E4002" s="1">
        <v>6077.12</v>
      </c>
      <c r="F4002" s="1" t="s">
        <v>12</v>
      </c>
      <c r="G4002" s="1" t="s">
        <v>12</v>
      </c>
      <c r="H4002" s="1" t="s">
        <v>13</v>
      </c>
      <c r="I4002" s="1" t="s">
        <v>13</v>
      </c>
      <c r="J4002" s="1" t="s">
        <v>25</v>
      </c>
      <c r="K4002" s="1">
        <v>0</v>
      </c>
      <c r="L4002" s="1" t="s">
        <v>24</v>
      </c>
      <c r="M4002" s="1" t="str">
        <f t="shared" si="63"/>
        <v>Consistent</v>
      </c>
      <c r="N4002" s="1" t="str">
        <f>_xlfn.XLOOKUP(H4002, risk_score!A:A, risk_score!B:B, 0)</f>
        <v>Low Risk</v>
      </c>
    </row>
    <row r="4003" spans="1:14">
      <c r="A4003" s="2">
        <v>0.54562500000000003</v>
      </c>
      <c r="B4003" s="3">
        <v>44841</v>
      </c>
      <c r="C4003" s="1">
        <v>9261607183</v>
      </c>
      <c r="D4003" s="1">
        <v>9237183134</v>
      </c>
      <c r="E4003" s="1">
        <v>3225.76</v>
      </c>
      <c r="F4003" s="1" t="s">
        <v>12</v>
      </c>
      <c r="G4003" s="1" t="s">
        <v>12</v>
      </c>
      <c r="H4003" s="1" t="s">
        <v>13</v>
      </c>
      <c r="I4003" s="1" t="s">
        <v>13</v>
      </c>
      <c r="J4003" s="1" t="s">
        <v>22</v>
      </c>
      <c r="K4003" s="1">
        <v>0</v>
      </c>
      <c r="L4003" s="1" t="s">
        <v>21</v>
      </c>
      <c r="M4003" s="1" t="str">
        <f t="shared" si="63"/>
        <v>Consistent</v>
      </c>
      <c r="N4003" s="1" t="str">
        <f>_xlfn.XLOOKUP(H4003, risk_score!A:A, risk_score!B:B, 0)</f>
        <v>Low Risk</v>
      </c>
    </row>
    <row r="4004" spans="1:14">
      <c r="A4004" s="2">
        <v>0.5456481481481481</v>
      </c>
      <c r="B4004" s="3">
        <v>44841</v>
      </c>
      <c r="C4004" s="1">
        <v>809323614</v>
      </c>
      <c r="D4004" s="1">
        <v>6147074737</v>
      </c>
      <c r="E4004" s="1">
        <v>1621.22</v>
      </c>
      <c r="F4004" s="1" t="s">
        <v>29</v>
      </c>
      <c r="G4004" s="1" t="s">
        <v>12</v>
      </c>
      <c r="H4004" s="1" t="s">
        <v>48</v>
      </c>
      <c r="I4004" s="1" t="s">
        <v>13</v>
      </c>
      <c r="J4004" s="1" t="s">
        <v>18</v>
      </c>
      <c r="K4004" s="1">
        <v>0</v>
      </c>
      <c r="L4004" s="1" t="s">
        <v>21</v>
      </c>
      <c r="M4004" s="1" t="str">
        <f t="shared" si="63"/>
        <v>Potential Layering</v>
      </c>
      <c r="N4004" s="1" t="str">
        <f>_xlfn.XLOOKUP(H4004, risk_score!A:A, risk_score!B:B, 0)</f>
        <v>Low Risk</v>
      </c>
    </row>
    <row r="4005" spans="1:14">
      <c r="A4005" s="2">
        <v>0.54571759259259256</v>
      </c>
      <c r="B4005" s="3">
        <v>44841</v>
      </c>
      <c r="C4005" s="1">
        <v>9534729015</v>
      </c>
      <c r="D4005" s="1">
        <v>3520600371</v>
      </c>
      <c r="E4005" s="1">
        <v>10439.49</v>
      </c>
      <c r="F4005" s="1" t="s">
        <v>12</v>
      </c>
      <c r="G4005" s="1" t="s">
        <v>12</v>
      </c>
      <c r="H4005" s="1" t="s">
        <v>13</v>
      </c>
      <c r="I4005" s="1" t="s">
        <v>13</v>
      </c>
      <c r="J4005" s="1" t="s">
        <v>27</v>
      </c>
      <c r="K4005" s="1">
        <v>0</v>
      </c>
      <c r="L4005" s="1" t="s">
        <v>19</v>
      </c>
      <c r="M4005" s="1" t="str">
        <f t="shared" si="63"/>
        <v>Consistent</v>
      </c>
      <c r="N4005" s="1" t="str">
        <f>_xlfn.XLOOKUP(H4005, risk_score!A:A, risk_score!B:B, 0)</f>
        <v>Low Risk</v>
      </c>
    </row>
    <row r="4006" spans="1:14">
      <c r="A4006" s="2">
        <v>0.54572916666666671</v>
      </c>
      <c r="B4006" s="3">
        <v>44841</v>
      </c>
      <c r="C4006" s="1">
        <v>1497614989</v>
      </c>
      <c r="D4006" s="1">
        <v>9005492388</v>
      </c>
      <c r="E4006" s="1">
        <v>627.79999999999995</v>
      </c>
      <c r="F4006" s="1" t="s">
        <v>12</v>
      </c>
      <c r="G4006" s="1" t="s">
        <v>12</v>
      </c>
      <c r="H4006" s="1" t="s">
        <v>13</v>
      </c>
      <c r="I4006" s="1" t="s">
        <v>13</v>
      </c>
      <c r="J4006" s="1" t="s">
        <v>27</v>
      </c>
      <c r="K4006" s="1">
        <v>0</v>
      </c>
      <c r="L4006" s="1" t="s">
        <v>21</v>
      </c>
      <c r="M4006" s="1" t="str">
        <f t="shared" si="63"/>
        <v>Consistent</v>
      </c>
      <c r="N4006" s="1" t="str">
        <f>_xlfn.XLOOKUP(H4006, risk_score!A:A, risk_score!B:B, 0)</f>
        <v>Low Risk</v>
      </c>
    </row>
    <row r="4007" spans="1:14">
      <c r="A4007" s="2">
        <v>0.54572916666666671</v>
      </c>
      <c r="B4007" s="3">
        <v>44841</v>
      </c>
      <c r="C4007" s="1">
        <v>114506331</v>
      </c>
      <c r="D4007" s="1">
        <v>802455875</v>
      </c>
      <c r="E4007" s="1">
        <v>1925.52</v>
      </c>
      <c r="F4007" s="1" t="s">
        <v>12</v>
      </c>
      <c r="G4007" s="1" t="s">
        <v>12</v>
      </c>
      <c r="H4007" s="1" t="s">
        <v>13</v>
      </c>
      <c r="I4007" s="1" t="s">
        <v>13</v>
      </c>
      <c r="J4007" s="1" t="s">
        <v>27</v>
      </c>
      <c r="K4007" s="1">
        <v>0</v>
      </c>
      <c r="L4007" s="1" t="s">
        <v>21</v>
      </c>
      <c r="M4007" s="1" t="str">
        <f t="shared" si="63"/>
        <v>Consistent</v>
      </c>
      <c r="N4007" s="1" t="str">
        <f>_xlfn.XLOOKUP(H4007, risk_score!A:A, risk_score!B:B, 0)</f>
        <v>Low Risk</v>
      </c>
    </row>
    <row r="4008" spans="1:14">
      <c r="A4008" s="2">
        <v>0.54574074074074075</v>
      </c>
      <c r="B4008" s="3">
        <v>44841</v>
      </c>
      <c r="C4008" s="1">
        <v>1239577273</v>
      </c>
      <c r="D4008" s="1">
        <v>4336977506</v>
      </c>
      <c r="E4008" s="1">
        <v>8030.74</v>
      </c>
      <c r="F4008" s="1" t="s">
        <v>12</v>
      </c>
      <c r="G4008" s="1" t="s">
        <v>12</v>
      </c>
      <c r="H4008" s="1" t="s">
        <v>13</v>
      </c>
      <c r="I4008" s="1" t="s">
        <v>13</v>
      </c>
      <c r="J4008" s="1" t="s">
        <v>22</v>
      </c>
      <c r="K4008" s="1">
        <v>0</v>
      </c>
      <c r="L4008" s="1" t="s">
        <v>23</v>
      </c>
      <c r="M4008" s="1" t="str">
        <f t="shared" si="63"/>
        <v>Consistent</v>
      </c>
      <c r="N4008" s="1" t="str">
        <f>_xlfn.XLOOKUP(H4008, risk_score!A:A, risk_score!B:B, 0)</f>
        <v>Low Risk</v>
      </c>
    </row>
    <row r="4009" spans="1:14">
      <c r="A4009" s="2">
        <v>0.54574074074074075</v>
      </c>
      <c r="B4009" s="3">
        <v>44841</v>
      </c>
      <c r="C4009" s="1">
        <v>721341092</v>
      </c>
      <c r="D4009" s="1">
        <v>5030513067</v>
      </c>
      <c r="E4009" s="1">
        <v>1120.45</v>
      </c>
      <c r="F4009" s="1" t="s">
        <v>12</v>
      </c>
      <c r="G4009" s="1" t="s">
        <v>12</v>
      </c>
      <c r="H4009" s="1" t="s">
        <v>13</v>
      </c>
      <c r="I4009" s="1" t="s">
        <v>13</v>
      </c>
      <c r="J4009" s="1" t="s">
        <v>25</v>
      </c>
      <c r="K4009" s="1">
        <v>0</v>
      </c>
      <c r="L4009" s="1" t="s">
        <v>21</v>
      </c>
      <c r="M4009" s="1" t="str">
        <f t="shared" si="63"/>
        <v>Consistent</v>
      </c>
      <c r="N4009" s="1" t="str">
        <f>_xlfn.XLOOKUP(H4009, risk_score!A:A, risk_score!B:B, 0)</f>
        <v>Low Risk</v>
      </c>
    </row>
    <row r="4010" spans="1:14">
      <c r="A4010" s="2">
        <v>0.54578703703703701</v>
      </c>
      <c r="B4010" s="3">
        <v>44841</v>
      </c>
      <c r="C4010" s="1">
        <v>6116657264</v>
      </c>
      <c r="D4010" s="1">
        <v>578267324</v>
      </c>
      <c r="E4010" s="1">
        <v>11147.74</v>
      </c>
      <c r="F4010" s="1" t="s">
        <v>12</v>
      </c>
      <c r="G4010" s="1" t="s">
        <v>12</v>
      </c>
      <c r="H4010" s="1" t="s">
        <v>13</v>
      </c>
      <c r="I4010" s="1" t="s">
        <v>13</v>
      </c>
      <c r="J4010" s="1" t="s">
        <v>22</v>
      </c>
      <c r="K4010" s="1">
        <v>0</v>
      </c>
      <c r="L4010" s="1" t="s">
        <v>19</v>
      </c>
      <c r="M4010" s="1" t="str">
        <f t="shared" si="63"/>
        <v>Consistent</v>
      </c>
      <c r="N4010" s="1" t="str">
        <f>_xlfn.XLOOKUP(H4010, risk_score!A:A, risk_score!B:B, 0)</f>
        <v>Low Risk</v>
      </c>
    </row>
    <row r="4011" spans="1:14">
      <c r="A4011" s="2">
        <v>0.5458101851851852</v>
      </c>
      <c r="B4011" s="3">
        <v>44841</v>
      </c>
      <c r="C4011" s="1">
        <v>8995970854</v>
      </c>
      <c r="D4011" s="1">
        <v>2042968439</v>
      </c>
      <c r="E4011" s="1">
        <v>9556.33</v>
      </c>
      <c r="F4011" s="1" t="s">
        <v>12</v>
      </c>
      <c r="G4011" s="1" t="s">
        <v>12</v>
      </c>
      <c r="H4011" s="1" t="s">
        <v>13</v>
      </c>
      <c r="I4011" s="1" t="s">
        <v>13</v>
      </c>
      <c r="J4011" s="1" t="s">
        <v>22</v>
      </c>
      <c r="K4011" s="1">
        <v>0</v>
      </c>
      <c r="L4011" s="1" t="s">
        <v>21</v>
      </c>
      <c r="M4011" s="1" t="str">
        <f t="shared" si="63"/>
        <v>Consistent</v>
      </c>
      <c r="N4011" s="1" t="str">
        <f>_xlfn.XLOOKUP(H4011, risk_score!A:A, risk_score!B:B, 0)</f>
        <v>Low Risk</v>
      </c>
    </row>
    <row r="4012" spans="1:14">
      <c r="A4012" s="2">
        <v>0.54583333333333328</v>
      </c>
      <c r="B4012" s="3">
        <v>44841</v>
      </c>
      <c r="C4012" s="1">
        <v>7758268667</v>
      </c>
      <c r="D4012" s="1">
        <v>4048410232</v>
      </c>
      <c r="E4012" s="1">
        <v>17748.29</v>
      </c>
      <c r="F4012" s="1" t="s">
        <v>12</v>
      </c>
      <c r="G4012" s="1" t="s">
        <v>12</v>
      </c>
      <c r="H4012" s="1" t="s">
        <v>13</v>
      </c>
      <c r="I4012" s="1" t="s">
        <v>13</v>
      </c>
      <c r="J4012" s="1" t="s">
        <v>20</v>
      </c>
      <c r="K4012" s="1">
        <v>0</v>
      </c>
      <c r="L4012" s="1" t="s">
        <v>19</v>
      </c>
      <c r="M4012" s="1" t="str">
        <f t="shared" si="63"/>
        <v>Consistent</v>
      </c>
      <c r="N4012" s="1" t="str">
        <f>_xlfn.XLOOKUP(H4012, risk_score!A:A, risk_score!B:B, 0)</f>
        <v>Low Risk</v>
      </c>
    </row>
    <row r="4013" spans="1:14">
      <c r="A4013" s="2">
        <v>0.54584490740740743</v>
      </c>
      <c r="B4013" s="3">
        <v>44841</v>
      </c>
      <c r="C4013" s="1">
        <v>6091741961</v>
      </c>
      <c r="D4013" s="1">
        <v>5539384863</v>
      </c>
      <c r="E4013" s="1">
        <v>49124.53</v>
      </c>
      <c r="F4013" s="1" t="s">
        <v>12</v>
      </c>
      <c r="G4013" s="1" t="s">
        <v>46</v>
      </c>
      <c r="H4013" s="1" t="s">
        <v>13</v>
      </c>
      <c r="I4013" s="1" t="s">
        <v>47</v>
      </c>
      <c r="J4013" s="1" t="s">
        <v>18</v>
      </c>
      <c r="K4013" s="1">
        <v>0</v>
      </c>
      <c r="L4013" s="1" t="s">
        <v>21</v>
      </c>
      <c r="M4013" s="1" t="str">
        <f t="shared" si="63"/>
        <v>Potential Layering</v>
      </c>
      <c r="N4013" s="1" t="str">
        <f>_xlfn.XLOOKUP(H4013, risk_score!A:A, risk_score!B:B, 0)</f>
        <v>Low Risk</v>
      </c>
    </row>
    <row r="4014" spans="1:14">
      <c r="A4014" s="2">
        <v>0.54584490740740743</v>
      </c>
      <c r="B4014" s="3">
        <v>44841</v>
      </c>
      <c r="C4014" s="1">
        <v>5594636802</v>
      </c>
      <c r="D4014" s="1">
        <v>1380562223</v>
      </c>
      <c r="E4014" s="1">
        <v>1434.18</v>
      </c>
      <c r="F4014" s="1" t="s">
        <v>12</v>
      </c>
      <c r="G4014" s="1" t="s">
        <v>12</v>
      </c>
      <c r="H4014" s="1" t="s">
        <v>13</v>
      </c>
      <c r="I4014" s="1" t="s">
        <v>13</v>
      </c>
      <c r="J4014" s="1" t="s">
        <v>27</v>
      </c>
      <c r="K4014" s="1">
        <v>0</v>
      </c>
      <c r="L4014" s="1" t="s">
        <v>21</v>
      </c>
      <c r="M4014" s="1" t="str">
        <f t="shared" si="63"/>
        <v>Consistent</v>
      </c>
      <c r="N4014" s="1" t="str">
        <f>_xlfn.XLOOKUP(H4014, risk_score!A:A, risk_score!B:B, 0)</f>
        <v>Low Risk</v>
      </c>
    </row>
    <row r="4015" spans="1:14">
      <c r="A4015" s="2">
        <v>0.5458912037037037</v>
      </c>
      <c r="B4015" s="3">
        <v>44841</v>
      </c>
      <c r="C4015" s="1">
        <v>809625447</v>
      </c>
      <c r="D4015" s="1">
        <v>4552293879</v>
      </c>
      <c r="E4015" s="1">
        <v>456.9</v>
      </c>
      <c r="F4015" s="1" t="s">
        <v>12</v>
      </c>
      <c r="G4015" s="1" t="s">
        <v>12</v>
      </c>
      <c r="H4015" s="1" t="s">
        <v>13</v>
      </c>
      <c r="I4015" s="1" t="s">
        <v>13</v>
      </c>
      <c r="J4015" s="1" t="s">
        <v>20</v>
      </c>
      <c r="K4015" s="1">
        <v>0</v>
      </c>
      <c r="L4015" s="1" t="s">
        <v>21</v>
      </c>
      <c r="M4015" s="1" t="str">
        <f t="shared" si="63"/>
        <v>Consistent</v>
      </c>
      <c r="N4015" s="1" t="str">
        <f>_xlfn.XLOOKUP(H4015, risk_score!A:A, risk_score!B:B, 0)</f>
        <v>Low Risk</v>
      </c>
    </row>
    <row r="4016" spans="1:14">
      <c r="A4016" s="2">
        <v>0.54592592592592593</v>
      </c>
      <c r="B4016" s="3">
        <v>44841</v>
      </c>
      <c r="C4016" s="1">
        <v>5790471849</v>
      </c>
      <c r="D4016" s="1">
        <v>378335393</v>
      </c>
      <c r="E4016" s="1">
        <v>2198.61</v>
      </c>
      <c r="F4016" s="1" t="s">
        <v>12</v>
      </c>
      <c r="G4016" s="1" t="s">
        <v>12</v>
      </c>
      <c r="H4016" s="1" t="s">
        <v>13</v>
      </c>
      <c r="I4016" s="1" t="s">
        <v>13</v>
      </c>
      <c r="J4016" s="1" t="s">
        <v>27</v>
      </c>
      <c r="K4016" s="1">
        <v>0</v>
      </c>
      <c r="L4016" s="1" t="s">
        <v>38</v>
      </c>
      <c r="M4016" s="1" t="str">
        <f t="shared" si="63"/>
        <v>Consistent</v>
      </c>
      <c r="N4016" s="1" t="str">
        <f>_xlfn.XLOOKUP(H4016, risk_score!A:A, risk_score!B:B, 0)</f>
        <v>Low Risk</v>
      </c>
    </row>
    <row r="4017" spans="1:14">
      <c r="A4017" s="2">
        <v>0.54598379629629634</v>
      </c>
      <c r="B4017" s="3">
        <v>44841</v>
      </c>
      <c r="C4017" s="1">
        <v>2972193348</v>
      </c>
      <c r="D4017" s="1">
        <v>5103043844</v>
      </c>
      <c r="E4017" s="1">
        <v>6389.69</v>
      </c>
      <c r="F4017" s="1" t="s">
        <v>12</v>
      </c>
      <c r="G4017" s="1" t="s">
        <v>44</v>
      </c>
      <c r="H4017" s="1" t="s">
        <v>13</v>
      </c>
      <c r="I4017" s="1" t="s">
        <v>45</v>
      </c>
      <c r="J4017" s="1" t="s">
        <v>18</v>
      </c>
      <c r="K4017" s="1">
        <v>0</v>
      </c>
      <c r="L4017" s="1" t="s">
        <v>23</v>
      </c>
      <c r="M4017" s="1" t="str">
        <f t="shared" si="63"/>
        <v>Potential Layering</v>
      </c>
      <c r="N4017" s="1" t="str">
        <f>_xlfn.XLOOKUP(H4017, risk_score!A:A, risk_score!B:B, 0)</f>
        <v>Low Risk</v>
      </c>
    </row>
    <row r="4018" spans="1:14">
      <c r="A4018" s="2">
        <v>0.54599537037037038</v>
      </c>
      <c r="B4018" s="3">
        <v>44841</v>
      </c>
      <c r="C4018" s="1">
        <v>2745587504</v>
      </c>
      <c r="D4018" s="1">
        <v>7108024722</v>
      </c>
      <c r="E4018" s="1">
        <v>15705.57</v>
      </c>
      <c r="F4018" s="1" t="s">
        <v>12</v>
      </c>
      <c r="G4018" s="1" t="s">
        <v>12</v>
      </c>
      <c r="H4018" s="1" t="s">
        <v>13</v>
      </c>
      <c r="I4018" s="1" t="s">
        <v>13</v>
      </c>
      <c r="J4018" s="1" t="s">
        <v>27</v>
      </c>
      <c r="K4018" s="1">
        <v>0</v>
      </c>
      <c r="L4018" s="1" t="s">
        <v>21</v>
      </c>
      <c r="M4018" s="1" t="str">
        <f t="shared" si="63"/>
        <v>Consistent</v>
      </c>
      <c r="N4018" s="1" t="str">
        <f>_xlfn.XLOOKUP(H4018, risk_score!A:A, risk_score!B:B, 0)</f>
        <v>Low Risk</v>
      </c>
    </row>
    <row r="4019" spans="1:14">
      <c r="A4019" s="2">
        <v>0.54601851851851857</v>
      </c>
      <c r="B4019" s="3">
        <v>44841</v>
      </c>
      <c r="C4019" s="1">
        <v>2488093397</v>
      </c>
      <c r="D4019" s="1">
        <v>6668834736</v>
      </c>
      <c r="E4019" s="1">
        <v>2780.79</v>
      </c>
      <c r="F4019" s="1" t="s">
        <v>12</v>
      </c>
      <c r="G4019" s="1" t="s">
        <v>44</v>
      </c>
      <c r="H4019" s="1" t="s">
        <v>13</v>
      </c>
      <c r="I4019" s="1" t="s">
        <v>13</v>
      </c>
      <c r="J4019" s="1" t="s">
        <v>20</v>
      </c>
      <c r="K4019" s="1">
        <v>0</v>
      </c>
      <c r="L4019" s="1" t="s">
        <v>21</v>
      </c>
      <c r="M4019" s="1" t="str">
        <f t="shared" si="63"/>
        <v>Potential Layering</v>
      </c>
      <c r="N4019" s="1" t="str">
        <f>_xlfn.XLOOKUP(H4019, risk_score!A:A, risk_score!B:B, 0)</f>
        <v>Low Risk</v>
      </c>
    </row>
    <row r="4020" spans="1:14">
      <c r="A4020" s="2">
        <v>0.54601851851851857</v>
      </c>
      <c r="B4020" s="3">
        <v>44841</v>
      </c>
      <c r="C4020" s="1">
        <v>8203229522</v>
      </c>
      <c r="D4020" s="1">
        <v>2074126451</v>
      </c>
      <c r="E4020" s="1">
        <v>5371.05</v>
      </c>
      <c r="F4020" s="1" t="s">
        <v>12</v>
      </c>
      <c r="G4020" s="1" t="s">
        <v>12</v>
      </c>
      <c r="H4020" s="1" t="s">
        <v>13</v>
      </c>
      <c r="I4020" s="1" t="s">
        <v>13</v>
      </c>
      <c r="J4020" s="1" t="s">
        <v>25</v>
      </c>
      <c r="K4020" s="1">
        <v>0</v>
      </c>
      <c r="L4020" s="1" t="s">
        <v>19</v>
      </c>
      <c r="M4020" s="1" t="str">
        <f t="shared" si="63"/>
        <v>Consistent</v>
      </c>
      <c r="N4020" s="1" t="str">
        <f>_xlfn.XLOOKUP(H4020, risk_score!A:A, risk_score!B:B, 0)</f>
        <v>Low Risk</v>
      </c>
    </row>
    <row r="4021" spans="1:14">
      <c r="A4021" s="2">
        <v>0.54601851851851857</v>
      </c>
      <c r="B4021" s="3">
        <v>44841</v>
      </c>
      <c r="C4021" s="1">
        <v>8203229522</v>
      </c>
      <c r="D4021" s="1">
        <v>7963107269</v>
      </c>
      <c r="E4021" s="1">
        <v>8625.91</v>
      </c>
      <c r="F4021" s="1" t="s">
        <v>12</v>
      </c>
      <c r="G4021" s="1" t="s">
        <v>12</v>
      </c>
      <c r="H4021" s="1" t="s">
        <v>13</v>
      </c>
      <c r="I4021" s="1" t="s">
        <v>13</v>
      </c>
      <c r="J4021" s="1" t="s">
        <v>20</v>
      </c>
      <c r="K4021" s="1">
        <v>0</v>
      </c>
      <c r="L4021" s="1" t="s">
        <v>19</v>
      </c>
      <c r="M4021" s="1" t="str">
        <f t="shared" si="63"/>
        <v>Consistent</v>
      </c>
      <c r="N4021" s="1" t="str">
        <f>_xlfn.XLOOKUP(H4021, risk_score!A:A, risk_score!B:B, 0)</f>
        <v>Low Risk</v>
      </c>
    </row>
    <row r="4022" spans="1:14">
      <c r="A4022" s="2">
        <v>0.54603009259259261</v>
      </c>
      <c r="B4022" s="3">
        <v>44841</v>
      </c>
      <c r="C4022" s="1">
        <v>3690613055</v>
      </c>
      <c r="D4022" s="1">
        <v>1592487506</v>
      </c>
      <c r="E4022" s="1">
        <v>1065.32</v>
      </c>
      <c r="F4022" s="1" t="s">
        <v>29</v>
      </c>
      <c r="G4022" s="1" t="s">
        <v>12</v>
      </c>
      <c r="H4022" s="1" t="s">
        <v>30</v>
      </c>
      <c r="I4022" s="1" t="s">
        <v>13</v>
      </c>
      <c r="J4022" s="1" t="s">
        <v>18</v>
      </c>
      <c r="K4022" s="1">
        <v>0</v>
      </c>
      <c r="L4022" s="1" t="s">
        <v>21</v>
      </c>
      <c r="M4022" s="1" t="str">
        <f t="shared" si="63"/>
        <v>Potential Layering</v>
      </c>
      <c r="N4022" s="1" t="str">
        <f>_xlfn.XLOOKUP(H4022, risk_score!A:A, risk_score!B:B, 0)</f>
        <v>Low Risk</v>
      </c>
    </row>
    <row r="4023" spans="1:14">
      <c r="A4023" s="2">
        <v>0.54603009259259261</v>
      </c>
      <c r="B4023" s="3">
        <v>44841</v>
      </c>
      <c r="C4023" s="1">
        <v>6831837137</v>
      </c>
      <c r="D4023" s="1">
        <v>1359741978</v>
      </c>
      <c r="E4023" s="1">
        <v>4125.3500000000004</v>
      </c>
      <c r="F4023" s="1" t="s">
        <v>12</v>
      </c>
      <c r="G4023" s="1" t="s">
        <v>12</v>
      </c>
      <c r="H4023" s="1" t="s">
        <v>13</v>
      </c>
      <c r="I4023" s="1" t="s">
        <v>13</v>
      </c>
      <c r="J4023" s="1" t="s">
        <v>20</v>
      </c>
      <c r="K4023" s="1">
        <v>0</v>
      </c>
      <c r="L4023" s="1" t="s">
        <v>21</v>
      </c>
      <c r="M4023" s="1" t="str">
        <f t="shared" si="63"/>
        <v>Consistent</v>
      </c>
      <c r="N4023" s="1" t="str">
        <f>_xlfn.XLOOKUP(H4023, risk_score!A:A, risk_score!B:B, 0)</f>
        <v>Low Risk</v>
      </c>
    </row>
    <row r="4024" spans="1:14">
      <c r="A4024" s="2">
        <v>0.54607638888888888</v>
      </c>
      <c r="B4024" s="3">
        <v>44841</v>
      </c>
      <c r="C4024" s="1">
        <v>7758268667</v>
      </c>
      <c r="D4024" s="1">
        <v>7889074144</v>
      </c>
      <c r="E4024" s="1">
        <v>26556.69</v>
      </c>
      <c r="F4024" s="1" t="s">
        <v>12</v>
      </c>
      <c r="G4024" s="1" t="s">
        <v>12</v>
      </c>
      <c r="H4024" s="1" t="s">
        <v>13</v>
      </c>
      <c r="I4024" s="1" t="s">
        <v>13</v>
      </c>
      <c r="J4024" s="1" t="s">
        <v>22</v>
      </c>
      <c r="K4024" s="1">
        <v>0</v>
      </c>
      <c r="L4024" s="1" t="s">
        <v>19</v>
      </c>
      <c r="M4024" s="1" t="str">
        <f t="shared" si="63"/>
        <v>Consistent</v>
      </c>
      <c r="N4024" s="1" t="str">
        <f>_xlfn.XLOOKUP(H4024, risk_score!A:A, risk_score!B:B, 0)</f>
        <v>Low Risk</v>
      </c>
    </row>
    <row r="4025" spans="1:14">
      <c r="A4025" s="2">
        <v>0.54608796296296291</v>
      </c>
      <c r="B4025" s="3">
        <v>44841</v>
      </c>
      <c r="C4025" s="1">
        <v>7421451752</v>
      </c>
      <c r="D4025" s="1">
        <v>1300373577</v>
      </c>
      <c r="E4025" s="1">
        <v>5820.76</v>
      </c>
      <c r="F4025" s="1" t="s">
        <v>12</v>
      </c>
      <c r="G4025" s="1" t="s">
        <v>12</v>
      </c>
      <c r="H4025" s="1" t="s">
        <v>13</v>
      </c>
      <c r="I4025" s="1" t="s">
        <v>13</v>
      </c>
      <c r="J4025" s="1" t="s">
        <v>22</v>
      </c>
      <c r="K4025" s="1">
        <v>0</v>
      </c>
      <c r="L4025" s="1" t="s">
        <v>19</v>
      </c>
      <c r="M4025" s="1" t="str">
        <f t="shared" si="63"/>
        <v>Consistent</v>
      </c>
      <c r="N4025" s="1" t="str">
        <f>_xlfn.XLOOKUP(H4025, risk_score!A:A, risk_score!B:B, 0)</f>
        <v>Low Risk</v>
      </c>
    </row>
    <row r="4026" spans="1:14">
      <c r="A4026" s="2">
        <v>0.5461111111111111</v>
      </c>
      <c r="B4026" s="3">
        <v>44841</v>
      </c>
      <c r="C4026" s="1">
        <v>3590434653</v>
      </c>
      <c r="D4026" s="1">
        <v>575628785</v>
      </c>
      <c r="E4026" s="1">
        <v>8251.41</v>
      </c>
      <c r="F4026" s="1" t="s">
        <v>12</v>
      </c>
      <c r="G4026" s="1" t="s">
        <v>12</v>
      </c>
      <c r="H4026" s="1" t="s">
        <v>13</v>
      </c>
      <c r="I4026" s="1" t="s">
        <v>13</v>
      </c>
      <c r="J4026" s="1" t="s">
        <v>25</v>
      </c>
      <c r="K4026" s="1">
        <v>0</v>
      </c>
      <c r="L4026" s="1" t="s">
        <v>21</v>
      </c>
      <c r="M4026" s="1" t="str">
        <f t="shared" si="63"/>
        <v>Consistent</v>
      </c>
      <c r="N4026" s="1" t="str">
        <f>_xlfn.XLOOKUP(H4026, risk_score!A:A, risk_score!B:B, 0)</f>
        <v>Low Risk</v>
      </c>
    </row>
    <row r="4027" spans="1:14">
      <c r="A4027" s="2">
        <v>0.54613425925925929</v>
      </c>
      <c r="B4027" s="3">
        <v>44841</v>
      </c>
      <c r="C4027" s="1">
        <v>3062818088</v>
      </c>
      <c r="D4027" s="1">
        <v>8310107528</v>
      </c>
      <c r="E4027" s="1">
        <v>6663.96</v>
      </c>
      <c r="F4027" s="1" t="s">
        <v>12</v>
      </c>
      <c r="G4027" s="1" t="s">
        <v>12</v>
      </c>
      <c r="H4027" s="1" t="s">
        <v>13</v>
      </c>
      <c r="I4027" s="1" t="s">
        <v>13</v>
      </c>
      <c r="J4027" s="1" t="s">
        <v>27</v>
      </c>
      <c r="K4027" s="1">
        <v>0</v>
      </c>
      <c r="L4027" s="1" t="s">
        <v>21</v>
      </c>
      <c r="M4027" s="1" t="str">
        <f t="shared" si="63"/>
        <v>Consistent</v>
      </c>
      <c r="N4027" s="1" t="str">
        <f>_xlfn.XLOOKUP(H4027, risk_score!A:A, risk_score!B:B, 0)</f>
        <v>Low Risk</v>
      </c>
    </row>
    <row r="4028" spans="1:14">
      <c r="A4028" s="2">
        <v>0.54615740740740737</v>
      </c>
      <c r="B4028" s="3">
        <v>44841</v>
      </c>
      <c r="C4028" s="1">
        <v>8957544287</v>
      </c>
      <c r="D4028" s="1">
        <v>5858369125</v>
      </c>
      <c r="E4028" s="1">
        <v>13185</v>
      </c>
      <c r="F4028" s="1" t="s">
        <v>12</v>
      </c>
      <c r="G4028" s="1" t="s">
        <v>12</v>
      </c>
      <c r="H4028" s="1" t="s">
        <v>13</v>
      </c>
      <c r="I4028" s="1" t="s">
        <v>13</v>
      </c>
      <c r="J4028" s="1" t="s">
        <v>22</v>
      </c>
      <c r="K4028" s="1">
        <v>0</v>
      </c>
      <c r="L4028" s="1" t="s">
        <v>23</v>
      </c>
      <c r="M4028" s="1" t="str">
        <f t="shared" si="63"/>
        <v>Consistent</v>
      </c>
      <c r="N4028" s="1" t="str">
        <f>_xlfn.XLOOKUP(H4028, risk_score!A:A, risk_score!B:B, 0)</f>
        <v>Low Risk</v>
      </c>
    </row>
    <row r="4029" spans="1:14">
      <c r="A4029" s="2">
        <v>0.54615740740740737</v>
      </c>
      <c r="B4029" s="3">
        <v>44841</v>
      </c>
      <c r="C4029" s="1">
        <v>6216316627</v>
      </c>
      <c r="D4029" s="1">
        <v>5466123934</v>
      </c>
      <c r="E4029" s="1">
        <v>7987.7</v>
      </c>
      <c r="F4029" s="1" t="s">
        <v>12</v>
      </c>
      <c r="G4029" s="1" t="s">
        <v>12</v>
      </c>
      <c r="H4029" s="1" t="s">
        <v>13</v>
      </c>
      <c r="I4029" s="1" t="s">
        <v>13</v>
      </c>
      <c r="J4029" s="1" t="s">
        <v>20</v>
      </c>
      <c r="K4029" s="1">
        <v>0</v>
      </c>
      <c r="L4029" s="1" t="s">
        <v>23</v>
      </c>
      <c r="M4029" s="1" t="str">
        <f t="shared" si="63"/>
        <v>Consistent</v>
      </c>
      <c r="N4029" s="1" t="str">
        <f>_xlfn.XLOOKUP(H4029, risk_score!A:A, risk_score!B:B, 0)</f>
        <v>Low Risk</v>
      </c>
    </row>
    <row r="4030" spans="1:14">
      <c r="A4030" s="2">
        <v>0.54618055555555556</v>
      </c>
      <c r="B4030" s="3">
        <v>44841</v>
      </c>
      <c r="C4030" s="1">
        <v>8952177221</v>
      </c>
      <c r="D4030" s="1">
        <v>6404529552</v>
      </c>
      <c r="E4030" s="1">
        <v>7769.7</v>
      </c>
      <c r="F4030" s="1" t="s">
        <v>12</v>
      </c>
      <c r="G4030" s="1" t="s">
        <v>12</v>
      </c>
      <c r="H4030" s="1" t="s">
        <v>13</v>
      </c>
      <c r="I4030" s="1" t="s">
        <v>13</v>
      </c>
      <c r="J4030" s="1" t="s">
        <v>22</v>
      </c>
      <c r="K4030" s="1">
        <v>0</v>
      </c>
      <c r="L4030" s="1" t="s">
        <v>19</v>
      </c>
      <c r="M4030" s="1" t="str">
        <f t="shared" si="63"/>
        <v>Consistent</v>
      </c>
      <c r="N4030" s="1" t="str">
        <f>_xlfn.XLOOKUP(H4030, risk_score!A:A, risk_score!B:B, 0)</f>
        <v>Low Risk</v>
      </c>
    </row>
    <row r="4031" spans="1:14">
      <c r="A4031" s="2">
        <v>0.5461921296296296</v>
      </c>
      <c r="B4031" s="3">
        <v>44841</v>
      </c>
      <c r="C4031" s="1">
        <v>8115817731</v>
      </c>
      <c r="D4031" s="1">
        <v>4877050806</v>
      </c>
      <c r="E4031" s="1">
        <v>5157.8500000000004</v>
      </c>
      <c r="F4031" s="1" t="s">
        <v>12</v>
      </c>
      <c r="G4031" s="1" t="s">
        <v>12</v>
      </c>
      <c r="H4031" s="1" t="s">
        <v>13</v>
      </c>
      <c r="I4031" s="1" t="s">
        <v>13</v>
      </c>
      <c r="J4031" s="1" t="s">
        <v>22</v>
      </c>
      <c r="K4031" s="1">
        <v>0</v>
      </c>
      <c r="L4031" s="1" t="s">
        <v>21</v>
      </c>
      <c r="M4031" s="1" t="str">
        <f t="shared" ref="M4031:M4094" si="64">IF(F4031=G4031, "Consistent", "Potential Layering")</f>
        <v>Consistent</v>
      </c>
      <c r="N4031" s="1" t="str">
        <f>_xlfn.XLOOKUP(H4031, risk_score!A:A, risk_score!B:B, 0)</f>
        <v>Low Risk</v>
      </c>
    </row>
    <row r="4032" spans="1:14">
      <c r="A4032" s="2">
        <v>0.54622685185185182</v>
      </c>
      <c r="B4032" s="3">
        <v>44841</v>
      </c>
      <c r="C4032" s="1">
        <v>3109776919</v>
      </c>
      <c r="D4032" s="1">
        <v>5858369125</v>
      </c>
      <c r="E4032" s="1">
        <v>4510.3500000000004</v>
      </c>
      <c r="F4032" s="1" t="s">
        <v>12</v>
      </c>
      <c r="G4032" s="1" t="s">
        <v>12</v>
      </c>
      <c r="H4032" s="1" t="s">
        <v>13</v>
      </c>
      <c r="I4032" s="1" t="s">
        <v>13</v>
      </c>
      <c r="J4032" s="1" t="s">
        <v>20</v>
      </c>
      <c r="K4032" s="1">
        <v>0</v>
      </c>
      <c r="L4032" s="1" t="s">
        <v>23</v>
      </c>
      <c r="M4032" s="1" t="str">
        <f t="shared" si="64"/>
        <v>Consistent</v>
      </c>
      <c r="N4032" s="1" t="str">
        <f>_xlfn.XLOOKUP(H4032, risk_score!A:A, risk_score!B:B, 0)</f>
        <v>Low Risk</v>
      </c>
    </row>
    <row r="4033" spans="1:14">
      <c r="A4033" s="2">
        <v>0.5462731481481482</v>
      </c>
      <c r="B4033" s="3">
        <v>44841</v>
      </c>
      <c r="C4033" s="1">
        <v>8987848252</v>
      </c>
      <c r="D4033" s="1">
        <v>1198366019</v>
      </c>
      <c r="E4033" s="1">
        <v>24873.23</v>
      </c>
      <c r="F4033" s="1" t="s">
        <v>12</v>
      </c>
      <c r="G4033" s="1" t="s">
        <v>12</v>
      </c>
      <c r="H4033" s="1" t="s">
        <v>13</v>
      </c>
      <c r="I4033" s="1" t="s">
        <v>13</v>
      </c>
      <c r="J4033" s="1" t="s">
        <v>25</v>
      </c>
      <c r="K4033" s="1">
        <v>0</v>
      </c>
      <c r="L4033" s="1" t="s">
        <v>19</v>
      </c>
      <c r="M4033" s="1" t="str">
        <f t="shared" si="64"/>
        <v>Consistent</v>
      </c>
      <c r="N4033" s="1" t="str">
        <f>_xlfn.XLOOKUP(H4033, risk_score!A:A, risk_score!B:B, 0)</f>
        <v>Low Risk</v>
      </c>
    </row>
    <row r="4034" spans="1:14">
      <c r="A4034" s="2">
        <v>0.5462731481481482</v>
      </c>
      <c r="B4034" s="3">
        <v>44841</v>
      </c>
      <c r="C4034" s="1">
        <v>3633597876</v>
      </c>
      <c r="D4034" s="1">
        <v>7665280978</v>
      </c>
      <c r="E4034" s="1">
        <v>7092.54</v>
      </c>
      <c r="F4034" s="1" t="s">
        <v>12</v>
      </c>
      <c r="G4034" s="1" t="s">
        <v>12</v>
      </c>
      <c r="H4034" s="1" t="s">
        <v>13</v>
      </c>
      <c r="I4034" s="1" t="s">
        <v>13</v>
      </c>
      <c r="J4034" s="1" t="s">
        <v>22</v>
      </c>
      <c r="K4034" s="1">
        <v>0</v>
      </c>
      <c r="L4034" s="1" t="s">
        <v>21</v>
      </c>
      <c r="M4034" s="1" t="str">
        <f t="shared" si="64"/>
        <v>Consistent</v>
      </c>
      <c r="N4034" s="1" t="str">
        <f>_xlfn.XLOOKUP(H4034, risk_score!A:A, risk_score!B:B, 0)</f>
        <v>Low Risk</v>
      </c>
    </row>
    <row r="4035" spans="1:14">
      <c r="A4035" s="2">
        <v>0.54628472222222224</v>
      </c>
      <c r="B4035" s="3">
        <v>44841</v>
      </c>
      <c r="C4035" s="1">
        <v>3510078932</v>
      </c>
      <c r="D4035" s="1">
        <v>1625701030</v>
      </c>
      <c r="E4035" s="1">
        <v>6252.15</v>
      </c>
      <c r="F4035" s="1" t="s">
        <v>12</v>
      </c>
      <c r="G4035" s="1" t="s">
        <v>12</v>
      </c>
      <c r="H4035" s="1" t="s">
        <v>13</v>
      </c>
      <c r="I4035" s="1" t="s">
        <v>13</v>
      </c>
      <c r="J4035" s="1" t="s">
        <v>27</v>
      </c>
      <c r="K4035" s="1">
        <v>0</v>
      </c>
      <c r="L4035" s="1" t="s">
        <v>19</v>
      </c>
      <c r="M4035" s="1" t="str">
        <f t="shared" si="64"/>
        <v>Consistent</v>
      </c>
      <c r="N4035" s="1" t="str">
        <f>_xlfn.XLOOKUP(H4035, risk_score!A:A, risk_score!B:B, 0)</f>
        <v>Low Risk</v>
      </c>
    </row>
    <row r="4036" spans="1:14">
      <c r="A4036" s="2">
        <v>0.54630787037037032</v>
      </c>
      <c r="B4036" s="3">
        <v>44841</v>
      </c>
      <c r="C4036" s="1">
        <v>3057117609</v>
      </c>
      <c r="D4036" s="1">
        <v>4173195094</v>
      </c>
      <c r="E4036" s="1">
        <v>11826.44</v>
      </c>
      <c r="F4036" s="1" t="s">
        <v>12</v>
      </c>
      <c r="G4036" s="1" t="s">
        <v>12</v>
      </c>
      <c r="H4036" s="1" t="s">
        <v>13</v>
      </c>
      <c r="I4036" s="1" t="s">
        <v>13</v>
      </c>
      <c r="J4036" s="1" t="s">
        <v>20</v>
      </c>
      <c r="K4036" s="1">
        <v>0</v>
      </c>
      <c r="L4036" s="1" t="s">
        <v>23</v>
      </c>
      <c r="M4036" s="1" t="str">
        <f t="shared" si="64"/>
        <v>Consistent</v>
      </c>
      <c r="N4036" s="1" t="str">
        <f>_xlfn.XLOOKUP(H4036, risk_score!A:A, risk_score!B:B, 0)</f>
        <v>Low Risk</v>
      </c>
    </row>
    <row r="4037" spans="1:14">
      <c r="A4037" s="2">
        <v>0.54631944444444447</v>
      </c>
      <c r="B4037" s="3">
        <v>44841</v>
      </c>
      <c r="C4037" s="1">
        <v>3704147823</v>
      </c>
      <c r="D4037" s="1">
        <v>3960870790</v>
      </c>
      <c r="E4037" s="1">
        <v>111.18</v>
      </c>
      <c r="F4037" s="1" t="s">
        <v>12</v>
      </c>
      <c r="G4037" s="1" t="s">
        <v>28</v>
      </c>
      <c r="H4037" s="1" t="s">
        <v>13</v>
      </c>
      <c r="I4037" s="1" t="s">
        <v>57</v>
      </c>
      <c r="J4037" s="1" t="s">
        <v>18</v>
      </c>
      <c r="K4037" s="1">
        <v>0</v>
      </c>
      <c r="L4037" s="1" t="s">
        <v>21</v>
      </c>
      <c r="M4037" s="1" t="str">
        <f t="shared" si="64"/>
        <v>Potential Layering</v>
      </c>
      <c r="N4037" s="1" t="str">
        <f>_xlfn.XLOOKUP(H4037, risk_score!A:A, risk_score!B:B, 0)</f>
        <v>Low Risk</v>
      </c>
    </row>
    <row r="4038" spans="1:14">
      <c r="A4038" s="2">
        <v>0.54634259259259255</v>
      </c>
      <c r="B4038" s="3">
        <v>44841</v>
      </c>
      <c r="C4038" s="1">
        <v>2595670415</v>
      </c>
      <c r="D4038" s="1">
        <v>6223365730</v>
      </c>
      <c r="E4038" s="1">
        <v>14878.8</v>
      </c>
      <c r="F4038" s="1" t="s">
        <v>12</v>
      </c>
      <c r="G4038" s="1" t="s">
        <v>12</v>
      </c>
      <c r="H4038" s="1" t="s">
        <v>13</v>
      </c>
      <c r="I4038" s="1" t="s">
        <v>13</v>
      </c>
      <c r="J4038" s="1" t="s">
        <v>22</v>
      </c>
      <c r="K4038" s="1">
        <v>0</v>
      </c>
      <c r="L4038" s="1" t="s">
        <v>23</v>
      </c>
      <c r="M4038" s="1" t="str">
        <f t="shared" si="64"/>
        <v>Consistent</v>
      </c>
      <c r="N4038" s="1" t="str">
        <f>_xlfn.XLOOKUP(H4038, risk_score!A:A, risk_score!B:B, 0)</f>
        <v>Low Risk</v>
      </c>
    </row>
    <row r="4039" spans="1:14">
      <c r="A4039" s="2">
        <v>0.5463541666666667</v>
      </c>
      <c r="B4039" s="3">
        <v>44841</v>
      </c>
      <c r="C4039" s="1">
        <v>6032005546</v>
      </c>
      <c r="D4039" s="1">
        <v>6444220418</v>
      </c>
      <c r="E4039" s="1">
        <v>20428.439999999999</v>
      </c>
      <c r="F4039" s="1" t="s">
        <v>12</v>
      </c>
      <c r="G4039" s="1" t="s">
        <v>12</v>
      </c>
      <c r="H4039" s="1" t="s">
        <v>13</v>
      </c>
      <c r="I4039" s="1" t="s">
        <v>13</v>
      </c>
      <c r="J4039" s="1" t="s">
        <v>27</v>
      </c>
      <c r="K4039" s="1">
        <v>0</v>
      </c>
      <c r="L4039" s="1" t="s">
        <v>23</v>
      </c>
      <c r="M4039" s="1" t="str">
        <f t="shared" si="64"/>
        <v>Consistent</v>
      </c>
      <c r="N4039" s="1" t="str">
        <f>_xlfn.XLOOKUP(H4039, risk_score!A:A, risk_score!B:B, 0)</f>
        <v>Low Risk</v>
      </c>
    </row>
    <row r="4040" spans="1:14">
      <c r="A4040" s="2">
        <v>0.54637731481481477</v>
      </c>
      <c r="B4040" s="3">
        <v>44841</v>
      </c>
      <c r="C4040" s="1">
        <v>3850631048</v>
      </c>
      <c r="D4040" s="1">
        <v>1811715094</v>
      </c>
      <c r="E4040" s="1">
        <v>516.94000000000005</v>
      </c>
      <c r="F4040" s="1" t="s">
        <v>12</v>
      </c>
      <c r="G4040" s="1" t="s">
        <v>12</v>
      </c>
      <c r="H4040" s="1" t="s">
        <v>13</v>
      </c>
      <c r="I4040" s="1" t="s">
        <v>13</v>
      </c>
      <c r="J4040" s="1" t="s">
        <v>20</v>
      </c>
      <c r="K4040" s="1">
        <v>0</v>
      </c>
      <c r="L4040" s="1" t="s">
        <v>21</v>
      </c>
      <c r="M4040" s="1" t="str">
        <f t="shared" si="64"/>
        <v>Consistent</v>
      </c>
      <c r="N4040" s="1" t="str">
        <f>_xlfn.XLOOKUP(H4040, risk_score!A:A, risk_score!B:B, 0)</f>
        <v>Low Risk</v>
      </c>
    </row>
    <row r="4041" spans="1:14">
      <c r="A4041" s="2">
        <v>0.546412037037037</v>
      </c>
      <c r="B4041" s="3">
        <v>44841</v>
      </c>
      <c r="C4041" s="1">
        <v>1318348720</v>
      </c>
      <c r="D4041" s="1">
        <v>9138327944</v>
      </c>
      <c r="E4041" s="1">
        <v>3548.85</v>
      </c>
      <c r="F4041" s="1" t="s">
        <v>12</v>
      </c>
      <c r="G4041" s="1" t="s">
        <v>12</v>
      </c>
      <c r="H4041" s="1" t="s">
        <v>13</v>
      </c>
      <c r="I4041" s="1" t="s">
        <v>13</v>
      </c>
      <c r="J4041" s="1" t="s">
        <v>27</v>
      </c>
      <c r="K4041" s="1">
        <v>0</v>
      </c>
      <c r="L4041" s="1" t="s">
        <v>21</v>
      </c>
      <c r="M4041" s="1" t="str">
        <f t="shared" si="64"/>
        <v>Consistent</v>
      </c>
      <c r="N4041" s="1" t="str">
        <f>_xlfn.XLOOKUP(H4041, risk_score!A:A, risk_score!B:B, 0)</f>
        <v>Low Risk</v>
      </c>
    </row>
    <row r="4042" spans="1:14">
      <c r="A4042" s="2">
        <v>0.54644675925925923</v>
      </c>
      <c r="B4042" s="3">
        <v>44841</v>
      </c>
      <c r="C4042" s="1">
        <v>7669236826</v>
      </c>
      <c r="D4042" s="1">
        <v>7207182461</v>
      </c>
      <c r="E4042" s="1">
        <v>10540.28</v>
      </c>
      <c r="F4042" s="1" t="s">
        <v>12</v>
      </c>
      <c r="G4042" s="1" t="s">
        <v>12</v>
      </c>
      <c r="H4042" s="1" t="s">
        <v>13</v>
      </c>
      <c r="I4042" s="1" t="s">
        <v>13</v>
      </c>
      <c r="J4042" s="1" t="s">
        <v>27</v>
      </c>
      <c r="K4042" s="1">
        <v>0</v>
      </c>
      <c r="L4042" s="1" t="s">
        <v>19</v>
      </c>
      <c r="M4042" s="1" t="str">
        <f t="shared" si="64"/>
        <v>Consistent</v>
      </c>
      <c r="N4042" s="1" t="str">
        <f>_xlfn.XLOOKUP(H4042, risk_score!A:A, risk_score!B:B, 0)</f>
        <v>Low Risk</v>
      </c>
    </row>
    <row r="4043" spans="1:14">
      <c r="A4043" s="2">
        <v>0.54645833333333338</v>
      </c>
      <c r="B4043" s="3">
        <v>44841</v>
      </c>
      <c r="C4043" s="1">
        <v>3472077705</v>
      </c>
      <c r="D4043" s="1">
        <v>6761658812</v>
      </c>
      <c r="E4043" s="1">
        <v>715.99</v>
      </c>
      <c r="F4043" s="1" t="s">
        <v>12</v>
      </c>
      <c r="G4043" s="1" t="s">
        <v>12</v>
      </c>
      <c r="H4043" s="1" t="s">
        <v>13</v>
      </c>
      <c r="I4043" s="1" t="s">
        <v>13</v>
      </c>
      <c r="J4043" s="1" t="s">
        <v>27</v>
      </c>
      <c r="K4043" s="1">
        <v>0</v>
      </c>
      <c r="L4043" s="1" t="s">
        <v>21</v>
      </c>
      <c r="M4043" s="1" t="str">
        <f t="shared" si="64"/>
        <v>Consistent</v>
      </c>
      <c r="N4043" s="1" t="str">
        <f>_xlfn.XLOOKUP(H4043, risk_score!A:A, risk_score!B:B, 0)</f>
        <v>Low Risk</v>
      </c>
    </row>
    <row r="4044" spans="1:14">
      <c r="A4044" s="2">
        <v>0.54649305555555561</v>
      </c>
      <c r="B4044" s="3">
        <v>44841</v>
      </c>
      <c r="C4044" s="1">
        <v>8945040192</v>
      </c>
      <c r="D4044" s="1">
        <v>3186820676</v>
      </c>
      <c r="E4044" s="1">
        <v>1626.11</v>
      </c>
      <c r="F4044" s="1" t="s">
        <v>12</v>
      </c>
      <c r="G4044" s="1" t="s">
        <v>12</v>
      </c>
      <c r="H4044" s="1" t="s">
        <v>13</v>
      </c>
      <c r="I4044" s="1" t="s">
        <v>13</v>
      </c>
      <c r="J4044" s="1" t="s">
        <v>14</v>
      </c>
      <c r="K4044" s="1">
        <v>0</v>
      </c>
      <c r="L4044" s="1" t="s">
        <v>15</v>
      </c>
      <c r="M4044" s="1" t="str">
        <f t="shared" si="64"/>
        <v>Consistent</v>
      </c>
      <c r="N4044" s="1" t="str">
        <f>_xlfn.XLOOKUP(H4044, risk_score!A:A, risk_score!B:B, 0)</f>
        <v>Low Risk</v>
      </c>
    </row>
    <row r="4045" spans="1:14">
      <c r="A4045" s="2">
        <v>0.54649305555555561</v>
      </c>
      <c r="B4045" s="3">
        <v>44841</v>
      </c>
      <c r="C4045" s="1">
        <v>5027255141</v>
      </c>
      <c r="D4045" s="1">
        <v>4270865741</v>
      </c>
      <c r="E4045" s="1">
        <v>6267.26</v>
      </c>
      <c r="F4045" s="1" t="s">
        <v>12</v>
      </c>
      <c r="G4045" s="1" t="s">
        <v>12</v>
      </c>
      <c r="H4045" s="1" t="s">
        <v>13</v>
      </c>
      <c r="I4045" s="1" t="s">
        <v>13</v>
      </c>
      <c r="J4045" s="1" t="s">
        <v>20</v>
      </c>
      <c r="K4045" s="1">
        <v>0</v>
      </c>
      <c r="L4045" s="1" t="s">
        <v>23</v>
      </c>
      <c r="M4045" s="1" t="str">
        <f t="shared" si="64"/>
        <v>Consistent</v>
      </c>
      <c r="N4045" s="1" t="str">
        <f>_xlfn.XLOOKUP(H4045, risk_score!A:A, risk_score!B:B, 0)</f>
        <v>Low Risk</v>
      </c>
    </row>
    <row r="4046" spans="1:14">
      <c r="A4046" s="2">
        <v>0.54649305555555561</v>
      </c>
      <c r="B4046" s="3">
        <v>44841</v>
      </c>
      <c r="C4046" s="1">
        <v>8067385284</v>
      </c>
      <c r="D4046" s="1">
        <v>2596686122</v>
      </c>
      <c r="E4046" s="1">
        <v>75.58</v>
      </c>
      <c r="F4046" s="1" t="s">
        <v>12</v>
      </c>
      <c r="G4046" s="1" t="s">
        <v>12</v>
      </c>
      <c r="H4046" s="1" t="s">
        <v>13</v>
      </c>
      <c r="I4046" s="1" t="s">
        <v>13</v>
      </c>
      <c r="J4046" s="1" t="s">
        <v>36</v>
      </c>
      <c r="K4046" s="1">
        <v>0</v>
      </c>
      <c r="L4046" s="1" t="s">
        <v>37</v>
      </c>
      <c r="M4046" s="1" t="str">
        <f t="shared" si="64"/>
        <v>Consistent</v>
      </c>
      <c r="N4046" s="1" t="str">
        <f>_xlfn.XLOOKUP(H4046, risk_score!A:A, risk_score!B:B, 0)</f>
        <v>Low Risk</v>
      </c>
    </row>
    <row r="4047" spans="1:14">
      <c r="A4047" s="2">
        <v>0.54650462962962965</v>
      </c>
      <c r="B4047" s="3">
        <v>44841</v>
      </c>
      <c r="C4047" s="1">
        <v>8768198399</v>
      </c>
      <c r="D4047" s="1">
        <v>9105769228</v>
      </c>
      <c r="E4047" s="1">
        <v>13155.2</v>
      </c>
      <c r="F4047" s="1" t="s">
        <v>12</v>
      </c>
      <c r="G4047" s="1" t="s">
        <v>12</v>
      </c>
      <c r="H4047" s="1" t="s">
        <v>13</v>
      </c>
      <c r="I4047" s="1" t="s">
        <v>13</v>
      </c>
      <c r="J4047" s="1" t="s">
        <v>20</v>
      </c>
      <c r="K4047" s="1">
        <v>0</v>
      </c>
      <c r="L4047" s="1" t="s">
        <v>23</v>
      </c>
      <c r="M4047" s="1" t="str">
        <f t="shared" si="64"/>
        <v>Consistent</v>
      </c>
      <c r="N4047" s="1" t="str">
        <f>_xlfn.XLOOKUP(H4047, risk_score!A:A, risk_score!B:B, 0)</f>
        <v>Low Risk</v>
      </c>
    </row>
    <row r="4048" spans="1:14">
      <c r="A4048" s="2">
        <v>0.54651620370370368</v>
      </c>
      <c r="B4048" s="3">
        <v>44841</v>
      </c>
      <c r="C4048" s="1">
        <v>461573471</v>
      </c>
      <c r="D4048" s="1">
        <v>4452427312</v>
      </c>
      <c r="E4048" s="1">
        <v>123.5</v>
      </c>
      <c r="F4048" s="1" t="s">
        <v>12</v>
      </c>
      <c r="G4048" s="1" t="s">
        <v>12</v>
      </c>
      <c r="H4048" s="1" t="s">
        <v>13</v>
      </c>
      <c r="I4048" s="1" t="s">
        <v>13</v>
      </c>
      <c r="J4048" s="1" t="s">
        <v>22</v>
      </c>
      <c r="K4048" s="1">
        <v>0</v>
      </c>
      <c r="L4048" s="1" t="s">
        <v>21</v>
      </c>
      <c r="M4048" s="1" t="str">
        <f t="shared" si="64"/>
        <v>Consistent</v>
      </c>
      <c r="N4048" s="1" t="str">
        <f>_xlfn.XLOOKUP(H4048, risk_score!A:A, risk_score!B:B, 0)</f>
        <v>Low Risk</v>
      </c>
    </row>
    <row r="4049" spans="1:14">
      <c r="A4049" s="2">
        <v>0.54655092592592591</v>
      </c>
      <c r="B4049" s="3">
        <v>44841</v>
      </c>
      <c r="C4049" s="1">
        <v>7326442087</v>
      </c>
      <c r="D4049" s="1">
        <v>1493436023</v>
      </c>
      <c r="E4049" s="1">
        <v>7553.14</v>
      </c>
      <c r="F4049" s="1" t="s">
        <v>12</v>
      </c>
      <c r="G4049" s="1" t="s">
        <v>12</v>
      </c>
      <c r="H4049" s="1" t="s">
        <v>13</v>
      </c>
      <c r="I4049" s="1" t="s">
        <v>13</v>
      </c>
      <c r="J4049" s="1" t="s">
        <v>27</v>
      </c>
      <c r="K4049" s="1">
        <v>0</v>
      </c>
      <c r="L4049" s="1" t="s">
        <v>23</v>
      </c>
      <c r="M4049" s="1" t="str">
        <f t="shared" si="64"/>
        <v>Consistent</v>
      </c>
      <c r="N4049" s="1" t="str">
        <f>_xlfn.XLOOKUP(H4049, risk_score!A:A, risk_score!B:B, 0)</f>
        <v>Low Risk</v>
      </c>
    </row>
    <row r="4050" spans="1:14">
      <c r="A4050" s="2">
        <v>0.54656249999999995</v>
      </c>
      <c r="B4050" s="3">
        <v>44841</v>
      </c>
      <c r="C4050" s="1">
        <v>1881336524</v>
      </c>
      <c r="D4050" s="1">
        <v>3350909595</v>
      </c>
      <c r="E4050" s="1">
        <v>5523.28</v>
      </c>
      <c r="F4050" s="1" t="s">
        <v>12</v>
      </c>
      <c r="G4050" s="1" t="s">
        <v>12</v>
      </c>
      <c r="H4050" s="1" t="s">
        <v>13</v>
      </c>
      <c r="I4050" s="1" t="s">
        <v>13</v>
      </c>
      <c r="J4050" s="1" t="s">
        <v>25</v>
      </c>
      <c r="K4050" s="1">
        <v>0</v>
      </c>
      <c r="L4050" s="1" t="s">
        <v>24</v>
      </c>
      <c r="M4050" s="1" t="str">
        <f t="shared" si="64"/>
        <v>Consistent</v>
      </c>
      <c r="N4050" s="1" t="str">
        <f>_xlfn.XLOOKUP(H4050, risk_score!A:A, risk_score!B:B, 0)</f>
        <v>Low Risk</v>
      </c>
    </row>
    <row r="4051" spans="1:14">
      <c r="A4051" s="2">
        <v>0.5465740740740741</v>
      </c>
      <c r="B4051" s="3">
        <v>44841</v>
      </c>
      <c r="C4051" s="1">
        <v>9901680164</v>
      </c>
      <c r="D4051" s="1">
        <v>1465487567</v>
      </c>
      <c r="E4051" s="1">
        <v>9647.2000000000007</v>
      </c>
      <c r="F4051" s="1" t="s">
        <v>12</v>
      </c>
      <c r="G4051" s="1" t="s">
        <v>12</v>
      </c>
      <c r="H4051" s="1" t="s">
        <v>13</v>
      </c>
      <c r="I4051" s="1" t="s">
        <v>13</v>
      </c>
      <c r="J4051" s="1" t="s">
        <v>27</v>
      </c>
      <c r="K4051" s="1">
        <v>0</v>
      </c>
      <c r="L4051" s="1" t="s">
        <v>23</v>
      </c>
      <c r="M4051" s="1" t="str">
        <f t="shared" si="64"/>
        <v>Consistent</v>
      </c>
      <c r="N4051" s="1" t="str">
        <f>_xlfn.XLOOKUP(H4051, risk_score!A:A, risk_score!B:B, 0)</f>
        <v>Low Risk</v>
      </c>
    </row>
    <row r="4052" spans="1:14">
      <c r="A4052" s="2">
        <v>0.54664351851851856</v>
      </c>
      <c r="B4052" s="3">
        <v>44841</v>
      </c>
      <c r="C4052" s="1">
        <v>6131516802</v>
      </c>
      <c r="D4052" s="1">
        <v>2061962556</v>
      </c>
      <c r="E4052" s="1">
        <v>20914.41</v>
      </c>
      <c r="F4052" s="1" t="s">
        <v>12</v>
      </c>
      <c r="G4052" s="1" t="s">
        <v>12</v>
      </c>
      <c r="H4052" s="1" t="s">
        <v>13</v>
      </c>
      <c r="I4052" s="1" t="s">
        <v>13</v>
      </c>
      <c r="J4052" s="1" t="s">
        <v>25</v>
      </c>
      <c r="K4052" s="1">
        <v>0</v>
      </c>
      <c r="L4052" s="1" t="s">
        <v>49</v>
      </c>
      <c r="M4052" s="1" t="str">
        <f t="shared" si="64"/>
        <v>Consistent</v>
      </c>
      <c r="N4052" s="1" t="str">
        <f>_xlfn.XLOOKUP(H4052, risk_score!A:A, risk_score!B:B, 0)</f>
        <v>Low Risk</v>
      </c>
    </row>
    <row r="4053" spans="1:14">
      <c r="A4053" s="2">
        <v>0.54666666666666663</v>
      </c>
      <c r="B4053" s="3">
        <v>44841</v>
      </c>
      <c r="C4053" s="1">
        <v>8765837034</v>
      </c>
      <c r="D4053" s="1">
        <v>5706648130</v>
      </c>
      <c r="E4053" s="1">
        <v>2213.36</v>
      </c>
      <c r="F4053" s="1" t="s">
        <v>12</v>
      </c>
      <c r="G4053" s="1" t="s">
        <v>39</v>
      </c>
      <c r="H4053" s="1" t="s">
        <v>13</v>
      </c>
      <c r="I4053" s="1" t="s">
        <v>40</v>
      </c>
      <c r="J4053" s="1" t="s">
        <v>18</v>
      </c>
      <c r="K4053" s="1">
        <v>0</v>
      </c>
      <c r="L4053" s="1" t="s">
        <v>21</v>
      </c>
      <c r="M4053" s="1" t="str">
        <f t="shared" si="64"/>
        <v>Potential Layering</v>
      </c>
      <c r="N4053" s="1" t="str">
        <f>_xlfn.XLOOKUP(H4053, risk_score!A:A, risk_score!B:B, 0)</f>
        <v>Low Risk</v>
      </c>
    </row>
    <row r="4054" spans="1:14">
      <c r="A4054" s="2">
        <v>0.54667824074074078</v>
      </c>
      <c r="B4054" s="3">
        <v>44841</v>
      </c>
      <c r="C4054" s="1">
        <v>5065960445</v>
      </c>
      <c r="D4054" s="1">
        <v>6002039178</v>
      </c>
      <c r="E4054" s="1">
        <v>10938.74</v>
      </c>
      <c r="F4054" s="1" t="s">
        <v>12</v>
      </c>
      <c r="G4054" s="1" t="s">
        <v>42</v>
      </c>
      <c r="H4054" s="1" t="s">
        <v>13</v>
      </c>
      <c r="I4054" s="1" t="s">
        <v>43</v>
      </c>
      <c r="J4054" s="1" t="s">
        <v>18</v>
      </c>
      <c r="K4054" s="1">
        <v>0</v>
      </c>
      <c r="L4054" s="1" t="s">
        <v>21</v>
      </c>
      <c r="M4054" s="1" t="str">
        <f t="shared" si="64"/>
        <v>Potential Layering</v>
      </c>
      <c r="N4054" s="1" t="str">
        <f>_xlfn.XLOOKUP(H4054, risk_score!A:A, risk_score!B:B, 0)</f>
        <v>Low Risk</v>
      </c>
    </row>
    <row r="4055" spans="1:14">
      <c r="A4055" s="2">
        <v>0.54670138888888886</v>
      </c>
      <c r="B4055" s="3">
        <v>44841</v>
      </c>
      <c r="C4055" s="1">
        <v>7562195312</v>
      </c>
      <c r="D4055" s="1">
        <v>6141012579</v>
      </c>
      <c r="E4055" s="1">
        <v>435.56</v>
      </c>
      <c r="F4055" s="1" t="s">
        <v>12</v>
      </c>
      <c r="G4055" s="1" t="s">
        <v>12</v>
      </c>
      <c r="H4055" s="1" t="s">
        <v>13</v>
      </c>
      <c r="I4055" s="1" t="s">
        <v>13</v>
      </c>
      <c r="J4055" s="1" t="s">
        <v>27</v>
      </c>
      <c r="K4055" s="1">
        <v>0</v>
      </c>
      <c r="L4055" s="1" t="s">
        <v>21</v>
      </c>
      <c r="M4055" s="1" t="str">
        <f t="shared" si="64"/>
        <v>Consistent</v>
      </c>
      <c r="N4055" s="1" t="str">
        <f>_xlfn.XLOOKUP(H4055, risk_score!A:A, risk_score!B:B, 0)</f>
        <v>Low Risk</v>
      </c>
    </row>
    <row r="4056" spans="1:14">
      <c r="A4056" s="2">
        <v>0.54673611111111109</v>
      </c>
      <c r="B4056" s="3">
        <v>44841</v>
      </c>
      <c r="C4056" s="1">
        <v>2796222236</v>
      </c>
      <c r="D4056" s="1">
        <v>1546785666</v>
      </c>
      <c r="E4056" s="1">
        <v>16813.990000000002</v>
      </c>
      <c r="F4056" s="1" t="s">
        <v>12</v>
      </c>
      <c r="G4056" s="1" t="s">
        <v>12</v>
      </c>
      <c r="H4056" s="1" t="s">
        <v>13</v>
      </c>
      <c r="I4056" s="1" t="s">
        <v>13</v>
      </c>
      <c r="J4056" s="1" t="s">
        <v>27</v>
      </c>
      <c r="K4056" s="1">
        <v>0</v>
      </c>
      <c r="L4056" s="1" t="s">
        <v>21</v>
      </c>
      <c r="M4056" s="1" t="str">
        <f t="shared" si="64"/>
        <v>Consistent</v>
      </c>
      <c r="N4056" s="1" t="str">
        <f>_xlfn.XLOOKUP(H4056, risk_score!A:A, risk_score!B:B, 0)</f>
        <v>Low Risk</v>
      </c>
    </row>
    <row r="4057" spans="1:14">
      <c r="A4057" s="2">
        <v>0.54680555555555554</v>
      </c>
      <c r="B4057" s="3">
        <v>44841</v>
      </c>
      <c r="C4057" s="1">
        <v>1235653887</v>
      </c>
      <c r="D4057" s="1">
        <v>7010094377</v>
      </c>
      <c r="E4057" s="1">
        <v>342.55</v>
      </c>
      <c r="F4057" s="1" t="s">
        <v>12</v>
      </c>
      <c r="G4057" s="1" t="s">
        <v>12</v>
      </c>
      <c r="H4057" s="1" t="s">
        <v>13</v>
      </c>
      <c r="I4057" s="1" t="s">
        <v>13</v>
      </c>
      <c r="J4057" s="1" t="s">
        <v>27</v>
      </c>
      <c r="K4057" s="1">
        <v>0</v>
      </c>
      <c r="L4057" s="1" t="s">
        <v>21</v>
      </c>
      <c r="M4057" s="1" t="str">
        <f t="shared" si="64"/>
        <v>Consistent</v>
      </c>
      <c r="N4057" s="1" t="str">
        <f>_xlfn.XLOOKUP(H4057, risk_score!A:A, risk_score!B:B, 0)</f>
        <v>Low Risk</v>
      </c>
    </row>
    <row r="4058" spans="1:14">
      <c r="A4058" s="2">
        <v>0.546875</v>
      </c>
      <c r="B4058" s="3">
        <v>44841</v>
      </c>
      <c r="C4058" s="1">
        <v>5982914936</v>
      </c>
      <c r="D4058" s="1">
        <v>7927090992</v>
      </c>
      <c r="E4058" s="1">
        <v>9116.18</v>
      </c>
      <c r="F4058" s="1" t="s">
        <v>12</v>
      </c>
      <c r="G4058" s="1" t="s">
        <v>12</v>
      </c>
      <c r="H4058" s="1" t="s">
        <v>13</v>
      </c>
      <c r="I4058" s="1" t="s">
        <v>13</v>
      </c>
      <c r="J4058" s="1" t="s">
        <v>27</v>
      </c>
      <c r="K4058" s="1">
        <v>0</v>
      </c>
      <c r="L4058" s="1" t="s">
        <v>19</v>
      </c>
      <c r="M4058" s="1" t="str">
        <f t="shared" si="64"/>
        <v>Consistent</v>
      </c>
      <c r="N4058" s="1" t="str">
        <f>_xlfn.XLOOKUP(H4058, risk_score!A:A, risk_score!B:B, 0)</f>
        <v>Low Risk</v>
      </c>
    </row>
    <row r="4059" spans="1:14">
      <c r="A4059" s="2">
        <v>0.54689814814814819</v>
      </c>
      <c r="B4059" s="3">
        <v>44841</v>
      </c>
      <c r="C4059" s="1">
        <v>4379144095</v>
      </c>
      <c r="D4059" s="1">
        <v>1854828415</v>
      </c>
      <c r="E4059" s="1">
        <v>6242.29</v>
      </c>
      <c r="F4059" s="1" t="s">
        <v>12</v>
      </c>
      <c r="G4059" s="1" t="s">
        <v>12</v>
      </c>
      <c r="H4059" s="1" t="s">
        <v>13</v>
      </c>
      <c r="I4059" s="1" t="s">
        <v>13</v>
      </c>
      <c r="J4059" s="1" t="s">
        <v>27</v>
      </c>
      <c r="K4059" s="1">
        <v>0</v>
      </c>
      <c r="L4059" s="1" t="s">
        <v>21</v>
      </c>
      <c r="M4059" s="1" t="str">
        <f t="shared" si="64"/>
        <v>Consistent</v>
      </c>
      <c r="N4059" s="1" t="str">
        <f>_xlfn.XLOOKUP(H4059, risk_score!A:A, risk_score!B:B, 0)</f>
        <v>Low Risk</v>
      </c>
    </row>
    <row r="4060" spans="1:14">
      <c r="A4060" s="2">
        <v>0.54690972222222223</v>
      </c>
      <c r="B4060" s="3">
        <v>44841</v>
      </c>
      <c r="C4060" s="1">
        <v>7323084173</v>
      </c>
      <c r="D4060" s="1">
        <v>7080357663</v>
      </c>
      <c r="E4060" s="1">
        <v>18400.93</v>
      </c>
      <c r="F4060" s="1" t="s">
        <v>12</v>
      </c>
      <c r="G4060" s="1" t="s">
        <v>12</v>
      </c>
      <c r="H4060" s="1" t="s">
        <v>13</v>
      </c>
      <c r="I4060" s="1" t="s">
        <v>13</v>
      </c>
      <c r="J4060" s="1" t="s">
        <v>22</v>
      </c>
      <c r="K4060" s="1">
        <v>0</v>
      </c>
      <c r="L4060" s="1" t="s">
        <v>23</v>
      </c>
      <c r="M4060" s="1" t="str">
        <f t="shared" si="64"/>
        <v>Consistent</v>
      </c>
      <c r="N4060" s="1" t="str">
        <f>_xlfn.XLOOKUP(H4060, risk_score!A:A, risk_score!B:B, 0)</f>
        <v>Low Risk</v>
      </c>
    </row>
    <row r="4061" spans="1:14">
      <c r="A4061" s="2">
        <v>0.54690972222222223</v>
      </c>
      <c r="B4061" s="3">
        <v>44841</v>
      </c>
      <c r="C4061" s="1">
        <v>5898742877</v>
      </c>
      <c r="D4061" s="1">
        <v>7954352634</v>
      </c>
      <c r="E4061" s="1">
        <v>11233.55</v>
      </c>
      <c r="F4061" s="1" t="s">
        <v>12</v>
      </c>
      <c r="G4061" s="1" t="s">
        <v>12</v>
      </c>
      <c r="H4061" s="1" t="s">
        <v>13</v>
      </c>
      <c r="I4061" s="1" t="s">
        <v>13</v>
      </c>
      <c r="J4061" s="1" t="s">
        <v>22</v>
      </c>
      <c r="K4061" s="1">
        <v>0</v>
      </c>
      <c r="L4061" s="1" t="s">
        <v>24</v>
      </c>
      <c r="M4061" s="1" t="str">
        <f t="shared" si="64"/>
        <v>Consistent</v>
      </c>
      <c r="N4061" s="1" t="str">
        <f>_xlfn.XLOOKUP(H4061, risk_score!A:A, risk_score!B:B, 0)</f>
        <v>Low Risk</v>
      </c>
    </row>
    <row r="4062" spans="1:14">
      <c r="A4062" s="2">
        <v>0.54694444444444446</v>
      </c>
      <c r="B4062" s="3">
        <v>44841</v>
      </c>
      <c r="C4062" s="1">
        <v>1043505774</v>
      </c>
      <c r="D4062" s="1">
        <v>6953672776</v>
      </c>
      <c r="E4062" s="1">
        <v>6155.03</v>
      </c>
      <c r="F4062" s="1" t="s">
        <v>12</v>
      </c>
      <c r="G4062" s="1" t="s">
        <v>34</v>
      </c>
      <c r="H4062" s="1" t="s">
        <v>13</v>
      </c>
      <c r="I4062" s="1" t="s">
        <v>35</v>
      </c>
      <c r="J4062" s="1" t="s">
        <v>18</v>
      </c>
      <c r="K4062" s="1">
        <v>0</v>
      </c>
      <c r="L4062" s="1" t="s">
        <v>23</v>
      </c>
      <c r="M4062" s="1" t="str">
        <f t="shared" si="64"/>
        <v>Potential Layering</v>
      </c>
      <c r="N4062" s="1" t="str">
        <f>_xlfn.XLOOKUP(H4062, risk_score!A:A, risk_score!B:B, 0)</f>
        <v>Low Risk</v>
      </c>
    </row>
    <row r="4063" spans="1:14">
      <c r="A4063" s="2">
        <v>0.54695601851851849</v>
      </c>
      <c r="B4063" s="3">
        <v>44841</v>
      </c>
      <c r="C4063" s="1">
        <v>2320387917</v>
      </c>
      <c r="D4063" s="1">
        <v>1465487567</v>
      </c>
      <c r="E4063" s="1">
        <v>17397.62</v>
      </c>
      <c r="F4063" s="1" t="s">
        <v>12</v>
      </c>
      <c r="G4063" s="1" t="s">
        <v>12</v>
      </c>
      <c r="H4063" s="1" t="s">
        <v>13</v>
      </c>
      <c r="I4063" s="1" t="s">
        <v>13</v>
      </c>
      <c r="J4063" s="1" t="s">
        <v>22</v>
      </c>
      <c r="K4063" s="1">
        <v>0</v>
      </c>
      <c r="L4063" s="1" t="s">
        <v>23</v>
      </c>
      <c r="M4063" s="1" t="str">
        <f t="shared" si="64"/>
        <v>Consistent</v>
      </c>
      <c r="N4063" s="1" t="str">
        <f>_xlfn.XLOOKUP(H4063, risk_score!A:A, risk_score!B:B, 0)</f>
        <v>Low Risk</v>
      </c>
    </row>
    <row r="4064" spans="1:14">
      <c r="A4064" s="2">
        <v>0.54695601851851849</v>
      </c>
      <c r="B4064" s="3">
        <v>44841</v>
      </c>
      <c r="C4064" s="1">
        <v>2365007895</v>
      </c>
      <c r="D4064" s="1">
        <v>2812285491</v>
      </c>
      <c r="E4064" s="1">
        <v>13262.59</v>
      </c>
      <c r="F4064" s="1" t="s">
        <v>12</v>
      </c>
      <c r="G4064" s="1" t="s">
        <v>12</v>
      </c>
      <c r="H4064" s="1" t="s">
        <v>13</v>
      </c>
      <c r="I4064" s="1" t="s">
        <v>13</v>
      </c>
      <c r="J4064" s="1" t="s">
        <v>22</v>
      </c>
      <c r="K4064" s="1">
        <v>0</v>
      </c>
      <c r="L4064" s="1" t="s">
        <v>19</v>
      </c>
      <c r="M4064" s="1" t="str">
        <f t="shared" si="64"/>
        <v>Consistent</v>
      </c>
      <c r="N4064" s="1" t="str">
        <f>_xlfn.XLOOKUP(H4064, risk_score!A:A, risk_score!B:B, 0)</f>
        <v>Low Risk</v>
      </c>
    </row>
    <row r="4065" spans="1:14">
      <c r="A4065" s="2">
        <v>0.54704861111111114</v>
      </c>
      <c r="B4065" s="3">
        <v>44841</v>
      </c>
      <c r="C4065" s="1">
        <v>7998970499</v>
      </c>
      <c r="D4065" s="1">
        <v>1662589468</v>
      </c>
      <c r="E4065" s="1">
        <v>2046.55</v>
      </c>
      <c r="F4065" s="1" t="s">
        <v>12</v>
      </c>
      <c r="G4065" s="1" t="s">
        <v>12</v>
      </c>
      <c r="H4065" s="1" t="s">
        <v>13</v>
      </c>
      <c r="I4065" s="1" t="s">
        <v>13</v>
      </c>
      <c r="J4065" s="1" t="s">
        <v>22</v>
      </c>
      <c r="K4065" s="1">
        <v>0</v>
      </c>
      <c r="L4065" s="1" t="s">
        <v>24</v>
      </c>
      <c r="M4065" s="1" t="str">
        <f t="shared" si="64"/>
        <v>Consistent</v>
      </c>
      <c r="N4065" s="1" t="str">
        <f>_xlfn.XLOOKUP(H4065, risk_score!A:A, risk_score!B:B, 0)</f>
        <v>Low Risk</v>
      </c>
    </row>
    <row r="4066" spans="1:14">
      <c r="A4066" s="2">
        <v>0.54707175925925922</v>
      </c>
      <c r="B4066" s="3">
        <v>44841</v>
      </c>
      <c r="C4066" s="1">
        <v>1615142471</v>
      </c>
      <c r="D4066" s="1">
        <v>6034997194</v>
      </c>
      <c r="E4066" s="1">
        <v>5803.89</v>
      </c>
      <c r="F4066" s="1" t="s">
        <v>39</v>
      </c>
      <c r="G4066" s="1" t="s">
        <v>12</v>
      </c>
      <c r="H4066" s="1" t="s">
        <v>40</v>
      </c>
      <c r="I4066" s="1" t="s">
        <v>13</v>
      </c>
      <c r="J4066" s="1" t="s">
        <v>18</v>
      </c>
      <c r="K4066" s="1">
        <v>0</v>
      </c>
      <c r="L4066" s="1" t="s">
        <v>23</v>
      </c>
      <c r="M4066" s="1" t="str">
        <f t="shared" si="64"/>
        <v>Potential Layering</v>
      </c>
      <c r="N4066" s="1" t="str">
        <f>_xlfn.XLOOKUP(H4066, risk_score!A:A, risk_score!B:B, 0)</f>
        <v>High Risk</v>
      </c>
    </row>
    <row r="4067" spans="1:14">
      <c r="A4067" s="2">
        <v>0.5470949074074074</v>
      </c>
      <c r="B4067" s="3">
        <v>44841</v>
      </c>
      <c r="C4067" s="1">
        <v>1491989064</v>
      </c>
      <c r="D4067" s="1">
        <v>2482957386</v>
      </c>
      <c r="E4067" s="1">
        <v>26487.35</v>
      </c>
      <c r="F4067" s="1" t="s">
        <v>12</v>
      </c>
      <c r="G4067" s="1" t="s">
        <v>12</v>
      </c>
      <c r="H4067" s="1" t="s">
        <v>13</v>
      </c>
      <c r="I4067" s="1" t="s">
        <v>13</v>
      </c>
      <c r="J4067" s="1" t="s">
        <v>25</v>
      </c>
      <c r="K4067" s="1">
        <v>0</v>
      </c>
      <c r="L4067" s="1" t="s">
        <v>19</v>
      </c>
      <c r="M4067" s="1" t="str">
        <f t="shared" si="64"/>
        <v>Consistent</v>
      </c>
      <c r="N4067" s="1" t="str">
        <f>_xlfn.XLOOKUP(H4067, risk_score!A:A, risk_score!B:B, 0)</f>
        <v>Low Risk</v>
      </c>
    </row>
    <row r="4068" spans="1:14">
      <c r="A4068" s="2">
        <v>0.54737268518518523</v>
      </c>
      <c r="B4068" s="3">
        <v>44841</v>
      </c>
      <c r="C4068" s="1">
        <v>5291333275</v>
      </c>
      <c r="D4068" s="1">
        <v>6953672776</v>
      </c>
      <c r="E4068" s="1">
        <v>12724.41</v>
      </c>
      <c r="F4068" s="1" t="s">
        <v>12</v>
      </c>
      <c r="G4068" s="1" t="s">
        <v>34</v>
      </c>
      <c r="H4068" s="1" t="s">
        <v>13</v>
      </c>
      <c r="I4068" s="1" t="s">
        <v>35</v>
      </c>
      <c r="J4068" s="1" t="s">
        <v>18</v>
      </c>
      <c r="K4068" s="1">
        <v>0</v>
      </c>
      <c r="L4068" s="1" t="s">
        <v>23</v>
      </c>
      <c r="M4068" s="1" t="str">
        <f t="shared" si="64"/>
        <v>Potential Layering</v>
      </c>
      <c r="N4068" s="1" t="str">
        <f>_xlfn.XLOOKUP(H4068, risk_score!A:A, risk_score!B:B, 0)</f>
        <v>Low Risk</v>
      </c>
    </row>
    <row r="4069" spans="1:14">
      <c r="A4069" s="2">
        <v>0.54737268518518523</v>
      </c>
      <c r="B4069" s="3">
        <v>44841</v>
      </c>
      <c r="C4069" s="1">
        <v>5021785800</v>
      </c>
      <c r="D4069" s="1">
        <v>9085148554</v>
      </c>
      <c r="E4069" s="1">
        <v>10441.89</v>
      </c>
      <c r="F4069" s="1" t="s">
        <v>12</v>
      </c>
      <c r="G4069" s="1" t="s">
        <v>12</v>
      </c>
      <c r="H4069" s="1" t="s">
        <v>13</v>
      </c>
      <c r="I4069" s="1" t="s">
        <v>13</v>
      </c>
      <c r="J4069" s="1" t="s">
        <v>22</v>
      </c>
      <c r="K4069" s="1">
        <v>0</v>
      </c>
      <c r="L4069" s="1" t="s">
        <v>19</v>
      </c>
      <c r="M4069" s="1" t="str">
        <f t="shared" si="64"/>
        <v>Consistent</v>
      </c>
      <c r="N4069" s="1" t="str">
        <f>_xlfn.XLOOKUP(H4069, risk_score!A:A, risk_score!B:B, 0)</f>
        <v>Low Risk</v>
      </c>
    </row>
    <row r="4070" spans="1:14">
      <c r="A4070" s="2">
        <v>0.54746527777777776</v>
      </c>
      <c r="B4070" s="3">
        <v>44841</v>
      </c>
      <c r="C4070" s="1">
        <v>4082552798</v>
      </c>
      <c r="D4070" s="1">
        <v>4173195094</v>
      </c>
      <c r="E4070" s="1">
        <v>11896.92</v>
      </c>
      <c r="F4070" s="1" t="s">
        <v>12</v>
      </c>
      <c r="G4070" s="1" t="s">
        <v>12</v>
      </c>
      <c r="H4070" s="1" t="s">
        <v>13</v>
      </c>
      <c r="I4070" s="1" t="s">
        <v>13</v>
      </c>
      <c r="J4070" s="1" t="s">
        <v>27</v>
      </c>
      <c r="K4070" s="1">
        <v>0</v>
      </c>
      <c r="L4070" s="1" t="s">
        <v>23</v>
      </c>
      <c r="M4070" s="1" t="str">
        <f t="shared" si="64"/>
        <v>Consistent</v>
      </c>
      <c r="N4070" s="1" t="str">
        <f>_xlfn.XLOOKUP(H4070, risk_score!A:A, risk_score!B:B, 0)</f>
        <v>Low Risk</v>
      </c>
    </row>
    <row r="4071" spans="1:14">
      <c r="A4071" s="2">
        <v>0.54751157407407403</v>
      </c>
      <c r="B4071" s="3">
        <v>44841</v>
      </c>
      <c r="C4071" s="1">
        <v>703647888</v>
      </c>
      <c r="D4071" s="1">
        <v>1431561040</v>
      </c>
      <c r="E4071" s="1">
        <v>19964.669999999998</v>
      </c>
      <c r="F4071" s="1" t="s">
        <v>12</v>
      </c>
      <c r="G4071" s="1" t="s">
        <v>12</v>
      </c>
      <c r="H4071" s="1" t="s">
        <v>13</v>
      </c>
      <c r="I4071" s="1" t="s">
        <v>13</v>
      </c>
      <c r="J4071" s="1" t="s">
        <v>22</v>
      </c>
      <c r="K4071" s="1">
        <v>0</v>
      </c>
      <c r="L4071" s="1" t="s">
        <v>23</v>
      </c>
      <c r="M4071" s="1" t="str">
        <f t="shared" si="64"/>
        <v>Consistent</v>
      </c>
      <c r="N4071" s="1" t="str">
        <f>_xlfn.XLOOKUP(H4071, risk_score!A:A, risk_score!B:B, 0)</f>
        <v>Low Risk</v>
      </c>
    </row>
    <row r="4072" spans="1:14">
      <c r="A4072" s="2">
        <v>0.54751157407407403</v>
      </c>
      <c r="B4072" s="3">
        <v>44841</v>
      </c>
      <c r="C4072" s="1">
        <v>6336054393</v>
      </c>
      <c r="D4072" s="1">
        <v>5039565944</v>
      </c>
      <c r="E4072" s="1">
        <v>11685.87</v>
      </c>
      <c r="F4072" s="1" t="s">
        <v>12</v>
      </c>
      <c r="G4072" s="1" t="s">
        <v>12</v>
      </c>
      <c r="H4072" s="1" t="s">
        <v>13</v>
      </c>
      <c r="I4072" s="1" t="s">
        <v>13</v>
      </c>
      <c r="J4072" s="1" t="s">
        <v>20</v>
      </c>
      <c r="K4072" s="1">
        <v>0</v>
      </c>
      <c r="L4072" s="1" t="s">
        <v>21</v>
      </c>
      <c r="M4072" s="1" t="str">
        <f t="shared" si="64"/>
        <v>Consistent</v>
      </c>
      <c r="N4072" s="1" t="str">
        <f>_xlfn.XLOOKUP(H4072, risk_score!A:A, risk_score!B:B, 0)</f>
        <v>Low Risk</v>
      </c>
    </row>
    <row r="4073" spans="1:14">
      <c r="A4073" s="2">
        <v>0.54753472222222221</v>
      </c>
      <c r="B4073" s="3">
        <v>44841</v>
      </c>
      <c r="C4073" s="1">
        <v>4126443116</v>
      </c>
      <c r="D4073" s="1">
        <v>3152316451</v>
      </c>
      <c r="E4073" s="1">
        <v>5885.14</v>
      </c>
      <c r="F4073" s="1" t="s">
        <v>29</v>
      </c>
      <c r="G4073" s="1" t="s">
        <v>12</v>
      </c>
      <c r="H4073" s="1" t="s">
        <v>54</v>
      </c>
      <c r="I4073" s="1" t="s">
        <v>13</v>
      </c>
      <c r="J4073" s="1" t="s">
        <v>18</v>
      </c>
      <c r="K4073" s="1">
        <v>0</v>
      </c>
      <c r="L4073" s="1" t="s">
        <v>21</v>
      </c>
      <c r="M4073" s="1" t="str">
        <f t="shared" si="64"/>
        <v>Potential Layering</v>
      </c>
      <c r="N4073" s="1" t="str">
        <f>_xlfn.XLOOKUP(H4073, risk_score!A:A, risk_score!B:B, 0)</f>
        <v>Low Risk</v>
      </c>
    </row>
    <row r="4074" spans="1:14">
      <c r="A4074" s="2">
        <v>0.54753472222222221</v>
      </c>
      <c r="B4074" s="3">
        <v>44841</v>
      </c>
      <c r="C4074" s="1">
        <v>937896594</v>
      </c>
      <c r="D4074" s="1">
        <v>7228171825</v>
      </c>
      <c r="E4074" s="1">
        <v>5002.28</v>
      </c>
      <c r="F4074" s="1" t="s">
        <v>12</v>
      </c>
      <c r="G4074" s="1" t="s">
        <v>12</v>
      </c>
      <c r="H4074" s="1" t="s">
        <v>13</v>
      </c>
      <c r="I4074" s="1" t="s">
        <v>13</v>
      </c>
      <c r="J4074" s="1" t="s">
        <v>27</v>
      </c>
      <c r="K4074" s="1">
        <v>0</v>
      </c>
      <c r="L4074" s="1" t="s">
        <v>24</v>
      </c>
      <c r="M4074" s="1" t="str">
        <f t="shared" si="64"/>
        <v>Consistent</v>
      </c>
      <c r="N4074" s="1" t="str">
        <f>_xlfn.XLOOKUP(H4074, risk_score!A:A, risk_score!B:B, 0)</f>
        <v>Low Risk</v>
      </c>
    </row>
    <row r="4075" spans="1:14">
      <c r="A4075" s="2">
        <v>0.54765046296296294</v>
      </c>
      <c r="B4075" s="3">
        <v>44841</v>
      </c>
      <c r="C4075" s="1">
        <v>8465013530</v>
      </c>
      <c r="D4075" s="1">
        <v>2534644942</v>
      </c>
      <c r="E4075" s="1">
        <v>16634.310000000001</v>
      </c>
      <c r="F4075" s="1" t="s">
        <v>12</v>
      </c>
      <c r="G4075" s="1" t="s">
        <v>29</v>
      </c>
      <c r="H4075" s="1" t="s">
        <v>13</v>
      </c>
      <c r="I4075" s="1" t="s">
        <v>31</v>
      </c>
      <c r="J4075" s="1" t="s">
        <v>18</v>
      </c>
      <c r="K4075" s="1">
        <v>0</v>
      </c>
      <c r="L4075" s="1" t="s">
        <v>23</v>
      </c>
      <c r="M4075" s="1" t="str">
        <f t="shared" si="64"/>
        <v>Potential Layering</v>
      </c>
      <c r="N4075" s="1" t="str">
        <f>_xlfn.XLOOKUP(H4075, risk_score!A:A, risk_score!B:B, 0)</f>
        <v>Low Risk</v>
      </c>
    </row>
    <row r="4076" spans="1:14">
      <c r="A4076" s="2">
        <v>0.54767361111111112</v>
      </c>
      <c r="B4076" s="3">
        <v>44841</v>
      </c>
      <c r="C4076" s="1">
        <v>7084763408</v>
      </c>
      <c r="D4076" s="1">
        <v>2663470390</v>
      </c>
      <c r="E4076" s="1">
        <v>3470.8</v>
      </c>
      <c r="F4076" s="1" t="s">
        <v>12</v>
      </c>
      <c r="G4076" s="1" t="s">
        <v>12</v>
      </c>
      <c r="H4076" s="1" t="s">
        <v>13</v>
      </c>
      <c r="I4076" s="1" t="s">
        <v>13</v>
      </c>
      <c r="J4076" s="1" t="s">
        <v>14</v>
      </c>
      <c r="K4076" s="1">
        <v>0</v>
      </c>
      <c r="L4076" s="1" t="s">
        <v>15</v>
      </c>
      <c r="M4076" s="1" t="str">
        <f t="shared" si="64"/>
        <v>Consistent</v>
      </c>
      <c r="N4076" s="1" t="str">
        <f>_xlfn.XLOOKUP(H4076, risk_score!A:A, risk_score!B:B, 0)</f>
        <v>Low Risk</v>
      </c>
    </row>
    <row r="4077" spans="1:14">
      <c r="A4077" s="2">
        <v>0.54769675925925931</v>
      </c>
      <c r="B4077" s="3">
        <v>44841</v>
      </c>
      <c r="C4077" s="1">
        <v>5452849099</v>
      </c>
      <c r="D4077" s="1">
        <v>4336977506</v>
      </c>
      <c r="E4077" s="1">
        <v>8559.2000000000007</v>
      </c>
      <c r="F4077" s="1" t="s">
        <v>12</v>
      </c>
      <c r="G4077" s="1" t="s">
        <v>12</v>
      </c>
      <c r="H4077" s="1" t="s">
        <v>13</v>
      </c>
      <c r="I4077" s="1" t="s">
        <v>13</v>
      </c>
      <c r="J4077" s="1" t="s">
        <v>22</v>
      </c>
      <c r="K4077" s="1">
        <v>0</v>
      </c>
      <c r="L4077" s="1" t="s">
        <v>23</v>
      </c>
      <c r="M4077" s="1" t="str">
        <f t="shared" si="64"/>
        <v>Consistent</v>
      </c>
      <c r="N4077" s="1" t="str">
        <f>_xlfn.XLOOKUP(H4077, risk_score!A:A, risk_score!B:B, 0)</f>
        <v>Low Risk</v>
      </c>
    </row>
    <row r="4078" spans="1:14">
      <c r="A4078" s="2">
        <v>0.54770833333333335</v>
      </c>
      <c r="B4078" s="3">
        <v>44841</v>
      </c>
      <c r="C4078" s="1">
        <v>8079625765</v>
      </c>
      <c r="D4078" s="1">
        <v>9609077090</v>
      </c>
      <c r="E4078" s="1">
        <v>6046.6</v>
      </c>
      <c r="F4078" s="1" t="s">
        <v>12</v>
      </c>
      <c r="G4078" s="1" t="s">
        <v>12</v>
      </c>
      <c r="H4078" s="1" t="s">
        <v>13</v>
      </c>
      <c r="I4078" s="1" t="s">
        <v>13</v>
      </c>
      <c r="J4078" s="1" t="s">
        <v>27</v>
      </c>
      <c r="K4078" s="1">
        <v>0</v>
      </c>
      <c r="L4078" s="1" t="s">
        <v>21</v>
      </c>
      <c r="M4078" s="1" t="str">
        <f t="shared" si="64"/>
        <v>Consistent</v>
      </c>
      <c r="N4078" s="1" t="str">
        <f>_xlfn.XLOOKUP(H4078, risk_score!A:A, risk_score!B:B, 0)</f>
        <v>Low Risk</v>
      </c>
    </row>
    <row r="4079" spans="1:14">
      <c r="A4079" s="2">
        <v>0.54770833333333335</v>
      </c>
      <c r="B4079" s="3">
        <v>44841</v>
      </c>
      <c r="C4079" s="1">
        <v>9416949366</v>
      </c>
      <c r="D4079" s="1">
        <v>8264100893</v>
      </c>
      <c r="E4079" s="1">
        <v>4562.29</v>
      </c>
      <c r="F4079" s="1" t="s">
        <v>12</v>
      </c>
      <c r="G4079" s="1" t="s">
        <v>12</v>
      </c>
      <c r="H4079" s="1" t="s">
        <v>13</v>
      </c>
      <c r="I4079" s="1" t="s">
        <v>13</v>
      </c>
      <c r="J4079" s="1" t="s">
        <v>25</v>
      </c>
      <c r="K4079" s="1">
        <v>0</v>
      </c>
      <c r="L4079" s="1" t="s">
        <v>24</v>
      </c>
      <c r="M4079" s="1" t="str">
        <f t="shared" si="64"/>
        <v>Consistent</v>
      </c>
      <c r="N4079" s="1" t="str">
        <f>_xlfn.XLOOKUP(H4079, risk_score!A:A, risk_score!B:B, 0)</f>
        <v>Low Risk</v>
      </c>
    </row>
    <row r="4080" spans="1:14">
      <c r="A4080" s="2">
        <v>0.54774305555555558</v>
      </c>
      <c r="B4080" s="3">
        <v>44841</v>
      </c>
      <c r="C4080" s="1">
        <v>4600989500</v>
      </c>
      <c r="D4080" s="1">
        <v>1880469213</v>
      </c>
      <c r="E4080" s="1">
        <v>1791.69</v>
      </c>
      <c r="F4080" s="1" t="s">
        <v>12</v>
      </c>
      <c r="G4080" s="1" t="s">
        <v>12</v>
      </c>
      <c r="H4080" s="1" t="s">
        <v>13</v>
      </c>
      <c r="I4080" s="1" t="s">
        <v>13</v>
      </c>
      <c r="J4080" s="1" t="s">
        <v>14</v>
      </c>
      <c r="K4080" s="1">
        <v>0</v>
      </c>
      <c r="L4080" s="1" t="s">
        <v>15</v>
      </c>
      <c r="M4080" s="1" t="str">
        <f t="shared" si="64"/>
        <v>Consistent</v>
      </c>
      <c r="N4080" s="1" t="str">
        <f>_xlfn.XLOOKUP(H4080, risk_score!A:A, risk_score!B:B, 0)</f>
        <v>Low Risk</v>
      </c>
    </row>
    <row r="4081" spans="1:14">
      <c r="A4081" s="2">
        <v>0.54776620370370366</v>
      </c>
      <c r="B4081" s="3">
        <v>44841</v>
      </c>
      <c r="C4081" s="1">
        <v>8572310683</v>
      </c>
      <c r="D4081" s="1">
        <v>5896180453</v>
      </c>
      <c r="E4081" s="1">
        <v>6105.63</v>
      </c>
      <c r="F4081" s="1" t="s">
        <v>12</v>
      </c>
      <c r="G4081" s="1" t="s">
        <v>12</v>
      </c>
      <c r="H4081" s="1" t="s">
        <v>13</v>
      </c>
      <c r="I4081" s="1" t="s">
        <v>13</v>
      </c>
      <c r="J4081" s="1" t="s">
        <v>25</v>
      </c>
      <c r="K4081" s="1">
        <v>0</v>
      </c>
      <c r="L4081" s="1" t="s">
        <v>23</v>
      </c>
      <c r="M4081" s="1" t="str">
        <f t="shared" si="64"/>
        <v>Consistent</v>
      </c>
      <c r="N4081" s="1" t="str">
        <f>_xlfn.XLOOKUP(H4081, risk_score!A:A, risk_score!B:B, 0)</f>
        <v>Low Risk</v>
      </c>
    </row>
    <row r="4082" spans="1:14">
      <c r="A4082" s="2">
        <v>0.54780092592592589</v>
      </c>
      <c r="B4082" s="3">
        <v>44841</v>
      </c>
      <c r="C4082" s="1">
        <v>1445991735</v>
      </c>
      <c r="D4082" s="1">
        <v>5323459625</v>
      </c>
      <c r="E4082" s="1">
        <v>1458.91</v>
      </c>
      <c r="F4082" s="1" t="s">
        <v>12</v>
      </c>
      <c r="G4082" s="1" t="s">
        <v>51</v>
      </c>
      <c r="H4082" s="1" t="s">
        <v>13</v>
      </c>
      <c r="I4082" s="1" t="s">
        <v>52</v>
      </c>
      <c r="J4082" s="1" t="s">
        <v>18</v>
      </c>
      <c r="K4082" s="1">
        <v>0</v>
      </c>
      <c r="L4082" s="1" t="s">
        <v>21</v>
      </c>
      <c r="M4082" s="1" t="str">
        <f t="shared" si="64"/>
        <v>Potential Layering</v>
      </c>
      <c r="N4082" s="1" t="str">
        <f>_xlfn.XLOOKUP(H4082, risk_score!A:A, risk_score!B:B, 0)</f>
        <v>Low Risk</v>
      </c>
    </row>
    <row r="4083" spans="1:14">
      <c r="A4083" s="2">
        <v>0.54783564814814811</v>
      </c>
      <c r="B4083" s="3">
        <v>44841</v>
      </c>
      <c r="C4083" s="1">
        <v>2183566472</v>
      </c>
      <c r="D4083" s="1">
        <v>8571491184</v>
      </c>
      <c r="E4083" s="1">
        <v>507.64</v>
      </c>
      <c r="F4083" s="1" t="s">
        <v>12</v>
      </c>
      <c r="G4083" s="1" t="s">
        <v>12</v>
      </c>
      <c r="H4083" s="1" t="s">
        <v>13</v>
      </c>
      <c r="I4083" s="1" t="s">
        <v>13</v>
      </c>
      <c r="J4083" s="1" t="s">
        <v>22</v>
      </c>
      <c r="K4083" s="1">
        <v>0</v>
      </c>
      <c r="L4083" s="1" t="s">
        <v>21</v>
      </c>
      <c r="M4083" s="1" t="str">
        <f t="shared" si="64"/>
        <v>Consistent</v>
      </c>
      <c r="N4083" s="1" t="str">
        <f>_xlfn.XLOOKUP(H4083, risk_score!A:A, risk_score!B:B, 0)</f>
        <v>Low Risk</v>
      </c>
    </row>
    <row r="4084" spans="1:14">
      <c r="A4084" s="2">
        <v>0.5479398148148148</v>
      </c>
      <c r="B4084" s="3">
        <v>44841</v>
      </c>
      <c r="C4084" s="1">
        <v>5536162631</v>
      </c>
      <c r="D4084" s="1">
        <v>3665392218</v>
      </c>
      <c r="E4084" s="1">
        <v>18039.310000000001</v>
      </c>
      <c r="F4084" s="1" t="s">
        <v>12</v>
      </c>
      <c r="G4084" s="1" t="s">
        <v>12</v>
      </c>
      <c r="H4084" s="1" t="s">
        <v>13</v>
      </c>
      <c r="I4084" s="1" t="s">
        <v>13</v>
      </c>
      <c r="J4084" s="1" t="s">
        <v>25</v>
      </c>
      <c r="K4084" s="1">
        <v>0</v>
      </c>
      <c r="L4084" s="1" t="s">
        <v>41</v>
      </c>
      <c r="M4084" s="1" t="str">
        <f t="shared" si="64"/>
        <v>Consistent</v>
      </c>
      <c r="N4084" s="1" t="str">
        <f>_xlfn.XLOOKUP(H4084, risk_score!A:A, risk_score!B:B, 0)</f>
        <v>Low Risk</v>
      </c>
    </row>
    <row r="4085" spans="1:14">
      <c r="A4085" s="2">
        <v>0.5479398148148148</v>
      </c>
      <c r="B4085" s="3">
        <v>44841</v>
      </c>
      <c r="C4085" s="1">
        <v>1057924522</v>
      </c>
      <c r="D4085" s="1">
        <v>8704654367</v>
      </c>
      <c r="E4085" s="1">
        <v>73.819999999999993</v>
      </c>
      <c r="F4085" s="1" t="s">
        <v>12</v>
      </c>
      <c r="G4085" s="1" t="s">
        <v>12</v>
      </c>
      <c r="H4085" s="1" t="s">
        <v>13</v>
      </c>
      <c r="I4085" s="1" t="s">
        <v>13</v>
      </c>
      <c r="J4085" s="1" t="s">
        <v>25</v>
      </c>
      <c r="K4085" s="1">
        <v>0</v>
      </c>
      <c r="L4085" s="1" t="s">
        <v>21</v>
      </c>
      <c r="M4085" s="1" t="str">
        <f t="shared" si="64"/>
        <v>Consistent</v>
      </c>
      <c r="N4085" s="1" t="str">
        <f>_xlfn.XLOOKUP(H4085, risk_score!A:A, risk_score!B:B, 0)</f>
        <v>Low Risk</v>
      </c>
    </row>
    <row r="4086" spans="1:14">
      <c r="A4086" s="2">
        <v>0.54795138888888884</v>
      </c>
      <c r="B4086" s="3">
        <v>44841</v>
      </c>
      <c r="C4086" s="1">
        <v>6428588628</v>
      </c>
      <c r="D4086" s="1">
        <v>5785796431</v>
      </c>
      <c r="E4086" s="1">
        <v>3066.03</v>
      </c>
      <c r="F4086" s="1" t="s">
        <v>12</v>
      </c>
      <c r="G4086" s="1" t="s">
        <v>12</v>
      </c>
      <c r="H4086" s="1" t="s">
        <v>13</v>
      </c>
      <c r="I4086" s="1" t="s">
        <v>13</v>
      </c>
      <c r="J4086" s="1" t="s">
        <v>20</v>
      </c>
      <c r="K4086" s="1">
        <v>0</v>
      </c>
      <c r="L4086" s="1" t="s">
        <v>21</v>
      </c>
      <c r="M4086" s="1" t="str">
        <f t="shared" si="64"/>
        <v>Consistent</v>
      </c>
      <c r="N4086" s="1" t="str">
        <f>_xlfn.XLOOKUP(H4086, risk_score!A:A, risk_score!B:B, 0)</f>
        <v>Low Risk</v>
      </c>
    </row>
    <row r="4087" spans="1:14">
      <c r="A4087" s="2">
        <v>0.54795138888888884</v>
      </c>
      <c r="B4087" s="3">
        <v>44841</v>
      </c>
      <c r="C4087" s="1">
        <v>6086421020</v>
      </c>
      <c r="D4087" s="1">
        <v>6624920676</v>
      </c>
      <c r="E4087" s="1">
        <v>6142.01</v>
      </c>
      <c r="F4087" s="1" t="s">
        <v>12</v>
      </c>
      <c r="G4087" s="1" t="s">
        <v>12</v>
      </c>
      <c r="H4087" s="1" t="s">
        <v>13</v>
      </c>
      <c r="I4087" s="1" t="s">
        <v>13</v>
      </c>
      <c r="J4087" s="1" t="s">
        <v>27</v>
      </c>
      <c r="K4087" s="1">
        <v>0</v>
      </c>
      <c r="L4087" s="1" t="s">
        <v>19</v>
      </c>
      <c r="M4087" s="1" t="str">
        <f t="shared" si="64"/>
        <v>Consistent</v>
      </c>
      <c r="N4087" s="1" t="str">
        <f>_xlfn.XLOOKUP(H4087, risk_score!A:A, risk_score!B:B, 0)</f>
        <v>Low Risk</v>
      </c>
    </row>
    <row r="4088" spans="1:14">
      <c r="A4088" s="2">
        <v>0.54796296296296299</v>
      </c>
      <c r="B4088" s="3">
        <v>44841</v>
      </c>
      <c r="C4088" s="1">
        <v>1738940565</v>
      </c>
      <c r="D4088" s="1">
        <v>409707192</v>
      </c>
      <c r="E4088" s="1">
        <v>21073.34</v>
      </c>
      <c r="F4088" s="1" t="s">
        <v>12</v>
      </c>
      <c r="G4088" s="1" t="s">
        <v>12</v>
      </c>
      <c r="H4088" s="1" t="s">
        <v>13</v>
      </c>
      <c r="I4088" s="1" t="s">
        <v>13</v>
      </c>
      <c r="J4088" s="1" t="s">
        <v>22</v>
      </c>
      <c r="K4088" s="1">
        <v>0</v>
      </c>
      <c r="L4088" s="1" t="s">
        <v>23</v>
      </c>
      <c r="M4088" s="1" t="str">
        <f t="shared" si="64"/>
        <v>Consistent</v>
      </c>
      <c r="N4088" s="1" t="str">
        <f>_xlfn.XLOOKUP(H4088, risk_score!A:A, risk_score!B:B, 0)</f>
        <v>Low Risk</v>
      </c>
    </row>
    <row r="4089" spans="1:14">
      <c r="A4089" s="2">
        <v>0.54797453703703702</v>
      </c>
      <c r="B4089" s="3">
        <v>44841</v>
      </c>
      <c r="C4089" s="1">
        <v>3641503015</v>
      </c>
      <c r="D4089" s="1">
        <v>7080357663</v>
      </c>
      <c r="E4089" s="1">
        <v>4510.75</v>
      </c>
      <c r="F4089" s="1" t="s">
        <v>12</v>
      </c>
      <c r="G4089" s="1" t="s">
        <v>12</v>
      </c>
      <c r="H4089" s="1" t="s">
        <v>13</v>
      </c>
      <c r="I4089" s="1" t="s">
        <v>13</v>
      </c>
      <c r="J4089" s="1" t="s">
        <v>25</v>
      </c>
      <c r="K4089" s="1">
        <v>0</v>
      </c>
      <c r="L4089" s="1" t="s">
        <v>23</v>
      </c>
      <c r="M4089" s="1" t="str">
        <f t="shared" si="64"/>
        <v>Consistent</v>
      </c>
      <c r="N4089" s="1" t="str">
        <f>_xlfn.XLOOKUP(H4089, risk_score!A:A, risk_score!B:B, 0)</f>
        <v>Low Risk</v>
      </c>
    </row>
    <row r="4090" spans="1:14">
      <c r="A4090" s="2">
        <v>0.54798611111111106</v>
      </c>
      <c r="B4090" s="3">
        <v>44841</v>
      </c>
      <c r="C4090" s="1">
        <v>835689379</v>
      </c>
      <c r="D4090" s="1">
        <v>3960177918</v>
      </c>
      <c r="E4090" s="1">
        <v>2036.28</v>
      </c>
      <c r="F4090" s="1" t="s">
        <v>12</v>
      </c>
      <c r="G4090" s="1" t="s">
        <v>12</v>
      </c>
      <c r="H4090" s="1" t="s">
        <v>13</v>
      </c>
      <c r="I4090" s="1" t="s">
        <v>13</v>
      </c>
      <c r="J4090" s="1" t="s">
        <v>27</v>
      </c>
      <c r="K4090" s="1">
        <v>0</v>
      </c>
      <c r="L4090" s="1" t="s">
        <v>21</v>
      </c>
      <c r="M4090" s="1" t="str">
        <f t="shared" si="64"/>
        <v>Consistent</v>
      </c>
      <c r="N4090" s="1" t="str">
        <f>_xlfn.XLOOKUP(H4090, risk_score!A:A, risk_score!B:B, 0)</f>
        <v>Low Risk</v>
      </c>
    </row>
    <row r="4091" spans="1:14">
      <c r="A4091" s="2">
        <v>0.54800925925925925</v>
      </c>
      <c r="B4091" s="3">
        <v>44841</v>
      </c>
      <c r="C4091" s="1">
        <v>5535497188</v>
      </c>
      <c r="D4091" s="1">
        <v>6527756886</v>
      </c>
      <c r="E4091" s="1">
        <v>26579.91</v>
      </c>
      <c r="F4091" s="1" t="s">
        <v>12</v>
      </c>
      <c r="G4091" s="1" t="s">
        <v>12</v>
      </c>
      <c r="H4091" s="1" t="s">
        <v>13</v>
      </c>
      <c r="I4091" s="1" t="s">
        <v>13</v>
      </c>
      <c r="J4091" s="1" t="s">
        <v>20</v>
      </c>
      <c r="K4091" s="1">
        <v>0</v>
      </c>
      <c r="L4091" s="1" t="s">
        <v>49</v>
      </c>
      <c r="M4091" s="1" t="str">
        <f t="shared" si="64"/>
        <v>Consistent</v>
      </c>
      <c r="N4091" s="1" t="str">
        <f>_xlfn.XLOOKUP(H4091, risk_score!A:A, risk_score!B:B, 0)</f>
        <v>Low Risk</v>
      </c>
    </row>
    <row r="4092" spans="1:14">
      <c r="A4092" s="2">
        <v>0.54800925925925925</v>
      </c>
      <c r="B4092" s="3">
        <v>44841</v>
      </c>
      <c r="C4092" s="1">
        <v>9302522864</v>
      </c>
      <c r="D4092" s="1">
        <v>5466123934</v>
      </c>
      <c r="E4092" s="1">
        <v>8549.9500000000007</v>
      </c>
      <c r="F4092" s="1" t="s">
        <v>12</v>
      </c>
      <c r="G4092" s="1" t="s">
        <v>12</v>
      </c>
      <c r="H4092" s="1" t="s">
        <v>13</v>
      </c>
      <c r="I4092" s="1" t="s">
        <v>13</v>
      </c>
      <c r="J4092" s="1" t="s">
        <v>27</v>
      </c>
      <c r="K4092" s="1">
        <v>0</v>
      </c>
      <c r="L4092" s="1" t="s">
        <v>23</v>
      </c>
      <c r="M4092" s="1" t="str">
        <f t="shared" si="64"/>
        <v>Consistent</v>
      </c>
      <c r="N4092" s="1" t="str">
        <f>_xlfn.XLOOKUP(H4092, risk_score!A:A, risk_score!B:B, 0)</f>
        <v>Low Risk</v>
      </c>
    </row>
    <row r="4093" spans="1:14">
      <c r="A4093" s="2">
        <v>0.54803240740740744</v>
      </c>
      <c r="B4093" s="3">
        <v>44841</v>
      </c>
      <c r="C4093" s="1">
        <v>4472999799</v>
      </c>
      <c r="D4093" s="1">
        <v>6917552485</v>
      </c>
      <c r="E4093" s="1">
        <v>4156.54</v>
      </c>
      <c r="F4093" s="1" t="s">
        <v>12</v>
      </c>
      <c r="G4093" s="1" t="s">
        <v>51</v>
      </c>
      <c r="H4093" s="1" t="s">
        <v>13</v>
      </c>
      <c r="I4093" s="1" t="s">
        <v>52</v>
      </c>
      <c r="J4093" s="1" t="s">
        <v>18</v>
      </c>
      <c r="K4093" s="1">
        <v>0</v>
      </c>
      <c r="L4093" s="1" t="s">
        <v>21</v>
      </c>
      <c r="M4093" s="1" t="str">
        <f t="shared" si="64"/>
        <v>Potential Layering</v>
      </c>
      <c r="N4093" s="1" t="str">
        <f>_xlfn.XLOOKUP(H4093, risk_score!A:A, risk_score!B:B, 0)</f>
        <v>Low Risk</v>
      </c>
    </row>
    <row r="4094" spans="1:14">
      <c r="A4094" s="2">
        <v>0.54805555555555552</v>
      </c>
      <c r="B4094" s="3">
        <v>44841</v>
      </c>
      <c r="C4094" s="1">
        <v>6063481781</v>
      </c>
      <c r="D4094" s="1">
        <v>7984016799</v>
      </c>
      <c r="E4094" s="1">
        <v>3849.64</v>
      </c>
      <c r="F4094" s="1" t="s">
        <v>12</v>
      </c>
      <c r="G4094" s="1" t="s">
        <v>12</v>
      </c>
      <c r="H4094" s="1" t="s">
        <v>13</v>
      </c>
      <c r="I4094" s="1" t="s">
        <v>13</v>
      </c>
      <c r="J4094" s="1" t="s">
        <v>27</v>
      </c>
      <c r="K4094" s="1">
        <v>0</v>
      </c>
      <c r="L4094" s="1" t="s">
        <v>21</v>
      </c>
      <c r="M4094" s="1" t="str">
        <f t="shared" si="64"/>
        <v>Consistent</v>
      </c>
      <c r="N4094" s="1" t="str">
        <f>_xlfn.XLOOKUP(H4094, risk_score!A:A, risk_score!B:B, 0)</f>
        <v>Low Risk</v>
      </c>
    </row>
    <row r="4095" spans="1:14">
      <c r="A4095" s="2">
        <v>0.54809027777777775</v>
      </c>
      <c r="B4095" s="3">
        <v>44841</v>
      </c>
      <c r="C4095" s="1">
        <v>9456514108</v>
      </c>
      <c r="D4095" s="1">
        <v>5109623450</v>
      </c>
      <c r="E4095" s="1">
        <v>8380.93</v>
      </c>
      <c r="F4095" s="1" t="s">
        <v>12</v>
      </c>
      <c r="G4095" s="1" t="s">
        <v>12</v>
      </c>
      <c r="H4095" s="1" t="s">
        <v>13</v>
      </c>
      <c r="I4095" s="1" t="s">
        <v>13</v>
      </c>
      <c r="J4095" s="1" t="s">
        <v>27</v>
      </c>
      <c r="K4095" s="1">
        <v>0</v>
      </c>
      <c r="L4095" s="1" t="s">
        <v>23</v>
      </c>
      <c r="M4095" s="1" t="str">
        <f t="shared" ref="M4095:M4158" si="65">IF(F4095=G4095, "Consistent", "Potential Layering")</f>
        <v>Consistent</v>
      </c>
      <c r="N4095" s="1" t="str">
        <f>_xlfn.XLOOKUP(H4095, risk_score!A:A, risk_score!B:B, 0)</f>
        <v>Low Risk</v>
      </c>
    </row>
    <row r="4096" spans="1:14">
      <c r="A4096" s="2">
        <v>0.54812499999999997</v>
      </c>
      <c r="B4096" s="3">
        <v>44841</v>
      </c>
      <c r="C4096" s="1">
        <v>5631378216</v>
      </c>
      <c r="D4096" s="1">
        <v>5628674969</v>
      </c>
      <c r="E4096" s="1">
        <v>9082.7199999999993</v>
      </c>
      <c r="F4096" s="1" t="s">
        <v>12</v>
      </c>
      <c r="G4096" s="1" t="s">
        <v>12</v>
      </c>
      <c r="H4096" s="1" t="s">
        <v>13</v>
      </c>
      <c r="I4096" s="1" t="s">
        <v>13</v>
      </c>
      <c r="J4096" s="1" t="s">
        <v>22</v>
      </c>
      <c r="K4096" s="1">
        <v>0</v>
      </c>
      <c r="L4096" s="1" t="s">
        <v>23</v>
      </c>
      <c r="M4096" s="1" t="str">
        <f t="shared" si="65"/>
        <v>Consistent</v>
      </c>
      <c r="N4096" s="1" t="str">
        <f>_xlfn.XLOOKUP(H4096, risk_score!A:A, risk_score!B:B, 0)</f>
        <v>Low Risk</v>
      </c>
    </row>
    <row r="4097" spans="1:14">
      <c r="A4097" s="2">
        <v>0.5481597222222222</v>
      </c>
      <c r="B4097" s="3">
        <v>44841</v>
      </c>
      <c r="C4097" s="1">
        <v>2365007895</v>
      </c>
      <c r="D4097" s="1">
        <v>2954469099</v>
      </c>
      <c r="E4097" s="1">
        <v>13107.13</v>
      </c>
      <c r="F4097" s="1" t="s">
        <v>12</v>
      </c>
      <c r="G4097" s="1" t="s">
        <v>12</v>
      </c>
      <c r="H4097" s="1" t="s">
        <v>13</v>
      </c>
      <c r="I4097" s="1" t="s">
        <v>13</v>
      </c>
      <c r="J4097" s="1" t="s">
        <v>27</v>
      </c>
      <c r="K4097" s="1">
        <v>0</v>
      </c>
      <c r="L4097" s="1" t="s">
        <v>19</v>
      </c>
      <c r="M4097" s="1" t="str">
        <f t="shared" si="65"/>
        <v>Consistent</v>
      </c>
      <c r="N4097" s="1" t="str">
        <f>_xlfn.XLOOKUP(H4097, risk_score!A:A, risk_score!B:B, 0)</f>
        <v>Low Risk</v>
      </c>
    </row>
    <row r="4098" spans="1:14">
      <c r="A4098" s="2">
        <v>0.54819444444444443</v>
      </c>
      <c r="B4098" s="3">
        <v>44841</v>
      </c>
      <c r="C4098" s="1">
        <v>8513755444</v>
      </c>
      <c r="D4098" s="1">
        <v>5109756158</v>
      </c>
      <c r="E4098" s="1">
        <v>2433.35</v>
      </c>
      <c r="F4098" s="1" t="s">
        <v>12</v>
      </c>
      <c r="G4098" s="1" t="s">
        <v>12</v>
      </c>
      <c r="H4098" s="1" t="s">
        <v>13</v>
      </c>
      <c r="I4098" s="1" t="s">
        <v>13</v>
      </c>
      <c r="J4098" s="1" t="s">
        <v>22</v>
      </c>
      <c r="K4098" s="1">
        <v>0</v>
      </c>
      <c r="L4098" s="1" t="s">
        <v>24</v>
      </c>
      <c r="M4098" s="1" t="str">
        <f t="shared" si="65"/>
        <v>Consistent</v>
      </c>
      <c r="N4098" s="1" t="str">
        <f>_xlfn.XLOOKUP(H4098, risk_score!A:A, risk_score!B:B, 0)</f>
        <v>Low Risk</v>
      </c>
    </row>
    <row r="4099" spans="1:14">
      <c r="A4099" s="2">
        <v>0.54820601851851847</v>
      </c>
      <c r="B4099" s="3">
        <v>44841</v>
      </c>
      <c r="C4099" s="1">
        <v>3881238232</v>
      </c>
      <c r="D4099" s="1">
        <v>6304644161</v>
      </c>
      <c r="E4099" s="1">
        <v>640.98</v>
      </c>
      <c r="F4099" s="1" t="s">
        <v>12</v>
      </c>
      <c r="G4099" s="1" t="s">
        <v>12</v>
      </c>
      <c r="H4099" s="1" t="s">
        <v>13</v>
      </c>
      <c r="I4099" s="1" t="s">
        <v>13</v>
      </c>
      <c r="J4099" s="1" t="s">
        <v>22</v>
      </c>
      <c r="K4099" s="1">
        <v>0</v>
      </c>
      <c r="L4099" s="1" t="s">
        <v>21</v>
      </c>
      <c r="M4099" s="1" t="str">
        <f t="shared" si="65"/>
        <v>Consistent</v>
      </c>
      <c r="N4099" s="1" t="str">
        <f>_xlfn.XLOOKUP(H4099, risk_score!A:A, risk_score!B:B, 0)</f>
        <v>Low Risk</v>
      </c>
    </row>
    <row r="4100" spans="1:14">
      <c r="A4100" s="2">
        <v>0.54821759259259262</v>
      </c>
      <c r="B4100" s="3">
        <v>44841</v>
      </c>
      <c r="C4100" s="1">
        <v>1915450576</v>
      </c>
      <c r="D4100" s="1">
        <v>7315208637</v>
      </c>
      <c r="E4100" s="1">
        <v>6570.51</v>
      </c>
      <c r="F4100" s="1" t="s">
        <v>12</v>
      </c>
      <c r="G4100" s="1" t="s">
        <v>12</v>
      </c>
      <c r="H4100" s="1" t="s">
        <v>13</v>
      </c>
      <c r="I4100" s="1" t="s">
        <v>13</v>
      </c>
      <c r="J4100" s="1" t="s">
        <v>25</v>
      </c>
      <c r="K4100" s="1">
        <v>0</v>
      </c>
      <c r="L4100" s="1" t="s">
        <v>19</v>
      </c>
      <c r="M4100" s="1" t="str">
        <f t="shared" si="65"/>
        <v>Consistent</v>
      </c>
      <c r="N4100" s="1" t="str">
        <f>_xlfn.XLOOKUP(H4100, risk_score!A:A, risk_score!B:B, 0)</f>
        <v>Low Risk</v>
      </c>
    </row>
    <row r="4101" spans="1:14">
      <c r="A4101" s="2">
        <v>0.54829861111111111</v>
      </c>
      <c r="B4101" s="3">
        <v>44841</v>
      </c>
      <c r="C4101" s="1">
        <v>7758268667</v>
      </c>
      <c r="D4101" s="1">
        <v>301740914</v>
      </c>
      <c r="E4101" s="1">
        <v>8859.2900000000009</v>
      </c>
      <c r="F4101" s="1" t="s">
        <v>12</v>
      </c>
      <c r="G4101" s="1" t="s">
        <v>12</v>
      </c>
      <c r="H4101" s="1" t="s">
        <v>13</v>
      </c>
      <c r="I4101" s="1" t="s">
        <v>13</v>
      </c>
      <c r="J4101" s="1" t="s">
        <v>22</v>
      </c>
      <c r="K4101" s="1">
        <v>0</v>
      </c>
      <c r="L4101" s="1" t="s">
        <v>19</v>
      </c>
      <c r="M4101" s="1" t="str">
        <f t="shared" si="65"/>
        <v>Consistent</v>
      </c>
      <c r="N4101" s="1" t="str">
        <f>_xlfn.XLOOKUP(H4101, risk_score!A:A, risk_score!B:B, 0)</f>
        <v>Low Risk</v>
      </c>
    </row>
    <row r="4102" spans="1:14">
      <c r="A4102" s="2">
        <v>0.54836805555555557</v>
      </c>
      <c r="B4102" s="3">
        <v>44841</v>
      </c>
      <c r="C4102" s="1">
        <v>1675266982</v>
      </c>
      <c r="D4102" s="1">
        <v>9960453112</v>
      </c>
      <c r="E4102" s="1">
        <v>17143.98</v>
      </c>
      <c r="F4102" s="1" t="s">
        <v>12</v>
      </c>
      <c r="G4102" s="1" t="s">
        <v>12</v>
      </c>
      <c r="H4102" s="1" t="s">
        <v>13</v>
      </c>
      <c r="I4102" s="1" t="s">
        <v>13</v>
      </c>
      <c r="J4102" s="1" t="s">
        <v>25</v>
      </c>
      <c r="K4102" s="1">
        <v>0</v>
      </c>
      <c r="L4102" s="1" t="s">
        <v>21</v>
      </c>
      <c r="M4102" s="1" t="str">
        <f t="shared" si="65"/>
        <v>Consistent</v>
      </c>
      <c r="N4102" s="1" t="str">
        <f>_xlfn.XLOOKUP(H4102, risk_score!A:A, risk_score!B:B, 0)</f>
        <v>Low Risk</v>
      </c>
    </row>
    <row r="4103" spans="1:14">
      <c r="A4103" s="2">
        <v>0.54839120370370376</v>
      </c>
      <c r="B4103" s="3">
        <v>44841</v>
      </c>
      <c r="C4103" s="1">
        <v>1996752909</v>
      </c>
      <c r="D4103" s="1">
        <v>4258935429</v>
      </c>
      <c r="E4103" s="1">
        <v>22280.9</v>
      </c>
      <c r="F4103" s="1" t="s">
        <v>12</v>
      </c>
      <c r="G4103" s="1" t="s">
        <v>12</v>
      </c>
      <c r="H4103" s="1" t="s">
        <v>13</v>
      </c>
      <c r="I4103" s="1" t="s">
        <v>13</v>
      </c>
      <c r="J4103" s="1" t="s">
        <v>25</v>
      </c>
      <c r="K4103" s="1">
        <v>0</v>
      </c>
      <c r="L4103" s="1" t="s">
        <v>21</v>
      </c>
      <c r="M4103" s="1" t="str">
        <f t="shared" si="65"/>
        <v>Consistent</v>
      </c>
      <c r="N4103" s="1" t="str">
        <f>_xlfn.XLOOKUP(H4103, risk_score!A:A, risk_score!B:B, 0)</f>
        <v>Low Risk</v>
      </c>
    </row>
    <row r="4104" spans="1:14">
      <c r="A4104" s="2">
        <v>0.54840277777777779</v>
      </c>
      <c r="B4104" s="3">
        <v>44841</v>
      </c>
      <c r="C4104" s="1">
        <v>3168051873</v>
      </c>
      <c r="D4104" s="1">
        <v>9757535272</v>
      </c>
      <c r="E4104" s="1">
        <v>11177.56</v>
      </c>
      <c r="F4104" s="1" t="s">
        <v>12</v>
      </c>
      <c r="G4104" s="1" t="s">
        <v>12</v>
      </c>
      <c r="H4104" s="1" t="s">
        <v>13</v>
      </c>
      <c r="I4104" s="1" t="s">
        <v>13</v>
      </c>
      <c r="J4104" s="1" t="s">
        <v>25</v>
      </c>
      <c r="K4104" s="1">
        <v>0</v>
      </c>
      <c r="L4104" s="1" t="s">
        <v>19</v>
      </c>
      <c r="M4104" s="1" t="str">
        <f t="shared" si="65"/>
        <v>Consistent</v>
      </c>
      <c r="N4104" s="1" t="str">
        <f>_xlfn.XLOOKUP(H4104, risk_score!A:A, risk_score!B:B, 0)</f>
        <v>Low Risk</v>
      </c>
    </row>
    <row r="4105" spans="1:14">
      <c r="A4105" s="2">
        <v>0.54842592592592587</v>
      </c>
      <c r="B4105" s="3">
        <v>44841</v>
      </c>
      <c r="C4105" s="1">
        <v>8474309857</v>
      </c>
      <c r="D4105" s="1">
        <v>5659763215</v>
      </c>
      <c r="E4105" s="1">
        <v>2949.64</v>
      </c>
      <c r="F4105" s="1" t="s">
        <v>12</v>
      </c>
      <c r="G4105" s="1" t="s">
        <v>12</v>
      </c>
      <c r="H4105" s="1" t="s">
        <v>13</v>
      </c>
      <c r="I4105" s="1" t="s">
        <v>13</v>
      </c>
      <c r="J4105" s="1" t="s">
        <v>22</v>
      </c>
      <c r="K4105" s="1">
        <v>0</v>
      </c>
      <c r="L4105" s="1" t="s">
        <v>21</v>
      </c>
      <c r="M4105" s="1" t="str">
        <f t="shared" si="65"/>
        <v>Consistent</v>
      </c>
      <c r="N4105" s="1" t="str">
        <f>_xlfn.XLOOKUP(H4105, risk_score!A:A, risk_score!B:B, 0)</f>
        <v>Low Risk</v>
      </c>
    </row>
    <row r="4106" spans="1:14">
      <c r="A4106" s="2">
        <v>0.54844907407407406</v>
      </c>
      <c r="B4106" s="3">
        <v>44841</v>
      </c>
      <c r="C4106" s="1">
        <v>2797271466</v>
      </c>
      <c r="D4106" s="1">
        <v>9599693960</v>
      </c>
      <c r="E4106" s="1">
        <v>9874.4699999999993</v>
      </c>
      <c r="F4106" s="1" t="s">
        <v>12</v>
      </c>
      <c r="G4106" s="1" t="s">
        <v>12</v>
      </c>
      <c r="H4106" s="1" t="s">
        <v>13</v>
      </c>
      <c r="I4106" s="1" t="s">
        <v>13</v>
      </c>
      <c r="J4106" s="1" t="s">
        <v>20</v>
      </c>
      <c r="K4106" s="1">
        <v>0</v>
      </c>
      <c r="L4106" s="1" t="s">
        <v>19</v>
      </c>
      <c r="M4106" s="1" t="str">
        <f t="shared" si="65"/>
        <v>Consistent</v>
      </c>
      <c r="N4106" s="1" t="str">
        <f>_xlfn.XLOOKUP(H4106, risk_score!A:A, risk_score!B:B, 0)</f>
        <v>Low Risk</v>
      </c>
    </row>
    <row r="4107" spans="1:14">
      <c r="A4107" s="2">
        <v>0.5484606481481481</v>
      </c>
      <c r="B4107" s="3">
        <v>44841</v>
      </c>
      <c r="C4107" s="1">
        <v>405051788</v>
      </c>
      <c r="D4107" s="1">
        <v>6064488085</v>
      </c>
      <c r="E4107" s="1">
        <v>8512.6200000000008</v>
      </c>
      <c r="F4107" s="1" t="s">
        <v>12</v>
      </c>
      <c r="G4107" s="1" t="s">
        <v>12</v>
      </c>
      <c r="H4107" s="1" t="s">
        <v>13</v>
      </c>
      <c r="I4107" s="1" t="s">
        <v>13</v>
      </c>
      <c r="J4107" s="1" t="s">
        <v>20</v>
      </c>
      <c r="K4107" s="1">
        <v>0</v>
      </c>
      <c r="L4107" s="1" t="s">
        <v>24</v>
      </c>
      <c r="M4107" s="1" t="str">
        <f t="shared" si="65"/>
        <v>Consistent</v>
      </c>
      <c r="N4107" s="1" t="str">
        <f>_xlfn.XLOOKUP(H4107, risk_score!A:A, risk_score!B:B, 0)</f>
        <v>Low Risk</v>
      </c>
    </row>
    <row r="4108" spans="1:14">
      <c r="A4108" s="2">
        <v>0.54848379629629629</v>
      </c>
      <c r="B4108" s="3">
        <v>44841</v>
      </c>
      <c r="C4108" s="1">
        <v>6500267083</v>
      </c>
      <c r="D4108" s="1">
        <v>5466123934</v>
      </c>
      <c r="E4108" s="1">
        <v>8069.26</v>
      </c>
      <c r="F4108" s="1" t="s">
        <v>12</v>
      </c>
      <c r="G4108" s="1" t="s">
        <v>12</v>
      </c>
      <c r="H4108" s="1" t="s">
        <v>13</v>
      </c>
      <c r="I4108" s="1" t="s">
        <v>13</v>
      </c>
      <c r="J4108" s="1" t="s">
        <v>20</v>
      </c>
      <c r="K4108" s="1">
        <v>0</v>
      </c>
      <c r="L4108" s="1" t="s">
        <v>23</v>
      </c>
      <c r="M4108" s="1" t="str">
        <f t="shared" si="65"/>
        <v>Consistent</v>
      </c>
      <c r="N4108" s="1" t="str">
        <f>_xlfn.XLOOKUP(H4108, risk_score!A:A, risk_score!B:B, 0)</f>
        <v>Low Risk</v>
      </c>
    </row>
    <row r="4109" spans="1:14">
      <c r="A4109" s="2">
        <v>0.54851851851851852</v>
      </c>
      <c r="B4109" s="3">
        <v>44841</v>
      </c>
      <c r="C4109" s="1">
        <v>6367548102</v>
      </c>
      <c r="D4109" s="1">
        <v>6675357458</v>
      </c>
      <c r="E4109" s="1">
        <v>179.07</v>
      </c>
      <c r="F4109" s="1" t="s">
        <v>29</v>
      </c>
      <c r="G4109" s="1" t="s">
        <v>12</v>
      </c>
      <c r="H4109" s="1" t="s">
        <v>30</v>
      </c>
      <c r="I4109" s="1" t="s">
        <v>13</v>
      </c>
      <c r="J4109" s="1" t="s">
        <v>18</v>
      </c>
      <c r="K4109" s="1">
        <v>0</v>
      </c>
      <c r="L4109" s="1" t="s">
        <v>21</v>
      </c>
      <c r="M4109" s="1" t="str">
        <f t="shared" si="65"/>
        <v>Potential Layering</v>
      </c>
      <c r="N4109" s="1" t="str">
        <f>_xlfn.XLOOKUP(H4109, risk_score!A:A, risk_score!B:B, 0)</f>
        <v>Low Risk</v>
      </c>
    </row>
    <row r="4110" spans="1:14">
      <c r="A4110" s="2">
        <v>0.54853009259259256</v>
      </c>
      <c r="B4110" s="3">
        <v>44841</v>
      </c>
      <c r="C4110" s="1">
        <v>1062641900</v>
      </c>
      <c r="D4110" s="1">
        <v>1693454173</v>
      </c>
      <c r="E4110" s="1">
        <v>16275.87</v>
      </c>
      <c r="F4110" s="1" t="s">
        <v>12</v>
      </c>
      <c r="G4110" s="1" t="s">
        <v>12</v>
      </c>
      <c r="H4110" s="1" t="s">
        <v>13</v>
      </c>
      <c r="I4110" s="1" t="s">
        <v>13</v>
      </c>
      <c r="J4110" s="1" t="s">
        <v>20</v>
      </c>
      <c r="K4110" s="1">
        <v>0</v>
      </c>
      <c r="L4110" s="1" t="s">
        <v>21</v>
      </c>
      <c r="M4110" s="1" t="str">
        <f t="shared" si="65"/>
        <v>Consistent</v>
      </c>
      <c r="N4110" s="1" t="str">
        <f>_xlfn.XLOOKUP(H4110, risk_score!A:A, risk_score!B:B, 0)</f>
        <v>Low Risk</v>
      </c>
    </row>
    <row r="4111" spans="1:14">
      <c r="A4111" s="2">
        <v>0.54854166666666671</v>
      </c>
      <c r="B4111" s="3">
        <v>44841</v>
      </c>
      <c r="C4111" s="1">
        <v>4924839218</v>
      </c>
      <c r="D4111" s="1">
        <v>9567308380</v>
      </c>
      <c r="E4111" s="1">
        <v>1545.45</v>
      </c>
      <c r="F4111" s="1" t="s">
        <v>12</v>
      </c>
      <c r="G4111" s="1" t="s">
        <v>12</v>
      </c>
      <c r="H4111" s="1" t="s">
        <v>13</v>
      </c>
      <c r="I4111" s="1" t="s">
        <v>13</v>
      </c>
      <c r="J4111" s="1" t="s">
        <v>27</v>
      </c>
      <c r="K4111" s="1">
        <v>0</v>
      </c>
      <c r="L4111" s="1" t="s">
        <v>21</v>
      </c>
      <c r="M4111" s="1" t="str">
        <f t="shared" si="65"/>
        <v>Consistent</v>
      </c>
      <c r="N4111" s="1" t="str">
        <f>_xlfn.XLOOKUP(H4111, risk_score!A:A, risk_score!B:B, 0)</f>
        <v>Low Risk</v>
      </c>
    </row>
    <row r="4112" spans="1:14">
      <c r="A4112" s="2">
        <v>0.54861111111111116</v>
      </c>
      <c r="B4112" s="3">
        <v>44841</v>
      </c>
      <c r="C4112" s="1">
        <v>716154569</v>
      </c>
      <c r="D4112" s="1">
        <v>3372425008</v>
      </c>
      <c r="E4112" s="1">
        <v>3644.7</v>
      </c>
      <c r="F4112" s="1" t="s">
        <v>12</v>
      </c>
      <c r="G4112" s="1" t="s">
        <v>12</v>
      </c>
      <c r="H4112" s="1" t="s">
        <v>13</v>
      </c>
      <c r="I4112" s="1" t="s">
        <v>13</v>
      </c>
      <c r="J4112" s="1" t="s">
        <v>25</v>
      </c>
      <c r="K4112" s="1">
        <v>0</v>
      </c>
      <c r="L4112" s="1" t="s">
        <v>21</v>
      </c>
      <c r="M4112" s="1" t="str">
        <f t="shared" si="65"/>
        <v>Consistent</v>
      </c>
      <c r="N4112" s="1" t="str">
        <f>_xlfn.XLOOKUP(H4112, risk_score!A:A, risk_score!B:B, 0)</f>
        <v>Low Risk</v>
      </c>
    </row>
    <row r="4113" spans="1:14">
      <c r="A4113" s="2">
        <v>0.5486805555555555</v>
      </c>
      <c r="B4113" s="3">
        <v>44841</v>
      </c>
      <c r="C4113" s="1">
        <v>8487080282</v>
      </c>
      <c r="D4113" s="1">
        <v>5708936901</v>
      </c>
      <c r="E4113" s="1">
        <v>5696.48</v>
      </c>
      <c r="F4113" s="1" t="s">
        <v>12</v>
      </c>
      <c r="G4113" s="1" t="s">
        <v>12</v>
      </c>
      <c r="H4113" s="1" t="s">
        <v>13</v>
      </c>
      <c r="I4113" s="1" t="s">
        <v>13</v>
      </c>
      <c r="J4113" s="1" t="s">
        <v>25</v>
      </c>
      <c r="K4113" s="1">
        <v>0</v>
      </c>
      <c r="L4113" s="1" t="s">
        <v>23</v>
      </c>
      <c r="M4113" s="1" t="str">
        <f t="shared" si="65"/>
        <v>Consistent</v>
      </c>
      <c r="N4113" s="1" t="str">
        <f>_xlfn.XLOOKUP(H4113, risk_score!A:A, risk_score!B:B, 0)</f>
        <v>Low Risk</v>
      </c>
    </row>
    <row r="4114" spans="1:14">
      <c r="A4114" s="2">
        <v>0.54874999999999996</v>
      </c>
      <c r="B4114" s="3">
        <v>44841</v>
      </c>
      <c r="C4114" s="1">
        <v>2173103945</v>
      </c>
      <c r="D4114" s="1">
        <v>6953672776</v>
      </c>
      <c r="E4114" s="1">
        <v>5410.58</v>
      </c>
      <c r="F4114" s="1" t="s">
        <v>12</v>
      </c>
      <c r="G4114" s="1" t="s">
        <v>34</v>
      </c>
      <c r="H4114" s="1" t="s">
        <v>13</v>
      </c>
      <c r="I4114" s="1" t="s">
        <v>35</v>
      </c>
      <c r="J4114" s="1" t="s">
        <v>18</v>
      </c>
      <c r="K4114" s="1">
        <v>0</v>
      </c>
      <c r="L4114" s="1" t="s">
        <v>23</v>
      </c>
      <c r="M4114" s="1" t="str">
        <f t="shared" si="65"/>
        <v>Potential Layering</v>
      </c>
      <c r="N4114" s="1" t="str">
        <f>_xlfn.XLOOKUP(H4114, risk_score!A:A, risk_score!B:B, 0)</f>
        <v>Low Risk</v>
      </c>
    </row>
    <row r="4115" spans="1:14">
      <c r="A4115" s="2">
        <v>0.54877314814814815</v>
      </c>
      <c r="B4115" s="3">
        <v>44841</v>
      </c>
      <c r="C4115" s="1">
        <v>2982318576</v>
      </c>
      <c r="D4115" s="1">
        <v>2961128128</v>
      </c>
      <c r="E4115" s="1">
        <v>2593.4</v>
      </c>
      <c r="F4115" s="1" t="s">
        <v>12</v>
      </c>
      <c r="G4115" s="1" t="s">
        <v>12</v>
      </c>
      <c r="H4115" s="1" t="s">
        <v>13</v>
      </c>
      <c r="I4115" s="1" t="s">
        <v>13</v>
      </c>
      <c r="J4115" s="1" t="s">
        <v>14</v>
      </c>
      <c r="K4115" s="1">
        <v>0</v>
      </c>
      <c r="L4115" s="1" t="s">
        <v>15</v>
      </c>
      <c r="M4115" s="1" t="str">
        <f t="shared" si="65"/>
        <v>Consistent</v>
      </c>
      <c r="N4115" s="1" t="str">
        <f>_xlfn.XLOOKUP(H4115, risk_score!A:A, risk_score!B:B, 0)</f>
        <v>Low Risk</v>
      </c>
    </row>
    <row r="4116" spans="1:14">
      <c r="A4116" s="2">
        <v>0.54877314814814815</v>
      </c>
      <c r="B4116" s="3">
        <v>44841</v>
      </c>
      <c r="C4116" s="1">
        <v>848681361</v>
      </c>
      <c r="D4116" s="1">
        <v>9397412993</v>
      </c>
      <c r="E4116" s="1">
        <v>60299.93</v>
      </c>
      <c r="F4116" s="1" t="s">
        <v>12</v>
      </c>
      <c r="G4116" s="1" t="s">
        <v>42</v>
      </c>
      <c r="H4116" s="1" t="s">
        <v>13</v>
      </c>
      <c r="I4116" s="1" t="s">
        <v>43</v>
      </c>
      <c r="J4116" s="1" t="s">
        <v>18</v>
      </c>
      <c r="K4116" s="1">
        <v>0</v>
      </c>
      <c r="L4116" s="1" t="s">
        <v>58</v>
      </c>
      <c r="M4116" s="1" t="str">
        <f t="shared" si="65"/>
        <v>Potential Layering</v>
      </c>
      <c r="N4116" s="1" t="str">
        <f>_xlfn.XLOOKUP(H4116, risk_score!A:A, risk_score!B:B, 0)</f>
        <v>Low Risk</v>
      </c>
    </row>
    <row r="4117" spans="1:14">
      <c r="A4117" s="2">
        <v>0.54877314814814815</v>
      </c>
      <c r="B4117" s="3">
        <v>44841</v>
      </c>
      <c r="C4117" s="1">
        <v>7363445549</v>
      </c>
      <c r="D4117" s="1">
        <v>2563034968</v>
      </c>
      <c r="E4117" s="1">
        <v>3712.14</v>
      </c>
      <c r="F4117" s="1" t="s">
        <v>12</v>
      </c>
      <c r="G4117" s="1" t="s">
        <v>12</v>
      </c>
      <c r="H4117" s="1" t="s">
        <v>13</v>
      </c>
      <c r="I4117" s="1" t="s">
        <v>13</v>
      </c>
      <c r="J4117" s="1" t="s">
        <v>14</v>
      </c>
      <c r="K4117" s="1">
        <v>0</v>
      </c>
      <c r="L4117" s="1" t="s">
        <v>15</v>
      </c>
      <c r="M4117" s="1" t="str">
        <f t="shared" si="65"/>
        <v>Consistent</v>
      </c>
      <c r="N4117" s="1" t="str">
        <f>_xlfn.XLOOKUP(H4117, risk_score!A:A, risk_score!B:B, 0)</f>
        <v>Low Risk</v>
      </c>
    </row>
    <row r="4118" spans="1:14">
      <c r="A4118" s="2">
        <v>0.54879629629629634</v>
      </c>
      <c r="B4118" s="3">
        <v>44841</v>
      </c>
      <c r="C4118" s="1">
        <v>599836428</v>
      </c>
      <c r="D4118" s="1">
        <v>6270208308</v>
      </c>
      <c r="E4118" s="1">
        <v>87.75</v>
      </c>
      <c r="F4118" s="1" t="s">
        <v>12</v>
      </c>
      <c r="G4118" s="1" t="s">
        <v>12</v>
      </c>
      <c r="H4118" s="1" t="s">
        <v>13</v>
      </c>
      <c r="I4118" s="1" t="s">
        <v>13</v>
      </c>
      <c r="J4118" s="1" t="s">
        <v>36</v>
      </c>
      <c r="K4118" s="1">
        <v>0</v>
      </c>
      <c r="L4118" s="1" t="s">
        <v>37</v>
      </c>
      <c r="M4118" s="1" t="str">
        <f t="shared" si="65"/>
        <v>Consistent</v>
      </c>
      <c r="N4118" s="1" t="str">
        <f>_xlfn.XLOOKUP(H4118, risk_score!A:A, risk_score!B:B, 0)</f>
        <v>Low Risk</v>
      </c>
    </row>
    <row r="4119" spans="1:14">
      <c r="A4119" s="2">
        <v>0.54880787037037038</v>
      </c>
      <c r="B4119" s="3">
        <v>44841</v>
      </c>
      <c r="C4119" s="1">
        <v>3027507704</v>
      </c>
      <c r="D4119" s="1">
        <v>1406805014</v>
      </c>
      <c r="E4119" s="1">
        <v>417.14</v>
      </c>
      <c r="F4119" s="1" t="s">
        <v>12</v>
      </c>
      <c r="G4119" s="1" t="s">
        <v>12</v>
      </c>
      <c r="H4119" s="1" t="s">
        <v>13</v>
      </c>
      <c r="I4119" s="1" t="s">
        <v>13</v>
      </c>
      <c r="J4119" s="1" t="s">
        <v>27</v>
      </c>
      <c r="K4119" s="1">
        <v>0</v>
      </c>
      <c r="L4119" s="1" t="s">
        <v>21</v>
      </c>
      <c r="M4119" s="1" t="str">
        <f t="shared" si="65"/>
        <v>Consistent</v>
      </c>
      <c r="N4119" s="1" t="str">
        <f>_xlfn.XLOOKUP(H4119, risk_score!A:A, risk_score!B:B, 0)</f>
        <v>Low Risk</v>
      </c>
    </row>
    <row r="4120" spans="1:14">
      <c r="A4120" s="2">
        <v>0.5488425925925926</v>
      </c>
      <c r="B4120" s="3">
        <v>44841</v>
      </c>
      <c r="C4120" s="1">
        <v>6116657264</v>
      </c>
      <c r="D4120" s="1">
        <v>144438037</v>
      </c>
      <c r="E4120" s="1">
        <v>5787.26</v>
      </c>
      <c r="F4120" s="1" t="s">
        <v>12</v>
      </c>
      <c r="G4120" s="1" t="s">
        <v>12</v>
      </c>
      <c r="H4120" s="1" t="s">
        <v>13</v>
      </c>
      <c r="I4120" s="1" t="s">
        <v>13</v>
      </c>
      <c r="J4120" s="1" t="s">
        <v>20</v>
      </c>
      <c r="K4120" s="1">
        <v>0</v>
      </c>
      <c r="L4120" s="1" t="s">
        <v>19</v>
      </c>
      <c r="M4120" s="1" t="str">
        <f t="shared" si="65"/>
        <v>Consistent</v>
      </c>
      <c r="N4120" s="1" t="str">
        <f>_xlfn.XLOOKUP(H4120, risk_score!A:A, risk_score!B:B, 0)</f>
        <v>Low Risk</v>
      </c>
    </row>
    <row r="4121" spans="1:14">
      <c r="A4121" s="2">
        <v>0.54885416666666664</v>
      </c>
      <c r="B4121" s="3">
        <v>44841</v>
      </c>
      <c r="C4121" s="1">
        <v>2122759581</v>
      </c>
      <c r="D4121" s="1">
        <v>2509211966</v>
      </c>
      <c r="E4121" s="1">
        <v>84.52</v>
      </c>
      <c r="F4121" s="1" t="s">
        <v>12</v>
      </c>
      <c r="G4121" s="1" t="s">
        <v>12</v>
      </c>
      <c r="H4121" s="1" t="s">
        <v>13</v>
      </c>
      <c r="I4121" s="1" t="s">
        <v>13</v>
      </c>
      <c r="J4121" s="1" t="s">
        <v>36</v>
      </c>
      <c r="K4121" s="1">
        <v>0</v>
      </c>
      <c r="L4121" s="1" t="s">
        <v>37</v>
      </c>
      <c r="M4121" s="1" t="str">
        <f t="shared" si="65"/>
        <v>Consistent</v>
      </c>
      <c r="N4121" s="1" t="str">
        <f>_xlfn.XLOOKUP(H4121, risk_score!A:A, risk_score!B:B, 0)</f>
        <v>Low Risk</v>
      </c>
    </row>
    <row r="4122" spans="1:14">
      <c r="A4122" s="2">
        <v>0.54887731481481483</v>
      </c>
      <c r="B4122" s="3">
        <v>44841</v>
      </c>
      <c r="C4122" s="1">
        <v>5070033405</v>
      </c>
      <c r="D4122" s="1">
        <v>3608703185</v>
      </c>
      <c r="E4122" s="1">
        <v>7465.98</v>
      </c>
      <c r="F4122" s="1" t="s">
        <v>12</v>
      </c>
      <c r="G4122" s="1" t="s">
        <v>12</v>
      </c>
      <c r="H4122" s="1" t="s">
        <v>13</v>
      </c>
      <c r="I4122" s="1" t="s">
        <v>13</v>
      </c>
      <c r="J4122" s="1" t="s">
        <v>27</v>
      </c>
      <c r="K4122" s="1">
        <v>0</v>
      </c>
      <c r="L4122" s="1" t="s">
        <v>38</v>
      </c>
      <c r="M4122" s="1" t="str">
        <f t="shared" si="65"/>
        <v>Consistent</v>
      </c>
      <c r="N4122" s="1" t="str">
        <f>_xlfn.XLOOKUP(H4122, risk_score!A:A, risk_score!B:B, 0)</f>
        <v>Low Risk</v>
      </c>
    </row>
    <row r="4123" spans="1:14">
      <c r="A4123" s="2">
        <v>0.54893518518518514</v>
      </c>
      <c r="B4123" s="3">
        <v>44841</v>
      </c>
      <c r="C4123" s="1">
        <v>8898696157</v>
      </c>
      <c r="D4123" s="1">
        <v>6646502650</v>
      </c>
      <c r="E4123" s="1">
        <v>10236.83</v>
      </c>
      <c r="F4123" s="1" t="s">
        <v>12</v>
      </c>
      <c r="G4123" s="1" t="s">
        <v>29</v>
      </c>
      <c r="H4123" s="1" t="s">
        <v>13</v>
      </c>
      <c r="I4123" s="1" t="s">
        <v>31</v>
      </c>
      <c r="J4123" s="1" t="s">
        <v>18</v>
      </c>
      <c r="K4123" s="1">
        <v>0</v>
      </c>
      <c r="L4123" s="1" t="s">
        <v>23</v>
      </c>
      <c r="M4123" s="1" t="str">
        <f t="shared" si="65"/>
        <v>Potential Layering</v>
      </c>
      <c r="N4123" s="1" t="str">
        <f>_xlfn.XLOOKUP(H4123, risk_score!A:A, risk_score!B:B, 0)</f>
        <v>Low Risk</v>
      </c>
    </row>
    <row r="4124" spans="1:14">
      <c r="A4124" s="2">
        <v>0.54896990740740736</v>
      </c>
      <c r="B4124" s="3">
        <v>44841</v>
      </c>
      <c r="C4124" s="1">
        <v>546049908</v>
      </c>
      <c r="D4124" s="1">
        <v>823316187</v>
      </c>
      <c r="E4124" s="1">
        <v>141.79</v>
      </c>
      <c r="F4124" s="1" t="s">
        <v>12</v>
      </c>
      <c r="G4124" s="1" t="s">
        <v>12</v>
      </c>
      <c r="H4124" s="1" t="s">
        <v>13</v>
      </c>
      <c r="I4124" s="1" t="s">
        <v>13</v>
      </c>
      <c r="J4124" s="1" t="s">
        <v>20</v>
      </c>
      <c r="K4124" s="1">
        <v>0</v>
      </c>
      <c r="L4124" s="1" t="s">
        <v>21</v>
      </c>
      <c r="M4124" s="1" t="str">
        <f t="shared" si="65"/>
        <v>Consistent</v>
      </c>
      <c r="N4124" s="1" t="str">
        <f>_xlfn.XLOOKUP(H4124, risk_score!A:A, risk_score!B:B, 0)</f>
        <v>Low Risk</v>
      </c>
    </row>
    <row r="4125" spans="1:14">
      <c r="A4125" s="2">
        <v>0.54902777777777778</v>
      </c>
      <c r="B4125" s="3">
        <v>44841</v>
      </c>
      <c r="C4125" s="1">
        <v>4500643137</v>
      </c>
      <c r="D4125" s="1">
        <v>6435469504</v>
      </c>
      <c r="E4125" s="1">
        <v>8879.4699999999993</v>
      </c>
      <c r="F4125" s="1" t="s">
        <v>12</v>
      </c>
      <c r="G4125" s="1" t="s">
        <v>12</v>
      </c>
      <c r="H4125" s="1" t="s">
        <v>13</v>
      </c>
      <c r="I4125" s="1" t="s">
        <v>13</v>
      </c>
      <c r="J4125" s="1" t="s">
        <v>27</v>
      </c>
      <c r="K4125" s="1">
        <v>0</v>
      </c>
      <c r="L4125" s="1" t="s">
        <v>21</v>
      </c>
      <c r="M4125" s="1" t="str">
        <f t="shared" si="65"/>
        <v>Consistent</v>
      </c>
      <c r="N4125" s="1" t="str">
        <f>_xlfn.XLOOKUP(H4125, risk_score!A:A, risk_score!B:B, 0)</f>
        <v>Low Risk</v>
      </c>
    </row>
    <row r="4126" spans="1:14">
      <c r="A4126" s="2">
        <v>0.54903935185185182</v>
      </c>
      <c r="B4126" s="3">
        <v>44841</v>
      </c>
      <c r="C4126" s="1">
        <v>8854146908</v>
      </c>
      <c r="D4126" s="1">
        <v>9600420220</v>
      </c>
      <c r="E4126" s="1">
        <v>5128.95</v>
      </c>
      <c r="F4126" s="1" t="s">
        <v>12</v>
      </c>
      <c r="G4126" s="1" t="s">
        <v>12</v>
      </c>
      <c r="H4126" s="1" t="s">
        <v>13</v>
      </c>
      <c r="I4126" s="1" t="s">
        <v>13</v>
      </c>
      <c r="J4126" s="1" t="s">
        <v>20</v>
      </c>
      <c r="K4126" s="1">
        <v>0</v>
      </c>
      <c r="L4126" s="1" t="s">
        <v>23</v>
      </c>
      <c r="M4126" s="1" t="str">
        <f t="shared" si="65"/>
        <v>Consistent</v>
      </c>
      <c r="N4126" s="1" t="str">
        <f>_xlfn.XLOOKUP(H4126, risk_score!A:A, risk_score!B:B, 0)</f>
        <v>Low Risk</v>
      </c>
    </row>
    <row r="4127" spans="1:14">
      <c r="A4127" s="2">
        <v>0.5490856481481482</v>
      </c>
      <c r="B4127" s="3">
        <v>44841</v>
      </c>
      <c r="C4127" s="1">
        <v>5907668433</v>
      </c>
      <c r="D4127" s="1">
        <v>8482785849</v>
      </c>
      <c r="E4127" s="1">
        <v>1260.1099999999999</v>
      </c>
      <c r="F4127" s="1" t="s">
        <v>12</v>
      </c>
      <c r="G4127" s="1" t="s">
        <v>12</v>
      </c>
      <c r="H4127" s="1" t="s">
        <v>13</v>
      </c>
      <c r="I4127" s="1" t="s">
        <v>13</v>
      </c>
      <c r="J4127" s="1" t="s">
        <v>20</v>
      </c>
      <c r="K4127" s="1">
        <v>0</v>
      </c>
      <c r="L4127" s="1" t="s">
        <v>21</v>
      </c>
      <c r="M4127" s="1" t="str">
        <f t="shared" si="65"/>
        <v>Consistent</v>
      </c>
      <c r="N4127" s="1" t="str">
        <f>_xlfn.XLOOKUP(H4127, risk_score!A:A, risk_score!B:B, 0)</f>
        <v>Low Risk</v>
      </c>
    </row>
    <row r="4128" spans="1:14">
      <c r="A4128" s="2">
        <v>0.54913194444444446</v>
      </c>
      <c r="B4128" s="3">
        <v>44841</v>
      </c>
      <c r="C4128" s="1">
        <v>6116657264</v>
      </c>
      <c r="D4128" s="1">
        <v>2283849585</v>
      </c>
      <c r="E4128" s="1">
        <v>4367.0600000000004</v>
      </c>
      <c r="F4128" s="1" t="s">
        <v>12</v>
      </c>
      <c r="G4128" s="1" t="s">
        <v>12</v>
      </c>
      <c r="H4128" s="1" t="s">
        <v>13</v>
      </c>
      <c r="I4128" s="1" t="s">
        <v>13</v>
      </c>
      <c r="J4128" s="1" t="s">
        <v>22</v>
      </c>
      <c r="K4128" s="1">
        <v>0</v>
      </c>
      <c r="L4128" s="1" t="s">
        <v>19</v>
      </c>
      <c r="M4128" s="1" t="str">
        <f t="shared" si="65"/>
        <v>Consistent</v>
      </c>
      <c r="N4128" s="1" t="str">
        <f>_xlfn.XLOOKUP(H4128, risk_score!A:A, risk_score!B:B, 0)</f>
        <v>Low Risk</v>
      </c>
    </row>
    <row r="4129" spans="1:14">
      <c r="A4129" s="2">
        <v>0.54913194444444446</v>
      </c>
      <c r="B4129" s="3">
        <v>44841</v>
      </c>
      <c r="C4129" s="1">
        <v>1215740475</v>
      </c>
      <c r="D4129" s="1">
        <v>6328447605</v>
      </c>
      <c r="E4129" s="1">
        <v>1690.62</v>
      </c>
      <c r="F4129" s="1" t="s">
        <v>12</v>
      </c>
      <c r="G4129" s="1" t="s">
        <v>12</v>
      </c>
      <c r="H4129" s="1" t="s">
        <v>13</v>
      </c>
      <c r="I4129" s="1" t="s">
        <v>13</v>
      </c>
      <c r="J4129" s="1" t="s">
        <v>27</v>
      </c>
      <c r="K4129" s="1">
        <v>0</v>
      </c>
      <c r="L4129" s="1" t="s">
        <v>24</v>
      </c>
      <c r="M4129" s="1" t="str">
        <f t="shared" si="65"/>
        <v>Consistent</v>
      </c>
      <c r="N4129" s="1" t="str">
        <f>_xlfn.XLOOKUP(H4129, risk_score!A:A, risk_score!B:B, 0)</f>
        <v>Low Risk</v>
      </c>
    </row>
    <row r="4130" spans="1:14">
      <c r="A4130" s="2">
        <v>0.54916666666666669</v>
      </c>
      <c r="B4130" s="3">
        <v>44841</v>
      </c>
      <c r="C4130" s="1">
        <v>1465780080</v>
      </c>
      <c r="D4130" s="1">
        <v>6358102783</v>
      </c>
      <c r="E4130" s="1">
        <v>1374.35</v>
      </c>
      <c r="F4130" s="1" t="s">
        <v>12</v>
      </c>
      <c r="G4130" s="1" t="s">
        <v>12</v>
      </c>
      <c r="H4130" s="1" t="s">
        <v>13</v>
      </c>
      <c r="I4130" s="1" t="s">
        <v>13</v>
      </c>
      <c r="J4130" s="1" t="s">
        <v>20</v>
      </c>
      <c r="K4130" s="1">
        <v>0</v>
      </c>
      <c r="L4130" s="1" t="s">
        <v>21</v>
      </c>
      <c r="M4130" s="1" t="str">
        <f t="shared" si="65"/>
        <v>Consistent</v>
      </c>
      <c r="N4130" s="1" t="str">
        <f>_xlfn.XLOOKUP(H4130, risk_score!A:A, risk_score!B:B, 0)</f>
        <v>Low Risk</v>
      </c>
    </row>
    <row r="4131" spans="1:14">
      <c r="A4131" s="2">
        <v>0.54918981481481477</v>
      </c>
      <c r="B4131" s="3">
        <v>44841</v>
      </c>
      <c r="C4131" s="1">
        <v>1855785042</v>
      </c>
      <c r="D4131" s="1">
        <v>6910079988</v>
      </c>
      <c r="E4131" s="1">
        <v>966.08</v>
      </c>
      <c r="F4131" s="1" t="s">
        <v>12</v>
      </c>
      <c r="G4131" s="1" t="s">
        <v>12</v>
      </c>
      <c r="H4131" s="1" t="s">
        <v>13</v>
      </c>
      <c r="I4131" s="1" t="s">
        <v>13</v>
      </c>
      <c r="J4131" s="1" t="s">
        <v>20</v>
      </c>
      <c r="K4131" s="1">
        <v>0</v>
      </c>
      <c r="L4131" s="1" t="s">
        <v>21</v>
      </c>
      <c r="M4131" s="1" t="str">
        <f t="shared" si="65"/>
        <v>Consistent</v>
      </c>
      <c r="N4131" s="1" t="str">
        <f>_xlfn.XLOOKUP(H4131, risk_score!A:A, risk_score!B:B, 0)</f>
        <v>Low Risk</v>
      </c>
    </row>
    <row r="4132" spans="1:14">
      <c r="A4132" s="2">
        <v>0.54920138888888892</v>
      </c>
      <c r="B4132" s="3">
        <v>44841</v>
      </c>
      <c r="C4132" s="1">
        <v>5579698692</v>
      </c>
      <c r="D4132" s="1">
        <v>819478298</v>
      </c>
      <c r="E4132" s="1">
        <v>1639.74</v>
      </c>
      <c r="F4132" s="1" t="s">
        <v>12</v>
      </c>
      <c r="G4132" s="1" t="s">
        <v>12</v>
      </c>
      <c r="H4132" s="1" t="s">
        <v>13</v>
      </c>
      <c r="I4132" s="1" t="s">
        <v>13</v>
      </c>
      <c r="J4132" s="1" t="s">
        <v>22</v>
      </c>
      <c r="K4132" s="1">
        <v>0</v>
      </c>
      <c r="L4132" s="1" t="s">
        <v>21</v>
      </c>
      <c r="M4132" s="1" t="str">
        <f t="shared" si="65"/>
        <v>Consistent</v>
      </c>
      <c r="N4132" s="1" t="str">
        <f>_xlfn.XLOOKUP(H4132, risk_score!A:A, risk_score!B:B, 0)</f>
        <v>Low Risk</v>
      </c>
    </row>
    <row r="4133" spans="1:14">
      <c r="A4133" s="2">
        <v>0.54920138888888892</v>
      </c>
      <c r="B4133" s="3">
        <v>44841</v>
      </c>
      <c r="C4133" s="1">
        <v>7421451752</v>
      </c>
      <c r="D4133" s="1">
        <v>1300373577</v>
      </c>
      <c r="E4133" s="1">
        <v>5793.22</v>
      </c>
      <c r="F4133" s="1" t="s">
        <v>12</v>
      </c>
      <c r="G4133" s="1" t="s">
        <v>12</v>
      </c>
      <c r="H4133" s="1" t="s">
        <v>13</v>
      </c>
      <c r="I4133" s="1" t="s">
        <v>13</v>
      </c>
      <c r="J4133" s="1" t="s">
        <v>27</v>
      </c>
      <c r="K4133" s="1">
        <v>0</v>
      </c>
      <c r="L4133" s="1" t="s">
        <v>19</v>
      </c>
      <c r="M4133" s="1" t="str">
        <f t="shared" si="65"/>
        <v>Consistent</v>
      </c>
      <c r="N4133" s="1" t="str">
        <f>_xlfn.XLOOKUP(H4133, risk_score!A:A, risk_score!B:B, 0)</f>
        <v>Low Risk</v>
      </c>
    </row>
    <row r="4134" spans="1:14">
      <c r="A4134" s="2">
        <v>0.54923611111111115</v>
      </c>
      <c r="B4134" s="3">
        <v>44841</v>
      </c>
      <c r="C4134" s="1">
        <v>7121365992</v>
      </c>
      <c r="D4134" s="1">
        <v>835689379</v>
      </c>
      <c r="E4134" s="1">
        <v>3814.87</v>
      </c>
      <c r="F4134" s="1" t="s">
        <v>12</v>
      </c>
      <c r="G4134" s="1" t="s">
        <v>12</v>
      </c>
      <c r="H4134" s="1" t="s">
        <v>13</v>
      </c>
      <c r="I4134" s="1" t="s">
        <v>13</v>
      </c>
      <c r="J4134" s="1" t="s">
        <v>14</v>
      </c>
      <c r="K4134" s="1">
        <v>0</v>
      </c>
      <c r="L4134" s="1" t="s">
        <v>15</v>
      </c>
      <c r="M4134" s="1" t="str">
        <f t="shared" si="65"/>
        <v>Consistent</v>
      </c>
      <c r="N4134" s="1" t="str">
        <f>_xlfn.XLOOKUP(H4134, risk_score!A:A, risk_score!B:B, 0)</f>
        <v>Low Risk</v>
      </c>
    </row>
    <row r="4135" spans="1:14">
      <c r="A4135" s="2">
        <v>0.54923611111111115</v>
      </c>
      <c r="B4135" s="3">
        <v>44841</v>
      </c>
      <c r="C4135" s="1">
        <v>4158383100</v>
      </c>
      <c r="D4135" s="1">
        <v>754868782</v>
      </c>
      <c r="E4135" s="1">
        <v>2917.04</v>
      </c>
      <c r="F4135" s="1" t="s">
        <v>12</v>
      </c>
      <c r="G4135" s="1" t="s">
        <v>42</v>
      </c>
      <c r="H4135" s="1" t="s">
        <v>13</v>
      </c>
      <c r="I4135" s="1" t="s">
        <v>43</v>
      </c>
      <c r="J4135" s="1" t="s">
        <v>18</v>
      </c>
      <c r="K4135" s="1">
        <v>0</v>
      </c>
      <c r="L4135" s="1" t="s">
        <v>21</v>
      </c>
      <c r="M4135" s="1" t="str">
        <f t="shared" si="65"/>
        <v>Potential Layering</v>
      </c>
      <c r="N4135" s="1" t="str">
        <f>_xlfn.XLOOKUP(H4135, risk_score!A:A, risk_score!B:B, 0)</f>
        <v>Low Risk</v>
      </c>
    </row>
    <row r="4136" spans="1:14">
      <c r="A4136" s="2">
        <v>0.54928240740740741</v>
      </c>
      <c r="B4136" s="3">
        <v>44841</v>
      </c>
      <c r="C4136" s="1">
        <v>9013887873</v>
      </c>
      <c r="D4136" s="1">
        <v>737392273</v>
      </c>
      <c r="E4136" s="1">
        <v>498.24</v>
      </c>
      <c r="F4136" s="1" t="s">
        <v>12</v>
      </c>
      <c r="G4136" s="1" t="s">
        <v>12</v>
      </c>
      <c r="H4136" s="1" t="s">
        <v>13</v>
      </c>
      <c r="I4136" s="1" t="s">
        <v>13</v>
      </c>
      <c r="J4136" s="1" t="s">
        <v>27</v>
      </c>
      <c r="K4136" s="1">
        <v>0</v>
      </c>
      <c r="L4136" s="1" t="s">
        <v>21</v>
      </c>
      <c r="M4136" s="1" t="str">
        <f t="shared" si="65"/>
        <v>Consistent</v>
      </c>
      <c r="N4136" s="1" t="str">
        <f>_xlfn.XLOOKUP(H4136, risk_score!A:A, risk_score!B:B, 0)</f>
        <v>Low Risk</v>
      </c>
    </row>
    <row r="4137" spans="1:14">
      <c r="A4137" s="2">
        <v>0.54937499999999995</v>
      </c>
      <c r="B4137" s="3">
        <v>44841</v>
      </c>
      <c r="C4137" s="1">
        <v>9416949366</v>
      </c>
      <c r="D4137" s="1">
        <v>1164020053</v>
      </c>
      <c r="E4137" s="1">
        <v>12164.33</v>
      </c>
      <c r="F4137" s="1" t="s">
        <v>12</v>
      </c>
      <c r="G4137" s="1" t="s">
        <v>12</v>
      </c>
      <c r="H4137" s="1" t="s">
        <v>13</v>
      </c>
      <c r="I4137" s="1" t="s">
        <v>13</v>
      </c>
      <c r="J4137" s="1" t="s">
        <v>25</v>
      </c>
      <c r="K4137" s="1">
        <v>0</v>
      </c>
      <c r="L4137" s="1" t="s">
        <v>24</v>
      </c>
      <c r="M4137" s="1" t="str">
        <f t="shared" si="65"/>
        <v>Consistent</v>
      </c>
      <c r="N4137" s="1" t="str">
        <f>_xlfn.XLOOKUP(H4137, risk_score!A:A, risk_score!B:B, 0)</f>
        <v>Low Risk</v>
      </c>
    </row>
    <row r="4138" spans="1:14">
      <c r="A4138" s="2">
        <v>0.54939814814814814</v>
      </c>
      <c r="B4138" s="3">
        <v>44841</v>
      </c>
      <c r="C4138" s="1">
        <v>750883711</v>
      </c>
      <c r="D4138" s="1">
        <v>5985734440</v>
      </c>
      <c r="E4138" s="1">
        <v>15694.78</v>
      </c>
      <c r="F4138" s="1" t="s">
        <v>12</v>
      </c>
      <c r="G4138" s="1" t="s">
        <v>12</v>
      </c>
      <c r="H4138" s="1" t="s">
        <v>13</v>
      </c>
      <c r="I4138" s="1" t="s">
        <v>13</v>
      </c>
      <c r="J4138" s="1" t="s">
        <v>22</v>
      </c>
      <c r="K4138" s="1">
        <v>0</v>
      </c>
      <c r="L4138" s="1" t="s">
        <v>21</v>
      </c>
      <c r="M4138" s="1" t="str">
        <f t="shared" si="65"/>
        <v>Consistent</v>
      </c>
      <c r="N4138" s="1" t="str">
        <f>_xlfn.XLOOKUP(H4138, risk_score!A:A, risk_score!B:B, 0)</f>
        <v>Low Risk</v>
      </c>
    </row>
    <row r="4139" spans="1:14">
      <c r="A4139" s="2">
        <v>0.54940972222222217</v>
      </c>
      <c r="B4139" s="3">
        <v>44841</v>
      </c>
      <c r="C4139" s="1">
        <v>8456279067</v>
      </c>
      <c r="D4139" s="1">
        <v>4358275767</v>
      </c>
      <c r="E4139" s="1">
        <v>13358.44</v>
      </c>
      <c r="F4139" s="1" t="s">
        <v>12</v>
      </c>
      <c r="G4139" s="1" t="s">
        <v>12</v>
      </c>
      <c r="H4139" s="1" t="s">
        <v>13</v>
      </c>
      <c r="I4139" s="1" t="s">
        <v>13</v>
      </c>
      <c r="J4139" s="1" t="s">
        <v>22</v>
      </c>
      <c r="K4139" s="1">
        <v>0</v>
      </c>
      <c r="L4139" s="1" t="s">
        <v>19</v>
      </c>
      <c r="M4139" s="1" t="str">
        <f t="shared" si="65"/>
        <v>Consistent</v>
      </c>
      <c r="N4139" s="1" t="str">
        <f>_xlfn.XLOOKUP(H4139, risk_score!A:A, risk_score!B:B, 0)</f>
        <v>Low Risk</v>
      </c>
    </row>
    <row r="4140" spans="1:14">
      <c r="A4140" s="2">
        <v>0.54942129629629632</v>
      </c>
      <c r="B4140" s="3">
        <v>44841</v>
      </c>
      <c r="C4140" s="1">
        <v>5309124465</v>
      </c>
      <c r="D4140" s="1">
        <v>2534644942</v>
      </c>
      <c r="E4140" s="1">
        <v>9683.4500000000007</v>
      </c>
      <c r="F4140" s="1" t="s">
        <v>12</v>
      </c>
      <c r="G4140" s="1" t="s">
        <v>29</v>
      </c>
      <c r="H4140" s="1" t="s">
        <v>13</v>
      </c>
      <c r="I4140" s="1" t="s">
        <v>31</v>
      </c>
      <c r="J4140" s="1" t="s">
        <v>18</v>
      </c>
      <c r="K4140" s="1">
        <v>0</v>
      </c>
      <c r="L4140" s="1" t="s">
        <v>23</v>
      </c>
      <c r="M4140" s="1" t="str">
        <f t="shared" si="65"/>
        <v>Potential Layering</v>
      </c>
      <c r="N4140" s="1" t="str">
        <f>_xlfn.XLOOKUP(H4140, risk_score!A:A, risk_score!B:B, 0)</f>
        <v>Low Risk</v>
      </c>
    </row>
    <row r="4141" spans="1:14">
      <c r="A4141" s="2">
        <v>0.54945601851851855</v>
      </c>
      <c r="B4141" s="3">
        <v>44841</v>
      </c>
      <c r="C4141" s="1">
        <v>8203229522</v>
      </c>
      <c r="D4141" s="1">
        <v>1470548333</v>
      </c>
      <c r="E4141" s="1">
        <v>5310.13</v>
      </c>
      <c r="F4141" s="1" t="s">
        <v>12</v>
      </c>
      <c r="G4141" s="1" t="s">
        <v>12</v>
      </c>
      <c r="H4141" s="1" t="s">
        <v>13</v>
      </c>
      <c r="I4141" s="1" t="s">
        <v>13</v>
      </c>
      <c r="J4141" s="1" t="s">
        <v>25</v>
      </c>
      <c r="K4141" s="1">
        <v>0</v>
      </c>
      <c r="L4141" s="1" t="s">
        <v>19</v>
      </c>
      <c r="M4141" s="1" t="str">
        <f t="shared" si="65"/>
        <v>Consistent</v>
      </c>
      <c r="N4141" s="1" t="str">
        <f>_xlfn.XLOOKUP(H4141, risk_score!A:A, risk_score!B:B, 0)</f>
        <v>Low Risk</v>
      </c>
    </row>
    <row r="4142" spans="1:14">
      <c r="A4142" s="2">
        <v>0.54945601851851855</v>
      </c>
      <c r="B4142" s="3">
        <v>44841</v>
      </c>
      <c r="C4142" s="1">
        <v>865679101</v>
      </c>
      <c r="D4142" s="1">
        <v>1750168908</v>
      </c>
      <c r="E4142" s="1">
        <v>1348.76</v>
      </c>
      <c r="F4142" s="1" t="s">
        <v>12</v>
      </c>
      <c r="G4142" s="1" t="s">
        <v>12</v>
      </c>
      <c r="H4142" s="1" t="s">
        <v>13</v>
      </c>
      <c r="I4142" s="1" t="s">
        <v>13</v>
      </c>
      <c r="J4142" s="1" t="s">
        <v>22</v>
      </c>
      <c r="K4142" s="1">
        <v>0</v>
      </c>
      <c r="L4142" s="1" t="s">
        <v>24</v>
      </c>
      <c r="M4142" s="1" t="str">
        <f t="shared" si="65"/>
        <v>Consistent</v>
      </c>
      <c r="N4142" s="1" t="str">
        <f>_xlfn.XLOOKUP(H4142, risk_score!A:A, risk_score!B:B, 0)</f>
        <v>Low Risk</v>
      </c>
    </row>
    <row r="4143" spans="1:14">
      <c r="A4143" s="2">
        <v>0.54946759259259259</v>
      </c>
      <c r="B4143" s="3">
        <v>44841</v>
      </c>
      <c r="C4143" s="1">
        <v>9352882360</v>
      </c>
      <c r="D4143" s="1">
        <v>1800807719</v>
      </c>
      <c r="E4143" s="1">
        <v>3769.93</v>
      </c>
      <c r="F4143" s="1" t="s">
        <v>12</v>
      </c>
      <c r="G4143" s="1" t="s">
        <v>12</v>
      </c>
      <c r="H4143" s="1" t="s">
        <v>13</v>
      </c>
      <c r="I4143" s="1" t="s">
        <v>13</v>
      </c>
      <c r="J4143" s="1" t="s">
        <v>22</v>
      </c>
      <c r="K4143" s="1">
        <v>0</v>
      </c>
      <c r="L4143" s="1" t="s">
        <v>21</v>
      </c>
      <c r="M4143" s="1" t="str">
        <f t="shared" si="65"/>
        <v>Consistent</v>
      </c>
      <c r="N4143" s="1" t="str">
        <f>_xlfn.XLOOKUP(H4143, risk_score!A:A, risk_score!B:B, 0)</f>
        <v>Low Risk</v>
      </c>
    </row>
    <row r="4144" spans="1:14">
      <c r="A4144" s="2">
        <v>0.54949074074074078</v>
      </c>
      <c r="B4144" s="3">
        <v>44841</v>
      </c>
      <c r="C4144" s="1">
        <v>4727686386</v>
      </c>
      <c r="D4144" s="1">
        <v>7500989871</v>
      </c>
      <c r="E4144" s="1">
        <v>1382.28</v>
      </c>
      <c r="F4144" s="1" t="s">
        <v>12</v>
      </c>
      <c r="G4144" s="1" t="s">
        <v>12</v>
      </c>
      <c r="H4144" s="1" t="s">
        <v>13</v>
      </c>
      <c r="I4144" s="1" t="s">
        <v>13</v>
      </c>
      <c r="J4144" s="1" t="s">
        <v>22</v>
      </c>
      <c r="K4144" s="1">
        <v>0</v>
      </c>
      <c r="L4144" s="1" t="s">
        <v>38</v>
      </c>
      <c r="M4144" s="1" t="str">
        <f t="shared" si="65"/>
        <v>Consistent</v>
      </c>
      <c r="N4144" s="1" t="str">
        <f>_xlfn.XLOOKUP(H4144, risk_score!A:A, risk_score!B:B, 0)</f>
        <v>Low Risk</v>
      </c>
    </row>
    <row r="4145" spans="1:14">
      <c r="A4145" s="2">
        <v>0.54950231481481482</v>
      </c>
      <c r="B4145" s="3">
        <v>44841</v>
      </c>
      <c r="C4145" s="1">
        <v>3709430533</v>
      </c>
      <c r="D4145" s="1">
        <v>8716511495</v>
      </c>
      <c r="E4145" s="1">
        <v>9584.07</v>
      </c>
      <c r="F4145" s="1" t="s">
        <v>12</v>
      </c>
      <c r="G4145" s="1" t="s">
        <v>12</v>
      </c>
      <c r="H4145" s="1" t="s">
        <v>13</v>
      </c>
      <c r="I4145" s="1" t="s">
        <v>13</v>
      </c>
      <c r="J4145" s="1" t="s">
        <v>22</v>
      </c>
      <c r="K4145" s="1">
        <v>0</v>
      </c>
      <c r="L4145" s="1" t="s">
        <v>19</v>
      </c>
      <c r="M4145" s="1" t="str">
        <f t="shared" si="65"/>
        <v>Consistent</v>
      </c>
      <c r="N4145" s="1" t="str">
        <f>_xlfn.XLOOKUP(H4145, risk_score!A:A, risk_score!B:B, 0)</f>
        <v>Low Risk</v>
      </c>
    </row>
    <row r="4146" spans="1:14">
      <c r="A4146" s="2">
        <v>0.54952546296296301</v>
      </c>
      <c r="B4146" s="3">
        <v>44841</v>
      </c>
      <c r="C4146" s="1">
        <v>4007288126</v>
      </c>
      <c r="D4146" s="1">
        <v>6458903778</v>
      </c>
      <c r="E4146" s="1">
        <v>1913.43</v>
      </c>
      <c r="F4146" s="1" t="s">
        <v>12</v>
      </c>
      <c r="G4146" s="1" t="s">
        <v>12</v>
      </c>
      <c r="H4146" s="1" t="s">
        <v>13</v>
      </c>
      <c r="I4146" s="1" t="s">
        <v>13</v>
      </c>
      <c r="J4146" s="1" t="s">
        <v>20</v>
      </c>
      <c r="K4146" s="1">
        <v>0</v>
      </c>
      <c r="L4146" s="1" t="s">
        <v>21</v>
      </c>
      <c r="M4146" s="1" t="str">
        <f t="shared" si="65"/>
        <v>Consistent</v>
      </c>
      <c r="N4146" s="1" t="str">
        <f>_xlfn.XLOOKUP(H4146, risk_score!A:A, risk_score!B:B, 0)</f>
        <v>Low Risk</v>
      </c>
    </row>
    <row r="4147" spans="1:14">
      <c r="A4147" s="2">
        <v>0.54954861111111108</v>
      </c>
      <c r="B4147" s="3">
        <v>44841</v>
      </c>
      <c r="C4147" s="1">
        <v>1738940565</v>
      </c>
      <c r="D4147" s="1">
        <v>409707192</v>
      </c>
      <c r="E4147" s="1">
        <v>21095.95</v>
      </c>
      <c r="F4147" s="1" t="s">
        <v>12</v>
      </c>
      <c r="G4147" s="1" t="s">
        <v>12</v>
      </c>
      <c r="H4147" s="1" t="s">
        <v>13</v>
      </c>
      <c r="I4147" s="1" t="s">
        <v>13</v>
      </c>
      <c r="J4147" s="1" t="s">
        <v>22</v>
      </c>
      <c r="K4147" s="1">
        <v>0</v>
      </c>
      <c r="L4147" s="1" t="s">
        <v>23</v>
      </c>
      <c r="M4147" s="1" t="str">
        <f t="shared" si="65"/>
        <v>Consistent</v>
      </c>
      <c r="N4147" s="1" t="str">
        <f>_xlfn.XLOOKUP(H4147, risk_score!A:A, risk_score!B:B, 0)</f>
        <v>Low Risk</v>
      </c>
    </row>
    <row r="4148" spans="1:14">
      <c r="A4148" s="2">
        <v>0.54961805555555554</v>
      </c>
      <c r="B4148" s="3">
        <v>44841</v>
      </c>
      <c r="C4148" s="1">
        <v>5982914936</v>
      </c>
      <c r="D4148" s="1">
        <v>9491670243</v>
      </c>
      <c r="E4148" s="1">
        <v>9715.7000000000007</v>
      </c>
      <c r="F4148" s="1" t="s">
        <v>12</v>
      </c>
      <c r="G4148" s="1" t="s">
        <v>12</v>
      </c>
      <c r="H4148" s="1" t="s">
        <v>13</v>
      </c>
      <c r="I4148" s="1" t="s">
        <v>13</v>
      </c>
      <c r="J4148" s="1" t="s">
        <v>22</v>
      </c>
      <c r="K4148" s="1">
        <v>0</v>
      </c>
      <c r="L4148" s="1" t="s">
        <v>19</v>
      </c>
      <c r="M4148" s="1" t="str">
        <f t="shared" si="65"/>
        <v>Consistent</v>
      </c>
      <c r="N4148" s="1" t="str">
        <f>_xlfn.XLOOKUP(H4148, risk_score!A:A, risk_score!B:B, 0)</f>
        <v>Low Risk</v>
      </c>
    </row>
    <row r="4149" spans="1:14">
      <c r="A4149" s="2">
        <v>0.54962962962962958</v>
      </c>
      <c r="B4149" s="3">
        <v>44841</v>
      </c>
      <c r="C4149" s="1">
        <v>8895949237</v>
      </c>
      <c r="D4149" s="1">
        <v>6421031924</v>
      </c>
      <c r="E4149" s="1">
        <v>1946.77</v>
      </c>
      <c r="F4149" s="1" t="s">
        <v>12</v>
      </c>
      <c r="G4149" s="1" t="s">
        <v>12</v>
      </c>
      <c r="H4149" s="1" t="s">
        <v>13</v>
      </c>
      <c r="I4149" s="1" t="s">
        <v>13</v>
      </c>
      <c r="J4149" s="1" t="s">
        <v>25</v>
      </c>
      <c r="K4149" s="1">
        <v>0</v>
      </c>
      <c r="L4149" s="1" t="s">
        <v>21</v>
      </c>
      <c r="M4149" s="1" t="str">
        <f t="shared" si="65"/>
        <v>Consistent</v>
      </c>
      <c r="N4149" s="1" t="str">
        <f>_xlfn.XLOOKUP(H4149, risk_score!A:A, risk_score!B:B, 0)</f>
        <v>Low Risk</v>
      </c>
    </row>
    <row r="4150" spans="1:14">
      <c r="A4150" s="2">
        <v>0.54962962962962958</v>
      </c>
      <c r="B4150" s="3">
        <v>44841</v>
      </c>
      <c r="C4150" s="1">
        <v>8600542721</v>
      </c>
      <c r="D4150" s="1">
        <v>8493083192</v>
      </c>
      <c r="E4150" s="1">
        <v>3169.73</v>
      </c>
      <c r="F4150" s="1" t="s">
        <v>12</v>
      </c>
      <c r="G4150" s="1" t="s">
        <v>12</v>
      </c>
      <c r="H4150" s="1" t="s">
        <v>13</v>
      </c>
      <c r="I4150" s="1" t="s">
        <v>13</v>
      </c>
      <c r="J4150" s="1" t="s">
        <v>27</v>
      </c>
      <c r="K4150" s="1">
        <v>0</v>
      </c>
      <c r="L4150" s="1" t="s">
        <v>24</v>
      </c>
      <c r="M4150" s="1" t="str">
        <f t="shared" si="65"/>
        <v>Consistent</v>
      </c>
      <c r="N4150" s="1" t="str">
        <f>_xlfn.XLOOKUP(H4150, risk_score!A:A, risk_score!B:B, 0)</f>
        <v>Low Risk</v>
      </c>
    </row>
    <row r="4151" spans="1:14">
      <c r="A4151" s="2">
        <v>0.54967592592592596</v>
      </c>
      <c r="B4151" s="3">
        <v>44841</v>
      </c>
      <c r="C4151" s="1">
        <v>5411794037</v>
      </c>
      <c r="D4151" s="1">
        <v>8352571580</v>
      </c>
      <c r="E4151" s="1">
        <v>7305.24</v>
      </c>
      <c r="F4151" s="1" t="s">
        <v>12</v>
      </c>
      <c r="G4151" s="1" t="s">
        <v>12</v>
      </c>
      <c r="H4151" s="1" t="s">
        <v>13</v>
      </c>
      <c r="I4151" s="1" t="s">
        <v>13</v>
      </c>
      <c r="J4151" s="1" t="s">
        <v>22</v>
      </c>
      <c r="K4151" s="1">
        <v>0</v>
      </c>
      <c r="L4151" s="1" t="s">
        <v>23</v>
      </c>
      <c r="M4151" s="1" t="str">
        <f t="shared" si="65"/>
        <v>Consistent</v>
      </c>
      <c r="N4151" s="1" t="str">
        <f>_xlfn.XLOOKUP(H4151, risk_score!A:A, risk_score!B:B, 0)</f>
        <v>Low Risk</v>
      </c>
    </row>
    <row r="4152" spans="1:14">
      <c r="A4152" s="2">
        <v>0.54967592592592596</v>
      </c>
      <c r="B4152" s="3">
        <v>44841</v>
      </c>
      <c r="C4152" s="1">
        <v>8643836860</v>
      </c>
      <c r="D4152" s="1">
        <v>5606274799</v>
      </c>
      <c r="E4152" s="1">
        <v>3374.11</v>
      </c>
      <c r="F4152" s="1" t="s">
        <v>12</v>
      </c>
      <c r="G4152" s="1" t="s">
        <v>12</v>
      </c>
      <c r="H4152" s="1" t="s">
        <v>13</v>
      </c>
      <c r="I4152" s="1" t="s">
        <v>13</v>
      </c>
      <c r="J4152" s="1" t="s">
        <v>20</v>
      </c>
      <c r="K4152" s="1">
        <v>0</v>
      </c>
      <c r="L4152" s="1" t="s">
        <v>21</v>
      </c>
      <c r="M4152" s="1" t="str">
        <f t="shared" si="65"/>
        <v>Consistent</v>
      </c>
      <c r="N4152" s="1" t="str">
        <f>_xlfn.XLOOKUP(H4152, risk_score!A:A, risk_score!B:B, 0)</f>
        <v>Low Risk</v>
      </c>
    </row>
    <row r="4153" spans="1:14">
      <c r="A4153" s="2">
        <v>0.54969907407407403</v>
      </c>
      <c r="B4153" s="3">
        <v>44841</v>
      </c>
      <c r="C4153" s="1">
        <v>7877307782</v>
      </c>
      <c r="D4153" s="1">
        <v>1420822472</v>
      </c>
      <c r="E4153" s="1">
        <v>4611.9399999999996</v>
      </c>
      <c r="F4153" s="1" t="s">
        <v>12</v>
      </c>
      <c r="G4153" s="1" t="s">
        <v>12</v>
      </c>
      <c r="H4153" s="1" t="s">
        <v>13</v>
      </c>
      <c r="I4153" s="1" t="s">
        <v>13</v>
      </c>
      <c r="J4153" s="1" t="s">
        <v>22</v>
      </c>
      <c r="K4153" s="1">
        <v>0</v>
      </c>
      <c r="L4153" s="1" t="s">
        <v>21</v>
      </c>
      <c r="M4153" s="1" t="str">
        <f t="shared" si="65"/>
        <v>Consistent</v>
      </c>
      <c r="N4153" s="1" t="str">
        <f>_xlfn.XLOOKUP(H4153, risk_score!A:A, risk_score!B:B, 0)</f>
        <v>Low Risk</v>
      </c>
    </row>
    <row r="4154" spans="1:14">
      <c r="A4154" s="2">
        <v>0.54975694444444445</v>
      </c>
      <c r="B4154" s="3">
        <v>44841</v>
      </c>
      <c r="C4154" s="1">
        <v>7228171825</v>
      </c>
      <c r="D4154" s="1">
        <v>937896594</v>
      </c>
      <c r="E4154" s="1">
        <v>3662.84</v>
      </c>
      <c r="F4154" s="1" t="s">
        <v>12</v>
      </c>
      <c r="G4154" s="1" t="s">
        <v>12</v>
      </c>
      <c r="H4154" s="1" t="s">
        <v>13</v>
      </c>
      <c r="I4154" s="1" t="s">
        <v>13</v>
      </c>
      <c r="J4154" s="1" t="s">
        <v>20</v>
      </c>
      <c r="K4154" s="1">
        <v>0</v>
      </c>
      <c r="L4154" s="1" t="s">
        <v>24</v>
      </c>
      <c r="M4154" s="1" t="str">
        <f t="shared" si="65"/>
        <v>Consistent</v>
      </c>
      <c r="N4154" s="1" t="str">
        <f>_xlfn.XLOOKUP(H4154, risk_score!A:A, risk_score!B:B, 0)</f>
        <v>Low Risk</v>
      </c>
    </row>
    <row r="4155" spans="1:14">
      <c r="A4155" s="2">
        <v>0.54978009259259264</v>
      </c>
      <c r="B4155" s="3">
        <v>44841</v>
      </c>
      <c r="C4155" s="1">
        <v>7501327339</v>
      </c>
      <c r="D4155" s="1">
        <v>3546968911</v>
      </c>
      <c r="E4155" s="1">
        <v>5059.12</v>
      </c>
      <c r="F4155" s="1" t="s">
        <v>12</v>
      </c>
      <c r="G4155" s="1" t="s">
        <v>29</v>
      </c>
      <c r="H4155" s="1" t="s">
        <v>13</v>
      </c>
      <c r="I4155" s="1" t="s">
        <v>50</v>
      </c>
      <c r="J4155" s="1" t="s">
        <v>18</v>
      </c>
      <c r="K4155" s="1">
        <v>0</v>
      </c>
      <c r="L4155" s="1" t="s">
        <v>19</v>
      </c>
      <c r="M4155" s="1" t="str">
        <f t="shared" si="65"/>
        <v>Potential Layering</v>
      </c>
      <c r="N4155" s="1" t="str">
        <f>_xlfn.XLOOKUP(H4155, risk_score!A:A, risk_score!B:B, 0)</f>
        <v>Low Risk</v>
      </c>
    </row>
    <row r="4156" spans="1:14">
      <c r="A4156" s="2">
        <v>0.54981481481481487</v>
      </c>
      <c r="B4156" s="3">
        <v>44841</v>
      </c>
      <c r="C4156" s="1">
        <v>936440682</v>
      </c>
      <c r="D4156" s="1">
        <v>4336977506</v>
      </c>
      <c r="E4156" s="1">
        <v>7453.82</v>
      </c>
      <c r="F4156" s="1" t="s">
        <v>12</v>
      </c>
      <c r="G4156" s="1" t="s">
        <v>12</v>
      </c>
      <c r="H4156" s="1" t="s">
        <v>13</v>
      </c>
      <c r="I4156" s="1" t="s">
        <v>13</v>
      </c>
      <c r="J4156" s="1" t="s">
        <v>25</v>
      </c>
      <c r="K4156" s="1">
        <v>0</v>
      </c>
      <c r="L4156" s="1" t="s">
        <v>23</v>
      </c>
      <c r="M4156" s="1" t="str">
        <f t="shared" si="65"/>
        <v>Consistent</v>
      </c>
      <c r="N4156" s="1" t="str">
        <f>_xlfn.XLOOKUP(H4156, risk_score!A:A, risk_score!B:B, 0)</f>
        <v>Low Risk</v>
      </c>
    </row>
    <row r="4157" spans="1:14">
      <c r="A4157" s="2">
        <v>0.54989583333333336</v>
      </c>
      <c r="B4157" s="3">
        <v>44841</v>
      </c>
      <c r="C4157" s="1">
        <v>8389148416</v>
      </c>
      <c r="D4157" s="1">
        <v>8705942251</v>
      </c>
      <c r="E4157" s="1">
        <v>7397.84</v>
      </c>
      <c r="F4157" s="1" t="s">
        <v>12</v>
      </c>
      <c r="G4157" s="1" t="s">
        <v>12</v>
      </c>
      <c r="H4157" s="1" t="s">
        <v>13</v>
      </c>
      <c r="I4157" s="1" t="s">
        <v>13</v>
      </c>
      <c r="J4157" s="1" t="s">
        <v>25</v>
      </c>
      <c r="K4157" s="1">
        <v>0</v>
      </c>
      <c r="L4157" s="1" t="s">
        <v>19</v>
      </c>
      <c r="M4157" s="1" t="str">
        <f t="shared" si="65"/>
        <v>Consistent</v>
      </c>
      <c r="N4157" s="1" t="str">
        <f>_xlfn.XLOOKUP(H4157, risk_score!A:A, risk_score!B:B, 0)</f>
        <v>Low Risk</v>
      </c>
    </row>
    <row r="4158" spans="1:14">
      <c r="A4158" s="2">
        <v>0.54993055555555559</v>
      </c>
      <c r="B4158" s="3">
        <v>44841</v>
      </c>
      <c r="C4158" s="1">
        <v>2882785178</v>
      </c>
      <c r="D4158" s="1">
        <v>3329252232</v>
      </c>
      <c r="E4158" s="1">
        <v>11798.74</v>
      </c>
      <c r="F4158" s="1" t="s">
        <v>12</v>
      </c>
      <c r="G4158" s="1" t="s">
        <v>12</v>
      </c>
      <c r="H4158" s="1" t="s">
        <v>13</v>
      </c>
      <c r="I4158" s="1" t="s">
        <v>13</v>
      </c>
      <c r="J4158" s="1" t="s">
        <v>27</v>
      </c>
      <c r="K4158" s="1">
        <v>0</v>
      </c>
      <c r="L4158" s="1" t="s">
        <v>21</v>
      </c>
      <c r="M4158" s="1" t="str">
        <f t="shared" si="65"/>
        <v>Consistent</v>
      </c>
      <c r="N4158" s="1" t="str">
        <f>_xlfn.XLOOKUP(H4158, risk_score!A:A, risk_score!B:B, 0)</f>
        <v>Low Risk</v>
      </c>
    </row>
    <row r="4159" spans="1:14">
      <c r="A4159" s="2">
        <v>0.54993055555555559</v>
      </c>
      <c r="B4159" s="3">
        <v>44841</v>
      </c>
      <c r="C4159" s="1">
        <v>6835365369</v>
      </c>
      <c r="D4159" s="1">
        <v>1696366856</v>
      </c>
      <c r="E4159" s="1">
        <v>2876.34</v>
      </c>
      <c r="F4159" s="1" t="s">
        <v>12</v>
      </c>
      <c r="G4159" s="1" t="s">
        <v>12</v>
      </c>
      <c r="H4159" s="1" t="s">
        <v>13</v>
      </c>
      <c r="I4159" s="1" t="s">
        <v>13</v>
      </c>
      <c r="J4159" s="1" t="s">
        <v>22</v>
      </c>
      <c r="K4159" s="1">
        <v>0</v>
      </c>
      <c r="L4159" s="1" t="s">
        <v>24</v>
      </c>
      <c r="M4159" s="1" t="str">
        <f t="shared" ref="M4159:M4222" si="66">IF(F4159=G4159, "Consistent", "Potential Layering")</f>
        <v>Consistent</v>
      </c>
      <c r="N4159" s="1" t="str">
        <f>_xlfn.XLOOKUP(H4159, risk_score!A:A, risk_score!B:B, 0)</f>
        <v>Low Risk</v>
      </c>
    </row>
    <row r="4160" spans="1:14">
      <c r="A4160" s="2">
        <v>0.54994212962962963</v>
      </c>
      <c r="B4160" s="3">
        <v>44841</v>
      </c>
      <c r="C4160" s="1">
        <v>8987848252</v>
      </c>
      <c r="D4160" s="1">
        <v>7140265767</v>
      </c>
      <c r="E4160" s="1">
        <v>5323.75</v>
      </c>
      <c r="F4160" s="1" t="s">
        <v>12</v>
      </c>
      <c r="G4160" s="1" t="s">
        <v>12</v>
      </c>
      <c r="H4160" s="1" t="s">
        <v>13</v>
      </c>
      <c r="I4160" s="1" t="s">
        <v>13</v>
      </c>
      <c r="J4160" s="1" t="s">
        <v>22</v>
      </c>
      <c r="K4160" s="1">
        <v>0</v>
      </c>
      <c r="L4160" s="1" t="s">
        <v>19</v>
      </c>
      <c r="M4160" s="1" t="str">
        <f t="shared" si="66"/>
        <v>Consistent</v>
      </c>
      <c r="N4160" s="1" t="str">
        <f>_xlfn.XLOOKUP(H4160, risk_score!A:A, risk_score!B:B, 0)</f>
        <v>Low Risk</v>
      </c>
    </row>
    <row r="4161" spans="1:14">
      <c r="A4161" s="2">
        <v>0.54996527777777782</v>
      </c>
      <c r="B4161" s="3">
        <v>44841</v>
      </c>
      <c r="C4161" s="1">
        <v>5764479195</v>
      </c>
      <c r="D4161" s="1">
        <v>6855935396</v>
      </c>
      <c r="E4161" s="1">
        <v>5812.65</v>
      </c>
      <c r="F4161" s="1" t="s">
        <v>12</v>
      </c>
      <c r="G4161" s="1" t="s">
        <v>12</v>
      </c>
      <c r="H4161" s="1" t="s">
        <v>13</v>
      </c>
      <c r="I4161" s="1" t="s">
        <v>13</v>
      </c>
      <c r="J4161" s="1" t="s">
        <v>20</v>
      </c>
      <c r="K4161" s="1">
        <v>0</v>
      </c>
      <c r="L4161" s="1" t="s">
        <v>23</v>
      </c>
      <c r="M4161" s="1" t="str">
        <f t="shared" si="66"/>
        <v>Consistent</v>
      </c>
      <c r="N4161" s="1" t="str">
        <f>_xlfn.XLOOKUP(H4161, risk_score!A:A, risk_score!B:B, 0)</f>
        <v>Low Risk</v>
      </c>
    </row>
    <row r="4162" spans="1:14">
      <c r="A4162" s="2">
        <v>0.55002314814814812</v>
      </c>
      <c r="B4162" s="3">
        <v>44841</v>
      </c>
      <c r="C4162" s="1">
        <v>6086421020</v>
      </c>
      <c r="D4162" s="1">
        <v>7011505686</v>
      </c>
      <c r="E4162" s="1">
        <v>11389.03</v>
      </c>
      <c r="F4162" s="1" t="s">
        <v>12</v>
      </c>
      <c r="G4162" s="1" t="s">
        <v>29</v>
      </c>
      <c r="H4162" s="1" t="s">
        <v>13</v>
      </c>
      <c r="I4162" s="1" t="s">
        <v>48</v>
      </c>
      <c r="J4162" s="1" t="s">
        <v>18</v>
      </c>
      <c r="K4162" s="1">
        <v>0</v>
      </c>
      <c r="L4162" s="1" t="s">
        <v>19</v>
      </c>
      <c r="M4162" s="1" t="str">
        <f t="shared" si="66"/>
        <v>Potential Layering</v>
      </c>
      <c r="N4162" s="1" t="str">
        <f>_xlfn.XLOOKUP(H4162, risk_score!A:A, risk_score!B:B, 0)</f>
        <v>Low Risk</v>
      </c>
    </row>
    <row r="4163" spans="1:14">
      <c r="A4163" s="2">
        <v>0.55003472222222227</v>
      </c>
      <c r="B4163" s="3">
        <v>44841</v>
      </c>
      <c r="C4163" s="1">
        <v>630043131</v>
      </c>
      <c r="D4163" s="1">
        <v>9351862145</v>
      </c>
      <c r="E4163" s="1">
        <v>2820.46</v>
      </c>
      <c r="F4163" s="1" t="s">
        <v>12</v>
      </c>
      <c r="G4163" s="1" t="s">
        <v>12</v>
      </c>
      <c r="H4163" s="1" t="s">
        <v>13</v>
      </c>
      <c r="I4163" s="1" t="s">
        <v>13</v>
      </c>
      <c r="J4163" s="1" t="s">
        <v>25</v>
      </c>
      <c r="K4163" s="1">
        <v>0</v>
      </c>
      <c r="L4163" s="1" t="s">
        <v>21</v>
      </c>
      <c r="M4163" s="1" t="str">
        <f t="shared" si="66"/>
        <v>Consistent</v>
      </c>
      <c r="N4163" s="1" t="str">
        <f>_xlfn.XLOOKUP(H4163, risk_score!A:A, risk_score!B:B, 0)</f>
        <v>Low Risk</v>
      </c>
    </row>
    <row r="4164" spans="1:14">
      <c r="A4164" s="2">
        <v>0.55004629629629631</v>
      </c>
      <c r="B4164" s="3">
        <v>44841</v>
      </c>
      <c r="C4164" s="1">
        <v>1139916404</v>
      </c>
      <c r="D4164" s="1">
        <v>6855935396</v>
      </c>
      <c r="E4164" s="1">
        <v>4583.38</v>
      </c>
      <c r="F4164" s="1" t="s">
        <v>12</v>
      </c>
      <c r="G4164" s="1" t="s">
        <v>12</v>
      </c>
      <c r="H4164" s="1" t="s">
        <v>13</v>
      </c>
      <c r="I4164" s="1" t="s">
        <v>13</v>
      </c>
      <c r="J4164" s="1" t="s">
        <v>22</v>
      </c>
      <c r="K4164" s="1">
        <v>0</v>
      </c>
      <c r="L4164" s="1" t="s">
        <v>23</v>
      </c>
      <c r="M4164" s="1" t="str">
        <f t="shared" si="66"/>
        <v>Consistent</v>
      </c>
      <c r="N4164" s="1" t="str">
        <f>_xlfn.XLOOKUP(H4164, risk_score!A:A, risk_score!B:B, 0)</f>
        <v>Low Risk</v>
      </c>
    </row>
    <row r="4165" spans="1:14">
      <c r="A4165" s="2">
        <v>0.5500694444444445</v>
      </c>
      <c r="B4165" s="3">
        <v>44841</v>
      </c>
      <c r="C4165" s="1">
        <v>287226045</v>
      </c>
      <c r="D4165" s="1">
        <v>4622043725</v>
      </c>
      <c r="E4165" s="1">
        <v>22965.62</v>
      </c>
      <c r="F4165" s="1" t="s">
        <v>12</v>
      </c>
      <c r="G4165" s="1" t="s">
        <v>12</v>
      </c>
      <c r="H4165" s="1" t="s">
        <v>13</v>
      </c>
      <c r="I4165" s="1" t="s">
        <v>13</v>
      </c>
      <c r="J4165" s="1" t="s">
        <v>22</v>
      </c>
      <c r="K4165" s="1">
        <v>0</v>
      </c>
      <c r="L4165" s="1" t="s">
        <v>21</v>
      </c>
      <c r="M4165" s="1" t="str">
        <f t="shared" si="66"/>
        <v>Consistent</v>
      </c>
      <c r="N4165" s="1" t="str">
        <f>_xlfn.XLOOKUP(H4165, risk_score!A:A, risk_score!B:B, 0)</f>
        <v>Low Risk</v>
      </c>
    </row>
    <row r="4166" spans="1:14">
      <c r="A4166" s="2">
        <v>0.5500694444444445</v>
      </c>
      <c r="B4166" s="3">
        <v>44841</v>
      </c>
      <c r="C4166" s="1">
        <v>9584010516</v>
      </c>
      <c r="D4166" s="1">
        <v>5466123934</v>
      </c>
      <c r="E4166" s="1">
        <v>6475.43</v>
      </c>
      <c r="F4166" s="1" t="s">
        <v>12</v>
      </c>
      <c r="G4166" s="1" t="s">
        <v>12</v>
      </c>
      <c r="H4166" s="1" t="s">
        <v>13</v>
      </c>
      <c r="I4166" s="1" t="s">
        <v>13</v>
      </c>
      <c r="J4166" s="1" t="s">
        <v>27</v>
      </c>
      <c r="K4166" s="1">
        <v>0</v>
      </c>
      <c r="L4166" s="1" t="s">
        <v>23</v>
      </c>
      <c r="M4166" s="1" t="str">
        <f t="shared" si="66"/>
        <v>Consistent</v>
      </c>
      <c r="N4166" s="1" t="str">
        <f>_xlfn.XLOOKUP(H4166, risk_score!A:A, risk_score!B:B, 0)</f>
        <v>Low Risk</v>
      </c>
    </row>
    <row r="4167" spans="1:14">
      <c r="A4167" s="2">
        <v>0.55008101851851854</v>
      </c>
      <c r="B4167" s="3">
        <v>44841</v>
      </c>
      <c r="C4167" s="1">
        <v>6421791596</v>
      </c>
      <c r="D4167" s="1">
        <v>5177860885</v>
      </c>
      <c r="E4167" s="1">
        <v>1384.79</v>
      </c>
      <c r="F4167" s="1" t="s">
        <v>12</v>
      </c>
      <c r="G4167" s="1" t="s">
        <v>12</v>
      </c>
      <c r="H4167" s="1" t="s">
        <v>13</v>
      </c>
      <c r="I4167" s="1" t="s">
        <v>13</v>
      </c>
      <c r="J4167" s="1" t="s">
        <v>20</v>
      </c>
      <c r="K4167" s="1">
        <v>0</v>
      </c>
      <c r="L4167" s="1" t="s">
        <v>21</v>
      </c>
      <c r="M4167" s="1" t="str">
        <f t="shared" si="66"/>
        <v>Consistent</v>
      </c>
      <c r="N4167" s="1" t="str">
        <f>_xlfn.XLOOKUP(H4167, risk_score!A:A, risk_score!B:B, 0)</f>
        <v>Low Risk</v>
      </c>
    </row>
    <row r="4168" spans="1:14">
      <c r="A4168" s="2">
        <v>0.55012731481481481</v>
      </c>
      <c r="B4168" s="3">
        <v>44841</v>
      </c>
      <c r="C4168" s="1">
        <v>4046226659</v>
      </c>
      <c r="D4168" s="1">
        <v>2335777366</v>
      </c>
      <c r="E4168" s="1">
        <v>455.37</v>
      </c>
      <c r="F4168" s="1" t="s">
        <v>12</v>
      </c>
      <c r="G4168" s="1" t="s">
        <v>12</v>
      </c>
      <c r="H4168" s="1" t="s">
        <v>13</v>
      </c>
      <c r="I4168" s="1" t="s">
        <v>13</v>
      </c>
      <c r="J4168" s="1" t="s">
        <v>14</v>
      </c>
      <c r="K4168" s="1">
        <v>0</v>
      </c>
      <c r="L4168" s="1" t="s">
        <v>15</v>
      </c>
      <c r="M4168" s="1" t="str">
        <f t="shared" si="66"/>
        <v>Consistent</v>
      </c>
      <c r="N4168" s="1" t="str">
        <f>_xlfn.XLOOKUP(H4168, risk_score!A:A, risk_score!B:B, 0)</f>
        <v>Low Risk</v>
      </c>
    </row>
    <row r="4169" spans="1:14">
      <c r="A4169" s="2">
        <v>0.55012731481481481</v>
      </c>
      <c r="B4169" s="3">
        <v>44841</v>
      </c>
      <c r="C4169" s="1">
        <v>7799825595</v>
      </c>
      <c r="D4169" s="1">
        <v>2496345098</v>
      </c>
      <c r="E4169" s="1">
        <v>6876.02</v>
      </c>
      <c r="F4169" s="1" t="s">
        <v>12</v>
      </c>
      <c r="G4169" s="1" t="s">
        <v>12</v>
      </c>
      <c r="H4169" s="1" t="s">
        <v>13</v>
      </c>
      <c r="I4169" s="1" t="s">
        <v>13</v>
      </c>
      <c r="J4169" s="1" t="s">
        <v>20</v>
      </c>
      <c r="K4169" s="1">
        <v>0</v>
      </c>
      <c r="L4169" s="1" t="s">
        <v>21</v>
      </c>
      <c r="M4169" s="1" t="str">
        <f t="shared" si="66"/>
        <v>Consistent</v>
      </c>
      <c r="N4169" s="1" t="str">
        <f>_xlfn.XLOOKUP(H4169, risk_score!A:A, risk_score!B:B, 0)</f>
        <v>Low Risk</v>
      </c>
    </row>
    <row r="4170" spans="1:14">
      <c r="A4170" s="2">
        <v>0.55015046296296299</v>
      </c>
      <c r="B4170" s="3">
        <v>44841</v>
      </c>
      <c r="C4170" s="1">
        <v>1483277195</v>
      </c>
      <c r="D4170" s="1">
        <v>4726958637</v>
      </c>
      <c r="E4170" s="1">
        <v>3981.33</v>
      </c>
      <c r="F4170" s="1" t="s">
        <v>12</v>
      </c>
      <c r="G4170" s="1" t="s">
        <v>29</v>
      </c>
      <c r="H4170" s="1" t="s">
        <v>13</v>
      </c>
      <c r="I4170" s="1" t="s">
        <v>31</v>
      </c>
      <c r="J4170" s="1" t="s">
        <v>18</v>
      </c>
      <c r="K4170" s="1">
        <v>0</v>
      </c>
      <c r="L4170" s="1" t="s">
        <v>21</v>
      </c>
      <c r="M4170" s="1" t="str">
        <f t="shared" si="66"/>
        <v>Potential Layering</v>
      </c>
      <c r="N4170" s="1" t="str">
        <f>_xlfn.XLOOKUP(H4170, risk_score!A:A, risk_score!B:B, 0)</f>
        <v>Low Risk</v>
      </c>
    </row>
    <row r="4171" spans="1:14">
      <c r="A4171" s="2">
        <v>0.55015046296296299</v>
      </c>
      <c r="B4171" s="3">
        <v>44841</v>
      </c>
      <c r="C4171" s="1">
        <v>2396691631</v>
      </c>
      <c r="D4171" s="1">
        <v>293375797</v>
      </c>
      <c r="E4171" s="1">
        <v>5256.05</v>
      </c>
      <c r="F4171" s="1" t="s">
        <v>12</v>
      </c>
      <c r="G4171" s="1" t="s">
        <v>12</v>
      </c>
      <c r="H4171" s="1" t="s">
        <v>13</v>
      </c>
      <c r="I4171" s="1" t="s">
        <v>13</v>
      </c>
      <c r="J4171" s="1" t="s">
        <v>25</v>
      </c>
      <c r="K4171" s="1">
        <v>0</v>
      </c>
      <c r="L4171" s="1" t="s">
        <v>24</v>
      </c>
      <c r="M4171" s="1" t="str">
        <f t="shared" si="66"/>
        <v>Consistent</v>
      </c>
      <c r="N4171" s="1" t="str">
        <f>_xlfn.XLOOKUP(H4171, risk_score!A:A, risk_score!B:B, 0)</f>
        <v>Low Risk</v>
      </c>
    </row>
    <row r="4172" spans="1:14">
      <c r="A4172" s="2">
        <v>0.55016203703703703</v>
      </c>
      <c r="B4172" s="3">
        <v>44841</v>
      </c>
      <c r="C4172" s="1">
        <v>6566598426</v>
      </c>
      <c r="D4172" s="1">
        <v>6035911595</v>
      </c>
      <c r="E4172" s="1">
        <v>1960.13</v>
      </c>
      <c r="F4172" s="1" t="s">
        <v>12</v>
      </c>
      <c r="G4172" s="1" t="s">
        <v>12</v>
      </c>
      <c r="H4172" s="1" t="s">
        <v>13</v>
      </c>
      <c r="I4172" s="1" t="s">
        <v>13</v>
      </c>
      <c r="J4172" s="1" t="s">
        <v>20</v>
      </c>
      <c r="K4172" s="1">
        <v>0</v>
      </c>
      <c r="L4172" s="1" t="s">
        <v>21</v>
      </c>
      <c r="M4172" s="1" t="str">
        <f t="shared" si="66"/>
        <v>Consistent</v>
      </c>
      <c r="N4172" s="1" t="str">
        <f>_xlfn.XLOOKUP(H4172, risk_score!A:A, risk_score!B:B, 0)</f>
        <v>Low Risk</v>
      </c>
    </row>
    <row r="4173" spans="1:14">
      <c r="A4173" s="2">
        <v>0.55023148148148149</v>
      </c>
      <c r="B4173" s="3">
        <v>44841</v>
      </c>
      <c r="C4173" s="1">
        <v>8220999537</v>
      </c>
      <c r="D4173" s="1">
        <v>6306150528</v>
      </c>
      <c r="E4173" s="1">
        <v>598.04999999999995</v>
      </c>
      <c r="F4173" s="1" t="s">
        <v>12</v>
      </c>
      <c r="G4173" s="1" t="s">
        <v>12</v>
      </c>
      <c r="H4173" s="1" t="s">
        <v>13</v>
      </c>
      <c r="I4173" s="1" t="s">
        <v>13</v>
      </c>
      <c r="J4173" s="1" t="s">
        <v>14</v>
      </c>
      <c r="K4173" s="1">
        <v>0</v>
      </c>
      <c r="L4173" s="1" t="s">
        <v>15</v>
      </c>
      <c r="M4173" s="1" t="str">
        <f t="shared" si="66"/>
        <v>Consistent</v>
      </c>
      <c r="N4173" s="1" t="str">
        <f>_xlfn.XLOOKUP(H4173, risk_score!A:A, risk_score!B:B, 0)</f>
        <v>Low Risk</v>
      </c>
    </row>
    <row r="4174" spans="1:14">
      <c r="A4174" s="2">
        <v>0.55024305555555553</v>
      </c>
      <c r="B4174" s="3">
        <v>44841</v>
      </c>
      <c r="C4174" s="1">
        <v>4018878972</v>
      </c>
      <c r="D4174" s="1">
        <v>7230082377</v>
      </c>
      <c r="E4174" s="1">
        <v>3389.83</v>
      </c>
      <c r="F4174" s="1" t="s">
        <v>12</v>
      </c>
      <c r="G4174" s="1" t="s">
        <v>12</v>
      </c>
      <c r="H4174" s="1" t="s">
        <v>13</v>
      </c>
      <c r="I4174" s="1" t="s">
        <v>13</v>
      </c>
      <c r="J4174" s="1" t="s">
        <v>25</v>
      </c>
      <c r="K4174" s="1">
        <v>0</v>
      </c>
      <c r="L4174" s="1" t="s">
        <v>21</v>
      </c>
      <c r="M4174" s="1" t="str">
        <f t="shared" si="66"/>
        <v>Consistent</v>
      </c>
      <c r="N4174" s="1" t="str">
        <f>_xlfn.XLOOKUP(H4174, risk_score!A:A, risk_score!B:B, 0)</f>
        <v>Low Risk</v>
      </c>
    </row>
    <row r="4175" spans="1:14">
      <c r="A4175" s="2">
        <v>0.55032407407407402</v>
      </c>
      <c r="B4175" s="3">
        <v>44841</v>
      </c>
      <c r="C4175" s="1">
        <v>8456279067</v>
      </c>
      <c r="D4175" s="1">
        <v>8572828015</v>
      </c>
      <c r="E4175" s="1">
        <v>5639.15</v>
      </c>
      <c r="F4175" s="1" t="s">
        <v>12</v>
      </c>
      <c r="G4175" s="1" t="s">
        <v>29</v>
      </c>
      <c r="H4175" s="1" t="s">
        <v>13</v>
      </c>
      <c r="I4175" s="1" t="s">
        <v>13</v>
      </c>
      <c r="J4175" s="1" t="s">
        <v>25</v>
      </c>
      <c r="K4175" s="1">
        <v>0</v>
      </c>
      <c r="L4175" s="1" t="s">
        <v>19</v>
      </c>
      <c r="M4175" s="1" t="str">
        <f t="shared" si="66"/>
        <v>Potential Layering</v>
      </c>
      <c r="N4175" s="1" t="str">
        <f>_xlfn.XLOOKUP(H4175, risk_score!A:A, risk_score!B:B, 0)</f>
        <v>Low Risk</v>
      </c>
    </row>
    <row r="4176" spans="1:14">
      <c r="A4176" s="2">
        <v>0.55033564814814817</v>
      </c>
      <c r="B4176" s="3">
        <v>44841</v>
      </c>
      <c r="C4176" s="1">
        <v>7501327339</v>
      </c>
      <c r="D4176" s="1">
        <v>3230579354</v>
      </c>
      <c r="E4176" s="1">
        <v>10964.63</v>
      </c>
      <c r="F4176" s="1" t="s">
        <v>12</v>
      </c>
      <c r="G4176" s="1" t="s">
        <v>12</v>
      </c>
      <c r="H4176" s="1" t="s">
        <v>13</v>
      </c>
      <c r="I4176" s="1" t="s">
        <v>13</v>
      </c>
      <c r="J4176" s="1" t="s">
        <v>27</v>
      </c>
      <c r="K4176" s="1">
        <v>0</v>
      </c>
      <c r="L4176" s="1" t="s">
        <v>19</v>
      </c>
      <c r="M4176" s="1" t="str">
        <f t="shared" si="66"/>
        <v>Consistent</v>
      </c>
      <c r="N4176" s="1" t="str">
        <f>_xlfn.XLOOKUP(H4176, risk_score!A:A, risk_score!B:B, 0)</f>
        <v>Low Risk</v>
      </c>
    </row>
    <row r="4177" spans="1:14">
      <c r="A4177" s="2">
        <v>0.5503703703703704</v>
      </c>
      <c r="B4177" s="3">
        <v>44841</v>
      </c>
      <c r="C4177" s="1">
        <v>7634512819</v>
      </c>
      <c r="D4177" s="1">
        <v>1431561040</v>
      </c>
      <c r="E4177" s="1">
        <v>16386.05</v>
      </c>
      <c r="F4177" s="1" t="s">
        <v>12</v>
      </c>
      <c r="G4177" s="1" t="s">
        <v>12</v>
      </c>
      <c r="H4177" s="1" t="s">
        <v>13</v>
      </c>
      <c r="I4177" s="1" t="s">
        <v>13</v>
      </c>
      <c r="J4177" s="1" t="s">
        <v>20</v>
      </c>
      <c r="K4177" s="1">
        <v>0</v>
      </c>
      <c r="L4177" s="1" t="s">
        <v>23</v>
      </c>
      <c r="M4177" s="1" t="str">
        <f t="shared" si="66"/>
        <v>Consistent</v>
      </c>
      <c r="N4177" s="1" t="str">
        <f>_xlfn.XLOOKUP(H4177, risk_score!A:A, risk_score!B:B, 0)</f>
        <v>Low Risk</v>
      </c>
    </row>
    <row r="4178" spans="1:14">
      <c r="A4178" s="2">
        <v>0.5503703703703704</v>
      </c>
      <c r="B4178" s="3">
        <v>44841</v>
      </c>
      <c r="C4178" s="1">
        <v>116289163</v>
      </c>
      <c r="D4178" s="1">
        <v>4289603223</v>
      </c>
      <c r="E4178" s="1">
        <v>1584.4</v>
      </c>
      <c r="F4178" s="1" t="s">
        <v>12</v>
      </c>
      <c r="G4178" s="1" t="s">
        <v>12</v>
      </c>
      <c r="H4178" s="1" t="s">
        <v>13</v>
      </c>
      <c r="I4178" s="1" t="s">
        <v>13</v>
      </c>
      <c r="J4178" s="1" t="s">
        <v>25</v>
      </c>
      <c r="K4178" s="1">
        <v>0</v>
      </c>
      <c r="L4178" s="1" t="s">
        <v>21</v>
      </c>
      <c r="M4178" s="1" t="str">
        <f t="shared" si="66"/>
        <v>Consistent</v>
      </c>
      <c r="N4178" s="1" t="str">
        <f>_xlfn.XLOOKUP(H4178, risk_score!A:A, risk_score!B:B, 0)</f>
        <v>Low Risk</v>
      </c>
    </row>
    <row r="4179" spans="1:14">
      <c r="A4179" s="2">
        <v>0.55040509259259263</v>
      </c>
      <c r="B4179" s="3">
        <v>44841</v>
      </c>
      <c r="C4179" s="1">
        <v>6176940453</v>
      </c>
      <c r="D4179" s="1">
        <v>7938837088</v>
      </c>
      <c r="E4179" s="1">
        <v>6321.43</v>
      </c>
      <c r="F4179" s="1" t="s">
        <v>12</v>
      </c>
      <c r="G4179" s="1" t="s">
        <v>12</v>
      </c>
      <c r="H4179" s="1" t="s">
        <v>13</v>
      </c>
      <c r="I4179" s="1" t="s">
        <v>13</v>
      </c>
      <c r="J4179" s="1" t="s">
        <v>20</v>
      </c>
      <c r="K4179" s="1">
        <v>0</v>
      </c>
      <c r="L4179" s="1" t="s">
        <v>21</v>
      </c>
      <c r="M4179" s="1" t="str">
        <f t="shared" si="66"/>
        <v>Consistent</v>
      </c>
      <c r="N4179" s="1" t="str">
        <f>_xlfn.XLOOKUP(H4179, risk_score!A:A, risk_score!B:B, 0)</f>
        <v>Low Risk</v>
      </c>
    </row>
    <row r="4180" spans="1:14">
      <c r="A4180" s="2">
        <v>0.5504282407407407</v>
      </c>
      <c r="B4180" s="3">
        <v>44841</v>
      </c>
      <c r="C4180" s="1">
        <v>8940781509</v>
      </c>
      <c r="D4180" s="1">
        <v>6651765338</v>
      </c>
      <c r="E4180" s="1">
        <v>59.21</v>
      </c>
      <c r="F4180" s="1" t="s">
        <v>12</v>
      </c>
      <c r="G4180" s="1" t="s">
        <v>12</v>
      </c>
      <c r="H4180" s="1" t="s">
        <v>13</v>
      </c>
      <c r="I4180" s="1" t="s">
        <v>13</v>
      </c>
      <c r="J4180" s="1" t="s">
        <v>36</v>
      </c>
      <c r="K4180" s="1">
        <v>0</v>
      </c>
      <c r="L4180" s="1" t="s">
        <v>37</v>
      </c>
      <c r="M4180" s="1" t="str">
        <f t="shared" si="66"/>
        <v>Consistent</v>
      </c>
      <c r="N4180" s="1" t="str">
        <f>_xlfn.XLOOKUP(H4180, risk_score!A:A, risk_score!B:B, 0)</f>
        <v>Low Risk</v>
      </c>
    </row>
    <row r="4181" spans="1:14">
      <c r="A4181" s="2">
        <v>0.55043981481481485</v>
      </c>
      <c r="B4181" s="3">
        <v>44841</v>
      </c>
      <c r="C4181" s="1">
        <v>5021785800</v>
      </c>
      <c r="D4181" s="1">
        <v>9745680135</v>
      </c>
      <c r="E4181" s="1">
        <v>12773.85</v>
      </c>
      <c r="F4181" s="1" t="s">
        <v>12</v>
      </c>
      <c r="G4181" s="1" t="s">
        <v>51</v>
      </c>
      <c r="H4181" s="1" t="s">
        <v>13</v>
      </c>
      <c r="I4181" s="1" t="s">
        <v>52</v>
      </c>
      <c r="J4181" s="1" t="s">
        <v>18</v>
      </c>
      <c r="K4181" s="1">
        <v>0</v>
      </c>
      <c r="L4181" s="1" t="s">
        <v>19</v>
      </c>
      <c r="M4181" s="1" t="str">
        <f t="shared" si="66"/>
        <v>Potential Layering</v>
      </c>
      <c r="N4181" s="1" t="str">
        <f>_xlfn.XLOOKUP(H4181, risk_score!A:A, risk_score!B:B, 0)</f>
        <v>Low Risk</v>
      </c>
    </row>
    <row r="4182" spans="1:14">
      <c r="A4182" s="2">
        <v>0.55043981481481485</v>
      </c>
      <c r="B4182" s="3">
        <v>44841</v>
      </c>
      <c r="C4182" s="1">
        <v>3697918511</v>
      </c>
      <c r="D4182" s="1">
        <v>7160736915</v>
      </c>
      <c r="E4182" s="1">
        <v>6617.22</v>
      </c>
      <c r="F4182" s="1" t="s">
        <v>12</v>
      </c>
      <c r="G4182" s="1" t="s">
        <v>12</v>
      </c>
      <c r="H4182" s="1" t="s">
        <v>13</v>
      </c>
      <c r="I4182" s="1" t="s">
        <v>13</v>
      </c>
      <c r="J4182" s="1" t="s">
        <v>20</v>
      </c>
      <c r="K4182" s="1">
        <v>0</v>
      </c>
      <c r="L4182" s="1" t="s">
        <v>23</v>
      </c>
      <c r="M4182" s="1" t="str">
        <f t="shared" si="66"/>
        <v>Consistent</v>
      </c>
      <c r="N4182" s="1" t="str">
        <f>_xlfn.XLOOKUP(H4182, risk_score!A:A, risk_score!B:B, 0)</f>
        <v>Low Risk</v>
      </c>
    </row>
    <row r="4183" spans="1:14">
      <c r="A4183" s="2">
        <v>0.55048611111111112</v>
      </c>
      <c r="B4183" s="3">
        <v>44841</v>
      </c>
      <c r="C4183" s="1">
        <v>1378784400</v>
      </c>
      <c r="D4183" s="1">
        <v>954066234</v>
      </c>
      <c r="E4183" s="1">
        <v>5946</v>
      </c>
      <c r="F4183" s="1" t="s">
        <v>12</v>
      </c>
      <c r="G4183" s="1" t="s">
        <v>12</v>
      </c>
      <c r="H4183" s="1" t="s">
        <v>13</v>
      </c>
      <c r="I4183" s="1" t="s">
        <v>13</v>
      </c>
      <c r="J4183" s="1" t="s">
        <v>27</v>
      </c>
      <c r="K4183" s="1">
        <v>0</v>
      </c>
      <c r="L4183" s="1" t="s">
        <v>19</v>
      </c>
      <c r="M4183" s="1" t="str">
        <f t="shared" si="66"/>
        <v>Consistent</v>
      </c>
      <c r="N4183" s="1" t="str">
        <f>_xlfn.XLOOKUP(H4183, risk_score!A:A, risk_score!B:B, 0)</f>
        <v>Low Risk</v>
      </c>
    </row>
    <row r="4184" spans="1:14">
      <c r="A4184" s="2">
        <v>0.55049768518518516</v>
      </c>
      <c r="B4184" s="3">
        <v>44841</v>
      </c>
      <c r="C4184" s="1">
        <v>9425018817</v>
      </c>
      <c r="D4184" s="1">
        <v>7228879969</v>
      </c>
      <c r="E4184" s="1">
        <v>4720.8900000000003</v>
      </c>
      <c r="F4184" s="1" t="s">
        <v>12</v>
      </c>
      <c r="G4184" s="1" t="s">
        <v>12</v>
      </c>
      <c r="H4184" s="1" t="s">
        <v>13</v>
      </c>
      <c r="I4184" s="1" t="s">
        <v>13</v>
      </c>
      <c r="J4184" s="1" t="s">
        <v>27</v>
      </c>
      <c r="K4184" s="1">
        <v>0</v>
      </c>
      <c r="L4184" s="1" t="s">
        <v>21</v>
      </c>
      <c r="M4184" s="1" t="str">
        <f t="shared" si="66"/>
        <v>Consistent</v>
      </c>
      <c r="N4184" s="1" t="str">
        <f>_xlfn.XLOOKUP(H4184, risk_score!A:A, risk_score!B:B, 0)</f>
        <v>Low Risk</v>
      </c>
    </row>
    <row r="4185" spans="1:14">
      <c r="A4185" s="2">
        <v>0.55049768518518516</v>
      </c>
      <c r="B4185" s="3">
        <v>44841</v>
      </c>
      <c r="C4185" s="1">
        <v>2902781989</v>
      </c>
      <c r="D4185" s="1">
        <v>3781223505</v>
      </c>
      <c r="E4185" s="1">
        <v>157.08000000000001</v>
      </c>
      <c r="F4185" s="1" t="s">
        <v>12</v>
      </c>
      <c r="G4185" s="1" t="s">
        <v>12</v>
      </c>
      <c r="H4185" s="1" t="s">
        <v>13</v>
      </c>
      <c r="I4185" s="1" t="s">
        <v>13</v>
      </c>
      <c r="J4185" s="1" t="s">
        <v>36</v>
      </c>
      <c r="K4185" s="1">
        <v>0</v>
      </c>
      <c r="L4185" s="1" t="s">
        <v>37</v>
      </c>
      <c r="M4185" s="1" t="str">
        <f t="shared" si="66"/>
        <v>Consistent</v>
      </c>
      <c r="N4185" s="1" t="str">
        <f>_xlfn.XLOOKUP(H4185, risk_score!A:A, risk_score!B:B, 0)</f>
        <v>Low Risk</v>
      </c>
    </row>
    <row r="4186" spans="1:14">
      <c r="A4186" s="2">
        <v>0.55049768518518516</v>
      </c>
      <c r="B4186" s="3">
        <v>44841</v>
      </c>
      <c r="C4186" s="1">
        <v>5021785800</v>
      </c>
      <c r="D4186" s="1">
        <v>7659797939</v>
      </c>
      <c r="E4186" s="1">
        <v>5792.02</v>
      </c>
      <c r="F4186" s="1" t="s">
        <v>12</v>
      </c>
      <c r="G4186" s="1" t="s">
        <v>12</v>
      </c>
      <c r="H4186" s="1" t="s">
        <v>13</v>
      </c>
      <c r="I4186" s="1" t="s">
        <v>13</v>
      </c>
      <c r="J4186" s="1" t="s">
        <v>25</v>
      </c>
      <c r="K4186" s="1">
        <v>0</v>
      </c>
      <c r="L4186" s="1" t="s">
        <v>19</v>
      </c>
      <c r="M4186" s="1" t="str">
        <f t="shared" si="66"/>
        <v>Consistent</v>
      </c>
      <c r="N4186" s="1" t="str">
        <f>_xlfn.XLOOKUP(H4186, risk_score!A:A, risk_score!B:B, 0)</f>
        <v>Low Risk</v>
      </c>
    </row>
    <row r="4187" spans="1:14">
      <c r="A4187" s="2">
        <v>0.55052083333333335</v>
      </c>
      <c r="B4187" s="3">
        <v>44841</v>
      </c>
      <c r="C4187" s="1">
        <v>1010053518</v>
      </c>
      <c r="D4187" s="1">
        <v>3098762122</v>
      </c>
      <c r="E4187" s="1">
        <v>23929.73</v>
      </c>
      <c r="F4187" s="1" t="s">
        <v>12</v>
      </c>
      <c r="G4187" s="1" t="s">
        <v>12</v>
      </c>
      <c r="H4187" s="1" t="s">
        <v>13</v>
      </c>
      <c r="I4187" s="1" t="s">
        <v>13</v>
      </c>
      <c r="J4187" s="1" t="s">
        <v>25</v>
      </c>
      <c r="K4187" s="1">
        <v>0</v>
      </c>
      <c r="L4187" s="1" t="s">
        <v>49</v>
      </c>
      <c r="M4187" s="1" t="str">
        <f t="shared" si="66"/>
        <v>Consistent</v>
      </c>
      <c r="N4187" s="1" t="str">
        <f>_xlfn.XLOOKUP(H4187, risk_score!A:A, risk_score!B:B, 0)</f>
        <v>Low Risk</v>
      </c>
    </row>
    <row r="4188" spans="1:14">
      <c r="A4188" s="2">
        <v>0.5505902777777778</v>
      </c>
      <c r="B4188" s="3">
        <v>44841</v>
      </c>
      <c r="C4188" s="1">
        <v>4488993732</v>
      </c>
      <c r="D4188" s="1">
        <v>9606537579</v>
      </c>
      <c r="E4188" s="1">
        <v>589.78</v>
      </c>
      <c r="F4188" s="1" t="s">
        <v>12</v>
      </c>
      <c r="G4188" s="1" t="s">
        <v>12</v>
      </c>
      <c r="H4188" s="1" t="s">
        <v>13</v>
      </c>
      <c r="I4188" s="1" t="s">
        <v>13</v>
      </c>
      <c r="J4188" s="1" t="s">
        <v>27</v>
      </c>
      <c r="K4188" s="1">
        <v>0</v>
      </c>
      <c r="L4188" s="1" t="s">
        <v>24</v>
      </c>
      <c r="M4188" s="1" t="str">
        <f t="shared" si="66"/>
        <v>Consistent</v>
      </c>
      <c r="N4188" s="1" t="str">
        <f>_xlfn.XLOOKUP(H4188, risk_score!A:A, risk_score!B:B, 0)</f>
        <v>Low Risk</v>
      </c>
    </row>
    <row r="4189" spans="1:14">
      <c r="A4189" s="2">
        <v>0.55060185185185184</v>
      </c>
      <c r="B4189" s="3">
        <v>44841</v>
      </c>
      <c r="C4189" s="1">
        <v>7785245954</v>
      </c>
      <c r="D4189" s="1">
        <v>4106959965</v>
      </c>
      <c r="E4189" s="1">
        <v>2125.33</v>
      </c>
      <c r="F4189" s="1" t="s">
        <v>12</v>
      </c>
      <c r="G4189" s="1" t="s">
        <v>59</v>
      </c>
      <c r="H4189" s="1" t="s">
        <v>13</v>
      </c>
      <c r="I4189" s="1" t="s">
        <v>60</v>
      </c>
      <c r="J4189" s="1" t="s">
        <v>18</v>
      </c>
      <c r="K4189" s="1">
        <v>0</v>
      </c>
      <c r="L4189" s="1" t="s">
        <v>21</v>
      </c>
      <c r="M4189" s="1" t="str">
        <f t="shared" si="66"/>
        <v>Potential Layering</v>
      </c>
      <c r="N4189" s="1" t="str">
        <f>_xlfn.XLOOKUP(H4189, risk_score!A:A, risk_score!B:B, 0)</f>
        <v>Low Risk</v>
      </c>
    </row>
    <row r="4190" spans="1:14">
      <c r="A4190" s="2">
        <v>0.55060185185185184</v>
      </c>
      <c r="B4190" s="3">
        <v>44841</v>
      </c>
      <c r="C4190" s="1">
        <v>7125011674</v>
      </c>
      <c r="D4190" s="1">
        <v>6034997194</v>
      </c>
      <c r="E4190" s="1">
        <v>5203.3100000000004</v>
      </c>
      <c r="F4190" s="1" t="s">
        <v>12</v>
      </c>
      <c r="G4190" s="1" t="s">
        <v>12</v>
      </c>
      <c r="H4190" s="1" t="s">
        <v>13</v>
      </c>
      <c r="I4190" s="1" t="s">
        <v>13</v>
      </c>
      <c r="J4190" s="1" t="s">
        <v>20</v>
      </c>
      <c r="K4190" s="1">
        <v>0</v>
      </c>
      <c r="L4190" s="1" t="s">
        <v>23</v>
      </c>
      <c r="M4190" s="1" t="str">
        <f t="shared" si="66"/>
        <v>Consistent</v>
      </c>
      <c r="N4190" s="1" t="str">
        <f>_xlfn.XLOOKUP(H4190, risk_score!A:A, risk_score!B:B, 0)</f>
        <v>Low Risk</v>
      </c>
    </row>
    <row r="4191" spans="1:14">
      <c r="A4191" s="2">
        <v>0.55062500000000003</v>
      </c>
      <c r="B4191" s="3">
        <v>44841</v>
      </c>
      <c r="C4191" s="1">
        <v>7731044104</v>
      </c>
      <c r="D4191" s="1">
        <v>6538540101</v>
      </c>
      <c r="E4191" s="1">
        <v>5414.27</v>
      </c>
      <c r="F4191" s="1" t="s">
        <v>12</v>
      </c>
      <c r="G4191" s="1" t="s">
        <v>12</v>
      </c>
      <c r="H4191" s="1" t="s">
        <v>13</v>
      </c>
      <c r="I4191" s="1" t="s">
        <v>13</v>
      </c>
      <c r="J4191" s="1" t="s">
        <v>14</v>
      </c>
      <c r="K4191" s="1">
        <v>0</v>
      </c>
      <c r="L4191" s="1" t="s">
        <v>15</v>
      </c>
      <c r="M4191" s="1" t="str">
        <f t="shared" si="66"/>
        <v>Consistent</v>
      </c>
      <c r="N4191" s="1" t="str">
        <f>_xlfn.XLOOKUP(H4191, risk_score!A:A, risk_score!B:B, 0)</f>
        <v>Low Risk</v>
      </c>
    </row>
    <row r="4192" spans="1:14">
      <c r="A4192" s="2">
        <v>0.5506712962962963</v>
      </c>
      <c r="B4192" s="3">
        <v>44841</v>
      </c>
      <c r="C4192" s="1">
        <v>3983362006</v>
      </c>
      <c r="D4192" s="1">
        <v>8289935297</v>
      </c>
      <c r="E4192" s="1">
        <v>2193.81</v>
      </c>
      <c r="F4192" s="1" t="s">
        <v>32</v>
      </c>
      <c r="G4192" s="1" t="s">
        <v>12</v>
      </c>
      <c r="H4192" s="1" t="s">
        <v>13</v>
      </c>
      <c r="I4192" s="1" t="s">
        <v>13</v>
      </c>
      <c r="J4192" s="1" t="s">
        <v>25</v>
      </c>
      <c r="K4192" s="1">
        <v>0</v>
      </c>
      <c r="L4192" s="1" t="s">
        <v>21</v>
      </c>
      <c r="M4192" s="1" t="str">
        <f t="shared" si="66"/>
        <v>Potential Layering</v>
      </c>
      <c r="N4192" s="1" t="str">
        <f>_xlfn.XLOOKUP(H4192, risk_score!A:A, risk_score!B:B, 0)</f>
        <v>Low Risk</v>
      </c>
    </row>
    <row r="4193" spans="1:14">
      <c r="A4193" s="2">
        <v>0.55079861111111106</v>
      </c>
      <c r="B4193" s="3">
        <v>44841</v>
      </c>
      <c r="C4193" s="1">
        <v>2980873343</v>
      </c>
      <c r="D4193" s="1">
        <v>4952034138</v>
      </c>
      <c r="E4193" s="1">
        <v>13612.93</v>
      </c>
      <c r="F4193" s="1" t="s">
        <v>12</v>
      </c>
      <c r="G4193" s="1" t="s">
        <v>12</v>
      </c>
      <c r="H4193" s="1" t="s">
        <v>13</v>
      </c>
      <c r="I4193" s="1" t="s">
        <v>13</v>
      </c>
      <c r="J4193" s="1" t="s">
        <v>20</v>
      </c>
      <c r="K4193" s="1">
        <v>0</v>
      </c>
      <c r="L4193" s="1" t="s">
        <v>21</v>
      </c>
      <c r="M4193" s="1" t="str">
        <f t="shared" si="66"/>
        <v>Consistent</v>
      </c>
      <c r="N4193" s="1" t="str">
        <f>_xlfn.XLOOKUP(H4193, risk_score!A:A, risk_score!B:B, 0)</f>
        <v>Low Risk</v>
      </c>
    </row>
    <row r="4194" spans="1:14">
      <c r="A4194" s="2">
        <v>0.55079861111111106</v>
      </c>
      <c r="B4194" s="3">
        <v>44841</v>
      </c>
      <c r="C4194" s="1">
        <v>7669236826</v>
      </c>
      <c r="D4194" s="1">
        <v>8384550734</v>
      </c>
      <c r="E4194" s="1">
        <v>4813.5</v>
      </c>
      <c r="F4194" s="1" t="s">
        <v>12</v>
      </c>
      <c r="G4194" s="1" t="s">
        <v>12</v>
      </c>
      <c r="H4194" s="1" t="s">
        <v>13</v>
      </c>
      <c r="I4194" s="1" t="s">
        <v>13</v>
      </c>
      <c r="J4194" s="1" t="s">
        <v>20</v>
      </c>
      <c r="K4194" s="1">
        <v>0</v>
      </c>
      <c r="L4194" s="1" t="s">
        <v>19</v>
      </c>
      <c r="M4194" s="1" t="str">
        <f t="shared" si="66"/>
        <v>Consistent</v>
      </c>
      <c r="N4194" s="1" t="str">
        <f>_xlfn.XLOOKUP(H4194, risk_score!A:A, risk_score!B:B, 0)</f>
        <v>Low Risk</v>
      </c>
    </row>
    <row r="4195" spans="1:14">
      <c r="A4195" s="2">
        <v>0.55079861111111106</v>
      </c>
      <c r="B4195" s="3">
        <v>44841</v>
      </c>
      <c r="C4195" s="1">
        <v>7155736136</v>
      </c>
      <c r="D4195" s="1">
        <v>1316458123</v>
      </c>
      <c r="E4195" s="1">
        <v>5749.23</v>
      </c>
      <c r="F4195" s="1" t="s">
        <v>12</v>
      </c>
      <c r="G4195" s="1" t="s">
        <v>34</v>
      </c>
      <c r="H4195" s="1" t="s">
        <v>13</v>
      </c>
      <c r="I4195" s="1" t="s">
        <v>35</v>
      </c>
      <c r="J4195" s="1" t="s">
        <v>18</v>
      </c>
      <c r="K4195" s="1">
        <v>0</v>
      </c>
      <c r="L4195" s="1" t="s">
        <v>23</v>
      </c>
      <c r="M4195" s="1" t="str">
        <f t="shared" si="66"/>
        <v>Potential Layering</v>
      </c>
      <c r="N4195" s="1" t="str">
        <f>_xlfn.XLOOKUP(H4195, risk_score!A:A, risk_score!B:B, 0)</f>
        <v>Low Risk</v>
      </c>
    </row>
    <row r="4196" spans="1:14">
      <c r="A4196" s="2">
        <v>0.55082175925925925</v>
      </c>
      <c r="B4196" s="3">
        <v>44841</v>
      </c>
      <c r="C4196" s="1">
        <v>1394177372</v>
      </c>
      <c r="D4196" s="1">
        <v>1465487567</v>
      </c>
      <c r="E4196" s="1">
        <v>11639.33</v>
      </c>
      <c r="F4196" s="1" t="s">
        <v>12</v>
      </c>
      <c r="G4196" s="1" t="s">
        <v>12</v>
      </c>
      <c r="H4196" s="1" t="s">
        <v>13</v>
      </c>
      <c r="I4196" s="1" t="s">
        <v>13</v>
      </c>
      <c r="J4196" s="1" t="s">
        <v>27</v>
      </c>
      <c r="K4196" s="1">
        <v>0</v>
      </c>
      <c r="L4196" s="1" t="s">
        <v>23</v>
      </c>
      <c r="M4196" s="1" t="str">
        <f t="shared" si="66"/>
        <v>Consistent</v>
      </c>
      <c r="N4196" s="1" t="str">
        <f>_xlfn.XLOOKUP(H4196, risk_score!A:A, risk_score!B:B, 0)</f>
        <v>Low Risk</v>
      </c>
    </row>
    <row r="4197" spans="1:14">
      <c r="A4197" s="2">
        <v>0.55084490740740744</v>
      </c>
      <c r="B4197" s="3">
        <v>44841</v>
      </c>
      <c r="C4197" s="1">
        <v>4121324384</v>
      </c>
      <c r="D4197" s="1">
        <v>8135174919</v>
      </c>
      <c r="E4197" s="1">
        <v>10776.71</v>
      </c>
      <c r="F4197" s="1" t="s">
        <v>29</v>
      </c>
      <c r="G4197" s="1" t="s">
        <v>12</v>
      </c>
      <c r="H4197" s="1" t="s">
        <v>30</v>
      </c>
      <c r="I4197" s="1" t="s">
        <v>13</v>
      </c>
      <c r="J4197" s="1" t="s">
        <v>18</v>
      </c>
      <c r="K4197" s="1">
        <v>0</v>
      </c>
      <c r="L4197" s="1" t="s">
        <v>19</v>
      </c>
      <c r="M4197" s="1" t="str">
        <f t="shared" si="66"/>
        <v>Potential Layering</v>
      </c>
      <c r="N4197" s="1" t="str">
        <f>_xlfn.XLOOKUP(H4197, risk_score!A:A, risk_score!B:B, 0)</f>
        <v>Low Risk</v>
      </c>
    </row>
    <row r="4198" spans="1:14">
      <c r="A4198" s="2">
        <v>0.55087962962962966</v>
      </c>
      <c r="B4198" s="3">
        <v>44841</v>
      </c>
      <c r="C4198" s="1">
        <v>9367831660</v>
      </c>
      <c r="D4198" s="1">
        <v>4726015430</v>
      </c>
      <c r="E4198" s="1">
        <v>3744.56</v>
      </c>
      <c r="F4198" s="1" t="s">
        <v>12</v>
      </c>
      <c r="G4198" s="1" t="s">
        <v>12</v>
      </c>
      <c r="H4198" s="1" t="s">
        <v>13</v>
      </c>
      <c r="I4198" s="1" t="s">
        <v>13</v>
      </c>
      <c r="J4198" s="1" t="s">
        <v>14</v>
      </c>
      <c r="K4198" s="1">
        <v>0</v>
      </c>
      <c r="L4198" s="1" t="s">
        <v>15</v>
      </c>
      <c r="M4198" s="1" t="str">
        <f t="shared" si="66"/>
        <v>Consistent</v>
      </c>
      <c r="N4198" s="1" t="str">
        <f>_xlfn.XLOOKUP(H4198, risk_score!A:A, risk_score!B:B, 0)</f>
        <v>Low Risk</v>
      </c>
    </row>
    <row r="4199" spans="1:14">
      <c r="A4199" s="2">
        <v>0.5508912037037037</v>
      </c>
      <c r="B4199" s="3">
        <v>44841</v>
      </c>
      <c r="C4199" s="1">
        <v>7456606373</v>
      </c>
      <c r="D4199" s="1">
        <v>7733465560</v>
      </c>
      <c r="E4199" s="1">
        <v>3401.78</v>
      </c>
      <c r="F4199" s="1" t="s">
        <v>12</v>
      </c>
      <c r="G4199" s="1" t="s">
        <v>12</v>
      </c>
      <c r="H4199" s="1" t="s">
        <v>13</v>
      </c>
      <c r="I4199" s="1" t="s">
        <v>13</v>
      </c>
      <c r="J4199" s="1" t="s">
        <v>20</v>
      </c>
      <c r="K4199" s="1">
        <v>0</v>
      </c>
      <c r="L4199" s="1" t="s">
        <v>21</v>
      </c>
      <c r="M4199" s="1" t="str">
        <f t="shared" si="66"/>
        <v>Consistent</v>
      </c>
      <c r="N4199" s="1" t="str">
        <f>_xlfn.XLOOKUP(H4199, risk_score!A:A, risk_score!B:B, 0)</f>
        <v>Low Risk</v>
      </c>
    </row>
    <row r="4200" spans="1:14">
      <c r="A4200" s="2">
        <v>0.55091435185185189</v>
      </c>
      <c r="B4200" s="3">
        <v>44841</v>
      </c>
      <c r="C4200" s="1">
        <v>6408343900</v>
      </c>
      <c r="D4200" s="1">
        <v>247238854</v>
      </c>
      <c r="E4200" s="1">
        <v>1657.11</v>
      </c>
      <c r="F4200" s="1" t="s">
        <v>12</v>
      </c>
      <c r="G4200" s="1" t="s">
        <v>12</v>
      </c>
      <c r="H4200" s="1" t="s">
        <v>13</v>
      </c>
      <c r="I4200" s="1" t="s">
        <v>13</v>
      </c>
      <c r="J4200" s="1" t="s">
        <v>25</v>
      </c>
      <c r="K4200" s="1">
        <v>0</v>
      </c>
      <c r="L4200" s="1" t="s">
        <v>24</v>
      </c>
      <c r="M4200" s="1" t="str">
        <f t="shared" si="66"/>
        <v>Consistent</v>
      </c>
      <c r="N4200" s="1" t="str">
        <f>_xlfn.XLOOKUP(H4200, risk_score!A:A, risk_score!B:B, 0)</f>
        <v>Low Risk</v>
      </c>
    </row>
    <row r="4201" spans="1:14">
      <c r="A4201" s="2">
        <v>0.55104166666666665</v>
      </c>
      <c r="B4201" s="3">
        <v>44841</v>
      </c>
      <c r="C4201" s="1">
        <v>6331386777</v>
      </c>
      <c r="D4201" s="1">
        <v>7294407426</v>
      </c>
      <c r="E4201" s="1">
        <v>2317.84</v>
      </c>
      <c r="F4201" s="1" t="s">
        <v>12</v>
      </c>
      <c r="G4201" s="1" t="s">
        <v>12</v>
      </c>
      <c r="H4201" s="1" t="s">
        <v>13</v>
      </c>
      <c r="I4201" s="1" t="s">
        <v>13</v>
      </c>
      <c r="J4201" s="1" t="s">
        <v>25</v>
      </c>
      <c r="K4201" s="1">
        <v>0</v>
      </c>
      <c r="L4201" s="1" t="s">
        <v>21</v>
      </c>
      <c r="M4201" s="1" t="str">
        <f t="shared" si="66"/>
        <v>Consistent</v>
      </c>
      <c r="N4201" s="1" t="str">
        <f>_xlfn.XLOOKUP(H4201, risk_score!A:A, risk_score!B:B, 0)</f>
        <v>Low Risk</v>
      </c>
    </row>
    <row r="4202" spans="1:14">
      <c r="A4202" s="2">
        <v>0.55105324074074069</v>
      </c>
      <c r="B4202" s="3">
        <v>44841</v>
      </c>
      <c r="C4202" s="1">
        <v>9222757302</v>
      </c>
      <c r="D4202" s="1">
        <v>5109623450</v>
      </c>
      <c r="E4202" s="1">
        <v>9208.7000000000007</v>
      </c>
      <c r="F4202" s="1" t="s">
        <v>12</v>
      </c>
      <c r="G4202" s="1" t="s">
        <v>12</v>
      </c>
      <c r="H4202" s="1" t="s">
        <v>13</v>
      </c>
      <c r="I4202" s="1" t="s">
        <v>13</v>
      </c>
      <c r="J4202" s="1" t="s">
        <v>20</v>
      </c>
      <c r="K4202" s="1">
        <v>0</v>
      </c>
      <c r="L4202" s="1" t="s">
        <v>23</v>
      </c>
      <c r="M4202" s="1" t="str">
        <f t="shared" si="66"/>
        <v>Consistent</v>
      </c>
      <c r="N4202" s="1" t="str">
        <f>_xlfn.XLOOKUP(H4202, risk_score!A:A, risk_score!B:B, 0)</f>
        <v>Low Risk</v>
      </c>
    </row>
    <row r="4203" spans="1:14">
      <c r="A4203" s="2">
        <v>0.55107638888888888</v>
      </c>
      <c r="B4203" s="3">
        <v>44841</v>
      </c>
      <c r="C4203" s="1">
        <v>1805171806</v>
      </c>
      <c r="D4203" s="1">
        <v>1465487567</v>
      </c>
      <c r="E4203" s="1">
        <v>5848.61</v>
      </c>
      <c r="F4203" s="1" t="s">
        <v>12</v>
      </c>
      <c r="G4203" s="1" t="s">
        <v>12</v>
      </c>
      <c r="H4203" s="1" t="s">
        <v>13</v>
      </c>
      <c r="I4203" s="1" t="s">
        <v>13</v>
      </c>
      <c r="J4203" s="1" t="s">
        <v>27</v>
      </c>
      <c r="K4203" s="1">
        <v>0</v>
      </c>
      <c r="L4203" s="1" t="s">
        <v>23</v>
      </c>
      <c r="M4203" s="1" t="str">
        <f t="shared" si="66"/>
        <v>Consistent</v>
      </c>
      <c r="N4203" s="1" t="str">
        <f>_xlfn.XLOOKUP(H4203, risk_score!A:A, risk_score!B:B, 0)</f>
        <v>Low Risk</v>
      </c>
    </row>
    <row r="4204" spans="1:14">
      <c r="A4204" s="2">
        <v>0.55107638888888888</v>
      </c>
      <c r="B4204" s="3">
        <v>44841</v>
      </c>
      <c r="C4204" s="1">
        <v>8370477244</v>
      </c>
      <c r="D4204" s="1">
        <v>7444709161</v>
      </c>
      <c r="E4204" s="1">
        <v>16629.59</v>
      </c>
      <c r="F4204" s="1" t="s">
        <v>12</v>
      </c>
      <c r="G4204" s="1" t="s">
        <v>29</v>
      </c>
      <c r="H4204" s="1" t="s">
        <v>13</v>
      </c>
      <c r="I4204" s="1" t="s">
        <v>48</v>
      </c>
      <c r="J4204" s="1" t="s">
        <v>18</v>
      </c>
      <c r="K4204" s="1">
        <v>0</v>
      </c>
      <c r="L4204" s="1" t="s">
        <v>21</v>
      </c>
      <c r="M4204" s="1" t="str">
        <f t="shared" si="66"/>
        <v>Potential Layering</v>
      </c>
      <c r="N4204" s="1" t="str">
        <f>_xlfn.XLOOKUP(H4204, risk_score!A:A, risk_score!B:B, 0)</f>
        <v>Low Risk</v>
      </c>
    </row>
    <row r="4205" spans="1:14">
      <c r="A4205" s="2">
        <v>0.55108796296296292</v>
      </c>
      <c r="B4205" s="3">
        <v>44841</v>
      </c>
      <c r="C4205" s="1">
        <v>2661600778</v>
      </c>
      <c r="D4205" s="1">
        <v>385669822</v>
      </c>
      <c r="E4205" s="1">
        <v>6413.33</v>
      </c>
      <c r="F4205" s="1" t="s">
        <v>12</v>
      </c>
      <c r="G4205" s="1" t="s">
        <v>12</v>
      </c>
      <c r="H4205" s="1" t="s">
        <v>13</v>
      </c>
      <c r="I4205" s="1" t="s">
        <v>13</v>
      </c>
      <c r="J4205" s="1" t="s">
        <v>22</v>
      </c>
      <c r="K4205" s="1">
        <v>0</v>
      </c>
      <c r="L4205" s="1" t="s">
        <v>21</v>
      </c>
      <c r="M4205" s="1" t="str">
        <f t="shared" si="66"/>
        <v>Consistent</v>
      </c>
      <c r="N4205" s="1" t="str">
        <f>_xlfn.XLOOKUP(H4205, risk_score!A:A, risk_score!B:B, 0)</f>
        <v>Low Risk</v>
      </c>
    </row>
    <row r="4206" spans="1:14">
      <c r="A4206" s="2">
        <v>0.55111111111111111</v>
      </c>
      <c r="B4206" s="3">
        <v>44841</v>
      </c>
      <c r="C4206" s="1">
        <v>5311089132</v>
      </c>
      <c r="D4206" s="1">
        <v>3116345888</v>
      </c>
      <c r="E4206" s="1">
        <v>4675</v>
      </c>
      <c r="F4206" s="1" t="s">
        <v>12</v>
      </c>
      <c r="G4206" s="1" t="s">
        <v>12</v>
      </c>
      <c r="H4206" s="1" t="s">
        <v>13</v>
      </c>
      <c r="I4206" s="1" t="s">
        <v>13</v>
      </c>
      <c r="J4206" s="1" t="s">
        <v>20</v>
      </c>
      <c r="K4206" s="1">
        <v>0</v>
      </c>
      <c r="L4206" s="1" t="s">
        <v>21</v>
      </c>
      <c r="M4206" s="1" t="str">
        <f t="shared" si="66"/>
        <v>Consistent</v>
      </c>
      <c r="N4206" s="1" t="str">
        <f>_xlfn.XLOOKUP(H4206, risk_score!A:A, risk_score!B:B, 0)</f>
        <v>Low Risk</v>
      </c>
    </row>
    <row r="4207" spans="1:14">
      <c r="A4207" s="2">
        <v>0.55115740740740737</v>
      </c>
      <c r="B4207" s="3">
        <v>44841</v>
      </c>
      <c r="C4207" s="1">
        <v>6904668523</v>
      </c>
      <c r="D4207" s="1">
        <v>1140410616</v>
      </c>
      <c r="E4207" s="1">
        <v>4981.32</v>
      </c>
      <c r="F4207" s="1" t="s">
        <v>12</v>
      </c>
      <c r="G4207" s="1" t="s">
        <v>12</v>
      </c>
      <c r="H4207" s="1" t="s">
        <v>13</v>
      </c>
      <c r="I4207" s="1" t="s">
        <v>13</v>
      </c>
      <c r="J4207" s="1" t="s">
        <v>22</v>
      </c>
      <c r="K4207" s="1">
        <v>0</v>
      </c>
      <c r="L4207" s="1" t="s">
        <v>19</v>
      </c>
      <c r="M4207" s="1" t="str">
        <f t="shared" si="66"/>
        <v>Consistent</v>
      </c>
      <c r="N4207" s="1" t="str">
        <f>_xlfn.XLOOKUP(H4207, risk_score!A:A, risk_score!B:B, 0)</f>
        <v>Low Risk</v>
      </c>
    </row>
    <row r="4208" spans="1:14">
      <c r="A4208" s="2">
        <v>0.55118055555555556</v>
      </c>
      <c r="B4208" s="3">
        <v>44841</v>
      </c>
      <c r="C4208" s="1">
        <v>1977915508</v>
      </c>
      <c r="D4208" s="1">
        <v>1493436023</v>
      </c>
      <c r="E4208" s="1">
        <v>16361.21</v>
      </c>
      <c r="F4208" s="1" t="s">
        <v>12</v>
      </c>
      <c r="G4208" s="1" t="s">
        <v>12</v>
      </c>
      <c r="H4208" s="1" t="s">
        <v>13</v>
      </c>
      <c r="I4208" s="1" t="s">
        <v>13</v>
      </c>
      <c r="J4208" s="1" t="s">
        <v>25</v>
      </c>
      <c r="K4208" s="1">
        <v>0</v>
      </c>
      <c r="L4208" s="1" t="s">
        <v>23</v>
      </c>
      <c r="M4208" s="1" t="str">
        <f t="shared" si="66"/>
        <v>Consistent</v>
      </c>
      <c r="N4208" s="1" t="str">
        <f>_xlfn.XLOOKUP(H4208, risk_score!A:A, risk_score!B:B, 0)</f>
        <v>Low Risk</v>
      </c>
    </row>
    <row r="4209" spans="1:14">
      <c r="A4209" s="2">
        <v>0.5511921296296296</v>
      </c>
      <c r="B4209" s="3">
        <v>44841</v>
      </c>
      <c r="C4209" s="1">
        <v>5878478934</v>
      </c>
      <c r="D4209" s="1">
        <v>9736890208</v>
      </c>
      <c r="E4209" s="1">
        <v>1254.9000000000001</v>
      </c>
      <c r="F4209" s="1" t="s">
        <v>12</v>
      </c>
      <c r="G4209" s="1" t="s">
        <v>12</v>
      </c>
      <c r="H4209" s="1" t="s">
        <v>13</v>
      </c>
      <c r="I4209" s="1" t="s">
        <v>13</v>
      </c>
      <c r="J4209" s="1" t="s">
        <v>22</v>
      </c>
      <c r="K4209" s="1">
        <v>0</v>
      </c>
      <c r="L4209" s="1" t="s">
        <v>24</v>
      </c>
      <c r="M4209" s="1" t="str">
        <f t="shared" si="66"/>
        <v>Consistent</v>
      </c>
      <c r="N4209" s="1" t="str">
        <f>_xlfn.XLOOKUP(H4209, risk_score!A:A, risk_score!B:B, 0)</f>
        <v>Low Risk</v>
      </c>
    </row>
    <row r="4210" spans="1:14">
      <c r="A4210" s="2">
        <v>0.55120370370370375</v>
      </c>
      <c r="B4210" s="3">
        <v>44841</v>
      </c>
      <c r="C4210" s="1">
        <v>6541552727</v>
      </c>
      <c r="D4210" s="1">
        <v>5240847125</v>
      </c>
      <c r="E4210" s="1">
        <v>6181.7</v>
      </c>
      <c r="F4210" s="1" t="s">
        <v>12</v>
      </c>
      <c r="G4210" s="1" t="s">
        <v>12</v>
      </c>
      <c r="H4210" s="1" t="s">
        <v>13</v>
      </c>
      <c r="I4210" s="1" t="s">
        <v>13</v>
      </c>
      <c r="J4210" s="1" t="s">
        <v>22</v>
      </c>
      <c r="K4210" s="1">
        <v>0</v>
      </c>
      <c r="L4210" s="1" t="s">
        <v>19</v>
      </c>
      <c r="M4210" s="1" t="str">
        <f t="shared" si="66"/>
        <v>Consistent</v>
      </c>
      <c r="N4210" s="1" t="str">
        <f>_xlfn.XLOOKUP(H4210, risk_score!A:A, risk_score!B:B, 0)</f>
        <v>Low Risk</v>
      </c>
    </row>
    <row r="4211" spans="1:14">
      <c r="A4211" s="2">
        <v>0.55122685185185183</v>
      </c>
      <c r="B4211" s="3">
        <v>44841</v>
      </c>
      <c r="C4211" s="1">
        <v>5191792876</v>
      </c>
      <c r="D4211" s="1">
        <v>9234906087</v>
      </c>
      <c r="E4211" s="1">
        <v>1371.72</v>
      </c>
      <c r="F4211" s="1" t="s">
        <v>12</v>
      </c>
      <c r="G4211" s="1" t="s">
        <v>12</v>
      </c>
      <c r="H4211" s="1" t="s">
        <v>13</v>
      </c>
      <c r="I4211" s="1" t="s">
        <v>13</v>
      </c>
      <c r="J4211" s="1" t="s">
        <v>20</v>
      </c>
      <c r="K4211" s="1">
        <v>0</v>
      </c>
      <c r="L4211" s="1" t="s">
        <v>21</v>
      </c>
      <c r="M4211" s="1" t="str">
        <f t="shared" si="66"/>
        <v>Consistent</v>
      </c>
      <c r="N4211" s="1" t="str">
        <f>_xlfn.XLOOKUP(H4211, risk_score!A:A, risk_score!B:B, 0)</f>
        <v>Low Risk</v>
      </c>
    </row>
    <row r="4212" spans="1:14">
      <c r="A4212" s="2">
        <v>0.55125000000000002</v>
      </c>
      <c r="B4212" s="3">
        <v>44841</v>
      </c>
      <c r="C4212" s="1">
        <v>2337289637</v>
      </c>
      <c r="D4212" s="1">
        <v>9543116061</v>
      </c>
      <c r="E4212" s="1">
        <v>7660.74</v>
      </c>
      <c r="F4212" s="1" t="s">
        <v>12</v>
      </c>
      <c r="G4212" s="1" t="s">
        <v>12</v>
      </c>
      <c r="H4212" s="1" t="s">
        <v>13</v>
      </c>
      <c r="I4212" s="1" t="s">
        <v>13</v>
      </c>
      <c r="J4212" s="1" t="s">
        <v>25</v>
      </c>
      <c r="K4212" s="1">
        <v>0</v>
      </c>
      <c r="L4212" s="1" t="s">
        <v>21</v>
      </c>
      <c r="M4212" s="1" t="str">
        <f t="shared" si="66"/>
        <v>Consistent</v>
      </c>
      <c r="N4212" s="1" t="str">
        <f>_xlfn.XLOOKUP(H4212, risk_score!A:A, risk_score!B:B, 0)</f>
        <v>Low Risk</v>
      </c>
    </row>
    <row r="4213" spans="1:14">
      <c r="A4213" s="2">
        <v>0.55125000000000002</v>
      </c>
      <c r="B4213" s="3">
        <v>44841</v>
      </c>
      <c r="C4213" s="1">
        <v>7815302114</v>
      </c>
      <c r="D4213" s="1">
        <v>1271393848</v>
      </c>
      <c r="E4213" s="1">
        <v>2398.91</v>
      </c>
      <c r="F4213" s="1" t="s">
        <v>12</v>
      </c>
      <c r="G4213" s="1" t="s">
        <v>12</v>
      </c>
      <c r="H4213" s="1" t="s">
        <v>13</v>
      </c>
      <c r="I4213" s="1" t="s">
        <v>13</v>
      </c>
      <c r="J4213" s="1" t="s">
        <v>25</v>
      </c>
      <c r="K4213" s="1">
        <v>0</v>
      </c>
      <c r="L4213" s="1" t="s">
        <v>24</v>
      </c>
      <c r="M4213" s="1" t="str">
        <f t="shared" si="66"/>
        <v>Consistent</v>
      </c>
      <c r="N4213" s="1" t="str">
        <f>_xlfn.XLOOKUP(H4213, risk_score!A:A, risk_score!B:B, 0)</f>
        <v>Low Risk</v>
      </c>
    </row>
    <row r="4214" spans="1:14">
      <c r="A4214" s="2">
        <v>0.5512731481481481</v>
      </c>
      <c r="B4214" s="3">
        <v>44841</v>
      </c>
      <c r="C4214" s="1">
        <v>1320529492</v>
      </c>
      <c r="D4214" s="1">
        <v>2696738269</v>
      </c>
      <c r="E4214" s="1">
        <v>1536.53</v>
      </c>
      <c r="F4214" s="1" t="s">
        <v>12</v>
      </c>
      <c r="G4214" s="1" t="s">
        <v>12</v>
      </c>
      <c r="H4214" s="1" t="s">
        <v>13</v>
      </c>
      <c r="I4214" s="1" t="s">
        <v>13</v>
      </c>
      <c r="J4214" s="1" t="s">
        <v>22</v>
      </c>
      <c r="K4214" s="1">
        <v>0</v>
      </c>
      <c r="L4214" s="1" t="s">
        <v>21</v>
      </c>
      <c r="M4214" s="1" t="str">
        <f t="shared" si="66"/>
        <v>Consistent</v>
      </c>
      <c r="N4214" s="1" t="str">
        <f>_xlfn.XLOOKUP(H4214, risk_score!A:A, risk_score!B:B, 0)</f>
        <v>Low Risk</v>
      </c>
    </row>
    <row r="4215" spans="1:14">
      <c r="A4215" s="2">
        <v>0.55129629629629628</v>
      </c>
      <c r="B4215" s="3">
        <v>44841</v>
      </c>
      <c r="C4215" s="1">
        <v>7669236826</v>
      </c>
      <c r="D4215" s="1">
        <v>3794172311</v>
      </c>
      <c r="E4215" s="1">
        <v>6886.56</v>
      </c>
      <c r="F4215" s="1" t="s">
        <v>12</v>
      </c>
      <c r="G4215" s="1" t="s">
        <v>12</v>
      </c>
      <c r="H4215" s="1" t="s">
        <v>13</v>
      </c>
      <c r="I4215" s="1" t="s">
        <v>13</v>
      </c>
      <c r="J4215" s="1" t="s">
        <v>25</v>
      </c>
      <c r="K4215" s="1">
        <v>0</v>
      </c>
      <c r="L4215" s="1" t="s">
        <v>19</v>
      </c>
      <c r="M4215" s="1" t="str">
        <f t="shared" si="66"/>
        <v>Consistent</v>
      </c>
      <c r="N4215" s="1" t="str">
        <f>_xlfn.XLOOKUP(H4215, risk_score!A:A, risk_score!B:B, 0)</f>
        <v>Low Risk</v>
      </c>
    </row>
    <row r="4216" spans="1:14">
      <c r="A4216" s="2">
        <v>0.55130787037037032</v>
      </c>
      <c r="B4216" s="3">
        <v>44841</v>
      </c>
      <c r="C4216" s="1">
        <v>8744916972</v>
      </c>
      <c r="D4216" s="1">
        <v>8352571580</v>
      </c>
      <c r="E4216" s="1">
        <v>4488.74</v>
      </c>
      <c r="F4216" s="1" t="s">
        <v>12</v>
      </c>
      <c r="G4216" s="1" t="s">
        <v>12</v>
      </c>
      <c r="H4216" s="1" t="s">
        <v>13</v>
      </c>
      <c r="I4216" s="1" t="s">
        <v>13</v>
      </c>
      <c r="J4216" s="1" t="s">
        <v>20</v>
      </c>
      <c r="K4216" s="1">
        <v>0</v>
      </c>
      <c r="L4216" s="1" t="s">
        <v>23</v>
      </c>
      <c r="M4216" s="1" t="str">
        <f t="shared" si="66"/>
        <v>Consistent</v>
      </c>
      <c r="N4216" s="1" t="str">
        <f>_xlfn.XLOOKUP(H4216, risk_score!A:A, risk_score!B:B, 0)</f>
        <v>Low Risk</v>
      </c>
    </row>
    <row r="4217" spans="1:14">
      <c r="A4217" s="2">
        <v>0.55133101851851851</v>
      </c>
      <c r="B4217" s="3">
        <v>44841</v>
      </c>
      <c r="C4217" s="1">
        <v>3894781714</v>
      </c>
      <c r="D4217" s="1">
        <v>8172080174</v>
      </c>
      <c r="E4217" s="1">
        <v>5469.53</v>
      </c>
      <c r="F4217" s="1" t="s">
        <v>12</v>
      </c>
      <c r="G4217" s="1" t="s">
        <v>12</v>
      </c>
      <c r="H4217" s="1" t="s">
        <v>13</v>
      </c>
      <c r="I4217" s="1" t="s">
        <v>13</v>
      </c>
      <c r="J4217" s="1" t="s">
        <v>27</v>
      </c>
      <c r="K4217" s="1">
        <v>0</v>
      </c>
      <c r="L4217" s="1" t="s">
        <v>23</v>
      </c>
      <c r="M4217" s="1" t="str">
        <f t="shared" si="66"/>
        <v>Consistent</v>
      </c>
      <c r="N4217" s="1" t="str">
        <f>_xlfn.XLOOKUP(H4217, risk_score!A:A, risk_score!B:B, 0)</f>
        <v>Low Risk</v>
      </c>
    </row>
    <row r="4218" spans="1:14">
      <c r="A4218" s="2">
        <v>0.5513541666666667</v>
      </c>
      <c r="B4218" s="3">
        <v>44841</v>
      </c>
      <c r="C4218" s="1">
        <v>2793462977</v>
      </c>
      <c r="D4218" s="1">
        <v>191102945</v>
      </c>
      <c r="E4218" s="1">
        <v>2698.29</v>
      </c>
      <c r="F4218" s="1" t="s">
        <v>12</v>
      </c>
      <c r="G4218" s="1" t="s">
        <v>12</v>
      </c>
      <c r="H4218" s="1" t="s">
        <v>13</v>
      </c>
      <c r="I4218" s="1" t="s">
        <v>13</v>
      </c>
      <c r="J4218" s="1" t="s">
        <v>22</v>
      </c>
      <c r="K4218" s="1">
        <v>0</v>
      </c>
      <c r="L4218" s="1" t="s">
        <v>21</v>
      </c>
      <c r="M4218" s="1" t="str">
        <f t="shared" si="66"/>
        <v>Consistent</v>
      </c>
      <c r="N4218" s="1" t="str">
        <f>_xlfn.XLOOKUP(H4218, risk_score!A:A, risk_score!B:B, 0)</f>
        <v>Low Risk</v>
      </c>
    </row>
    <row r="4219" spans="1:14">
      <c r="A4219" s="2">
        <v>0.55136574074074074</v>
      </c>
      <c r="B4219" s="3">
        <v>44841</v>
      </c>
      <c r="C4219" s="1">
        <v>7434320725</v>
      </c>
      <c r="D4219" s="1">
        <v>2647394696</v>
      </c>
      <c r="E4219" s="1">
        <v>3459.51</v>
      </c>
      <c r="F4219" s="1" t="s">
        <v>12</v>
      </c>
      <c r="G4219" s="1" t="s">
        <v>12</v>
      </c>
      <c r="H4219" s="1" t="s">
        <v>13</v>
      </c>
      <c r="I4219" s="1" t="s">
        <v>13</v>
      </c>
      <c r="J4219" s="1" t="s">
        <v>27</v>
      </c>
      <c r="K4219" s="1">
        <v>0</v>
      </c>
      <c r="L4219" s="1" t="s">
        <v>21</v>
      </c>
      <c r="M4219" s="1" t="str">
        <f t="shared" si="66"/>
        <v>Consistent</v>
      </c>
      <c r="N4219" s="1" t="str">
        <f>_xlfn.XLOOKUP(H4219, risk_score!A:A, risk_score!B:B, 0)</f>
        <v>Low Risk</v>
      </c>
    </row>
    <row r="4220" spans="1:14">
      <c r="A4220" s="2">
        <v>0.55137731481481478</v>
      </c>
      <c r="B4220" s="3">
        <v>44841</v>
      </c>
      <c r="C4220" s="1">
        <v>3987427708</v>
      </c>
      <c r="D4220" s="1">
        <v>7133861198</v>
      </c>
      <c r="E4220" s="1">
        <v>6424.88</v>
      </c>
      <c r="F4220" s="1" t="s">
        <v>12</v>
      </c>
      <c r="G4220" s="1" t="s">
        <v>12</v>
      </c>
      <c r="H4220" s="1" t="s">
        <v>13</v>
      </c>
      <c r="I4220" s="1" t="s">
        <v>13</v>
      </c>
      <c r="J4220" s="1" t="s">
        <v>27</v>
      </c>
      <c r="K4220" s="1">
        <v>0</v>
      </c>
      <c r="L4220" s="1" t="s">
        <v>21</v>
      </c>
      <c r="M4220" s="1" t="str">
        <f t="shared" si="66"/>
        <v>Consistent</v>
      </c>
      <c r="N4220" s="1" t="str">
        <f>_xlfn.XLOOKUP(H4220, risk_score!A:A, risk_score!B:B, 0)</f>
        <v>Low Risk</v>
      </c>
    </row>
    <row r="4221" spans="1:14">
      <c r="A4221" s="2">
        <v>0.55137731481481478</v>
      </c>
      <c r="B4221" s="3">
        <v>44841</v>
      </c>
      <c r="C4221" s="1">
        <v>3868587578</v>
      </c>
      <c r="D4221" s="1">
        <v>7080357663</v>
      </c>
      <c r="E4221" s="1">
        <v>12694.46</v>
      </c>
      <c r="F4221" s="1" t="s">
        <v>12</v>
      </c>
      <c r="G4221" s="1" t="s">
        <v>12</v>
      </c>
      <c r="H4221" s="1" t="s">
        <v>13</v>
      </c>
      <c r="I4221" s="1" t="s">
        <v>13</v>
      </c>
      <c r="J4221" s="1" t="s">
        <v>27</v>
      </c>
      <c r="K4221" s="1">
        <v>0</v>
      </c>
      <c r="L4221" s="1" t="s">
        <v>23</v>
      </c>
      <c r="M4221" s="1" t="str">
        <f t="shared" si="66"/>
        <v>Consistent</v>
      </c>
      <c r="N4221" s="1" t="str">
        <f>_xlfn.XLOOKUP(H4221, risk_score!A:A, risk_score!B:B, 0)</f>
        <v>Low Risk</v>
      </c>
    </row>
    <row r="4222" spans="1:14">
      <c r="A4222" s="2">
        <v>0.55138888888888893</v>
      </c>
      <c r="B4222" s="3">
        <v>44841</v>
      </c>
      <c r="C4222" s="1">
        <v>5452849099</v>
      </c>
      <c r="D4222" s="1">
        <v>4336977506</v>
      </c>
      <c r="E4222" s="1">
        <v>8605.11</v>
      </c>
      <c r="F4222" s="1" t="s">
        <v>12</v>
      </c>
      <c r="G4222" s="1" t="s">
        <v>12</v>
      </c>
      <c r="H4222" s="1" t="s">
        <v>13</v>
      </c>
      <c r="I4222" s="1" t="s">
        <v>13</v>
      </c>
      <c r="J4222" s="1" t="s">
        <v>20</v>
      </c>
      <c r="K4222" s="1">
        <v>0</v>
      </c>
      <c r="L4222" s="1" t="s">
        <v>23</v>
      </c>
      <c r="M4222" s="1" t="str">
        <f t="shared" si="66"/>
        <v>Consistent</v>
      </c>
      <c r="N4222" s="1" t="str">
        <f>_xlfn.XLOOKUP(H4222, risk_score!A:A, risk_score!B:B, 0)</f>
        <v>Low Risk</v>
      </c>
    </row>
    <row r="4223" spans="1:14">
      <c r="A4223" s="2">
        <v>0.55140046296296297</v>
      </c>
      <c r="B4223" s="3">
        <v>44841</v>
      </c>
      <c r="C4223" s="1">
        <v>9653270312</v>
      </c>
      <c r="D4223" s="1">
        <v>8784613261</v>
      </c>
      <c r="E4223" s="1">
        <v>2442.14</v>
      </c>
      <c r="F4223" s="1" t="s">
        <v>12</v>
      </c>
      <c r="G4223" s="1" t="s">
        <v>12</v>
      </c>
      <c r="H4223" s="1" t="s">
        <v>13</v>
      </c>
      <c r="I4223" s="1" t="s">
        <v>13</v>
      </c>
      <c r="J4223" s="1" t="s">
        <v>20</v>
      </c>
      <c r="K4223" s="1">
        <v>0</v>
      </c>
      <c r="L4223" s="1" t="s">
        <v>21</v>
      </c>
      <c r="M4223" s="1" t="str">
        <f t="shared" ref="M4223:M4286" si="67">IF(F4223=G4223, "Consistent", "Potential Layering")</f>
        <v>Consistent</v>
      </c>
      <c r="N4223" s="1" t="str">
        <f>_xlfn.XLOOKUP(H4223, risk_score!A:A, risk_score!B:B, 0)</f>
        <v>Low Risk</v>
      </c>
    </row>
    <row r="4224" spans="1:14">
      <c r="A4224" s="2">
        <v>0.5514930555555555</v>
      </c>
      <c r="B4224" s="3">
        <v>44841</v>
      </c>
      <c r="C4224" s="1">
        <v>7140707125</v>
      </c>
      <c r="D4224" s="1">
        <v>5628674969</v>
      </c>
      <c r="E4224" s="1">
        <v>6327.17</v>
      </c>
      <c r="F4224" s="1" t="s">
        <v>12</v>
      </c>
      <c r="G4224" s="1" t="s">
        <v>12</v>
      </c>
      <c r="H4224" s="1" t="s">
        <v>13</v>
      </c>
      <c r="I4224" s="1" t="s">
        <v>13</v>
      </c>
      <c r="J4224" s="1" t="s">
        <v>27</v>
      </c>
      <c r="K4224" s="1">
        <v>0</v>
      </c>
      <c r="L4224" s="1" t="s">
        <v>23</v>
      </c>
      <c r="M4224" s="1" t="str">
        <f t="shared" si="67"/>
        <v>Consistent</v>
      </c>
      <c r="N4224" s="1" t="str">
        <f>_xlfn.XLOOKUP(H4224, risk_score!A:A, risk_score!B:B, 0)</f>
        <v>Low Risk</v>
      </c>
    </row>
    <row r="4225" spans="1:14">
      <c r="A4225" s="2">
        <v>0.55160879629629633</v>
      </c>
      <c r="B4225" s="3">
        <v>44841</v>
      </c>
      <c r="C4225" s="1">
        <v>6460610033</v>
      </c>
      <c r="D4225" s="1">
        <v>5858369125</v>
      </c>
      <c r="E4225" s="1">
        <v>12584.21</v>
      </c>
      <c r="F4225" s="1" t="s">
        <v>12</v>
      </c>
      <c r="G4225" s="1" t="s">
        <v>12</v>
      </c>
      <c r="H4225" s="1" t="s">
        <v>13</v>
      </c>
      <c r="I4225" s="1" t="s">
        <v>13</v>
      </c>
      <c r="J4225" s="1" t="s">
        <v>27</v>
      </c>
      <c r="K4225" s="1">
        <v>0</v>
      </c>
      <c r="L4225" s="1" t="s">
        <v>23</v>
      </c>
      <c r="M4225" s="1" t="str">
        <f t="shared" si="67"/>
        <v>Consistent</v>
      </c>
      <c r="N4225" s="1" t="str">
        <f>_xlfn.XLOOKUP(H4225, risk_score!A:A, risk_score!B:B, 0)</f>
        <v>Low Risk</v>
      </c>
    </row>
    <row r="4226" spans="1:14">
      <c r="A4226" s="2">
        <v>0.5516550925925926</v>
      </c>
      <c r="B4226" s="3">
        <v>44841</v>
      </c>
      <c r="C4226" s="1">
        <v>4121324384</v>
      </c>
      <c r="D4226" s="1">
        <v>9281561360</v>
      </c>
      <c r="E4226" s="1">
        <v>22024.28</v>
      </c>
      <c r="F4226" s="1" t="s">
        <v>29</v>
      </c>
      <c r="G4226" s="1" t="s">
        <v>12</v>
      </c>
      <c r="H4226" s="1" t="s">
        <v>30</v>
      </c>
      <c r="I4226" s="1" t="s">
        <v>13</v>
      </c>
      <c r="J4226" s="1" t="s">
        <v>18</v>
      </c>
      <c r="K4226" s="1">
        <v>0</v>
      </c>
      <c r="L4226" s="1" t="s">
        <v>19</v>
      </c>
      <c r="M4226" s="1" t="str">
        <f t="shared" si="67"/>
        <v>Potential Layering</v>
      </c>
      <c r="N4226" s="1" t="str">
        <f>_xlfn.XLOOKUP(H4226, risk_score!A:A, risk_score!B:B, 0)</f>
        <v>Low Risk</v>
      </c>
    </row>
    <row r="4227" spans="1:14">
      <c r="A4227" s="2">
        <v>0.5516550925925926</v>
      </c>
      <c r="B4227" s="3">
        <v>44841</v>
      </c>
      <c r="C4227" s="1">
        <v>5101923207</v>
      </c>
      <c r="D4227" s="1">
        <v>8756736399</v>
      </c>
      <c r="E4227" s="1">
        <v>82.65</v>
      </c>
      <c r="F4227" s="1" t="s">
        <v>12</v>
      </c>
      <c r="G4227" s="1" t="s">
        <v>12</v>
      </c>
      <c r="H4227" s="1" t="s">
        <v>13</v>
      </c>
      <c r="I4227" s="1" t="s">
        <v>13</v>
      </c>
      <c r="J4227" s="1" t="s">
        <v>25</v>
      </c>
      <c r="K4227" s="1">
        <v>0</v>
      </c>
      <c r="L4227" s="1" t="s">
        <v>21</v>
      </c>
      <c r="M4227" s="1" t="str">
        <f t="shared" si="67"/>
        <v>Consistent</v>
      </c>
      <c r="N4227" s="1" t="str">
        <f>_xlfn.XLOOKUP(H4227, risk_score!A:A, risk_score!B:B, 0)</f>
        <v>Low Risk</v>
      </c>
    </row>
    <row r="4228" spans="1:14">
      <c r="A4228" s="2">
        <v>0.55166666666666664</v>
      </c>
      <c r="B4228" s="3">
        <v>44841</v>
      </c>
      <c r="C4228" s="1">
        <v>5714926472</v>
      </c>
      <c r="D4228" s="1">
        <v>2534644942</v>
      </c>
      <c r="E4228" s="1">
        <v>5162.45</v>
      </c>
      <c r="F4228" s="1" t="s">
        <v>12</v>
      </c>
      <c r="G4228" s="1" t="s">
        <v>29</v>
      </c>
      <c r="H4228" s="1" t="s">
        <v>13</v>
      </c>
      <c r="I4228" s="1" t="s">
        <v>31</v>
      </c>
      <c r="J4228" s="1" t="s">
        <v>18</v>
      </c>
      <c r="K4228" s="1">
        <v>0</v>
      </c>
      <c r="L4228" s="1" t="s">
        <v>23</v>
      </c>
      <c r="M4228" s="1" t="str">
        <f t="shared" si="67"/>
        <v>Potential Layering</v>
      </c>
      <c r="N4228" s="1" t="str">
        <f>_xlfn.XLOOKUP(H4228, risk_score!A:A, risk_score!B:B, 0)</f>
        <v>Low Risk</v>
      </c>
    </row>
    <row r="4229" spans="1:14">
      <c r="A4229" s="2">
        <v>0.55166666666666664</v>
      </c>
      <c r="B4229" s="3">
        <v>44841</v>
      </c>
      <c r="C4229" s="1">
        <v>1887550203</v>
      </c>
      <c r="D4229" s="1">
        <v>8162326457</v>
      </c>
      <c r="E4229" s="1">
        <v>3665.03</v>
      </c>
      <c r="F4229" s="1" t="s">
        <v>12</v>
      </c>
      <c r="G4229" s="1" t="s">
        <v>12</v>
      </c>
      <c r="H4229" s="1" t="s">
        <v>13</v>
      </c>
      <c r="I4229" s="1" t="s">
        <v>13</v>
      </c>
      <c r="J4229" s="1" t="s">
        <v>20</v>
      </c>
      <c r="K4229" s="1">
        <v>0</v>
      </c>
      <c r="L4229" s="1" t="s">
        <v>21</v>
      </c>
      <c r="M4229" s="1" t="str">
        <f t="shared" si="67"/>
        <v>Consistent</v>
      </c>
      <c r="N4229" s="1" t="str">
        <f>_xlfn.XLOOKUP(H4229, risk_score!A:A, risk_score!B:B, 0)</f>
        <v>Low Risk</v>
      </c>
    </row>
    <row r="4230" spans="1:14">
      <c r="A4230" s="2">
        <v>0.55171296296296302</v>
      </c>
      <c r="B4230" s="3">
        <v>44841</v>
      </c>
      <c r="C4230" s="1">
        <v>3410058398</v>
      </c>
      <c r="D4230" s="1">
        <v>8228282373</v>
      </c>
      <c r="E4230" s="1">
        <v>3593.08</v>
      </c>
      <c r="F4230" s="1" t="s">
        <v>12</v>
      </c>
      <c r="G4230" s="1" t="s">
        <v>12</v>
      </c>
      <c r="H4230" s="1" t="s">
        <v>13</v>
      </c>
      <c r="I4230" s="1" t="s">
        <v>13</v>
      </c>
      <c r="J4230" s="1" t="s">
        <v>20</v>
      </c>
      <c r="K4230" s="1">
        <v>0</v>
      </c>
      <c r="L4230" s="1" t="s">
        <v>21</v>
      </c>
      <c r="M4230" s="1" t="str">
        <f t="shared" si="67"/>
        <v>Consistent</v>
      </c>
      <c r="N4230" s="1" t="str">
        <f>_xlfn.XLOOKUP(H4230, risk_score!A:A, risk_score!B:B, 0)</f>
        <v>Low Risk</v>
      </c>
    </row>
    <row r="4231" spans="1:14">
      <c r="A4231" s="2">
        <v>0.55171296296296302</v>
      </c>
      <c r="B4231" s="3">
        <v>44841</v>
      </c>
      <c r="C4231" s="1">
        <v>6032005546</v>
      </c>
      <c r="D4231" s="1">
        <v>6444220418</v>
      </c>
      <c r="E4231" s="1">
        <v>20350.939999999999</v>
      </c>
      <c r="F4231" s="1" t="s">
        <v>12</v>
      </c>
      <c r="G4231" s="1" t="s">
        <v>12</v>
      </c>
      <c r="H4231" s="1" t="s">
        <v>13</v>
      </c>
      <c r="I4231" s="1" t="s">
        <v>13</v>
      </c>
      <c r="J4231" s="1" t="s">
        <v>27</v>
      </c>
      <c r="K4231" s="1">
        <v>0</v>
      </c>
      <c r="L4231" s="1" t="s">
        <v>23</v>
      </c>
      <c r="M4231" s="1" t="str">
        <f t="shared" si="67"/>
        <v>Consistent</v>
      </c>
      <c r="N4231" s="1" t="str">
        <f>_xlfn.XLOOKUP(H4231, risk_score!A:A, risk_score!B:B, 0)</f>
        <v>Low Risk</v>
      </c>
    </row>
    <row r="4232" spans="1:14">
      <c r="A4232" s="2">
        <v>0.55172453703703705</v>
      </c>
      <c r="B4232" s="3">
        <v>44841</v>
      </c>
      <c r="C4232" s="1">
        <v>4058692509</v>
      </c>
      <c r="D4232" s="1">
        <v>6064532869</v>
      </c>
      <c r="E4232" s="1">
        <v>1828.56</v>
      </c>
      <c r="F4232" s="1" t="s">
        <v>12</v>
      </c>
      <c r="G4232" s="1" t="s">
        <v>12</v>
      </c>
      <c r="H4232" s="1" t="s">
        <v>13</v>
      </c>
      <c r="I4232" s="1" t="s">
        <v>13</v>
      </c>
      <c r="J4232" s="1" t="s">
        <v>20</v>
      </c>
      <c r="K4232" s="1">
        <v>0</v>
      </c>
      <c r="L4232" s="1" t="s">
        <v>21</v>
      </c>
      <c r="M4232" s="1" t="str">
        <f t="shared" si="67"/>
        <v>Consistent</v>
      </c>
      <c r="N4232" s="1" t="str">
        <f>_xlfn.XLOOKUP(H4232, risk_score!A:A, risk_score!B:B, 0)</f>
        <v>Low Risk</v>
      </c>
    </row>
    <row r="4233" spans="1:14">
      <c r="A4233" s="2">
        <v>0.55177083333333332</v>
      </c>
      <c r="B4233" s="3">
        <v>44841</v>
      </c>
      <c r="C4233" s="1">
        <v>9591187244</v>
      </c>
      <c r="D4233" s="1">
        <v>4173195094</v>
      </c>
      <c r="E4233" s="1">
        <v>6649.85</v>
      </c>
      <c r="F4233" s="1" t="s">
        <v>12</v>
      </c>
      <c r="G4233" s="1" t="s">
        <v>12</v>
      </c>
      <c r="H4233" s="1" t="s">
        <v>13</v>
      </c>
      <c r="I4233" s="1" t="s">
        <v>13</v>
      </c>
      <c r="J4233" s="1" t="s">
        <v>25</v>
      </c>
      <c r="K4233" s="1">
        <v>0</v>
      </c>
      <c r="L4233" s="1" t="s">
        <v>23</v>
      </c>
      <c r="M4233" s="1" t="str">
        <f t="shared" si="67"/>
        <v>Consistent</v>
      </c>
      <c r="N4233" s="1" t="str">
        <f>_xlfn.XLOOKUP(H4233, risk_score!A:A, risk_score!B:B, 0)</f>
        <v>Low Risk</v>
      </c>
    </row>
    <row r="4234" spans="1:14">
      <c r="A4234" s="2">
        <v>0.55179398148148151</v>
      </c>
      <c r="B4234" s="3">
        <v>44841</v>
      </c>
      <c r="C4234" s="1">
        <v>7018140784</v>
      </c>
      <c r="D4234" s="1">
        <v>5885798493</v>
      </c>
      <c r="E4234" s="1">
        <v>9545.0499999999993</v>
      </c>
      <c r="F4234" s="1" t="s">
        <v>12</v>
      </c>
      <c r="G4234" s="1" t="s">
        <v>12</v>
      </c>
      <c r="H4234" s="1" t="s">
        <v>13</v>
      </c>
      <c r="I4234" s="1" t="s">
        <v>13</v>
      </c>
      <c r="J4234" s="1" t="s">
        <v>20</v>
      </c>
      <c r="K4234" s="1">
        <v>0</v>
      </c>
      <c r="L4234" s="1" t="s">
        <v>21</v>
      </c>
      <c r="M4234" s="1" t="str">
        <f t="shared" si="67"/>
        <v>Consistent</v>
      </c>
      <c r="N4234" s="1" t="str">
        <f>_xlfn.XLOOKUP(H4234, risk_score!A:A, risk_score!B:B, 0)</f>
        <v>Low Risk</v>
      </c>
    </row>
    <row r="4235" spans="1:14">
      <c r="A4235" s="2">
        <v>0.55181712962962959</v>
      </c>
      <c r="B4235" s="3">
        <v>44841</v>
      </c>
      <c r="C4235" s="1">
        <v>9541087936</v>
      </c>
      <c r="D4235" s="1">
        <v>4432690383</v>
      </c>
      <c r="E4235" s="1">
        <v>8300.65</v>
      </c>
      <c r="F4235" s="1" t="s">
        <v>12</v>
      </c>
      <c r="G4235" s="1" t="s">
        <v>12</v>
      </c>
      <c r="H4235" s="1" t="s">
        <v>13</v>
      </c>
      <c r="I4235" s="1" t="s">
        <v>13</v>
      </c>
      <c r="J4235" s="1" t="s">
        <v>22</v>
      </c>
      <c r="K4235" s="1">
        <v>0</v>
      </c>
      <c r="L4235" s="1" t="s">
        <v>38</v>
      </c>
      <c r="M4235" s="1" t="str">
        <f t="shared" si="67"/>
        <v>Consistent</v>
      </c>
      <c r="N4235" s="1" t="str">
        <f>_xlfn.XLOOKUP(H4235, risk_score!A:A, risk_score!B:B, 0)</f>
        <v>Low Risk</v>
      </c>
    </row>
    <row r="4236" spans="1:14">
      <c r="A4236" s="2">
        <v>0.55184027777777778</v>
      </c>
      <c r="B4236" s="3">
        <v>44841</v>
      </c>
      <c r="C4236" s="1">
        <v>6133650301</v>
      </c>
      <c r="D4236" s="1">
        <v>4385630974</v>
      </c>
      <c r="E4236" s="1">
        <v>2252.35</v>
      </c>
      <c r="F4236" s="1" t="s">
        <v>12</v>
      </c>
      <c r="G4236" s="1" t="s">
        <v>12</v>
      </c>
      <c r="H4236" s="1" t="s">
        <v>13</v>
      </c>
      <c r="I4236" s="1" t="s">
        <v>13</v>
      </c>
      <c r="J4236" s="1" t="s">
        <v>25</v>
      </c>
      <c r="K4236" s="1">
        <v>0</v>
      </c>
      <c r="L4236" s="1" t="s">
        <v>21</v>
      </c>
      <c r="M4236" s="1" t="str">
        <f t="shared" si="67"/>
        <v>Consistent</v>
      </c>
      <c r="N4236" s="1" t="str">
        <f>_xlfn.XLOOKUP(H4236, risk_score!A:A, risk_score!B:B, 0)</f>
        <v>Low Risk</v>
      </c>
    </row>
    <row r="4237" spans="1:14">
      <c r="A4237" s="2">
        <v>0.55184027777777778</v>
      </c>
      <c r="B4237" s="3">
        <v>44841</v>
      </c>
      <c r="C4237" s="1">
        <v>1583185005</v>
      </c>
      <c r="D4237" s="1">
        <v>8899448463</v>
      </c>
      <c r="E4237" s="1">
        <v>1687.29</v>
      </c>
      <c r="F4237" s="1" t="s">
        <v>12</v>
      </c>
      <c r="G4237" s="1" t="s">
        <v>12</v>
      </c>
      <c r="H4237" s="1" t="s">
        <v>13</v>
      </c>
      <c r="I4237" s="1" t="s">
        <v>13</v>
      </c>
      <c r="J4237" s="1" t="s">
        <v>14</v>
      </c>
      <c r="K4237" s="1">
        <v>0</v>
      </c>
      <c r="L4237" s="1" t="s">
        <v>15</v>
      </c>
      <c r="M4237" s="1" t="str">
        <f t="shared" si="67"/>
        <v>Consistent</v>
      </c>
      <c r="N4237" s="1" t="str">
        <f>_xlfn.XLOOKUP(H4237, risk_score!A:A, risk_score!B:B, 0)</f>
        <v>Low Risk</v>
      </c>
    </row>
    <row r="4238" spans="1:14">
      <c r="A4238" s="2">
        <v>0.55186342592592597</v>
      </c>
      <c r="B4238" s="3">
        <v>44841</v>
      </c>
      <c r="C4238" s="1">
        <v>1378784400</v>
      </c>
      <c r="D4238" s="1">
        <v>8410469287</v>
      </c>
      <c r="E4238" s="1">
        <v>8923.4500000000007</v>
      </c>
      <c r="F4238" s="1" t="s">
        <v>51</v>
      </c>
      <c r="G4238" s="1" t="s">
        <v>12</v>
      </c>
      <c r="H4238" s="1" t="s">
        <v>13</v>
      </c>
      <c r="I4238" s="1" t="s">
        <v>13</v>
      </c>
      <c r="J4238" s="1" t="s">
        <v>22</v>
      </c>
      <c r="K4238" s="1">
        <v>0</v>
      </c>
      <c r="L4238" s="1" t="s">
        <v>19</v>
      </c>
      <c r="M4238" s="1" t="str">
        <f t="shared" si="67"/>
        <v>Potential Layering</v>
      </c>
      <c r="N4238" s="1" t="str">
        <f>_xlfn.XLOOKUP(H4238, risk_score!A:A, risk_score!B:B, 0)</f>
        <v>Low Risk</v>
      </c>
    </row>
    <row r="4239" spans="1:14">
      <c r="A4239" s="2">
        <v>0.55194444444444446</v>
      </c>
      <c r="B4239" s="3">
        <v>44841</v>
      </c>
      <c r="C4239" s="1">
        <v>8430816457</v>
      </c>
      <c r="D4239" s="1">
        <v>1057388918</v>
      </c>
      <c r="E4239" s="1">
        <v>3507.77</v>
      </c>
      <c r="F4239" s="1" t="s">
        <v>12</v>
      </c>
      <c r="G4239" s="1" t="s">
        <v>12</v>
      </c>
      <c r="H4239" s="1" t="s">
        <v>13</v>
      </c>
      <c r="I4239" s="1" t="s">
        <v>13</v>
      </c>
      <c r="J4239" s="1" t="s">
        <v>22</v>
      </c>
      <c r="K4239" s="1">
        <v>0</v>
      </c>
      <c r="L4239" s="1" t="s">
        <v>21</v>
      </c>
      <c r="M4239" s="1" t="str">
        <f t="shared" si="67"/>
        <v>Consistent</v>
      </c>
      <c r="N4239" s="1" t="str">
        <f>_xlfn.XLOOKUP(H4239, risk_score!A:A, risk_score!B:B, 0)</f>
        <v>Low Risk</v>
      </c>
    </row>
    <row r="4240" spans="1:14">
      <c r="A4240" s="2">
        <v>0.55203703703703699</v>
      </c>
      <c r="B4240" s="3">
        <v>44841</v>
      </c>
      <c r="C4240" s="1">
        <v>7862735091</v>
      </c>
      <c r="D4240" s="1">
        <v>8273831180</v>
      </c>
      <c r="E4240" s="1">
        <v>530.25</v>
      </c>
      <c r="F4240" s="1" t="s">
        <v>12</v>
      </c>
      <c r="G4240" s="1" t="s">
        <v>12</v>
      </c>
      <c r="H4240" s="1" t="s">
        <v>13</v>
      </c>
      <c r="I4240" s="1" t="s">
        <v>13</v>
      </c>
      <c r="J4240" s="1" t="s">
        <v>22</v>
      </c>
      <c r="K4240" s="1">
        <v>0</v>
      </c>
      <c r="L4240" s="1" t="s">
        <v>21</v>
      </c>
      <c r="M4240" s="1" t="str">
        <f t="shared" si="67"/>
        <v>Consistent</v>
      </c>
      <c r="N4240" s="1" t="str">
        <f>_xlfn.XLOOKUP(H4240, risk_score!A:A, risk_score!B:B, 0)</f>
        <v>Low Risk</v>
      </c>
    </row>
    <row r="4241" spans="1:14">
      <c r="A4241" s="2">
        <v>0.55203703703703699</v>
      </c>
      <c r="B4241" s="3">
        <v>44841</v>
      </c>
      <c r="C4241" s="1">
        <v>7617315686</v>
      </c>
      <c r="D4241" s="1">
        <v>9142843211</v>
      </c>
      <c r="E4241" s="1">
        <v>2578.25</v>
      </c>
      <c r="F4241" s="1" t="s">
        <v>12</v>
      </c>
      <c r="G4241" s="1" t="s">
        <v>12</v>
      </c>
      <c r="H4241" s="1" t="s">
        <v>13</v>
      </c>
      <c r="I4241" s="1" t="s">
        <v>13</v>
      </c>
      <c r="J4241" s="1" t="s">
        <v>22</v>
      </c>
      <c r="K4241" s="1">
        <v>0</v>
      </c>
      <c r="L4241" s="1" t="s">
        <v>24</v>
      </c>
      <c r="M4241" s="1" t="str">
        <f t="shared" si="67"/>
        <v>Consistent</v>
      </c>
      <c r="N4241" s="1" t="str">
        <f>_xlfn.XLOOKUP(H4241, risk_score!A:A, risk_score!B:B, 0)</f>
        <v>Low Risk</v>
      </c>
    </row>
    <row r="4242" spans="1:14">
      <c r="A4242" s="2">
        <v>0.55207175925925922</v>
      </c>
      <c r="B4242" s="3">
        <v>44841</v>
      </c>
      <c r="C4242" s="1">
        <v>4708818879</v>
      </c>
      <c r="D4242" s="1">
        <v>5031896657</v>
      </c>
      <c r="E4242" s="1">
        <v>3428.17</v>
      </c>
      <c r="F4242" s="1" t="s">
        <v>12</v>
      </c>
      <c r="G4242" s="1" t="s">
        <v>12</v>
      </c>
      <c r="H4242" s="1" t="s">
        <v>13</v>
      </c>
      <c r="I4242" s="1" t="s">
        <v>13</v>
      </c>
      <c r="J4242" s="1" t="s">
        <v>25</v>
      </c>
      <c r="K4242" s="1">
        <v>0</v>
      </c>
      <c r="L4242" s="1" t="s">
        <v>21</v>
      </c>
      <c r="M4242" s="1" t="str">
        <f t="shared" si="67"/>
        <v>Consistent</v>
      </c>
      <c r="N4242" s="1" t="str">
        <f>_xlfn.XLOOKUP(H4242, risk_score!A:A, risk_score!B:B, 0)</f>
        <v>Low Risk</v>
      </c>
    </row>
    <row r="4243" spans="1:14">
      <c r="A4243" s="2">
        <v>0.5521180555555556</v>
      </c>
      <c r="B4243" s="3">
        <v>44841</v>
      </c>
      <c r="C4243" s="1">
        <v>7758268667</v>
      </c>
      <c r="D4243" s="1">
        <v>3325153054</v>
      </c>
      <c r="E4243" s="1">
        <v>9996.4599999999991</v>
      </c>
      <c r="F4243" s="1" t="s">
        <v>29</v>
      </c>
      <c r="G4243" s="1" t="s">
        <v>12</v>
      </c>
      <c r="H4243" s="1" t="s">
        <v>13</v>
      </c>
      <c r="I4243" s="1" t="s">
        <v>13</v>
      </c>
      <c r="J4243" s="1" t="s">
        <v>20</v>
      </c>
      <c r="K4243" s="1">
        <v>0</v>
      </c>
      <c r="L4243" s="1" t="s">
        <v>19</v>
      </c>
      <c r="M4243" s="1" t="str">
        <f t="shared" si="67"/>
        <v>Potential Layering</v>
      </c>
      <c r="N4243" s="1" t="str">
        <f>_xlfn.XLOOKUP(H4243, risk_score!A:A, risk_score!B:B, 0)</f>
        <v>Low Risk</v>
      </c>
    </row>
    <row r="4244" spans="1:14">
      <c r="A4244" s="2">
        <v>0.55212962962962964</v>
      </c>
      <c r="B4244" s="3">
        <v>44841</v>
      </c>
      <c r="C4244" s="1">
        <v>6116657264</v>
      </c>
      <c r="D4244" s="1">
        <v>7249249682</v>
      </c>
      <c r="E4244" s="1">
        <v>5730.95</v>
      </c>
      <c r="F4244" s="1" t="s">
        <v>12</v>
      </c>
      <c r="G4244" s="1" t="s">
        <v>12</v>
      </c>
      <c r="H4244" s="1" t="s">
        <v>13</v>
      </c>
      <c r="I4244" s="1" t="s">
        <v>13</v>
      </c>
      <c r="J4244" s="1" t="s">
        <v>25</v>
      </c>
      <c r="K4244" s="1">
        <v>0</v>
      </c>
      <c r="L4244" s="1" t="s">
        <v>19</v>
      </c>
      <c r="M4244" s="1" t="str">
        <f t="shared" si="67"/>
        <v>Consistent</v>
      </c>
      <c r="N4244" s="1" t="str">
        <f>_xlfn.XLOOKUP(H4244, risk_score!A:A, risk_score!B:B, 0)</f>
        <v>Low Risk</v>
      </c>
    </row>
    <row r="4245" spans="1:14">
      <c r="A4245" s="2">
        <v>0.55219907407407409</v>
      </c>
      <c r="B4245" s="3">
        <v>44841</v>
      </c>
      <c r="C4245" s="1">
        <v>3614082527</v>
      </c>
      <c r="D4245" s="1">
        <v>6066458462</v>
      </c>
      <c r="E4245" s="1">
        <v>5837.09</v>
      </c>
      <c r="F4245" s="1" t="s">
        <v>12</v>
      </c>
      <c r="G4245" s="1" t="s">
        <v>12</v>
      </c>
      <c r="H4245" s="1" t="s">
        <v>13</v>
      </c>
      <c r="I4245" s="1" t="s">
        <v>13</v>
      </c>
      <c r="J4245" s="1" t="s">
        <v>27</v>
      </c>
      <c r="K4245" s="1">
        <v>0</v>
      </c>
      <c r="L4245" s="1" t="s">
        <v>19</v>
      </c>
      <c r="M4245" s="1" t="str">
        <f t="shared" si="67"/>
        <v>Consistent</v>
      </c>
      <c r="N4245" s="1" t="str">
        <f>_xlfn.XLOOKUP(H4245, risk_score!A:A, risk_score!B:B, 0)</f>
        <v>Low Risk</v>
      </c>
    </row>
    <row r="4246" spans="1:14">
      <c r="A4246" s="2">
        <v>0.55222222222222217</v>
      </c>
      <c r="B4246" s="3">
        <v>44841</v>
      </c>
      <c r="C4246" s="1">
        <v>7669236826</v>
      </c>
      <c r="D4246" s="1">
        <v>375015805</v>
      </c>
      <c r="E4246" s="1">
        <v>4413.88</v>
      </c>
      <c r="F4246" s="1" t="s">
        <v>12</v>
      </c>
      <c r="G4246" s="1" t="s">
        <v>12</v>
      </c>
      <c r="H4246" s="1" t="s">
        <v>13</v>
      </c>
      <c r="I4246" s="1" t="s">
        <v>13</v>
      </c>
      <c r="J4246" s="1" t="s">
        <v>25</v>
      </c>
      <c r="K4246" s="1">
        <v>0</v>
      </c>
      <c r="L4246" s="1" t="s">
        <v>19</v>
      </c>
      <c r="M4246" s="1" t="str">
        <f t="shared" si="67"/>
        <v>Consistent</v>
      </c>
      <c r="N4246" s="1" t="str">
        <f>_xlfn.XLOOKUP(H4246, risk_score!A:A, risk_score!B:B, 0)</f>
        <v>Low Risk</v>
      </c>
    </row>
    <row r="4247" spans="1:14">
      <c r="A4247" s="2">
        <v>0.55222222222222217</v>
      </c>
      <c r="B4247" s="3">
        <v>44841</v>
      </c>
      <c r="C4247" s="1">
        <v>7166052239</v>
      </c>
      <c r="D4247" s="1">
        <v>8172080174</v>
      </c>
      <c r="E4247" s="1">
        <v>6972.44</v>
      </c>
      <c r="F4247" s="1" t="s">
        <v>12</v>
      </c>
      <c r="G4247" s="1" t="s">
        <v>12</v>
      </c>
      <c r="H4247" s="1" t="s">
        <v>13</v>
      </c>
      <c r="I4247" s="1" t="s">
        <v>13</v>
      </c>
      <c r="J4247" s="1" t="s">
        <v>27</v>
      </c>
      <c r="K4247" s="1">
        <v>0</v>
      </c>
      <c r="L4247" s="1" t="s">
        <v>23</v>
      </c>
      <c r="M4247" s="1" t="str">
        <f t="shared" si="67"/>
        <v>Consistent</v>
      </c>
      <c r="N4247" s="1" t="str">
        <f>_xlfn.XLOOKUP(H4247, risk_score!A:A, risk_score!B:B, 0)</f>
        <v>Low Risk</v>
      </c>
    </row>
    <row r="4248" spans="1:14">
      <c r="A4248" s="2">
        <v>0.55224537037037036</v>
      </c>
      <c r="B4248" s="3">
        <v>44841</v>
      </c>
      <c r="C4248" s="1">
        <v>6030009859</v>
      </c>
      <c r="D4248" s="1">
        <v>2404595376</v>
      </c>
      <c r="E4248" s="1">
        <v>8337.77</v>
      </c>
      <c r="F4248" s="1" t="s">
        <v>12</v>
      </c>
      <c r="G4248" s="1" t="s">
        <v>12</v>
      </c>
      <c r="H4248" s="1" t="s">
        <v>13</v>
      </c>
      <c r="I4248" s="1" t="s">
        <v>13</v>
      </c>
      <c r="J4248" s="1" t="s">
        <v>25</v>
      </c>
      <c r="K4248" s="1">
        <v>0</v>
      </c>
      <c r="L4248" s="1" t="s">
        <v>21</v>
      </c>
      <c r="M4248" s="1" t="str">
        <f t="shared" si="67"/>
        <v>Consistent</v>
      </c>
      <c r="N4248" s="1" t="str">
        <f>_xlfn.XLOOKUP(H4248, risk_score!A:A, risk_score!B:B, 0)</f>
        <v>Low Risk</v>
      </c>
    </row>
    <row r="4249" spans="1:14">
      <c r="A4249" s="2">
        <v>0.55229166666666663</v>
      </c>
      <c r="B4249" s="3">
        <v>44841</v>
      </c>
      <c r="C4249" s="1">
        <v>7669056133</v>
      </c>
      <c r="D4249" s="1">
        <v>7136708043</v>
      </c>
      <c r="E4249" s="1">
        <v>3503.1</v>
      </c>
      <c r="F4249" s="1" t="s">
        <v>12</v>
      </c>
      <c r="G4249" s="1" t="s">
        <v>12</v>
      </c>
      <c r="H4249" s="1" t="s">
        <v>13</v>
      </c>
      <c r="I4249" s="1" t="s">
        <v>13</v>
      </c>
      <c r="J4249" s="1" t="s">
        <v>25</v>
      </c>
      <c r="K4249" s="1">
        <v>0</v>
      </c>
      <c r="L4249" s="1" t="s">
        <v>21</v>
      </c>
      <c r="M4249" s="1" t="str">
        <f t="shared" si="67"/>
        <v>Consistent</v>
      </c>
      <c r="N4249" s="1" t="str">
        <f>_xlfn.XLOOKUP(H4249, risk_score!A:A, risk_score!B:B, 0)</f>
        <v>Low Risk</v>
      </c>
    </row>
    <row r="4250" spans="1:14">
      <c r="A4250" s="2">
        <v>0.55229166666666663</v>
      </c>
      <c r="B4250" s="3">
        <v>44841</v>
      </c>
      <c r="C4250" s="1">
        <v>6116657264</v>
      </c>
      <c r="D4250" s="1">
        <v>224176497</v>
      </c>
      <c r="E4250" s="1">
        <v>4610.66</v>
      </c>
      <c r="F4250" s="1" t="s">
        <v>12</v>
      </c>
      <c r="G4250" s="1" t="s">
        <v>12</v>
      </c>
      <c r="H4250" s="1" t="s">
        <v>13</v>
      </c>
      <c r="I4250" s="1" t="s">
        <v>13</v>
      </c>
      <c r="J4250" s="1" t="s">
        <v>27</v>
      </c>
      <c r="K4250" s="1">
        <v>0</v>
      </c>
      <c r="L4250" s="1" t="s">
        <v>19</v>
      </c>
      <c r="M4250" s="1" t="str">
        <f t="shared" si="67"/>
        <v>Consistent</v>
      </c>
      <c r="N4250" s="1" t="str">
        <f>_xlfn.XLOOKUP(H4250, risk_score!A:A, risk_score!B:B, 0)</f>
        <v>Low Risk</v>
      </c>
    </row>
    <row r="4251" spans="1:14">
      <c r="A4251" s="2">
        <v>0.55229166666666663</v>
      </c>
      <c r="B4251" s="3">
        <v>44841</v>
      </c>
      <c r="C4251" s="1">
        <v>8952177221</v>
      </c>
      <c r="D4251" s="1">
        <v>5367802555</v>
      </c>
      <c r="E4251" s="1">
        <v>8054.29</v>
      </c>
      <c r="F4251" s="1" t="s">
        <v>12</v>
      </c>
      <c r="G4251" s="1" t="s">
        <v>12</v>
      </c>
      <c r="H4251" s="1" t="s">
        <v>13</v>
      </c>
      <c r="I4251" s="1" t="s">
        <v>13</v>
      </c>
      <c r="J4251" s="1" t="s">
        <v>27</v>
      </c>
      <c r="K4251" s="1">
        <v>0</v>
      </c>
      <c r="L4251" s="1" t="s">
        <v>19</v>
      </c>
      <c r="M4251" s="1" t="str">
        <f t="shared" si="67"/>
        <v>Consistent</v>
      </c>
      <c r="N4251" s="1" t="str">
        <f>_xlfn.XLOOKUP(H4251, risk_score!A:A, risk_score!B:B, 0)</f>
        <v>Low Risk</v>
      </c>
    </row>
    <row r="4252" spans="1:14">
      <c r="A4252" s="2">
        <v>0.55232638888888885</v>
      </c>
      <c r="B4252" s="3">
        <v>44841</v>
      </c>
      <c r="C4252" s="1">
        <v>941337145</v>
      </c>
      <c r="D4252" s="1">
        <v>965178304</v>
      </c>
      <c r="E4252" s="1">
        <v>6866.78</v>
      </c>
      <c r="F4252" s="1" t="s">
        <v>12</v>
      </c>
      <c r="G4252" s="1" t="s">
        <v>12</v>
      </c>
      <c r="H4252" s="1" t="s">
        <v>13</v>
      </c>
      <c r="I4252" s="1" t="s">
        <v>13</v>
      </c>
      <c r="J4252" s="1" t="s">
        <v>22</v>
      </c>
      <c r="K4252" s="1">
        <v>0</v>
      </c>
      <c r="L4252" s="1" t="s">
        <v>21</v>
      </c>
      <c r="M4252" s="1" t="str">
        <f t="shared" si="67"/>
        <v>Consistent</v>
      </c>
      <c r="N4252" s="1" t="str">
        <f>_xlfn.XLOOKUP(H4252, risk_score!A:A, risk_score!B:B, 0)</f>
        <v>Low Risk</v>
      </c>
    </row>
    <row r="4253" spans="1:14">
      <c r="A4253" s="2">
        <v>0.55234953703703704</v>
      </c>
      <c r="B4253" s="3">
        <v>44841</v>
      </c>
      <c r="C4253" s="1">
        <v>4668700535</v>
      </c>
      <c r="D4253" s="1">
        <v>8882946998</v>
      </c>
      <c r="E4253" s="1">
        <v>2313.9</v>
      </c>
      <c r="F4253" s="1" t="s">
        <v>12</v>
      </c>
      <c r="G4253" s="1" t="s">
        <v>12</v>
      </c>
      <c r="H4253" s="1" t="s">
        <v>13</v>
      </c>
      <c r="I4253" s="1" t="s">
        <v>13</v>
      </c>
      <c r="J4253" s="1" t="s">
        <v>25</v>
      </c>
      <c r="K4253" s="1">
        <v>0</v>
      </c>
      <c r="L4253" s="1" t="s">
        <v>21</v>
      </c>
      <c r="M4253" s="1" t="str">
        <f t="shared" si="67"/>
        <v>Consistent</v>
      </c>
      <c r="N4253" s="1" t="str">
        <f>_xlfn.XLOOKUP(H4253, risk_score!A:A, risk_score!B:B, 0)</f>
        <v>Low Risk</v>
      </c>
    </row>
    <row r="4254" spans="1:14">
      <c r="A4254" s="2">
        <v>0.55234953703703704</v>
      </c>
      <c r="B4254" s="3">
        <v>44841</v>
      </c>
      <c r="C4254" s="1">
        <v>136050916</v>
      </c>
      <c r="D4254" s="1">
        <v>2534644942</v>
      </c>
      <c r="E4254" s="1">
        <v>5866.16</v>
      </c>
      <c r="F4254" s="1" t="s">
        <v>12</v>
      </c>
      <c r="G4254" s="1" t="s">
        <v>29</v>
      </c>
      <c r="H4254" s="1" t="s">
        <v>13</v>
      </c>
      <c r="I4254" s="1" t="s">
        <v>31</v>
      </c>
      <c r="J4254" s="1" t="s">
        <v>18</v>
      </c>
      <c r="K4254" s="1">
        <v>0</v>
      </c>
      <c r="L4254" s="1" t="s">
        <v>23</v>
      </c>
      <c r="M4254" s="1" t="str">
        <f t="shared" si="67"/>
        <v>Potential Layering</v>
      </c>
      <c r="N4254" s="1" t="str">
        <f>_xlfn.XLOOKUP(H4254, risk_score!A:A, risk_score!B:B, 0)</f>
        <v>Low Risk</v>
      </c>
    </row>
    <row r="4255" spans="1:14">
      <c r="A4255" s="2">
        <v>0.55234953703703704</v>
      </c>
      <c r="B4255" s="3">
        <v>44841</v>
      </c>
      <c r="C4255" s="1">
        <v>9047347797</v>
      </c>
      <c r="D4255" s="1">
        <v>1316458123</v>
      </c>
      <c r="E4255" s="1">
        <v>8899.2800000000007</v>
      </c>
      <c r="F4255" s="1" t="s">
        <v>12</v>
      </c>
      <c r="G4255" s="1" t="s">
        <v>34</v>
      </c>
      <c r="H4255" s="1" t="s">
        <v>13</v>
      </c>
      <c r="I4255" s="1" t="s">
        <v>35</v>
      </c>
      <c r="J4255" s="1" t="s">
        <v>18</v>
      </c>
      <c r="K4255" s="1">
        <v>0</v>
      </c>
      <c r="L4255" s="1" t="s">
        <v>23</v>
      </c>
      <c r="M4255" s="1" t="str">
        <f t="shared" si="67"/>
        <v>Potential Layering</v>
      </c>
      <c r="N4255" s="1" t="str">
        <f>_xlfn.XLOOKUP(H4255, risk_score!A:A, risk_score!B:B, 0)</f>
        <v>Low Risk</v>
      </c>
    </row>
    <row r="4256" spans="1:14">
      <c r="A4256" s="2">
        <v>0.55239583333333331</v>
      </c>
      <c r="B4256" s="3">
        <v>44841</v>
      </c>
      <c r="C4256" s="1">
        <v>3117792558</v>
      </c>
      <c r="D4256" s="1">
        <v>5024280433</v>
      </c>
      <c r="E4256" s="1">
        <v>19807.439999999999</v>
      </c>
      <c r="F4256" s="1" t="s">
        <v>12</v>
      </c>
      <c r="G4256" s="1" t="s">
        <v>12</v>
      </c>
      <c r="H4256" s="1" t="s">
        <v>13</v>
      </c>
      <c r="I4256" s="1" t="s">
        <v>13</v>
      </c>
      <c r="J4256" s="1" t="s">
        <v>20</v>
      </c>
      <c r="K4256" s="1">
        <v>0</v>
      </c>
      <c r="L4256" s="1" t="s">
        <v>21</v>
      </c>
      <c r="M4256" s="1" t="str">
        <f t="shared" si="67"/>
        <v>Consistent</v>
      </c>
      <c r="N4256" s="1" t="str">
        <f>_xlfn.XLOOKUP(H4256, risk_score!A:A, risk_score!B:B, 0)</f>
        <v>Low Risk</v>
      </c>
    </row>
    <row r="4257" spans="1:14">
      <c r="A4257" s="2">
        <v>0.55243055555555554</v>
      </c>
      <c r="B4257" s="3">
        <v>44841</v>
      </c>
      <c r="C4257" s="1">
        <v>9745312273</v>
      </c>
      <c r="D4257" s="1">
        <v>3251101930</v>
      </c>
      <c r="E4257" s="1">
        <v>16795.330000000002</v>
      </c>
      <c r="F4257" s="1" t="s">
        <v>12</v>
      </c>
      <c r="G4257" s="1" t="s">
        <v>12</v>
      </c>
      <c r="H4257" s="1" t="s">
        <v>13</v>
      </c>
      <c r="I4257" s="1" t="s">
        <v>13</v>
      </c>
      <c r="J4257" s="1" t="s">
        <v>27</v>
      </c>
      <c r="K4257" s="1">
        <v>0</v>
      </c>
      <c r="L4257" s="1" t="s">
        <v>21</v>
      </c>
      <c r="M4257" s="1" t="str">
        <f t="shared" si="67"/>
        <v>Consistent</v>
      </c>
      <c r="N4257" s="1" t="str">
        <f>_xlfn.XLOOKUP(H4257, risk_score!A:A, risk_score!B:B, 0)</f>
        <v>Low Risk</v>
      </c>
    </row>
    <row r="4258" spans="1:14">
      <c r="A4258" s="2">
        <v>0.55244212962962957</v>
      </c>
      <c r="B4258" s="3">
        <v>44841</v>
      </c>
      <c r="C4258" s="1">
        <v>9751935206</v>
      </c>
      <c r="D4258" s="1">
        <v>1980146147</v>
      </c>
      <c r="E4258" s="1">
        <v>23033.03</v>
      </c>
      <c r="F4258" s="1" t="s">
        <v>12</v>
      </c>
      <c r="G4258" s="1" t="s">
        <v>12</v>
      </c>
      <c r="H4258" s="1" t="s">
        <v>13</v>
      </c>
      <c r="I4258" s="1" t="s">
        <v>13</v>
      </c>
      <c r="J4258" s="1" t="s">
        <v>25</v>
      </c>
      <c r="K4258" s="1">
        <v>0</v>
      </c>
      <c r="L4258" s="1" t="s">
        <v>21</v>
      </c>
      <c r="M4258" s="1" t="str">
        <f t="shared" si="67"/>
        <v>Consistent</v>
      </c>
      <c r="N4258" s="1" t="str">
        <f>_xlfn.XLOOKUP(H4258, risk_score!A:A, risk_score!B:B, 0)</f>
        <v>Low Risk</v>
      </c>
    </row>
    <row r="4259" spans="1:14">
      <c r="A4259" s="2">
        <v>0.55248842592592595</v>
      </c>
      <c r="B4259" s="3">
        <v>44841</v>
      </c>
      <c r="C4259" s="1">
        <v>2631158121</v>
      </c>
      <c r="D4259" s="1">
        <v>4007288126</v>
      </c>
      <c r="E4259" s="1">
        <v>2651.78</v>
      </c>
      <c r="F4259" s="1" t="s">
        <v>12</v>
      </c>
      <c r="G4259" s="1" t="s">
        <v>12</v>
      </c>
      <c r="H4259" s="1" t="s">
        <v>13</v>
      </c>
      <c r="I4259" s="1" t="s">
        <v>13</v>
      </c>
      <c r="J4259" s="1" t="s">
        <v>14</v>
      </c>
      <c r="K4259" s="1">
        <v>0</v>
      </c>
      <c r="L4259" s="1" t="s">
        <v>15</v>
      </c>
      <c r="M4259" s="1" t="str">
        <f t="shared" si="67"/>
        <v>Consistent</v>
      </c>
      <c r="N4259" s="1" t="str">
        <f>_xlfn.XLOOKUP(H4259, risk_score!A:A, risk_score!B:B, 0)</f>
        <v>Low Risk</v>
      </c>
    </row>
    <row r="4260" spans="1:14">
      <c r="A4260" s="2">
        <v>0.55249999999999999</v>
      </c>
      <c r="B4260" s="3">
        <v>44841</v>
      </c>
      <c r="C4260" s="1">
        <v>2612483529</v>
      </c>
      <c r="D4260" s="1">
        <v>4336977506</v>
      </c>
      <c r="E4260" s="1">
        <v>21599.77</v>
      </c>
      <c r="F4260" s="1" t="s">
        <v>12</v>
      </c>
      <c r="G4260" s="1" t="s">
        <v>12</v>
      </c>
      <c r="H4260" s="1" t="s">
        <v>13</v>
      </c>
      <c r="I4260" s="1" t="s">
        <v>13</v>
      </c>
      <c r="J4260" s="1" t="s">
        <v>27</v>
      </c>
      <c r="K4260" s="1">
        <v>0</v>
      </c>
      <c r="L4260" s="1" t="s">
        <v>23</v>
      </c>
      <c r="M4260" s="1" t="str">
        <f t="shared" si="67"/>
        <v>Consistent</v>
      </c>
      <c r="N4260" s="1" t="str">
        <f>_xlfn.XLOOKUP(H4260, risk_score!A:A, risk_score!B:B, 0)</f>
        <v>Low Risk</v>
      </c>
    </row>
    <row r="4261" spans="1:14">
      <c r="A4261" s="2">
        <v>0.55251157407407403</v>
      </c>
      <c r="B4261" s="3">
        <v>44841</v>
      </c>
      <c r="C4261" s="1">
        <v>3614082527</v>
      </c>
      <c r="D4261" s="1">
        <v>2547799506</v>
      </c>
      <c r="E4261" s="1">
        <v>12313.71</v>
      </c>
      <c r="F4261" s="1" t="s">
        <v>12</v>
      </c>
      <c r="G4261" s="1" t="s">
        <v>12</v>
      </c>
      <c r="H4261" s="1" t="s">
        <v>13</v>
      </c>
      <c r="I4261" s="1" t="s">
        <v>13</v>
      </c>
      <c r="J4261" s="1" t="s">
        <v>20</v>
      </c>
      <c r="K4261" s="1">
        <v>0</v>
      </c>
      <c r="L4261" s="1" t="s">
        <v>19</v>
      </c>
      <c r="M4261" s="1" t="str">
        <f t="shared" si="67"/>
        <v>Consistent</v>
      </c>
      <c r="N4261" s="1" t="str">
        <f>_xlfn.XLOOKUP(H4261, risk_score!A:A, risk_score!B:B, 0)</f>
        <v>Low Risk</v>
      </c>
    </row>
    <row r="4262" spans="1:14">
      <c r="A4262" s="2">
        <v>0.55251157407407403</v>
      </c>
      <c r="B4262" s="3">
        <v>44841</v>
      </c>
      <c r="C4262" s="1">
        <v>8558751790</v>
      </c>
      <c r="D4262" s="1">
        <v>7051816912</v>
      </c>
      <c r="E4262" s="1">
        <v>4865.57</v>
      </c>
      <c r="F4262" s="1" t="s">
        <v>12</v>
      </c>
      <c r="G4262" s="1" t="s">
        <v>12</v>
      </c>
      <c r="H4262" s="1" t="s">
        <v>13</v>
      </c>
      <c r="I4262" s="1" t="s">
        <v>13</v>
      </c>
      <c r="J4262" s="1" t="s">
        <v>25</v>
      </c>
      <c r="K4262" s="1">
        <v>0</v>
      </c>
      <c r="L4262" s="1" t="s">
        <v>21</v>
      </c>
      <c r="M4262" s="1" t="str">
        <f t="shared" si="67"/>
        <v>Consistent</v>
      </c>
      <c r="N4262" s="1" t="str">
        <f>_xlfn.XLOOKUP(H4262, risk_score!A:A, risk_score!B:B, 0)</f>
        <v>Low Risk</v>
      </c>
    </row>
    <row r="4263" spans="1:14">
      <c r="A4263" s="2">
        <v>0.55253472222222222</v>
      </c>
      <c r="B4263" s="3">
        <v>44841</v>
      </c>
      <c r="C4263" s="1">
        <v>372595155</v>
      </c>
      <c r="D4263" s="1">
        <v>6163750657</v>
      </c>
      <c r="E4263" s="1">
        <v>585.5</v>
      </c>
      <c r="F4263" s="1" t="s">
        <v>12</v>
      </c>
      <c r="G4263" s="1" t="s">
        <v>12</v>
      </c>
      <c r="H4263" s="1" t="s">
        <v>13</v>
      </c>
      <c r="I4263" s="1" t="s">
        <v>13</v>
      </c>
      <c r="J4263" s="1" t="s">
        <v>25</v>
      </c>
      <c r="K4263" s="1">
        <v>0</v>
      </c>
      <c r="L4263" s="1" t="s">
        <v>21</v>
      </c>
      <c r="M4263" s="1" t="str">
        <f t="shared" si="67"/>
        <v>Consistent</v>
      </c>
      <c r="N4263" s="1" t="str">
        <f>_xlfn.XLOOKUP(H4263, risk_score!A:A, risk_score!B:B, 0)</f>
        <v>Low Risk</v>
      </c>
    </row>
    <row r="4264" spans="1:14">
      <c r="A4264" s="2">
        <v>0.55254629629629626</v>
      </c>
      <c r="B4264" s="3">
        <v>44841</v>
      </c>
      <c r="C4264" s="1">
        <v>6630041445</v>
      </c>
      <c r="D4264" s="1">
        <v>1316458123</v>
      </c>
      <c r="E4264" s="1">
        <v>12861.02</v>
      </c>
      <c r="F4264" s="1" t="s">
        <v>12</v>
      </c>
      <c r="G4264" s="1" t="s">
        <v>34</v>
      </c>
      <c r="H4264" s="1" t="s">
        <v>13</v>
      </c>
      <c r="I4264" s="1" t="s">
        <v>35</v>
      </c>
      <c r="J4264" s="1" t="s">
        <v>18</v>
      </c>
      <c r="K4264" s="1">
        <v>0</v>
      </c>
      <c r="L4264" s="1" t="s">
        <v>23</v>
      </c>
      <c r="M4264" s="1" t="str">
        <f t="shared" si="67"/>
        <v>Potential Layering</v>
      </c>
      <c r="N4264" s="1" t="str">
        <f>_xlfn.XLOOKUP(H4264, risk_score!A:A, risk_score!B:B, 0)</f>
        <v>Low Risk</v>
      </c>
    </row>
    <row r="4265" spans="1:14">
      <c r="A4265" s="2">
        <v>0.55254629629629626</v>
      </c>
      <c r="B4265" s="3">
        <v>44841</v>
      </c>
      <c r="C4265" s="1">
        <v>4724445469</v>
      </c>
      <c r="D4265" s="1">
        <v>9259863330</v>
      </c>
      <c r="E4265" s="1">
        <v>13634.37</v>
      </c>
      <c r="F4265" s="1" t="s">
        <v>12</v>
      </c>
      <c r="G4265" s="1" t="s">
        <v>12</v>
      </c>
      <c r="H4265" s="1" t="s">
        <v>13</v>
      </c>
      <c r="I4265" s="1" t="s">
        <v>13</v>
      </c>
      <c r="J4265" s="1" t="s">
        <v>25</v>
      </c>
      <c r="K4265" s="1">
        <v>0</v>
      </c>
      <c r="L4265" s="1" t="s">
        <v>24</v>
      </c>
      <c r="M4265" s="1" t="str">
        <f t="shared" si="67"/>
        <v>Consistent</v>
      </c>
      <c r="N4265" s="1" t="str">
        <f>_xlfn.XLOOKUP(H4265, risk_score!A:A, risk_score!B:B, 0)</f>
        <v>Low Risk</v>
      </c>
    </row>
    <row r="4266" spans="1:14">
      <c r="A4266" s="2">
        <v>0.55256944444444445</v>
      </c>
      <c r="B4266" s="3">
        <v>44841</v>
      </c>
      <c r="C4266" s="1">
        <v>4345338937</v>
      </c>
      <c r="D4266" s="1">
        <v>1148608769</v>
      </c>
      <c r="E4266" s="1">
        <v>97.39</v>
      </c>
      <c r="F4266" s="1" t="s">
        <v>12</v>
      </c>
      <c r="G4266" s="1" t="s">
        <v>12</v>
      </c>
      <c r="H4266" s="1" t="s">
        <v>13</v>
      </c>
      <c r="I4266" s="1" t="s">
        <v>13</v>
      </c>
      <c r="J4266" s="1" t="s">
        <v>36</v>
      </c>
      <c r="K4266" s="1">
        <v>0</v>
      </c>
      <c r="L4266" s="1" t="s">
        <v>37</v>
      </c>
      <c r="M4266" s="1" t="str">
        <f t="shared" si="67"/>
        <v>Consistent</v>
      </c>
      <c r="N4266" s="1" t="str">
        <f>_xlfn.XLOOKUP(H4266, risk_score!A:A, risk_score!B:B, 0)</f>
        <v>Low Risk</v>
      </c>
    </row>
    <row r="4267" spans="1:14">
      <c r="A4267" s="2">
        <v>0.55256944444444445</v>
      </c>
      <c r="B4267" s="3">
        <v>44841</v>
      </c>
      <c r="C4267" s="1">
        <v>1812028272</v>
      </c>
      <c r="D4267" s="1">
        <v>5950480485</v>
      </c>
      <c r="E4267" s="1">
        <v>850.76</v>
      </c>
      <c r="F4267" s="1" t="s">
        <v>12</v>
      </c>
      <c r="G4267" s="1" t="s">
        <v>12</v>
      </c>
      <c r="H4267" s="1" t="s">
        <v>13</v>
      </c>
      <c r="I4267" s="1" t="s">
        <v>13</v>
      </c>
      <c r="J4267" s="1" t="s">
        <v>25</v>
      </c>
      <c r="K4267" s="1">
        <v>0</v>
      </c>
      <c r="L4267" s="1" t="s">
        <v>21</v>
      </c>
      <c r="M4267" s="1" t="str">
        <f t="shared" si="67"/>
        <v>Consistent</v>
      </c>
      <c r="N4267" s="1" t="str">
        <f>_xlfn.XLOOKUP(H4267, risk_score!A:A, risk_score!B:B, 0)</f>
        <v>Low Risk</v>
      </c>
    </row>
    <row r="4268" spans="1:14">
      <c r="A4268" s="2">
        <v>0.55259259259259264</v>
      </c>
      <c r="B4268" s="3">
        <v>44841</v>
      </c>
      <c r="C4268" s="1">
        <v>1393804541</v>
      </c>
      <c r="D4268" s="1">
        <v>6855935396</v>
      </c>
      <c r="E4268" s="1">
        <v>5837.02</v>
      </c>
      <c r="F4268" s="1" t="s">
        <v>12</v>
      </c>
      <c r="G4268" s="1" t="s">
        <v>12</v>
      </c>
      <c r="H4268" s="1" t="s">
        <v>13</v>
      </c>
      <c r="I4268" s="1" t="s">
        <v>13</v>
      </c>
      <c r="J4268" s="1" t="s">
        <v>22</v>
      </c>
      <c r="K4268" s="1">
        <v>0</v>
      </c>
      <c r="L4268" s="1" t="s">
        <v>23</v>
      </c>
      <c r="M4268" s="1" t="str">
        <f t="shared" si="67"/>
        <v>Consistent</v>
      </c>
      <c r="N4268" s="1" t="str">
        <f>_xlfn.XLOOKUP(H4268, risk_score!A:A, risk_score!B:B, 0)</f>
        <v>Low Risk</v>
      </c>
    </row>
    <row r="4269" spans="1:14">
      <c r="A4269" s="2">
        <v>0.55259259259259264</v>
      </c>
      <c r="B4269" s="3">
        <v>44841</v>
      </c>
      <c r="C4269" s="1">
        <v>6116657264</v>
      </c>
      <c r="D4269" s="1">
        <v>2883324502</v>
      </c>
      <c r="E4269" s="1">
        <v>9645.82</v>
      </c>
      <c r="F4269" s="1" t="s">
        <v>12</v>
      </c>
      <c r="G4269" s="1" t="s">
        <v>12</v>
      </c>
      <c r="H4269" s="1" t="s">
        <v>13</v>
      </c>
      <c r="I4269" s="1" t="s">
        <v>13</v>
      </c>
      <c r="J4269" s="1" t="s">
        <v>25</v>
      </c>
      <c r="K4269" s="1">
        <v>0</v>
      </c>
      <c r="L4269" s="1" t="s">
        <v>19</v>
      </c>
      <c r="M4269" s="1" t="str">
        <f t="shared" si="67"/>
        <v>Consistent</v>
      </c>
      <c r="N4269" s="1" t="str">
        <f>_xlfn.XLOOKUP(H4269, risk_score!A:A, risk_score!B:B, 0)</f>
        <v>Low Risk</v>
      </c>
    </row>
    <row r="4270" spans="1:14">
      <c r="A4270" s="2">
        <v>0.55261574074074071</v>
      </c>
      <c r="B4270" s="3">
        <v>44841</v>
      </c>
      <c r="C4270" s="1">
        <v>5133265154</v>
      </c>
      <c r="D4270" s="1">
        <v>3539466560</v>
      </c>
      <c r="E4270" s="1">
        <v>153.82</v>
      </c>
      <c r="F4270" s="1" t="s">
        <v>12</v>
      </c>
      <c r="G4270" s="1" t="s">
        <v>12</v>
      </c>
      <c r="H4270" s="1" t="s">
        <v>13</v>
      </c>
      <c r="I4270" s="1" t="s">
        <v>13</v>
      </c>
      <c r="J4270" s="1" t="s">
        <v>14</v>
      </c>
      <c r="K4270" s="1">
        <v>0</v>
      </c>
      <c r="L4270" s="1" t="s">
        <v>15</v>
      </c>
      <c r="M4270" s="1" t="str">
        <f t="shared" si="67"/>
        <v>Consistent</v>
      </c>
      <c r="N4270" s="1" t="str">
        <f>_xlfn.XLOOKUP(H4270, risk_score!A:A, risk_score!B:B, 0)</f>
        <v>Low Risk</v>
      </c>
    </row>
    <row r="4271" spans="1:14">
      <c r="A4271" s="2">
        <v>0.55265046296296294</v>
      </c>
      <c r="B4271" s="3">
        <v>44841</v>
      </c>
      <c r="C4271" s="1">
        <v>7609919550</v>
      </c>
      <c r="D4271" s="1">
        <v>7160736915</v>
      </c>
      <c r="E4271" s="1">
        <v>12312.83</v>
      </c>
      <c r="F4271" s="1" t="s">
        <v>12</v>
      </c>
      <c r="G4271" s="1" t="s">
        <v>12</v>
      </c>
      <c r="H4271" s="1" t="s">
        <v>13</v>
      </c>
      <c r="I4271" s="1" t="s">
        <v>13</v>
      </c>
      <c r="J4271" s="1" t="s">
        <v>20</v>
      </c>
      <c r="K4271" s="1">
        <v>0</v>
      </c>
      <c r="L4271" s="1" t="s">
        <v>23</v>
      </c>
      <c r="M4271" s="1" t="str">
        <f t="shared" si="67"/>
        <v>Consistent</v>
      </c>
      <c r="N4271" s="1" t="str">
        <f>_xlfn.XLOOKUP(H4271, risk_score!A:A, risk_score!B:B, 0)</f>
        <v>Low Risk</v>
      </c>
    </row>
    <row r="4272" spans="1:14">
      <c r="A4272" s="2">
        <v>0.5527199074074074</v>
      </c>
      <c r="B4272" s="3">
        <v>44841</v>
      </c>
      <c r="C4272" s="1">
        <v>4781923448</v>
      </c>
      <c r="D4272" s="1">
        <v>4140815011</v>
      </c>
      <c r="E4272" s="1">
        <v>2907.87</v>
      </c>
      <c r="F4272" s="1" t="s">
        <v>12</v>
      </c>
      <c r="G4272" s="1" t="s">
        <v>12</v>
      </c>
      <c r="H4272" s="1" t="s">
        <v>13</v>
      </c>
      <c r="I4272" s="1" t="s">
        <v>13</v>
      </c>
      <c r="J4272" s="1" t="s">
        <v>25</v>
      </c>
      <c r="K4272" s="1">
        <v>0</v>
      </c>
      <c r="L4272" s="1" t="s">
        <v>21</v>
      </c>
      <c r="M4272" s="1" t="str">
        <f t="shared" si="67"/>
        <v>Consistent</v>
      </c>
      <c r="N4272" s="1" t="str">
        <f>_xlfn.XLOOKUP(H4272, risk_score!A:A, risk_score!B:B, 0)</f>
        <v>Low Risk</v>
      </c>
    </row>
    <row r="4273" spans="1:14">
      <c r="A4273" s="2">
        <v>0.5527199074074074</v>
      </c>
      <c r="B4273" s="3">
        <v>44841</v>
      </c>
      <c r="C4273" s="1">
        <v>7501327339</v>
      </c>
      <c r="D4273" s="1">
        <v>6357364082</v>
      </c>
      <c r="E4273" s="1">
        <v>5649.73</v>
      </c>
      <c r="F4273" s="1" t="s">
        <v>12</v>
      </c>
      <c r="G4273" s="1" t="s">
        <v>12</v>
      </c>
      <c r="H4273" s="1" t="s">
        <v>13</v>
      </c>
      <c r="I4273" s="1" t="s">
        <v>13</v>
      </c>
      <c r="J4273" s="1" t="s">
        <v>20</v>
      </c>
      <c r="K4273" s="1">
        <v>0</v>
      </c>
      <c r="L4273" s="1" t="s">
        <v>19</v>
      </c>
      <c r="M4273" s="1" t="str">
        <f t="shared" si="67"/>
        <v>Consistent</v>
      </c>
      <c r="N4273" s="1" t="str">
        <f>_xlfn.XLOOKUP(H4273, risk_score!A:A, risk_score!B:B, 0)</f>
        <v>Low Risk</v>
      </c>
    </row>
    <row r="4274" spans="1:14">
      <c r="A4274" s="2">
        <v>0.55273148148148143</v>
      </c>
      <c r="B4274" s="3">
        <v>44841</v>
      </c>
      <c r="C4274" s="1">
        <v>327609046</v>
      </c>
      <c r="D4274" s="1">
        <v>6223365730</v>
      </c>
      <c r="E4274" s="1">
        <v>24652.84</v>
      </c>
      <c r="F4274" s="1" t="s">
        <v>12</v>
      </c>
      <c r="G4274" s="1" t="s">
        <v>12</v>
      </c>
      <c r="H4274" s="1" t="s">
        <v>13</v>
      </c>
      <c r="I4274" s="1" t="s">
        <v>13</v>
      </c>
      <c r="J4274" s="1" t="s">
        <v>20</v>
      </c>
      <c r="K4274" s="1">
        <v>0</v>
      </c>
      <c r="L4274" s="1" t="s">
        <v>23</v>
      </c>
      <c r="M4274" s="1" t="str">
        <f t="shared" si="67"/>
        <v>Consistent</v>
      </c>
      <c r="N4274" s="1" t="str">
        <f>_xlfn.XLOOKUP(H4274, risk_score!A:A, risk_score!B:B, 0)</f>
        <v>Low Risk</v>
      </c>
    </row>
    <row r="4275" spans="1:14">
      <c r="A4275" s="2">
        <v>0.55276620370370366</v>
      </c>
      <c r="B4275" s="3">
        <v>44841</v>
      </c>
      <c r="C4275" s="1">
        <v>4092294308</v>
      </c>
      <c r="D4275" s="1">
        <v>6557705967</v>
      </c>
      <c r="E4275" s="1">
        <v>374.32</v>
      </c>
      <c r="F4275" s="1" t="s">
        <v>12</v>
      </c>
      <c r="G4275" s="1" t="s">
        <v>12</v>
      </c>
      <c r="H4275" s="1" t="s">
        <v>13</v>
      </c>
      <c r="I4275" s="1" t="s">
        <v>13</v>
      </c>
      <c r="J4275" s="1" t="s">
        <v>22</v>
      </c>
      <c r="K4275" s="1">
        <v>0</v>
      </c>
      <c r="L4275" s="1" t="s">
        <v>21</v>
      </c>
      <c r="M4275" s="1" t="str">
        <f t="shared" si="67"/>
        <v>Consistent</v>
      </c>
      <c r="N4275" s="1" t="str">
        <f>_xlfn.XLOOKUP(H4275, risk_score!A:A, risk_score!B:B, 0)</f>
        <v>Low Risk</v>
      </c>
    </row>
    <row r="4276" spans="1:14">
      <c r="A4276" s="2">
        <v>0.55277777777777781</v>
      </c>
      <c r="B4276" s="3">
        <v>44841</v>
      </c>
      <c r="C4276" s="1">
        <v>7402765008</v>
      </c>
      <c r="D4276" s="1">
        <v>6772269955</v>
      </c>
      <c r="E4276" s="1">
        <v>3118.84</v>
      </c>
      <c r="F4276" s="1" t="s">
        <v>39</v>
      </c>
      <c r="G4276" s="1" t="s">
        <v>12</v>
      </c>
      <c r="H4276" s="1" t="s">
        <v>13</v>
      </c>
      <c r="I4276" s="1" t="s">
        <v>13</v>
      </c>
      <c r="J4276" s="1" t="s">
        <v>22</v>
      </c>
      <c r="K4276" s="1">
        <v>0</v>
      </c>
      <c r="L4276" s="1" t="s">
        <v>21</v>
      </c>
      <c r="M4276" s="1" t="str">
        <f t="shared" si="67"/>
        <v>Potential Layering</v>
      </c>
      <c r="N4276" s="1" t="str">
        <f>_xlfn.XLOOKUP(H4276, risk_score!A:A, risk_score!B:B, 0)</f>
        <v>Low Risk</v>
      </c>
    </row>
    <row r="4277" spans="1:14">
      <c r="A4277" s="2">
        <v>0.55282407407407408</v>
      </c>
      <c r="B4277" s="3">
        <v>44841</v>
      </c>
      <c r="C4277" s="1">
        <v>5579698692</v>
      </c>
      <c r="D4277" s="1">
        <v>3882248783</v>
      </c>
      <c r="E4277" s="1">
        <v>22242.240000000002</v>
      </c>
      <c r="F4277" s="1" t="s">
        <v>12</v>
      </c>
      <c r="G4277" s="1" t="s">
        <v>12</v>
      </c>
      <c r="H4277" s="1" t="s">
        <v>13</v>
      </c>
      <c r="I4277" s="1" t="s">
        <v>13</v>
      </c>
      <c r="J4277" s="1" t="s">
        <v>25</v>
      </c>
      <c r="K4277" s="1">
        <v>0</v>
      </c>
      <c r="L4277" s="1" t="s">
        <v>21</v>
      </c>
      <c r="M4277" s="1" t="str">
        <f t="shared" si="67"/>
        <v>Consistent</v>
      </c>
      <c r="N4277" s="1" t="str">
        <f>_xlfn.XLOOKUP(H4277, risk_score!A:A, risk_score!B:B, 0)</f>
        <v>Low Risk</v>
      </c>
    </row>
    <row r="4278" spans="1:14">
      <c r="A4278" s="2">
        <v>0.55282407407407408</v>
      </c>
      <c r="B4278" s="3">
        <v>44841</v>
      </c>
      <c r="C4278" s="1">
        <v>709738534</v>
      </c>
      <c r="D4278" s="1">
        <v>4181336294</v>
      </c>
      <c r="E4278" s="1">
        <v>29088.9</v>
      </c>
      <c r="F4278" s="1" t="s">
        <v>12</v>
      </c>
      <c r="G4278" s="1" t="s">
        <v>12</v>
      </c>
      <c r="H4278" s="1" t="s">
        <v>13</v>
      </c>
      <c r="I4278" s="1" t="s">
        <v>13</v>
      </c>
      <c r="J4278" s="1" t="s">
        <v>27</v>
      </c>
      <c r="K4278" s="1">
        <v>0</v>
      </c>
      <c r="L4278" s="1" t="s">
        <v>21</v>
      </c>
      <c r="M4278" s="1" t="str">
        <f t="shared" si="67"/>
        <v>Consistent</v>
      </c>
      <c r="N4278" s="1" t="str">
        <f>_xlfn.XLOOKUP(H4278, risk_score!A:A, risk_score!B:B, 0)</f>
        <v>Low Risk</v>
      </c>
    </row>
    <row r="4279" spans="1:14">
      <c r="A4279" s="2">
        <v>0.5528819444444445</v>
      </c>
      <c r="B4279" s="3">
        <v>44841</v>
      </c>
      <c r="C4279" s="1">
        <v>2669265740</v>
      </c>
      <c r="D4279" s="1">
        <v>6223365730</v>
      </c>
      <c r="E4279" s="1">
        <v>10535.04</v>
      </c>
      <c r="F4279" s="1" t="s">
        <v>12</v>
      </c>
      <c r="G4279" s="1" t="s">
        <v>12</v>
      </c>
      <c r="H4279" s="1" t="s">
        <v>13</v>
      </c>
      <c r="I4279" s="1" t="s">
        <v>13</v>
      </c>
      <c r="J4279" s="1" t="s">
        <v>22</v>
      </c>
      <c r="K4279" s="1">
        <v>0</v>
      </c>
      <c r="L4279" s="1" t="s">
        <v>23</v>
      </c>
      <c r="M4279" s="1" t="str">
        <f t="shared" si="67"/>
        <v>Consistent</v>
      </c>
      <c r="N4279" s="1" t="str">
        <f>_xlfn.XLOOKUP(H4279, risk_score!A:A, risk_score!B:B, 0)</f>
        <v>Low Risk</v>
      </c>
    </row>
    <row r="4280" spans="1:14">
      <c r="A4280" s="2">
        <v>0.55290509259259257</v>
      </c>
      <c r="B4280" s="3">
        <v>44841</v>
      </c>
      <c r="C4280" s="1">
        <v>9559039761</v>
      </c>
      <c r="D4280" s="1">
        <v>477487590</v>
      </c>
      <c r="E4280" s="1">
        <v>220.91</v>
      </c>
      <c r="F4280" s="1" t="s">
        <v>12</v>
      </c>
      <c r="G4280" s="1" t="s">
        <v>12</v>
      </c>
      <c r="H4280" s="1" t="s">
        <v>13</v>
      </c>
      <c r="I4280" s="1" t="s">
        <v>13</v>
      </c>
      <c r="J4280" s="1" t="s">
        <v>25</v>
      </c>
      <c r="K4280" s="1">
        <v>0</v>
      </c>
      <c r="L4280" s="1" t="s">
        <v>21</v>
      </c>
      <c r="M4280" s="1" t="str">
        <f t="shared" si="67"/>
        <v>Consistent</v>
      </c>
      <c r="N4280" s="1" t="str">
        <f>_xlfn.XLOOKUP(H4280, risk_score!A:A, risk_score!B:B, 0)</f>
        <v>Low Risk</v>
      </c>
    </row>
    <row r="4281" spans="1:14">
      <c r="A4281" s="2">
        <v>0.55292824074074076</v>
      </c>
      <c r="B4281" s="3">
        <v>44841</v>
      </c>
      <c r="C4281" s="1">
        <v>3560036522</v>
      </c>
      <c r="D4281" s="1">
        <v>3695545812</v>
      </c>
      <c r="E4281" s="1">
        <v>14004.46</v>
      </c>
      <c r="F4281" s="1" t="s">
        <v>12</v>
      </c>
      <c r="G4281" s="1" t="s">
        <v>12</v>
      </c>
      <c r="H4281" s="1" t="s">
        <v>13</v>
      </c>
      <c r="I4281" s="1" t="s">
        <v>13</v>
      </c>
      <c r="J4281" s="1" t="s">
        <v>25</v>
      </c>
      <c r="K4281" s="1">
        <v>0</v>
      </c>
      <c r="L4281" s="1" t="s">
        <v>23</v>
      </c>
      <c r="M4281" s="1" t="str">
        <f t="shared" si="67"/>
        <v>Consistent</v>
      </c>
      <c r="N4281" s="1" t="str">
        <f>_xlfn.XLOOKUP(H4281, risk_score!A:A, risk_score!B:B, 0)</f>
        <v>Low Risk</v>
      </c>
    </row>
    <row r="4282" spans="1:14">
      <c r="A4282" s="2">
        <v>0.55297453703703703</v>
      </c>
      <c r="B4282" s="3">
        <v>44841</v>
      </c>
      <c r="C4282" s="1">
        <v>7475713706</v>
      </c>
      <c r="D4282" s="1">
        <v>5363117119</v>
      </c>
      <c r="E4282" s="1">
        <v>8080.87</v>
      </c>
      <c r="F4282" s="1" t="s">
        <v>12</v>
      </c>
      <c r="G4282" s="1" t="s">
        <v>12</v>
      </c>
      <c r="H4282" s="1" t="s">
        <v>13</v>
      </c>
      <c r="I4282" s="1" t="s">
        <v>13</v>
      </c>
      <c r="J4282" s="1" t="s">
        <v>27</v>
      </c>
      <c r="K4282" s="1">
        <v>0</v>
      </c>
      <c r="L4282" s="1" t="s">
        <v>23</v>
      </c>
      <c r="M4282" s="1" t="str">
        <f t="shared" si="67"/>
        <v>Consistent</v>
      </c>
      <c r="N4282" s="1" t="str">
        <f>_xlfn.XLOOKUP(H4282, risk_score!A:A, risk_score!B:B, 0)</f>
        <v>Low Risk</v>
      </c>
    </row>
    <row r="4283" spans="1:14">
      <c r="A4283" s="2">
        <v>0.55297453703703703</v>
      </c>
      <c r="B4283" s="3">
        <v>44841</v>
      </c>
      <c r="C4283" s="1">
        <v>7570416265</v>
      </c>
      <c r="D4283" s="1">
        <v>8387245800</v>
      </c>
      <c r="E4283" s="1">
        <v>3361.16</v>
      </c>
      <c r="F4283" s="1" t="s">
        <v>12</v>
      </c>
      <c r="G4283" s="1" t="s">
        <v>12</v>
      </c>
      <c r="H4283" s="1" t="s">
        <v>13</v>
      </c>
      <c r="I4283" s="1" t="s">
        <v>13</v>
      </c>
      <c r="J4283" s="1" t="s">
        <v>22</v>
      </c>
      <c r="K4283" s="1">
        <v>0</v>
      </c>
      <c r="L4283" s="1" t="s">
        <v>21</v>
      </c>
      <c r="M4283" s="1" t="str">
        <f t="shared" si="67"/>
        <v>Consistent</v>
      </c>
      <c r="N4283" s="1" t="str">
        <f>_xlfn.XLOOKUP(H4283, risk_score!A:A, risk_score!B:B, 0)</f>
        <v>Low Risk</v>
      </c>
    </row>
    <row r="4284" spans="1:14">
      <c r="A4284" s="2">
        <v>0.55306712962962967</v>
      </c>
      <c r="B4284" s="3">
        <v>44841</v>
      </c>
      <c r="C4284" s="1">
        <v>5242632452</v>
      </c>
      <c r="D4284" s="1">
        <v>8457761196</v>
      </c>
      <c r="E4284" s="1">
        <v>13968.76</v>
      </c>
      <c r="F4284" s="1" t="s">
        <v>12</v>
      </c>
      <c r="G4284" s="1" t="s">
        <v>12</v>
      </c>
      <c r="H4284" s="1" t="s">
        <v>13</v>
      </c>
      <c r="I4284" s="1" t="s">
        <v>13</v>
      </c>
      <c r="J4284" s="1" t="s">
        <v>22</v>
      </c>
      <c r="K4284" s="1">
        <v>0</v>
      </c>
      <c r="L4284" s="1" t="s">
        <v>24</v>
      </c>
      <c r="M4284" s="1" t="str">
        <f t="shared" si="67"/>
        <v>Consistent</v>
      </c>
      <c r="N4284" s="1" t="str">
        <f>_xlfn.XLOOKUP(H4284, risk_score!A:A, risk_score!B:B, 0)</f>
        <v>Low Risk</v>
      </c>
    </row>
    <row r="4285" spans="1:14">
      <c r="A4285" s="2">
        <v>0.55311342592592594</v>
      </c>
      <c r="B4285" s="3">
        <v>44841</v>
      </c>
      <c r="C4285" s="1">
        <v>4247574210</v>
      </c>
      <c r="D4285" s="1">
        <v>7773597041</v>
      </c>
      <c r="E4285" s="1">
        <v>295.74</v>
      </c>
      <c r="F4285" s="1" t="s">
        <v>12</v>
      </c>
      <c r="G4285" s="1" t="s">
        <v>12</v>
      </c>
      <c r="H4285" s="1" t="s">
        <v>13</v>
      </c>
      <c r="I4285" s="1" t="s">
        <v>13</v>
      </c>
      <c r="J4285" s="1" t="s">
        <v>36</v>
      </c>
      <c r="K4285" s="1">
        <v>0</v>
      </c>
      <c r="L4285" s="1" t="s">
        <v>37</v>
      </c>
      <c r="M4285" s="1" t="str">
        <f t="shared" si="67"/>
        <v>Consistent</v>
      </c>
      <c r="N4285" s="1" t="str">
        <f>_xlfn.XLOOKUP(H4285, risk_score!A:A, risk_score!B:B, 0)</f>
        <v>Low Risk</v>
      </c>
    </row>
    <row r="4286" spans="1:14">
      <c r="A4286" s="2">
        <v>0.55312499999999998</v>
      </c>
      <c r="B4286" s="3">
        <v>44841</v>
      </c>
      <c r="C4286" s="1">
        <v>9746384104</v>
      </c>
      <c r="D4286" s="1">
        <v>389486199</v>
      </c>
      <c r="E4286" s="1">
        <v>7044.5</v>
      </c>
      <c r="F4286" s="1" t="s">
        <v>12</v>
      </c>
      <c r="G4286" s="1" t="s">
        <v>12</v>
      </c>
      <c r="H4286" s="1" t="s">
        <v>13</v>
      </c>
      <c r="I4286" s="1" t="s">
        <v>13</v>
      </c>
      <c r="J4286" s="1" t="s">
        <v>22</v>
      </c>
      <c r="K4286" s="1">
        <v>0</v>
      </c>
      <c r="L4286" s="1" t="s">
        <v>19</v>
      </c>
      <c r="M4286" s="1" t="str">
        <f t="shared" si="67"/>
        <v>Consistent</v>
      </c>
      <c r="N4286" s="1" t="str">
        <f>_xlfn.XLOOKUP(H4286, risk_score!A:A, risk_score!B:B, 0)</f>
        <v>Low Risk</v>
      </c>
    </row>
    <row r="4287" spans="1:14">
      <c r="A4287" s="2">
        <v>0.55313657407407413</v>
      </c>
      <c r="B4287" s="3">
        <v>44841</v>
      </c>
      <c r="C4287" s="1">
        <v>6346206851</v>
      </c>
      <c r="D4287" s="1">
        <v>6298298842</v>
      </c>
      <c r="E4287" s="1">
        <v>4807.62</v>
      </c>
      <c r="F4287" s="1" t="s">
        <v>12</v>
      </c>
      <c r="G4287" s="1" t="s">
        <v>12</v>
      </c>
      <c r="H4287" s="1" t="s">
        <v>13</v>
      </c>
      <c r="I4287" s="1" t="s">
        <v>13</v>
      </c>
      <c r="J4287" s="1" t="s">
        <v>22</v>
      </c>
      <c r="K4287" s="1">
        <v>0</v>
      </c>
      <c r="L4287" s="1" t="s">
        <v>21</v>
      </c>
      <c r="M4287" s="1" t="str">
        <f t="shared" ref="M4287:M4350" si="68">IF(F4287=G4287, "Consistent", "Potential Layering")</f>
        <v>Consistent</v>
      </c>
      <c r="N4287" s="1" t="str">
        <f>_xlfn.XLOOKUP(H4287, risk_score!A:A, risk_score!B:B, 0)</f>
        <v>Low Risk</v>
      </c>
    </row>
    <row r="4288" spans="1:14">
      <c r="A4288" s="2">
        <v>0.55315972222222221</v>
      </c>
      <c r="B4288" s="3">
        <v>44841</v>
      </c>
      <c r="C4288" s="1">
        <v>4275035754</v>
      </c>
      <c r="D4288" s="1">
        <v>965672903</v>
      </c>
      <c r="E4288" s="1">
        <v>11964.14</v>
      </c>
      <c r="F4288" s="1" t="s">
        <v>12</v>
      </c>
      <c r="G4288" s="1" t="s">
        <v>12</v>
      </c>
      <c r="H4288" s="1" t="s">
        <v>13</v>
      </c>
      <c r="I4288" s="1" t="s">
        <v>13</v>
      </c>
      <c r="J4288" s="1" t="s">
        <v>22</v>
      </c>
      <c r="K4288" s="1">
        <v>0</v>
      </c>
      <c r="L4288" s="1" t="s">
        <v>21</v>
      </c>
      <c r="M4288" s="1" t="str">
        <f t="shared" si="68"/>
        <v>Consistent</v>
      </c>
      <c r="N4288" s="1" t="str">
        <f>_xlfn.XLOOKUP(H4288, risk_score!A:A, risk_score!B:B, 0)</f>
        <v>Low Risk</v>
      </c>
    </row>
    <row r="4289" spans="1:14">
      <c r="A4289" s="2">
        <v>0.55315972222222221</v>
      </c>
      <c r="B4289" s="3">
        <v>44841</v>
      </c>
      <c r="C4289" s="1">
        <v>941100617</v>
      </c>
      <c r="D4289" s="1">
        <v>7923045036</v>
      </c>
      <c r="E4289" s="1">
        <v>414.02</v>
      </c>
      <c r="F4289" s="1" t="s">
        <v>12</v>
      </c>
      <c r="G4289" s="1" t="s">
        <v>12</v>
      </c>
      <c r="H4289" s="1" t="s">
        <v>13</v>
      </c>
      <c r="I4289" s="1" t="s">
        <v>13</v>
      </c>
      <c r="J4289" s="1" t="s">
        <v>22</v>
      </c>
      <c r="K4289" s="1">
        <v>0</v>
      </c>
      <c r="L4289" s="1" t="s">
        <v>21</v>
      </c>
      <c r="M4289" s="1" t="str">
        <f t="shared" si="68"/>
        <v>Consistent</v>
      </c>
      <c r="N4289" s="1" t="str">
        <f>_xlfn.XLOOKUP(H4289, risk_score!A:A, risk_score!B:B, 0)</f>
        <v>Low Risk</v>
      </c>
    </row>
    <row r="4290" spans="1:14">
      <c r="A4290" s="2">
        <v>0.55317129629629624</v>
      </c>
      <c r="B4290" s="3">
        <v>44841</v>
      </c>
      <c r="C4290" s="1">
        <v>1606273725</v>
      </c>
      <c r="D4290" s="1">
        <v>9582071208</v>
      </c>
      <c r="E4290" s="1">
        <v>1241.2</v>
      </c>
      <c r="F4290" s="1" t="s">
        <v>12</v>
      </c>
      <c r="G4290" s="1" t="s">
        <v>12</v>
      </c>
      <c r="H4290" s="1" t="s">
        <v>13</v>
      </c>
      <c r="I4290" s="1" t="s">
        <v>13</v>
      </c>
      <c r="J4290" s="1" t="s">
        <v>27</v>
      </c>
      <c r="K4290" s="1">
        <v>0</v>
      </c>
      <c r="L4290" s="1" t="s">
        <v>21</v>
      </c>
      <c r="M4290" s="1" t="str">
        <f t="shared" si="68"/>
        <v>Consistent</v>
      </c>
      <c r="N4290" s="1" t="str">
        <f>_xlfn.XLOOKUP(H4290, risk_score!A:A, risk_score!B:B, 0)</f>
        <v>Low Risk</v>
      </c>
    </row>
    <row r="4291" spans="1:14">
      <c r="A4291" s="2">
        <v>0.55318287037037039</v>
      </c>
      <c r="B4291" s="3">
        <v>44841</v>
      </c>
      <c r="C4291" s="1">
        <v>4045547321</v>
      </c>
      <c r="D4291" s="1">
        <v>5393633480</v>
      </c>
      <c r="E4291" s="1">
        <v>4090.32</v>
      </c>
      <c r="F4291" s="1" t="s">
        <v>12</v>
      </c>
      <c r="G4291" s="1" t="s">
        <v>12</v>
      </c>
      <c r="H4291" s="1" t="s">
        <v>13</v>
      </c>
      <c r="I4291" s="1" t="s">
        <v>13</v>
      </c>
      <c r="J4291" s="1" t="s">
        <v>27</v>
      </c>
      <c r="K4291" s="1">
        <v>0</v>
      </c>
      <c r="L4291" s="1" t="s">
        <v>21</v>
      </c>
      <c r="M4291" s="1" t="str">
        <f t="shared" si="68"/>
        <v>Consistent</v>
      </c>
      <c r="N4291" s="1" t="str">
        <f>_xlfn.XLOOKUP(H4291, risk_score!A:A, risk_score!B:B, 0)</f>
        <v>Low Risk</v>
      </c>
    </row>
    <row r="4292" spans="1:14">
      <c r="A4292" s="2">
        <v>0.55322916666666666</v>
      </c>
      <c r="B4292" s="3">
        <v>44841</v>
      </c>
      <c r="C4292" s="1">
        <v>2595670415</v>
      </c>
      <c r="D4292" s="1">
        <v>6223365730</v>
      </c>
      <c r="E4292" s="1">
        <v>15210.46</v>
      </c>
      <c r="F4292" s="1" t="s">
        <v>12</v>
      </c>
      <c r="G4292" s="1" t="s">
        <v>12</v>
      </c>
      <c r="H4292" s="1" t="s">
        <v>13</v>
      </c>
      <c r="I4292" s="1" t="s">
        <v>13</v>
      </c>
      <c r="J4292" s="1" t="s">
        <v>20</v>
      </c>
      <c r="K4292" s="1">
        <v>0</v>
      </c>
      <c r="L4292" s="1" t="s">
        <v>23</v>
      </c>
      <c r="M4292" s="1" t="str">
        <f t="shared" si="68"/>
        <v>Consistent</v>
      </c>
      <c r="N4292" s="1" t="str">
        <f>_xlfn.XLOOKUP(H4292, risk_score!A:A, risk_score!B:B, 0)</f>
        <v>Low Risk</v>
      </c>
    </row>
    <row r="4293" spans="1:14">
      <c r="A4293" s="2">
        <v>0.55325231481481485</v>
      </c>
      <c r="B4293" s="3">
        <v>44841</v>
      </c>
      <c r="C4293" s="1">
        <v>4639821031</v>
      </c>
      <c r="D4293" s="1">
        <v>381689903</v>
      </c>
      <c r="E4293" s="1">
        <v>38673.9</v>
      </c>
      <c r="F4293" s="1" t="s">
        <v>12</v>
      </c>
      <c r="G4293" s="1" t="s">
        <v>12</v>
      </c>
      <c r="H4293" s="1" t="s">
        <v>13</v>
      </c>
      <c r="I4293" s="1" t="s">
        <v>13</v>
      </c>
      <c r="J4293" s="1" t="s">
        <v>20</v>
      </c>
      <c r="K4293" s="1">
        <v>0</v>
      </c>
      <c r="L4293" s="1" t="s">
        <v>49</v>
      </c>
      <c r="M4293" s="1" t="str">
        <f t="shared" si="68"/>
        <v>Consistent</v>
      </c>
      <c r="N4293" s="1" t="str">
        <f>_xlfn.XLOOKUP(H4293, risk_score!A:A, risk_score!B:B, 0)</f>
        <v>Low Risk</v>
      </c>
    </row>
    <row r="4294" spans="1:14">
      <c r="A4294" s="2">
        <v>0.55328703703703708</v>
      </c>
      <c r="B4294" s="3">
        <v>44841</v>
      </c>
      <c r="C4294" s="1">
        <v>5681948699</v>
      </c>
      <c r="D4294" s="1">
        <v>1711169014</v>
      </c>
      <c r="E4294" s="1">
        <v>4123.8500000000004</v>
      </c>
      <c r="F4294" s="1" t="s">
        <v>12</v>
      </c>
      <c r="G4294" s="1" t="s">
        <v>12</v>
      </c>
      <c r="H4294" s="1" t="s">
        <v>13</v>
      </c>
      <c r="I4294" s="1" t="s">
        <v>13</v>
      </c>
      <c r="J4294" s="1" t="s">
        <v>20</v>
      </c>
      <c r="K4294" s="1">
        <v>0</v>
      </c>
      <c r="L4294" s="1" t="s">
        <v>21</v>
      </c>
      <c r="M4294" s="1" t="str">
        <f t="shared" si="68"/>
        <v>Consistent</v>
      </c>
      <c r="N4294" s="1" t="str">
        <f>_xlfn.XLOOKUP(H4294, risk_score!A:A, risk_score!B:B, 0)</f>
        <v>Low Risk</v>
      </c>
    </row>
    <row r="4295" spans="1:14">
      <c r="A4295" s="2">
        <v>0.55328703703703708</v>
      </c>
      <c r="B4295" s="3">
        <v>44841</v>
      </c>
      <c r="C4295" s="1">
        <v>5630146789</v>
      </c>
      <c r="D4295" s="1">
        <v>6006732709</v>
      </c>
      <c r="E4295" s="1">
        <v>2182.9299999999998</v>
      </c>
      <c r="F4295" s="1" t="s">
        <v>12</v>
      </c>
      <c r="G4295" s="1" t="s">
        <v>12</v>
      </c>
      <c r="H4295" s="1" t="s">
        <v>13</v>
      </c>
      <c r="I4295" s="1" t="s">
        <v>13</v>
      </c>
      <c r="J4295" s="1" t="s">
        <v>25</v>
      </c>
      <c r="K4295" s="1">
        <v>0</v>
      </c>
      <c r="L4295" s="1" t="s">
        <v>24</v>
      </c>
      <c r="M4295" s="1" t="str">
        <f t="shared" si="68"/>
        <v>Consistent</v>
      </c>
      <c r="N4295" s="1" t="str">
        <f>_xlfn.XLOOKUP(H4295, risk_score!A:A, risk_score!B:B, 0)</f>
        <v>Low Risk</v>
      </c>
    </row>
    <row r="4296" spans="1:14">
      <c r="A4296" s="2">
        <v>0.5533217592592593</v>
      </c>
      <c r="B4296" s="3">
        <v>44841</v>
      </c>
      <c r="C4296" s="1">
        <v>9746384104</v>
      </c>
      <c r="D4296" s="1">
        <v>6973117783</v>
      </c>
      <c r="E4296" s="1">
        <v>4718.2</v>
      </c>
      <c r="F4296" s="1" t="s">
        <v>12</v>
      </c>
      <c r="G4296" s="1" t="s">
        <v>34</v>
      </c>
      <c r="H4296" s="1" t="s">
        <v>13</v>
      </c>
      <c r="I4296" s="1" t="s">
        <v>35</v>
      </c>
      <c r="J4296" s="1" t="s">
        <v>18</v>
      </c>
      <c r="K4296" s="1">
        <v>0</v>
      </c>
      <c r="L4296" s="1" t="s">
        <v>19</v>
      </c>
      <c r="M4296" s="1" t="str">
        <f t="shared" si="68"/>
        <v>Potential Layering</v>
      </c>
      <c r="N4296" s="1" t="str">
        <f>_xlfn.XLOOKUP(H4296, risk_score!A:A, risk_score!B:B, 0)</f>
        <v>Low Risk</v>
      </c>
    </row>
    <row r="4297" spans="1:14">
      <c r="A4297" s="2">
        <v>0.55336805555555557</v>
      </c>
      <c r="B4297" s="3">
        <v>44841</v>
      </c>
      <c r="C4297" s="1">
        <v>4724128387</v>
      </c>
      <c r="D4297" s="1">
        <v>7080357663</v>
      </c>
      <c r="E4297" s="1">
        <v>13814.83</v>
      </c>
      <c r="F4297" s="1" t="s">
        <v>12</v>
      </c>
      <c r="G4297" s="1" t="s">
        <v>12</v>
      </c>
      <c r="H4297" s="1" t="s">
        <v>13</v>
      </c>
      <c r="I4297" s="1" t="s">
        <v>13</v>
      </c>
      <c r="J4297" s="1" t="s">
        <v>25</v>
      </c>
      <c r="K4297" s="1">
        <v>0</v>
      </c>
      <c r="L4297" s="1" t="s">
        <v>23</v>
      </c>
      <c r="M4297" s="1" t="str">
        <f t="shared" si="68"/>
        <v>Consistent</v>
      </c>
      <c r="N4297" s="1" t="str">
        <f>_xlfn.XLOOKUP(H4297, risk_score!A:A, risk_score!B:B, 0)</f>
        <v>Low Risk</v>
      </c>
    </row>
    <row r="4298" spans="1:14">
      <c r="A4298" s="2">
        <v>0.55342592592592588</v>
      </c>
      <c r="B4298" s="3">
        <v>44841</v>
      </c>
      <c r="C4298" s="1">
        <v>6541552727</v>
      </c>
      <c r="D4298" s="1">
        <v>2284368563</v>
      </c>
      <c r="E4298" s="1">
        <v>8978.1200000000008</v>
      </c>
      <c r="F4298" s="1" t="s">
        <v>12</v>
      </c>
      <c r="G4298" s="1" t="s">
        <v>12</v>
      </c>
      <c r="H4298" s="1" t="s">
        <v>13</v>
      </c>
      <c r="I4298" s="1" t="s">
        <v>13</v>
      </c>
      <c r="J4298" s="1" t="s">
        <v>22</v>
      </c>
      <c r="K4298" s="1">
        <v>0</v>
      </c>
      <c r="L4298" s="1" t="s">
        <v>19</v>
      </c>
      <c r="M4298" s="1" t="str">
        <f t="shared" si="68"/>
        <v>Consistent</v>
      </c>
      <c r="N4298" s="1" t="str">
        <f>_xlfn.XLOOKUP(H4298, risk_score!A:A, risk_score!B:B, 0)</f>
        <v>Low Risk</v>
      </c>
    </row>
    <row r="4299" spans="1:14">
      <c r="A4299" s="2">
        <v>0.5534606481481481</v>
      </c>
      <c r="B4299" s="3">
        <v>44841</v>
      </c>
      <c r="C4299" s="1">
        <v>3157673569</v>
      </c>
      <c r="D4299" s="1">
        <v>925531405</v>
      </c>
      <c r="E4299" s="1">
        <v>3413.51</v>
      </c>
      <c r="F4299" s="1" t="s">
        <v>12</v>
      </c>
      <c r="G4299" s="1" t="s">
        <v>12</v>
      </c>
      <c r="H4299" s="1" t="s">
        <v>13</v>
      </c>
      <c r="I4299" s="1" t="s">
        <v>13</v>
      </c>
      <c r="J4299" s="1" t="s">
        <v>20</v>
      </c>
      <c r="K4299" s="1">
        <v>0</v>
      </c>
      <c r="L4299" s="1" t="s">
        <v>21</v>
      </c>
      <c r="M4299" s="1" t="str">
        <f t="shared" si="68"/>
        <v>Consistent</v>
      </c>
      <c r="N4299" s="1" t="str">
        <f>_xlfn.XLOOKUP(H4299, risk_score!A:A, risk_score!B:B, 0)</f>
        <v>Low Risk</v>
      </c>
    </row>
    <row r="4300" spans="1:14">
      <c r="A4300" s="2">
        <v>0.5534606481481481</v>
      </c>
      <c r="B4300" s="3">
        <v>44841</v>
      </c>
      <c r="C4300" s="1">
        <v>4730708725</v>
      </c>
      <c r="D4300" s="1">
        <v>6544491518</v>
      </c>
      <c r="E4300" s="1">
        <v>1082.29</v>
      </c>
      <c r="F4300" s="1" t="s">
        <v>12</v>
      </c>
      <c r="G4300" s="1" t="s">
        <v>12</v>
      </c>
      <c r="H4300" s="1" t="s">
        <v>13</v>
      </c>
      <c r="I4300" s="1" t="s">
        <v>13</v>
      </c>
      <c r="J4300" s="1" t="s">
        <v>25</v>
      </c>
      <c r="K4300" s="1">
        <v>0</v>
      </c>
      <c r="L4300" s="1" t="s">
        <v>21</v>
      </c>
      <c r="M4300" s="1" t="str">
        <f t="shared" si="68"/>
        <v>Consistent</v>
      </c>
      <c r="N4300" s="1" t="str">
        <f>_xlfn.XLOOKUP(H4300, risk_score!A:A, risk_score!B:B, 0)</f>
        <v>Low Risk</v>
      </c>
    </row>
    <row r="4301" spans="1:14">
      <c r="A4301" s="2">
        <v>0.55347222222222225</v>
      </c>
      <c r="B4301" s="3">
        <v>44841</v>
      </c>
      <c r="C4301" s="1">
        <v>3646682811</v>
      </c>
      <c r="D4301" s="1">
        <v>4784078006</v>
      </c>
      <c r="E4301" s="1">
        <v>281.63</v>
      </c>
      <c r="F4301" s="1" t="s">
        <v>12</v>
      </c>
      <c r="G4301" s="1" t="s">
        <v>12</v>
      </c>
      <c r="H4301" s="1" t="s">
        <v>13</v>
      </c>
      <c r="I4301" s="1" t="s">
        <v>13</v>
      </c>
      <c r="J4301" s="1" t="s">
        <v>36</v>
      </c>
      <c r="K4301" s="1">
        <v>0</v>
      </c>
      <c r="L4301" s="1" t="s">
        <v>37</v>
      </c>
      <c r="M4301" s="1" t="str">
        <f t="shared" si="68"/>
        <v>Consistent</v>
      </c>
      <c r="N4301" s="1" t="str">
        <f>_xlfn.XLOOKUP(H4301, risk_score!A:A, risk_score!B:B, 0)</f>
        <v>Low Risk</v>
      </c>
    </row>
    <row r="4302" spans="1:14">
      <c r="A4302" s="2">
        <v>0.55349537037037033</v>
      </c>
      <c r="B4302" s="3">
        <v>44841</v>
      </c>
      <c r="C4302" s="1">
        <v>6904169843</v>
      </c>
      <c r="D4302" s="1">
        <v>4270865741</v>
      </c>
      <c r="E4302" s="1">
        <v>6093.19</v>
      </c>
      <c r="F4302" s="1" t="s">
        <v>12</v>
      </c>
      <c r="G4302" s="1" t="s">
        <v>12</v>
      </c>
      <c r="H4302" s="1" t="s">
        <v>13</v>
      </c>
      <c r="I4302" s="1" t="s">
        <v>13</v>
      </c>
      <c r="J4302" s="1" t="s">
        <v>25</v>
      </c>
      <c r="K4302" s="1">
        <v>0</v>
      </c>
      <c r="L4302" s="1" t="s">
        <v>23</v>
      </c>
      <c r="M4302" s="1" t="str">
        <f t="shared" si="68"/>
        <v>Consistent</v>
      </c>
      <c r="N4302" s="1" t="str">
        <f>_xlfn.XLOOKUP(H4302, risk_score!A:A, risk_score!B:B, 0)</f>
        <v>Low Risk</v>
      </c>
    </row>
    <row r="4303" spans="1:14">
      <c r="A4303" s="2">
        <v>0.55356481481481479</v>
      </c>
      <c r="B4303" s="3">
        <v>44841</v>
      </c>
      <c r="C4303" s="1">
        <v>1052526649</v>
      </c>
      <c r="D4303" s="1">
        <v>848527234</v>
      </c>
      <c r="E4303" s="1">
        <v>1247.8699999999999</v>
      </c>
      <c r="F4303" s="1" t="s">
        <v>12</v>
      </c>
      <c r="G4303" s="1" t="s">
        <v>12</v>
      </c>
      <c r="H4303" s="1" t="s">
        <v>13</v>
      </c>
      <c r="I4303" s="1" t="s">
        <v>13</v>
      </c>
      <c r="J4303" s="1" t="s">
        <v>20</v>
      </c>
      <c r="K4303" s="1">
        <v>0</v>
      </c>
      <c r="L4303" s="1" t="s">
        <v>24</v>
      </c>
      <c r="M4303" s="1" t="str">
        <f t="shared" si="68"/>
        <v>Consistent</v>
      </c>
      <c r="N4303" s="1" t="str">
        <f>_xlfn.XLOOKUP(H4303, risk_score!A:A, risk_score!B:B, 0)</f>
        <v>Low Risk</v>
      </c>
    </row>
    <row r="4304" spans="1:14">
      <c r="A4304" s="2">
        <v>0.55359953703703701</v>
      </c>
      <c r="B4304" s="3">
        <v>44841</v>
      </c>
      <c r="C4304" s="1">
        <v>264095857</v>
      </c>
      <c r="D4304" s="1">
        <v>1316458123</v>
      </c>
      <c r="E4304" s="1">
        <v>13492.52</v>
      </c>
      <c r="F4304" s="1" t="s">
        <v>12</v>
      </c>
      <c r="G4304" s="1" t="s">
        <v>34</v>
      </c>
      <c r="H4304" s="1" t="s">
        <v>13</v>
      </c>
      <c r="I4304" s="1" t="s">
        <v>35</v>
      </c>
      <c r="J4304" s="1" t="s">
        <v>18</v>
      </c>
      <c r="K4304" s="1">
        <v>0</v>
      </c>
      <c r="L4304" s="1" t="s">
        <v>23</v>
      </c>
      <c r="M4304" s="1" t="str">
        <f t="shared" si="68"/>
        <v>Potential Layering</v>
      </c>
      <c r="N4304" s="1" t="str">
        <f>_xlfn.XLOOKUP(H4304, risk_score!A:A, risk_score!B:B, 0)</f>
        <v>Low Risk</v>
      </c>
    </row>
    <row r="4305" spans="1:14">
      <c r="A4305" s="2">
        <v>0.55365740740740743</v>
      </c>
      <c r="B4305" s="3">
        <v>44841</v>
      </c>
      <c r="C4305" s="1">
        <v>4271300093</v>
      </c>
      <c r="D4305" s="1">
        <v>5272928301</v>
      </c>
      <c r="E4305" s="1">
        <v>31.67</v>
      </c>
      <c r="F4305" s="1" t="s">
        <v>12</v>
      </c>
      <c r="G4305" s="1" t="s">
        <v>12</v>
      </c>
      <c r="H4305" s="1" t="s">
        <v>13</v>
      </c>
      <c r="I4305" s="1" t="s">
        <v>13</v>
      </c>
      <c r="J4305" s="1" t="s">
        <v>36</v>
      </c>
      <c r="K4305" s="1">
        <v>0</v>
      </c>
      <c r="L4305" s="1" t="s">
        <v>37</v>
      </c>
      <c r="M4305" s="1" t="str">
        <f t="shared" si="68"/>
        <v>Consistent</v>
      </c>
      <c r="N4305" s="1" t="str">
        <f>_xlfn.XLOOKUP(H4305, risk_score!A:A, risk_score!B:B, 0)</f>
        <v>Low Risk</v>
      </c>
    </row>
    <row r="4306" spans="1:14">
      <c r="A4306" s="2">
        <v>0.55378472222222219</v>
      </c>
      <c r="B4306" s="3">
        <v>44841</v>
      </c>
      <c r="C4306" s="1">
        <v>2706001337</v>
      </c>
      <c r="D4306" s="1">
        <v>5858369125</v>
      </c>
      <c r="E4306" s="1">
        <v>12122.96</v>
      </c>
      <c r="F4306" s="1" t="s">
        <v>16</v>
      </c>
      <c r="G4306" s="1" t="s">
        <v>12</v>
      </c>
      <c r="H4306" s="1" t="s">
        <v>17</v>
      </c>
      <c r="I4306" s="1" t="s">
        <v>13</v>
      </c>
      <c r="J4306" s="1" t="s">
        <v>18</v>
      </c>
      <c r="K4306" s="1">
        <v>0</v>
      </c>
      <c r="L4306" s="1" t="s">
        <v>23</v>
      </c>
      <c r="M4306" s="1" t="str">
        <f t="shared" si="68"/>
        <v>Potential Layering</v>
      </c>
      <c r="N4306" s="1" t="str">
        <f>_xlfn.XLOOKUP(H4306, risk_score!A:A, risk_score!B:B, 0)</f>
        <v>Medium Risk</v>
      </c>
    </row>
    <row r="4307" spans="1:14">
      <c r="A4307" s="2">
        <v>0.55379629629629634</v>
      </c>
      <c r="B4307" s="3">
        <v>44841</v>
      </c>
      <c r="C4307" s="1">
        <v>6086421020</v>
      </c>
      <c r="D4307" s="1">
        <v>1253036863</v>
      </c>
      <c r="E4307" s="1">
        <v>23925.99</v>
      </c>
      <c r="F4307" s="1" t="s">
        <v>12</v>
      </c>
      <c r="G4307" s="1" t="s">
        <v>34</v>
      </c>
      <c r="H4307" s="1" t="s">
        <v>13</v>
      </c>
      <c r="I4307" s="1" t="s">
        <v>35</v>
      </c>
      <c r="J4307" s="1" t="s">
        <v>18</v>
      </c>
      <c r="K4307" s="1">
        <v>0</v>
      </c>
      <c r="L4307" s="1" t="s">
        <v>19</v>
      </c>
      <c r="M4307" s="1" t="str">
        <f t="shared" si="68"/>
        <v>Potential Layering</v>
      </c>
      <c r="N4307" s="1" t="str">
        <f>_xlfn.XLOOKUP(H4307, risk_score!A:A, risk_score!B:B, 0)</f>
        <v>Low Risk</v>
      </c>
    </row>
    <row r="4308" spans="1:14">
      <c r="A4308" s="2">
        <v>0.55390046296296291</v>
      </c>
      <c r="B4308" s="3">
        <v>44841</v>
      </c>
      <c r="C4308" s="1">
        <v>4369853239</v>
      </c>
      <c r="D4308" s="1">
        <v>2981237628</v>
      </c>
      <c r="E4308" s="1">
        <v>2523.54</v>
      </c>
      <c r="F4308" s="1" t="s">
        <v>12</v>
      </c>
      <c r="G4308" s="1" t="s">
        <v>12</v>
      </c>
      <c r="H4308" s="1" t="s">
        <v>13</v>
      </c>
      <c r="I4308" s="1" t="s">
        <v>13</v>
      </c>
      <c r="J4308" s="1" t="s">
        <v>25</v>
      </c>
      <c r="K4308" s="1">
        <v>0</v>
      </c>
      <c r="L4308" s="1" t="s">
        <v>21</v>
      </c>
      <c r="M4308" s="1" t="str">
        <f t="shared" si="68"/>
        <v>Consistent</v>
      </c>
      <c r="N4308" s="1" t="str">
        <f>_xlfn.XLOOKUP(H4308, risk_score!A:A, risk_score!B:B, 0)</f>
        <v>Low Risk</v>
      </c>
    </row>
    <row r="4309" spans="1:14">
      <c r="A4309" s="2">
        <v>0.55390046296296291</v>
      </c>
      <c r="B4309" s="3">
        <v>44841</v>
      </c>
      <c r="C4309" s="1">
        <v>8456279067</v>
      </c>
      <c r="D4309" s="1">
        <v>5344331047</v>
      </c>
      <c r="E4309" s="1">
        <v>4660.74</v>
      </c>
      <c r="F4309" s="1" t="s">
        <v>12</v>
      </c>
      <c r="G4309" s="1" t="s">
        <v>12</v>
      </c>
      <c r="H4309" s="1" t="s">
        <v>13</v>
      </c>
      <c r="I4309" s="1" t="s">
        <v>13</v>
      </c>
      <c r="J4309" s="1" t="s">
        <v>25</v>
      </c>
      <c r="K4309" s="1">
        <v>0</v>
      </c>
      <c r="L4309" s="1" t="s">
        <v>19</v>
      </c>
      <c r="M4309" s="1" t="str">
        <f t="shared" si="68"/>
        <v>Consistent</v>
      </c>
      <c r="N4309" s="1" t="str">
        <f>_xlfn.XLOOKUP(H4309, risk_score!A:A, risk_score!B:B, 0)</f>
        <v>Low Risk</v>
      </c>
    </row>
    <row r="4310" spans="1:14">
      <c r="A4310" s="2">
        <v>0.5539236111111111</v>
      </c>
      <c r="B4310" s="3">
        <v>44841</v>
      </c>
      <c r="C4310" s="1">
        <v>772845860</v>
      </c>
      <c r="D4310" s="1">
        <v>58951323</v>
      </c>
      <c r="E4310" s="1">
        <v>246.22</v>
      </c>
      <c r="F4310" s="1" t="s">
        <v>12</v>
      </c>
      <c r="G4310" s="1" t="s">
        <v>28</v>
      </c>
      <c r="H4310" s="1" t="s">
        <v>13</v>
      </c>
      <c r="I4310" s="1" t="s">
        <v>57</v>
      </c>
      <c r="J4310" s="1" t="s">
        <v>18</v>
      </c>
      <c r="K4310" s="1">
        <v>0</v>
      </c>
      <c r="L4310" s="1" t="s">
        <v>21</v>
      </c>
      <c r="M4310" s="1" t="str">
        <f t="shared" si="68"/>
        <v>Potential Layering</v>
      </c>
      <c r="N4310" s="1" t="str">
        <f>_xlfn.XLOOKUP(H4310, risk_score!A:A, risk_score!B:B, 0)</f>
        <v>Low Risk</v>
      </c>
    </row>
    <row r="4311" spans="1:14">
      <c r="A4311" s="2">
        <v>0.5539236111111111</v>
      </c>
      <c r="B4311" s="3">
        <v>44841</v>
      </c>
      <c r="C4311" s="1">
        <v>9312861244</v>
      </c>
      <c r="D4311" s="1">
        <v>409707192</v>
      </c>
      <c r="E4311" s="1">
        <v>24172.68</v>
      </c>
      <c r="F4311" s="1" t="s">
        <v>12</v>
      </c>
      <c r="G4311" s="1" t="s">
        <v>12</v>
      </c>
      <c r="H4311" s="1" t="s">
        <v>13</v>
      </c>
      <c r="I4311" s="1" t="s">
        <v>13</v>
      </c>
      <c r="J4311" s="1" t="s">
        <v>25</v>
      </c>
      <c r="K4311" s="1">
        <v>0</v>
      </c>
      <c r="L4311" s="1" t="s">
        <v>23</v>
      </c>
      <c r="M4311" s="1" t="str">
        <f t="shared" si="68"/>
        <v>Consistent</v>
      </c>
      <c r="N4311" s="1" t="str">
        <f>_xlfn.XLOOKUP(H4311, risk_score!A:A, risk_score!B:B, 0)</f>
        <v>Low Risk</v>
      </c>
    </row>
    <row r="4312" spans="1:14">
      <c r="A4312" s="2">
        <v>0.55393518518518514</v>
      </c>
      <c r="B4312" s="3">
        <v>44841</v>
      </c>
      <c r="C4312" s="1">
        <v>5890322047</v>
      </c>
      <c r="D4312" s="1">
        <v>3343239465</v>
      </c>
      <c r="E4312" s="1">
        <v>659.98</v>
      </c>
      <c r="F4312" s="1" t="s">
        <v>12</v>
      </c>
      <c r="G4312" s="1" t="s">
        <v>12</v>
      </c>
      <c r="H4312" s="1" t="s">
        <v>13</v>
      </c>
      <c r="I4312" s="1" t="s">
        <v>13</v>
      </c>
      <c r="J4312" s="1" t="s">
        <v>14</v>
      </c>
      <c r="K4312" s="1">
        <v>0</v>
      </c>
      <c r="L4312" s="1" t="s">
        <v>15</v>
      </c>
      <c r="M4312" s="1" t="str">
        <f t="shared" si="68"/>
        <v>Consistent</v>
      </c>
      <c r="N4312" s="1" t="str">
        <f>_xlfn.XLOOKUP(H4312, risk_score!A:A, risk_score!B:B, 0)</f>
        <v>Low Risk</v>
      </c>
    </row>
    <row r="4313" spans="1:14">
      <c r="A4313" s="2">
        <v>0.55395833333333333</v>
      </c>
      <c r="B4313" s="3">
        <v>44841</v>
      </c>
      <c r="C4313" s="1">
        <v>2147527699</v>
      </c>
      <c r="D4313" s="1">
        <v>409707192</v>
      </c>
      <c r="E4313" s="1">
        <v>10464.01</v>
      </c>
      <c r="F4313" s="1" t="s">
        <v>12</v>
      </c>
      <c r="G4313" s="1" t="s">
        <v>12</v>
      </c>
      <c r="H4313" s="1" t="s">
        <v>13</v>
      </c>
      <c r="I4313" s="1" t="s">
        <v>13</v>
      </c>
      <c r="J4313" s="1" t="s">
        <v>20</v>
      </c>
      <c r="K4313" s="1">
        <v>0</v>
      </c>
      <c r="L4313" s="1" t="s">
        <v>23</v>
      </c>
      <c r="M4313" s="1" t="str">
        <f t="shared" si="68"/>
        <v>Consistent</v>
      </c>
      <c r="N4313" s="1" t="str">
        <f>_xlfn.XLOOKUP(H4313, risk_score!A:A, risk_score!B:B, 0)</f>
        <v>Low Risk</v>
      </c>
    </row>
    <row r="4314" spans="1:14">
      <c r="A4314" s="2">
        <v>0.55396990740740737</v>
      </c>
      <c r="B4314" s="3">
        <v>44841</v>
      </c>
      <c r="C4314" s="1">
        <v>7421451752</v>
      </c>
      <c r="D4314" s="1">
        <v>887047763</v>
      </c>
      <c r="E4314" s="1">
        <v>11421.91</v>
      </c>
      <c r="F4314" s="1" t="s">
        <v>12</v>
      </c>
      <c r="G4314" s="1" t="s">
        <v>12</v>
      </c>
      <c r="H4314" s="1" t="s">
        <v>13</v>
      </c>
      <c r="I4314" s="1" t="s">
        <v>13</v>
      </c>
      <c r="J4314" s="1" t="s">
        <v>27</v>
      </c>
      <c r="K4314" s="1">
        <v>0</v>
      </c>
      <c r="L4314" s="1" t="s">
        <v>19</v>
      </c>
      <c r="M4314" s="1" t="str">
        <f t="shared" si="68"/>
        <v>Consistent</v>
      </c>
      <c r="N4314" s="1" t="str">
        <f>_xlfn.XLOOKUP(H4314, risk_score!A:A, risk_score!B:B, 0)</f>
        <v>Low Risk</v>
      </c>
    </row>
    <row r="4315" spans="1:14">
      <c r="A4315" s="2">
        <v>0.55396990740740737</v>
      </c>
      <c r="B4315" s="3">
        <v>44841</v>
      </c>
      <c r="C4315" s="1">
        <v>5452687367</v>
      </c>
      <c r="D4315" s="1">
        <v>6444220418</v>
      </c>
      <c r="E4315" s="1">
        <v>8249.2900000000009</v>
      </c>
      <c r="F4315" s="1" t="s">
        <v>12</v>
      </c>
      <c r="G4315" s="1" t="s">
        <v>12</v>
      </c>
      <c r="H4315" s="1" t="s">
        <v>13</v>
      </c>
      <c r="I4315" s="1" t="s">
        <v>13</v>
      </c>
      <c r="J4315" s="1" t="s">
        <v>20</v>
      </c>
      <c r="K4315" s="1">
        <v>0</v>
      </c>
      <c r="L4315" s="1" t="s">
        <v>23</v>
      </c>
      <c r="M4315" s="1" t="str">
        <f t="shared" si="68"/>
        <v>Consistent</v>
      </c>
      <c r="N4315" s="1" t="str">
        <f>_xlfn.XLOOKUP(H4315, risk_score!A:A, risk_score!B:B, 0)</f>
        <v>Low Risk</v>
      </c>
    </row>
    <row r="4316" spans="1:14">
      <c r="A4316" s="2">
        <v>0.55398148148148152</v>
      </c>
      <c r="B4316" s="3">
        <v>44841</v>
      </c>
      <c r="C4316" s="1">
        <v>1929116626</v>
      </c>
      <c r="D4316" s="1">
        <v>7892884492</v>
      </c>
      <c r="E4316" s="1">
        <v>24462.41</v>
      </c>
      <c r="F4316" s="1" t="s">
        <v>12</v>
      </c>
      <c r="G4316" s="1" t="s">
        <v>32</v>
      </c>
      <c r="H4316" s="1" t="s">
        <v>13</v>
      </c>
      <c r="I4316" s="1" t="s">
        <v>33</v>
      </c>
      <c r="J4316" s="1" t="s">
        <v>18</v>
      </c>
      <c r="K4316" s="1">
        <v>0</v>
      </c>
      <c r="L4316" s="1" t="s">
        <v>23</v>
      </c>
      <c r="M4316" s="1" t="str">
        <f t="shared" si="68"/>
        <v>Potential Layering</v>
      </c>
      <c r="N4316" s="1" t="str">
        <f>_xlfn.XLOOKUP(H4316, risk_score!A:A, risk_score!B:B, 0)</f>
        <v>Low Risk</v>
      </c>
    </row>
    <row r="4317" spans="1:14">
      <c r="A4317" s="2">
        <v>0.55399305555555556</v>
      </c>
      <c r="B4317" s="3">
        <v>44841</v>
      </c>
      <c r="C4317" s="1">
        <v>9186430345</v>
      </c>
      <c r="D4317" s="1">
        <v>3132018804</v>
      </c>
      <c r="E4317" s="1">
        <v>886.39</v>
      </c>
      <c r="F4317" s="1" t="s">
        <v>12</v>
      </c>
      <c r="G4317" s="1" t="s">
        <v>12</v>
      </c>
      <c r="H4317" s="1" t="s">
        <v>13</v>
      </c>
      <c r="I4317" s="1" t="s">
        <v>13</v>
      </c>
      <c r="J4317" s="1" t="s">
        <v>22</v>
      </c>
      <c r="K4317" s="1">
        <v>0</v>
      </c>
      <c r="L4317" s="1" t="s">
        <v>24</v>
      </c>
      <c r="M4317" s="1" t="str">
        <f t="shared" si="68"/>
        <v>Consistent</v>
      </c>
      <c r="N4317" s="1" t="str">
        <f>_xlfn.XLOOKUP(H4317, risk_score!A:A, risk_score!B:B, 0)</f>
        <v>Low Risk</v>
      </c>
    </row>
    <row r="4318" spans="1:14">
      <c r="A4318" s="2">
        <v>0.5540046296296296</v>
      </c>
      <c r="B4318" s="3">
        <v>44841</v>
      </c>
      <c r="C4318" s="1">
        <v>4332882742</v>
      </c>
      <c r="D4318" s="1">
        <v>5858369125</v>
      </c>
      <c r="E4318" s="1">
        <v>13508.16</v>
      </c>
      <c r="F4318" s="1" t="s">
        <v>12</v>
      </c>
      <c r="G4318" s="1" t="s">
        <v>12</v>
      </c>
      <c r="H4318" s="1" t="s">
        <v>13</v>
      </c>
      <c r="I4318" s="1" t="s">
        <v>13</v>
      </c>
      <c r="J4318" s="1" t="s">
        <v>22</v>
      </c>
      <c r="K4318" s="1">
        <v>0</v>
      </c>
      <c r="L4318" s="1" t="s">
        <v>23</v>
      </c>
      <c r="M4318" s="1" t="str">
        <f t="shared" si="68"/>
        <v>Consistent</v>
      </c>
      <c r="N4318" s="1" t="str">
        <f>_xlfn.XLOOKUP(H4318, risk_score!A:A, risk_score!B:B, 0)</f>
        <v>Low Risk</v>
      </c>
    </row>
    <row r="4319" spans="1:14">
      <c r="A4319" s="2">
        <v>0.55401620370370375</v>
      </c>
      <c r="B4319" s="3">
        <v>44841</v>
      </c>
      <c r="C4319" s="1">
        <v>7723697432</v>
      </c>
      <c r="D4319" s="1">
        <v>5582784249</v>
      </c>
      <c r="E4319" s="1">
        <v>3306.49</v>
      </c>
      <c r="F4319" s="1" t="s">
        <v>12</v>
      </c>
      <c r="G4319" s="1" t="s">
        <v>12</v>
      </c>
      <c r="H4319" s="1" t="s">
        <v>13</v>
      </c>
      <c r="I4319" s="1" t="s">
        <v>13</v>
      </c>
      <c r="J4319" s="1" t="s">
        <v>14</v>
      </c>
      <c r="K4319" s="1">
        <v>0</v>
      </c>
      <c r="L4319" s="1" t="s">
        <v>15</v>
      </c>
      <c r="M4319" s="1" t="str">
        <f t="shared" si="68"/>
        <v>Consistent</v>
      </c>
      <c r="N4319" s="1" t="str">
        <f>_xlfn.XLOOKUP(H4319, risk_score!A:A, risk_score!B:B, 0)</f>
        <v>Low Risk</v>
      </c>
    </row>
    <row r="4320" spans="1:14">
      <c r="A4320" s="2">
        <v>0.55403935185185182</v>
      </c>
      <c r="B4320" s="3">
        <v>44841</v>
      </c>
      <c r="C4320" s="1">
        <v>8925130468</v>
      </c>
      <c r="D4320" s="1">
        <v>3079818547</v>
      </c>
      <c r="E4320" s="1">
        <v>12632.45</v>
      </c>
      <c r="F4320" s="1" t="s">
        <v>12</v>
      </c>
      <c r="G4320" s="1" t="s">
        <v>12</v>
      </c>
      <c r="H4320" s="1" t="s">
        <v>13</v>
      </c>
      <c r="I4320" s="1" t="s">
        <v>13</v>
      </c>
      <c r="J4320" s="1" t="s">
        <v>27</v>
      </c>
      <c r="K4320" s="1">
        <v>0</v>
      </c>
      <c r="L4320" s="1" t="s">
        <v>23</v>
      </c>
      <c r="M4320" s="1" t="str">
        <f t="shared" si="68"/>
        <v>Consistent</v>
      </c>
      <c r="N4320" s="1" t="str">
        <f>_xlfn.XLOOKUP(H4320, risk_score!A:A, risk_score!B:B, 0)</f>
        <v>Low Risk</v>
      </c>
    </row>
    <row r="4321" spans="1:14">
      <c r="A4321" s="2">
        <v>0.55406250000000001</v>
      </c>
      <c r="B4321" s="3">
        <v>44841</v>
      </c>
      <c r="C4321" s="1">
        <v>8692659939</v>
      </c>
      <c r="D4321" s="1">
        <v>2588667070</v>
      </c>
      <c r="E4321" s="1">
        <v>907.55</v>
      </c>
      <c r="F4321" s="1" t="s">
        <v>12</v>
      </c>
      <c r="G4321" s="1" t="s">
        <v>12</v>
      </c>
      <c r="H4321" s="1" t="s">
        <v>13</v>
      </c>
      <c r="I4321" s="1" t="s">
        <v>13</v>
      </c>
      <c r="J4321" s="1" t="s">
        <v>14</v>
      </c>
      <c r="K4321" s="1">
        <v>0</v>
      </c>
      <c r="L4321" s="1" t="s">
        <v>15</v>
      </c>
      <c r="M4321" s="1" t="str">
        <f t="shared" si="68"/>
        <v>Consistent</v>
      </c>
      <c r="N4321" s="1" t="str">
        <f>_xlfn.XLOOKUP(H4321, risk_score!A:A, risk_score!B:B, 0)</f>
        <v>Low Risk</v>
      </c>
    </row>
    <row r="4322" spans="1:14">
      <c r="A4322" s="2">
        <v>0.55415509259259255</v>
      </c>
      <c r="B4322" s="3">
        <v>44841</v>
      </c>
      <c r="C4322" s="1">
        <v>3709430533</v>
      </c>
      <c r="D4322" s="1">
        <v>192121676</v>
      </c>
      <c r="E4322" s="1">
        <v>5635.3</v>
      </c>
      <c r="F4322" s="1" t="s">
        <v>12</v>
      </c>
      <c r="G4322" s="1" t="s">
        <v>12</v>
      </c>
      <c r="H4322" s="1" t="s">
        <v>13</v>
      </c>
      <c r="I4322" s="1" t="s">
        <v>13</v>
      </c>
      <c r="J4322" s="1" t="s">
        <v>25</v>
      </c>
      <c r="K4322" s="1">
        <v>0</v>
      </c>
      <c r="L4322" s="1" t="s">
        <v>19</v>
      </c>
      <c r="M4322" s="1" t="str">
        <f t="shared" si="68"/>
        <v>Consistent</v>
      </c>
      <c r="N4322" s="1" t="str">
        <f>_xlfn.XLOOKUP(H4322, risk_score!A:A, risk_score!B:B, 0)</f>
        <v>Low Risk</v>
      </c>
    </row>
    <row r="4323" spans="1:14">
      <c r="A4323" s="2">
        <v>0.55415509259259255</v>
      </c>
      <c r="B4323" s="3">
        <v>44841</v>
      </c>
      <c r="C4323" s="1">
        <v>2365007895</v>
      </c>
      <c r="D4323" s="1">
        <v>7142479189</v>
      </c>
      <c r="E4323" s="1">
        <v>24494.82</v>
      </c>
      <c r="F4323" s="1" t="s">
        <v>12</v>
      </c>
      <c r="G4323" s="1" t="s">
        <v>12</v>
      </c>
      <c r="H4323" s="1" t="s">
        <v>13</v>
      </c>
      <c r="I4323" s="1" t="s">
        <v>13</v>
      </c>
      <c r="J4323" s="1" t="s">
        <v>22</v>
      </c>
      <c r="K4323" s="1">
        <v>0</v>
      </c>
      <c r="L4323" s="1" t="s">
        <v>19</v>
      </c>
      <c r="M4323" s="1" t="str">
        <f t="shared" si="68"/>
        <v>Consistent</v>
      </c>
      <c r="N4323" s="1" t="str">
        <f>_xlfn.XLOOKUP(H4323, risk_score!A:A, risk_score!B:B, 0)</f>
        <v>Low Risk</v>
      </c>
    </row>
    <row r="4324" spans="1:14">
      <c r="A4324" s="2">
        <v>0.5541666666666667</v>
      </c>
      <c r="B4324" s="3">
        <v>44841</v>
      </c>
      <c r="C4324" s="1">
        <v>2698592594</v>
      </c>
      <c r="D4324" s="1">
        <v>3695545812</v>
      </c>
      <c r="E4324" s="1">
        <v>4540.95</v>
      </c>
      <c r="F4324" s="1" t="s">
        <v>12</v>
      </c>
      <c r="G4324" s="1" t="s">
        <v>12</v>
      </c>
      <c r="H4324" s="1" t="s">
        <v>13</v>
      </c>
      <c r="I4324" s="1" t="s">
        <v>13</v>
      </c>
      <c r="J4324" s="1" t="s">
        <v>20</v>
      </c>
      <c r="K4324" s="1">
        <v>0</v>
      </c>
      <c r="L4324" s="1" t="s">
        <v>23</v>
      </c>
      <c r="M4324" s="1" t="str">
        <f t="shared" si="68"/>
        <v>Consistent</v>
      </c>
      <c r="N4324" s="1" t="str">
        <f>_xlfn.XLOOKUP(H4324, risk_score!A:A, risk_score!B:B, 0)</f>
        <v>Low Risk</v>
      </c>
    </row>
    <row r="4325" spans="1:14">
      <c r="A4325" s="2">
        <v>0.55425925925925923</v>
      </c>
      <c r="B4325" s="3">
        <v>44841</v>
      </c>
      <c r="C4325" s="1">
        <v>1362235048</v>
      </c>
      <c r="D4325" s="1">
        <v>5430814136</v>
      </c>
      <c r="E4325" s="1">
        <v>4516.9799999999996</v>
      </c>
      <c r="F4325" s="1" t="s">
        <v>12</v>
      </c>
      <c r="G4325" s="1" t="s">
        <v>12</v>
      </c>
      <c r="H4325" s="1" t="s">
        <v>13</v>
      </c>
      <c r="I4325" s="1" t="s">
        <v>13</v>
      </c>
      <c r="J4325" s="1" t="s">
        <v>20</v>
      </c>
      <c r="K4325" s="1">
        <v>0</v>
      </c>
      <c r="L4325" s="1" t="s">
        <v>21</v>
      </c>
      <c r="M4325" s="1" t="str">
        <f t="shared" si="68"/>
        <v>Consistent</v>
      </c>
      <c r="N4325" s="1" t="str">
        <f>_xlfn.XLOOKUP(H4325, risk_score!A:A, risk_score!B:B, 0)</f>
        <v>Low Risk</v>
      </c>
    </row>
    <row r="4326" spans="1:14">
      <c r="A4326" s="2">
        <v>0.55430555555555561</v>
      </c>
      <c r="B4326" s="3">
        <v>44841</v>
      </c>
      <c r="C4326" s="1">
        <v>7098516318</v>
      </c>
      <c r="D4326" s="1">
        <v>3099657142</v>
      </c>
      <c r="E4326" s="1">
        <v>758.31</v>
      </c>
      <c r="F4326" s="1" t="s">
        <v>12</v>
      </c>
      <c r="G4326" s="1" t="s">
        <v>12</v>
      </c>
      <c r="H4326" s="1" t="s">
        <v>13</v>
      </c>
      <c r="I4326" s="1" t="s">
        <v>13</v>
      </c>
      <c r="J4326" s="1" t="s">
        <v>25</v>
      </c>
      <c r="K4326" s="1">
        <v>0</v>
      </c>
      <c r="L4326" s="1" t="s">
        <v>21</v>
      </c>
      <c r="M4326" s="1" t="str">
        <f t="shared" si="68"/>
        <v>Consistent</v>
      </c>
      <c r="N4326" s="1" t="str">
        <f>_xlfn.XLOOKUP(H4326, risk_score!A:A, risk_score!B:B, 0)</f>
        <v>Low Risk</v>
      </c>
    </row>
    <row r="4327" spans="1:14">
      <c r="A4327" s="2">
        <v>0.55432870370370368</v>
      </c>
      <c r="B4327" s="3">
        <v>44841</v>
      </c>
      <c r="C4327" s="1">
        <v>7669236826</v>
      </c>
      <c r="D4327" s="1">
        <v>3794172311</v>
      </c>
      <c r="E4327" s="1">
        <v>6931.91</v>
      </c>
      <c r="F4327" s="1" t="s">
        <v>12</v>
      </c>
      <c r="G4327" s="1" t="s">
        <v>12</v>
      </c>
      <c r="H4327" s="1" t="s">
        <v>13</v>
      </c>
      <c r="I4327" s="1" t="s">
        <v>13</v>
      </c>
      <c r="J4327" s="1" t="s">
        <v>27</v>
      </c>
      <c r="K4327" s="1">
        <v>0</v>
      </c>
      <c r="L4327" s="1" t="s">
        <v>19</v>
      </c>
      <c r="M4327" s="1" t="str">
        <f t="shared" si="68"/>
        <v>Consistent</v>
      </c>
      <c r="N4327" s="1" t="str">
        <f>_xlfn.XLOOKUP(H4327, risk_score!A:A, risk_score!B:B, 0)</f>
        <v>Low Risk</v>
      </c>
    </row>
    <row r="4328" spans="1:14">
      <c r="A4328" s="2">
        <v>0.55434027777777772</v>
      </c>
      <c r="B4328" s="3">
        <v>44841</v>
      </c>
      <c r="C4328" s="1">
        <v>6086421020</v>
      </c>
      <c r="D4328" s="1">
        <v>8785037379</v>
      </c>
      <c r="E4328" s="1">
        <v>8172.92</v>
      </c>
      <c r="F4328" s="1" t="s">
        <v>12</v>
      </c>
      <c r="G4328" s="1" t="s">
        <v>46</v>
      </c>
      <c r="H4328" s="1" t="s">
        <v>13</v>
      </c>
      <c r="I4328" s="1" t="s">
        <v>13</v>
      </c>
      <c r="J4328" s="1" t="s">
        <v>20</v>
      </c>
      <c r="K4328" s="1">
        <v>0</v>
      </c>
      <c r="L4328" s="1" t="s">
        <v>19</v>
      </c>
      <c r="M4328" s="1" t="str">
        <f t="shared" si="68"/>
        <v>Potential Layering</v>
      </c>
      <c r="N4328" s="1" t="str">
        <f>_xlfn.XLOOKUP(H4328, risk_score!A:A, risk_score!B:B, 0)</f>
        <v>Low Risk</v>
      </c>
    </row>
    <row r="4329" spans="1:14">
      <c r="A4329" s="2">
        <v>0.5543865740740741</v>
      </c>
      <c r="B4329" s="3">
        <v>44841</v>
      </c>
      <c r="C4329" s="1">
        <v>1946099401</v>
      </c>
      <c r="D4329" s="1">
        <v>4476128758</v>
      </c>
      <c r="E4329" s="1">
        <v>6942.55</v>
      </c>
      <c r="F4329" s="1" t="s">
        <v>12</v>
      </c>
      <c r="G4329" s="1" t="s">
        <v>12</v>
      </c>
      <c r="H4329" s="1" t="s">
        <v>13</v>
      </c>
      <c r="I4329" s="1" t="s">
        <v>13</v>
      </c>
      <c r="J4329" s="1" t="s">
        <v>22</v>
      </c>
      <c r="K4329" s="1">
        <v>0</v>
      </c>
      <c r="L4329" s="1" t="s">
        <v>24</v>
      </c>
      <c r="M4329" s="1" t="str">
        <f t="shared" si="68"/>
        <v>Consistent</v>
      </c>
      <c r="N4329" s="1" t="str">
        <f>_xlfn.XLOOKUP(H4329, risk_score!A:A, risk_score!B:B, 0)</f>
        <v>Low Risk</v>
      </c>
    </row>
    <row r="4330" spans="1:14">
      <c r="A4330" s="2">
        <v>0.55439814814814814</v>
      </c>
      <c r="B4330" s="3">
        <v>44841</v>
      </c>
      <c r="C4330" s="1">
        <v>1144646660</v>
      </c>
      <c r="D4330" s="1">
        <v>1493436023</v>
      </c>
      <c r="E4330" s="1">
        <v>5119.37</v>
      </c>
      <c r="F4330" s="1" t="s">
        <v>12</v>
      </c>
      <c r="G4330" s="1" t="s">
        <v>12</v>
      </c>
      <c r="H4330" s="1" t="s">
        <v>13</v>
      </c>
      <c r="I4330" s="1" t="s">
        <v>13</v>
      </c>
      <c r="J4330" s="1" t="s">
        <v>27</v>
      </c>
      <c r="K4330" s="1">
        <v>0</v>
      </c>
      <c r="L4330" s="1" t="s">
        <v>23</v>
      </c>
      <c r="M4330" s="1" t="str">
        <f t="shared" si="68"/>
        <v>Consistent</v>
      </c>
      <c r="N4330" s="1" t="str">
        <f>_xlfn.XLOOKUP(H4330, risk_score!A:A, risk_score!B:B, 0)</f>
        <v>Low Risk</v>
      </c>
    </row>
    <row r="4331" spans="1:14">
      <c r="A4331" s="2">
        <v>0.55443287037037037</v>
      </c>
      <c r="B4331" s="3">
        <v>44841</v>
      </c>
      <c r="C4331" s="1">
        <v>9490679180</v>
      </c>
      <c r="D4331" s="1">
        <v>5103043844</v>
      </c>
      <c r="E4331" s="1">
        <v>6677.55</v>
      </c>
      <c r="F4331" s="1" t="s">
        <v>12</v>
      </c>
      <c r="G4331" s="1" t="s">
        <v>44</v>
      </c>
      <c r="H4331" s="1" t="s">
        <v>13</v>
      </c>
      <c r="I4331" s="1" t="s">
        <v>45</v>
      </c>
      <c r="J4331" s="1" t="s">
        <v>18</v>
      </c>
      <c r="K4331" s="1">
        <v>0</v>
      </c>
      <c r="L4331" s="1" t="s">
        <v>23</v>
      </c>
      <c r="M4331" s="1" t="str">
        <f t="shared" si="68"/>
        <v>Potential Layering</v>
      </c>
      <c r="N4331" s="1" t="str">
        <f>_xlfn.XLOOKUP(H4331, risk_score!A:A, risk_score!B:B, 0)</f>
        <v>Low Risk</v>
      </c>
    </row>
    <row r="4332" spans="1:14">
      <c r="A4332" s="2">
        <v>0.5544675925925926</v>
      </c>
      <c r="B4332" s="3">
        <v>44841</v>
      </c>
      <c r="C4332" s="1">
        <v>6931240373</v>
      </c>
      <c r="D4332" s="1">
        <v>9956011877</v>
      </c>
      <c r="E4332" s="1">
        <v>6446.32</v>
      </c>
      <c r="F4332" s="1" t="s">
        <v>12</v>
      </c>
      <c r="G4332" s="1" t="s">
        <v>12</v>
      </c>
      <c r="H4332" s="1" t="s">
        <v>13</v>
      </c>
      <c r="I4332" s="1" t="s">
        <v>13</v>
      </c>
      <c r="J4332" s="1" t="s">
        <v>25</v>
      </c>
      <c r="K4332" s="1">
        <v>0</v>
      </c>
      <c r="L4332" s="1" t="s">
        <v>21</v>
      </c>
      <c r="M4332" s="1" t="str">
        <f t="shared" si="68"/>
        <v>Consistent</v>
      </c>
      <c r="N4332" s="1" t="str">
        <f>_xlfn.XLOOKUP(H4332, risk_score!A:A, risk_score!B:B, 0)</f>
        <v>Low Risk</v>
      </c>
    </row>
    <row r="4333" spans="1:14">
      <c r="A4333" s="2">
        <v>0.55450231481481482</v>
      </c>
      <c r="B4333" s="3">
        <v>44841</v>
      </c>
      <c r="C4333" s="1">
        <v>7514826833</v>
      </c>
      <c r="D4333" s="1">
        <v>6765057154</v>
      </c>
      <c r="E4333" s="1">
        <v>3201.14</v>
      </c>
      <c r="F4333" s="1" t="s">
        <v>12</v>
      </c>
      <c r="G4333" s="1" t="s">
        <v>12</v>
      </c>
      <c r="H4333" s="1" t="s">
        <v>13</v>
      </c>
      <c r="I4333" s="1" t="s">
        <v>13</v>
      </c>
      <c r="J4333" s="1" t="s">
        <v>27</v>
      </c>
      <c r="K4333" s="1">
        <v>0</v>
      </c>
      <c r="L4333" s="1" t="s">
        <v>21</v>
      </c>
      <c r="M4333" s="1" t="str">
        <f t="shared" si="68"/>
        <v>Consistent</v>
      </c>
      <c r="N4333" s="1" t="str">
        <f>_xlfn.XLOOKUP(H4333, risk_score!A:A, risk_score!B:B, 0)</f>
        <v>Low Risk</v>
      </c>
    </row>
    <row r="4334" spans="1:14">
      <c r="A4334" s="2">
        <v>0.55451388888888886</v>
      </c>
      <c r="B4334" s="3">
        <v>44841</v>
      </c>
      <c r="C4334" s="1">
        <v>4066286754</v>
      </c>
      <c r="D4334" s="1">
        <v>5458350835</v>
      </c>
      <c r="E4334" s="1">
        <v>16484.41</v>
      </c>
      <c r="F4334" s="1" t="s">
        <v>12</v>
      </c>
      <c r="G4334" s="1" t="s">
        <v>12</v>
      </c>
      <c r="H4334" s="1" t="s">
        <v>13</v>
      </c>
      <c r="I4334" s="1" t="s">
        <v>13</v>
      </c>
      <c r="J4334" s="1" t="s">
        <v>25</v>
      </c>
      <c r="K4334" s="1">
        <v>0</v>
      </c>
      <c r="L4334" s="1" t="s">
        <v>49</v>
      </c>
      <c r="M4334" s="1" t="str">
        <f t="shared" si="68"/>
        <v>Consistent</v>
      </c>
      <c r="N4334" s="1" t="str">
        <f>_xlfn.XLOOKUP(H4334, risk_score!A:A, risk_score!B:B, 0)</f>
        <v>Low Risk</v>
      </c>
    </row>
    <row r="4335" spans="1:14">
      <c r="A4335" s="2">
        <v>0.55460648148148151</v>
      </c>
      <c r="B4335" s="3">
        <v>44841</v>
      </c>
      <c r="C4335" s="1">
        <v>2457069376</v>
      </c>
      <c r="D4335" s="1">
        <v>8673917867</v>
      </c>
      <c r="E4335" s="1">
        <v>7726</v>
      </c>
      <c r="F4335" s="1" t="s">
        <v>12</v>
      </c>
      <c r="G4335" s="1" t="s">
        <v>12</v>
      </c>
      <c r="H4335" s="1" t="s">
        <v>13</v>
      </c>
      <c r="I4335" s="1" t="s">
        <v>13</v>
      </c>
      <c r="J4335" s="1" t="s">
        <v>25</v>
      </c>
      <c r="K4335" s="1">
        <v>0</v>
      </c>
      <c r="L4335" s="1" t="s">
        <v>23</v>
      </c>
      <c r="M4335" s="1" t="str">
        <f t="shared" si="68"/>
        <v>Consistent</v>
      </c>
      <c r="N4335" s="1" t="str">
        <f>_xlfn.XLOOKUP(H4335, risk_score!A:A, risk_score!B:B, 0)</f>
        <v>Low Risk</v>
      </c>
    </row>
    <row r="4336" spans="1:14">
      <c r="A4336" s="2">
        <v>0.55472222222222223</v>
      </c>
      <c r="B4336" s="3">
        <v>44841</v>
      </c>
      <c r="C4336" s="1">
        <v>1915450576</v>
      </c>
      <c r="D4336" s="1">
        <v>5510366236</v>
      </c>
      <c r="E4336" s="1">
        <v>6163.01</v>
      </c>
      <c r="F4336" s="1" t="s">
        <v>12</v>
      </c>
      <c r="G4336" s="1" t="s">
        <v>12</v>
      </c>
      <c r="H4336" s="1" t="s">
        <v>13</v>
      </c>
      <c r="I4336" s="1" t="s">
        <v>13</v>
      </c>
      <c r="J4336" s="1" t="s">
        <v>20</v>
      </c>
      <c r="K4336" s="1">
        <v>0</v>
      </c>
      <c r="L4336" s="1" t="s">
        <v>19</v>
      </c>
      <c r="M4336" s="1" t="str">
        <f t="shared" si="68"/>
        <v>Consistent</v>
      </c>
      <c r="N4336" s="1" t="str">
        <f>_xlfn.XLOOKUP(H4336, risk_score!A:A, risk_score!B:B, 0)</f>
        <v>Low Risk</v>
      </c>
    </row>
    <row r="4337" spans="1:14">
      <c r="A4337" s="2">
        <v>0.55476851851851849</v>
      </c>
      <c r="B4337" s="3">
        <v>44841</v>
      </c>
      <c r="C4337" s="1">
        <v>8227645417</v>
      </c>
      <c r="D4337" s="1">
        <v>4619386412</v>
      </c>
      <c r="E4337" s="1">
        <v>955.29</v>
      </c>
      <c r="F4337" s="1" t="s">
        <v>12</v>
      </c>
      <c r="G4337" s="1" t="s">
        <v>12</v>
      </c>
      <c r="H4337" s="1" t="s">
        <v>13</v>
      </c>
      <c r="I4337" s="1" t="s">
        <v>13</v>
      </c>
      <c r="J4337" s="1" t="s">
        <v>14</v>
      </c>
      <c r="K4337" s="1">
        <v>0</v>
      </c>
      <c r="L4337" s="1" t="s">
        <v>15</v>
      </c>
      <c r="M4337" s="1" t="str">
        <f t="shared" si="68"/>
        <v>Consistent</v>
      </c>
      <c r="N4337" s="1" t="str">
        <f>_xlfn.XLOOKUP(H4337, risk_score!A:A, risk_score!B:B, 0)</f>
        <v>Low Risk</v>
      </c>
    </row>
    <row r="4338" spans="1:14">
      <c r="A4338" s="2">
        <v>0.55478009259259264</v>
      </c>
      <c r="B4338" s="3">
        <v>44841</v>
      </c>
      <c r="C4338" s="1">
        <v>8456279067</v>
      </c>
      <c r="D4338" s="1">
        <v>330109509</v>
      </c>
      <c r="E4338" s="1">
        <v>11336.2</v>
      </c>
      <c r="F4338" s="1" t="s">
        <v>12</v>
      </c>
      <c r="G4338" s="1" t="s">
        <v>12</v>
      </c>
      <c r="H4338" s="1" t="s">
        <v>13</v>
      </c>
      <c r="I4338" s="1" t="s">
        <v>13</v>
      </c>
      <c r="J4338" s="1" t="s">
        <v>22</v>
      </c>
      <c r="K4338" s="1">
        <v>0</v>
      </c>
      <c r="L4338" s="1" t="s">
        <v>19</v>
      </c>
      <c r="M4338" s="1" t="str">
        <f t="shared" si="68"/>
        <v>Consistent</v>
      </c>
      <c r="N4338" s="1" t="str">
        <f>_xlfn.XLOOKUP(H4338, risk_score!A:A, risk_score!B:B, 0)</f>
        <v>Low Risk</v>
      </c>
    </row>
    <row r="4339" spans="1:14">
      <c r="A4339" s="2">
        <v>0.55481481481481476</v>
      </c>
      <c r="B4339" s="3">
        <v>44841</v>
      </c>
      <c r="C4339" s="1">
        <v>6086421020</v>
      </c>
      <c r="D4339" s="1">
        <v>3504466346</v>
      </c>
      <c r="E4339" s="1">
        <v>18974.990000000002</v>
      </c>
      <c r="F4339" s="1" t="s">
        <v>12</v>
      </c>
      <c r="G4339" s="1" t="s">
        <v>12</v>
      </c>
      <c r="H4339" s="1" t="s">
        <v>13</v>
      </c>
      <c r="I4339" s="1" t="s">
        <v>13</v>
      </c>
      <c r="J4339" s="1" t="s">
        <v>20</v>
      </c>
      <c r="K4339" s="1">
        <v>0</v>
      </c>
      <c r="L4339" s="1" t="s">
        <v>19</v>
      </c>
      <c r="M4339" s="1" t="str">
        <f t="shared" si="68"/>
        <v>Consistent</v>
      </c>
      <c r="N4339" s="1" t="str">
        <f>_xlfn.XLOOKUP(H4339, risk_score!A:A, risk_score!B:B, 0)</f>
        <v>Low Risk</v>
      </c>
    </row>
    <row r="4340" spans="1:14">
      <c r="A4340" s="2">
        <v>0.55489583333333337</v>
      </c>
      <c r="B4340" s="3">
        <v>44841</v>
      </c>
      <c r="C4340" s="1">
        <v>9369454215</v>
      </c>
      <c r="D4340" s="1">
        <v>5363422485</v>
      </c>
      <c r="E4340" s="1">
        <v>5396.38</v>
      </c>
      <c r="F4340" s="1" t="s">
        <v>12</v>
      </c>
      <c r="G4340" s="1" t="s">
        <v>12</v>
      </c>
      <c r="H4340" s="1" t="s">
        <v>13</v>
      </c>
      <c r="I4340" s="1" t="s">
        <v>13</v>
      </c>
      <c r="J4340" s="1" t="s">
        <v>25</v>
      </c>
      <c r="K4340" s="1">
        <v>0</v>
      </c>
      <c r="L4340" s="1" t="s">
        <v>38</v>
      </c>
      <c r="M4340" s="1" t="str">
        <f t="shared" si="68"/>
        <v>Consistent</v>
      </c>
      <c r="N4340" s="1" t="str">
        <f>_xlfn.XLOOKUP(H4340, risk_score!A:A, risk_score!B:B, 0)</f>
        <v>Low Risk</v>
      </c>
    </row>
    <row r="4341" spans="1:14">
      <c r="A4341" s="2">
        <v>0.5549074074074074</v>
      </c>
      <c r="B4341" s="3">
        <v>44841</v>
      </c>
      <c r="C4341" s="1">
        <v>2429113631</v>
      </c>
      <c r="D4341" s="1">
        <v>1999439811</v>
      </c>
      <c r="E4341" s="1">
        <v>3532.71</v>
      </c>
      <c r="F4341" s="1" t="s">
        <v>12</v>
      </c>
      <c r="G4341" s="1" t="s">
        <v>12</v>
      </c>
      <c r="H4341" s="1" t="s">
        <v>13</v>
      </c>
      <c r="I4341" s="1" t="s">
        <v>13</v>
      </c>
      <c r="J4341" s="1" t="s">
        <v>27</v>
      </c>
      <c r="K4341" s="1">
        <v>0</v>
      </c>
      <c r="L4341" s="1" t="s">
        <v>21</v>
      </c>
      <c r="M4341" s="1" t="str">
        <f t="shared" si="68"/>
        <v>Consistent</v>
      </c>
      <c r="N4341" s="1" t="str">
        <f>_xlfn.XLOOKUP(H4341, risk_score!A:A, risk_score!B:B, 0)</f>
        <v>Low Risk</v>
      </c>
    </row>
    <row r="4342" spans="1:14">
      <c r="A4342" s="2">
        <v>0.5549074074074074</v>
      </c>
      <c r="B4342" s="3">
        <v>44841</v>
      </c>
      <c r="C4342" s="1">
        <v>6079362225</v>
      </c>
      <c r="D4342" s="1">
        <v>4387080639</v>
      </c>
      <c r="E4342" s="1">
        <v>301.24</v>
      </c>
      <c r="F4342" s="1" t="s">
        <v>12</v>
      </c>
      <c r="G4342" s="1" t="s">
        <v>46</v>
      </c>
      <c r="H4342" s="1" t="s">
        <v>13</v>
      </c>
      <c r="I4342" s="1" t="s">
        <v>47</v>
      </c>
      <c r="J4342" s="1" t="s">
        <v>18</v>
      </c>
      <c r="K4342" s="1">
        <v>0</v>
      </c>
      <c r="L4342" s="1" t="s">
        <v>21</v>
      </c>
      <c r="M4342" s="1" t="str">
        <f t="shared" si="68"/>
        <v>Potential Layering</v>
      </c>
      <c r="N4342" s="1" t="str">
        <f>_xlfn.XLOOKUP(H4342, risk_score!A:A, risk_score!B:B, 0)</f>
        <v>Low Risk</v>
      </c>
    </row>
    <row r="4343" spans="1:14">
      <c r="A4343" s="2">
        <v>0.55493055555555559</v>
      </c>
      <c r="B4343" s="3">
        <v>44841</v>
      </c>
      <c r="C4343" s="1">
        <v>5626821295</v>
      </c>
      <c r="D4343" s="1">
        <v>7448956318</v>
      </c>
      <c r="E4343" s="1">
        <v>2608.5100000000002</v>
      </c>
      <c r="F4343" s="1" t="s">
        <v>12</v>
      </c>
      <c r="G4343" s="1" t="s">
        <v>12</v>
      </c>
      <c r="H4343" s="1" t="s">
        <v>13</v>
      </c>
      <c r="I4343" s="1" t="s">
        <v>13</v>
      </c>
      <c r="J4343" s="1" t="s">
        <v>20</v>
      </c>
      <c r="K4343" s="1">
        <v>0</v>
      </c>
      <c r="L4343" s="1" t="s">
        <v>21</v>
      </c>
      <c r="M4343" s="1" t="str">
        <f t="shared" si="68"/>
        <v>Consistent</v>
      </c>
      <c r="N4343" s="1" t="str">
        <f>_xlfn.XLOOKUP(H4343, risk_score!A:A, risk_score!B:B, 0)</f>
        <v>Low Risk</v>
      </c>
    </row>
    <row r="4344" spans="1:14">
      <c r="A4344" s="2">
        <v>0.55494212962962963</v>
      </c>
      <c r="B4344" s="3">
        <v>44841</v>
      </c>
      <c r="C4344" s="1">
        <v>2921862078</v>
      </c>
      <c r="D4344" s="1">
        <v>5708936901</v>
      </c>
      <c r="E4344" s="1">
        <v>9554.92</v>
      </c>
      <c r="F4344" s="1" t="s">
        <v>12</v>
      </c>
      <c r="G4344" s="1" t="s">
        <v>12</v>
      </c>
      <c r="H4344" s="1" t="s">
        <v>13</v>
      </c>
      <c r="I4344" s="1" t="s">
        <v>13</v>
      </c>
      <c r="J4344" s="1" t="s">
        <v>22</v>
      </c>
      <c r="K4344" s="1">
        <v>0</v>
      </c>
      <c r="L4344" s="1" t="s">
        <v>23</v>
      </c>
      <c r="M4344" s="1" t="str">
        <f t="shared" si="68"/>
        <v>Consistent</v>
      </c>
      <c r="N4344" s="1" t="str">
        <f>_xlfn.XLOOKUP(H4344, risk_score!A:A, risk_score!B:B, 0)</f>
        <v>Low Risk</v>
      </c>
    </row>
    <row r="4345" spans="1:14">
      <c r="A4345" s="2">
        <v>0.5549884259259259</v>
      </c>
      <c r="B4345" s="3">
        <v>44841</v>
      </c>
      <c r="C4345" s="1">
        <v>1165784720</v>
      </c>
      <c r="D4345" s="1">
        <v>3856054042</v>
      </c>
      <c r="E4345" s="1">
        <v>2609.7600000000002</v>
      </c>
      <c r="F4345" s="1" t="s">
        <v>12</v>
      </c>
      <c r="G4345" s="1" t="s">
        <v>12</v>
      </c>
      <c r="H4345" s="1" t="s">
        <v>13</v>
      </c>
      <c r="I4345" s="1" t="s">
        <v>13</v>
      </c>
      <c r="J4345" s="1" t="s">
        <v>20</v>
      </c>
      <c r="K4345" s="1">
        <v>0</v>
      </c>
      <c r="L4345" s="1" t="s">
        <v>21</v>
      </c>
      <c r="M4345" s="1" t="str">
        <f t="shared" si="68"/>
        <v>Consistent</v>
      </c>
      <c r="N4345" s="1" t="str">
        <f>_xlfn.XLOOKUP(H4345, risk_score!A:A, risk_score!B:B, 0)</f>
        <v>Low Risk</v>
      </c>
    </row>
    <row r="4346" spans="1:14">
      <c r="A4346" s="2">
        <v>0.55500000000000005</v>
      </c>
      <c r="B4346" s="3">
        <v>44841</v>
      </c>
      <c r="C4346" s="1">
        <v>8991293649</v>
      </c>
      <c r="D4346" s="1">
        <v>2471329283</v>
      </c>
      <c r="E4346" s="1">
        <v>2001.74</v>
      </c>
      <c r="F4346" s="1" t="s">
        <v>12</v>
      </c>
      <c r="G4346" s="1" t="s">
        <v>12</v>
      </c>
      <c r="H4346" s="1" t="s">
        <v>13</v>
      </c>
      <c r="I4346" s="1" t="s">
        <v>13</v>
      </c>
      <c r="J4346" s="1" t="s">
        <v>25</v>
      </c>
      <c r="K4346" s="1">
        <v>0</v>
      </c>
      <c r="L4346" s="1" t="s">
        <v>21</v>
      </c>
      <c r="M4346" s="1" t="str">
        <f t="shared" si="68"/>
        <v>Consistent</v>
      </c>
      <c r="N4346" s="1" t="str">
        <f>_xlfn.XLOOKUP(H4346, risk_score!A:A, risk_score!B:B, 0)</f>
        <v>Low Risk</v>
      </c>
    </row>
    <row r="4347" spans="1:14">
      <c r="A4347" s="2">
        <v>0.55503472222222228</v>
      </c>
      <c r="B4347" s="3">
        <v>44841</v>
      </c>
      <c r="C4347" s="1">
        <v>7009395557</v>
      </c>
      <c r="D4347" s="1">
        <v>6640484435</v>
      </c>
      <c r="E4347" s="1">
        <v>19887.990000000002</v>
      </c>
      <c r="F4347" s="1" t="s">
        <v>12</v>
      </c>
      <c r="G4347" s="1" t="s">
        <v>12</v>
      </c>
      <c r="H4347" s="1" t="s">
        <v>13</v>
      </c>
      <c r="I4347" s="1" t="s">
        <v>13</v>
      </c>
      <c r="J4347" s="1" t="s">
        <v>25</v>
      </c>
      <c r="K4347" s="1">
        <v>0</v>
      </c>
      <c r="L4347" s="1" t="s">
        <v>21</v>
      </c>
      <c r="M4347" s="1" t="str">
        <f t="shared" si="68"/>
        <v>Consistent</v>
      </c>
      <c r="N4347" s="1" t="str">
        <f>_xlfn.XLOOKUP(H4347, risk_score!A:A, risk_score!B:B, 0)</f>
        <v>Low Risk</v>
      </c>
    </row>
    <row r="4348" spans="1:14">
      <c r="A4348" s="2">
        <v>0.55509259259259258</v>
      </c>
      <c r="B4348" s="3">
        <v>44841</v>
      </c>
      <c r="C4348" s="1">
        <v>8147726877</v>
      </c>
      <c r="D4348" s="1">
        <v>6646502650</v>
      </c>
      <c r="E4348" s="1">
        <v>11913.22</v>
      </c>
      <c r="F4348" s="1" t="s">
        <v>12</v>
      </c>
      <c r="G4348" s="1" t="s">
        <v>29</v>
      </c>
      <c r="H4348" s="1" t="s">
        <v>13</v>
      </c>
      <c r="I4348" s="1" t="s">
        <v>31</v>
      </c>
      <c r="J4348" s="1" t="s">
        <v>18</v>
      </c>
      <c r="K4348" s="1">
        <v>0</v>
      </c>
      <c r="L4348" s="1" t="s">
        <v>23</v>
      </c>
      <c r="M4348" s="1" t="str">
        <f t="shared" si="68"/>
        <v>Potential Layering</v>
      </c>
      <c r="N4348" s="1" t="str">
        <f>_xlfn.XLOOKUP(H4348, risk_score!A:A, risk_score!B:B, 0)</f>
        <v>Low Risk</v>
      </c>
    </row>
    <row r="4349" spans="1:14">
      <c r="A4349" s="2">
        <v>0.55509259259259258</v>
      </c>
      <c r="B4349" s="3">
        <v>44841</v>
      </c>
      <c r="C4349" s="1">
        <v>8480050564</v>
      </c>
      <c r="D4349" s="1">
        <v>936919634</v>
      </c>
      <c r="E4349" s="1">
        <v>4816.33</v>
      </c>
      <c r="F4349" s="1" t="s">
        <v>12</v>
      </c>
      <c r="G4349" s="1" t="s">
        <v>12</v>
      </c>
      <c r="H4349" s="1" t="s">
        <v>13</v>
      </c>
      <c r="I4349" s="1" t="s">
        <v>13</v>
      </c>
      <c r="J4349" s="1" t="s">
        <v>22</v>
      </c>
      <c r="K4349" s="1">
        <v>0</v>
      </c>
      <c r="L4349" s="1" t="s">
        <v>24</v>
      </c>
      <c r="M4349" s="1" t="str">
        <f t="shared" si="68"/>
        <v>Consistent</v>
      </c>
      <c r="N4349" s="1" t="str">
        <f>_xlfn.XLOOKUP(H4349, risk_score!A:A, risk_score!B:B, 0)</f>
        <v>Low Risk</v>
      </c>
    </row>
    <row r="4350" spans="1:14">
      <c r="A4350" s="2">
        <v>0.55511574074074077</v>
      </c>
      <c r="B4350" s="3">
        <v>44841</v>
      </c>
      <c r="C4350" s="1">
        <v>809625447</v>
      </c>
      <c r="D4350" s="1">
        <v>8359209144</v>
      </c>
      <c r="E4350" s="1">
        <v>3433.41</v>
      </c>
      <c r="F4350" s="1" t="s">
        <v>12</v>
      </c>
      <c r="G4350" s="1" t="s">
        <v>12</v>
      </c>
      <c r="H4350" s="1" t="s">
        <v>13</v>
      </c>
      <c r="I4350" s="1" t="s">
        <v>13</v>
      </c>
      <c r="J4350" s="1" t="s">
        <v>20</v>
      </c>
      <c r="K4350" s="1">
        <v>0</v>
      </c>
      <c r="L4350" s="1" t="s">
        <v>21</v>
      </c>
      <c r="M4350" s="1" t="str">
        <f t="shared" si="68"/>
        <v>Consistent</v>
      </c>
      <c r="N4350" s="1" t="str">
        <f>_xlfn.XLOOKUP(H4350, risk_score!A:A, risk_score!B:B, 0)</f>
        <v>Low Risk</v>
      </c>
    </row>
    <row r="4351" spans="1:14">
      <c r="A4351" s="2">
        <v>0.555150462962963</v>
      </c>
      <c r="B4351" s="3">
        <v>44841</v>
      </c>
      <c r="C4351" s="1">
        <v>2304397444</v>
      </c>
      <c r="D4351" s="1">
        <v>1439240302</v>
      </c>
      <c r="E4351" s="1">
        <v>4184.79</v>
      </c>
      <c r="F4351" s="1" t="s">
        <v>12</v>
      </c>
      <c r="G4351" s="1" t="s">
        <v>12</v>
      </c>
      <c r="H4351" s="1" t="s">
        <v>13</v>
      </c>
      <c r="I4351" s="1" t="s">
        <v>13</v>
      </c>
      <c r="J4351" s="1" t="s">
        <v>27</v>
      </c>
      <c r="K4351" s="1">
        <v>0</v>
      </c>
      <c r="L4351" s="1" t="s">
        <v>24</v>
      </c>
      <c r="M4351" s="1" t="str">
        <f t="shared" ref="M4351:M4414" si="69">IF(F4351=G4351, "Consistent", "Potential Layering")</f>
        <v>Consistent</v>
      </c>
      <c r="N4351" s="1" t="str">
        <f>_xlfn.XLOOKUP(H4351, risk_score!A:A, risk_score!B:B, 0)</f>
        <v>Low Risk</v>
      </c>
    </row>
    <row r="4352" spans="1:14">
      <c r="A4352" s="2">
        <v>0.55516203703703704</v>
      </c>
      <c r="B4352" s="3">
        <v>44841</v>
      </c>
      <c r="C4352" s="1">
        <v>1915450576</v>
      </c>
      <c r="D4352" s="1">
        <v>7468510228</v>
      </c>
      <c r="E4352" s="1">
        <v>5283.97</v>
      </c>
      <c r="F4352" s="1" t="s">
        <v>12</v>
      </c>
      <c r="G4352" s="1" t="s">
        <v>12</v>
      </c>
      <c r="H4352" s="1" t="s">
        <v>13</v>
      </c>
      <c r="I4352" s="1" t="s">
        <v>13</v>
      </c>
      <c r="J4352" s="1" t="s">
        <v>22</v>
      </c>
      <c r="K4352" s="1">
        <v>0</v>
      </c>
      <c r="L4352" s="1" t="s">
        <v>19</v>
      </c>
      <c r="M4352" s="1" t="str">
        <f t="shared" si="69"/>
        <v>Consistent</v>
      </c>
      <c r="N4352" s="1" t="str">
        <f>_xlfn.XLOOKUP(H4352, risk_score!A:A, risk_score!B:B, 0)</f>
        <v>Low Risk</v>
      </c>
    </row>
    <row r="4353" spans="1:14">
      <c r="A4353" s="2">
        <v>0.55517361111111108</v>
      </c>
      <c r="B4353" s="3">
        <v>44841</v>
      </c>
      <c r="C4353" s="1">
        <v>5567131898</v>
      </c>
      <c r="D4353" s="1">
        <v>7840186482</v>
      </c>
      <c r="E4353" s="1">
        <v>7966.64</v>
      </c>
      <c r="F4353" s="1" t="s">
        <v>12</v>
      </c>
      <c r="G4353" s="1" t="s">
        <v>12</v>
      </c>
      <c r="H4353" s="1" t="s">
        <v>13</v>
      </c>
      <c r="I4353" s="1" t="s">
        <v>13</v>
      </c>
      <c r="J4353" s="1" t="s">
        <v>27</v>
      </c>
      <c r="K4353" s="1">
        <v>0</v>
      </c>
      <c r="L4353" s="1" t="s">
        <v>21</v>
      </c>
      <c r="M4353" s="1" t="str">
        <f t="shared" si="69"/>
        <v>Consistent</v>
      </c>
      <c r="N4353" s="1" t="str">
        <f>_xlfn.XLOOKUP(H4353, risk_score!A:A, risk_score!B:B, 0)</f>
        <v>Low Risk</v>
      </c>
    </row>
    <row r="4354" spans="1:14">
      <c r="A4354" s="2">
        <v>0.55519675925925926</v>
      </c>
      <c r="B4354" s="3">
        <v>44841</v>
      </c>
      <c r="C4354" s="1">
        <v>6354136969</v>
      </c>
      <c r="D4354" s="1">
        <v>7080357663</v>
      </c>
      <c r="E4354" s="1">
        <v>20010.759999999998</v>
      </c>
      <c r="F4354" s="1" t="s">
        <v>12</v>
      </c>
      <c r="G4354" s="1" t="s">
        <v>12</v>
      </c>
      <c r="H4354" s="1" t="s">
        <v>13</v>
      </c>
      <c r="I4354" s="1" t="s">
        <v>13</v>
      </c>
      <c r="J4354" s="1" t="s">
        <v>27</v>
      </c>
      <c r="K4354" s="1">
        <v>0</v>
      </c>
      <c r="L4354" s="1" t="s">
        <v>23</v>
      </c>
      <c r="M4354" s="1" t="str">
        <f t="shared" si="69"/>
        <v>Consistent</v>
      </c>
      <c r="N4354" s="1" t="str">
        <f>_xlfn.XLOOKUP(H4354, risk_score!A:A, risk_score!B:B, 0)</f>
        <v>Low Risk</v>
      </c>
    </row>
    <row r="4355" spans="1:14">
      <c r="A4355" s="2">
        <v>0.55523148148148149</v>
      </c>
      <c r="B4355" s="3">
        <v>44841</v>
      </c>
      <c r="C4355" s="1">
        <v>3938922629</v>
      </c>
      <c r="D4355" s="1">
        <v>395839630</v>
      </c>
      <c r="E4355" s="1">
        <v>3934.28</v>
      </c>
      <c r="F4355" s="1" t="s">
        <v>12</v>
      </c>
      <c r="G4355" s="1" t="s">
        <v>29</v>
      </c>
      <c r="H4355" s="1" t="s">
        <v>13</v>
      </c>
      <c r="I4355" s="1" t="s">
        <v>54</v>
      </c>
      <c r="J4355" s="1" t="s">
        <v>18</v>
      </c>
      <c r="K4355" s="1">
        <v>0</v>
      </c>
      <c r="L4355" s="1" t="s">
        <v>21</v>
      </c>
      <c r="M4355" s="1" t="str">
        <f t="shared" si="69"/>
        <v>Potential Layering</v>
      </c>
      <c r="N4355" s="1" t="str">
        <f>_xlfn.XLOOKUP(H4355, risk_score!A:A, risk_score!B:B, 0)</f>
        <v>Low Risk</v>
      </c>
    </row>
    <row r="4356" spans="1:14">
      <c r="A4356" s="2">
        <v>0.55524305555555553</v>
      </c>
      <c r="B4356" s="3">
        <v>44841</v>
      </c>
      <c r="C4356" s="1">
        <v>4957552805</v>
      </c>
      <c r="D4356" s="1">
        <v>1377603863</v>
      </c>
      <c r="E4356" s="1">
        <v>5229.6099999999997</v>
      </c>
      <c r="F4356" s="1" t="s">
        <v>12</v>
      </c>
      <c r="G4356" s="1" t="s">
        <v>12</v>
      </c>
      <c r="H4356" s="1" t="s">
        <v>13</v>
      </c>
      <c r="I4356" s="1" t="s">
        <v>13</v>
      </c>
      <c r="J4356" s="1" t="s">
        <v>20</v>
      </c>
      <c r="K4356" s="1">
        <v>0</v>
      </c>
      <c r="L4356" s="1" t="s">
        <v>23</v>
      </c>
      <c r="M4356" s="1" t="str">
        <f t="shared" si="69"/>
        <v>Consistent</v>
      </c>
      <c r="N4356" s="1" t="str">
        <f>_xlfn.XLOOKUP(H4356, risk_score!A:A, risk_score!B:B, 0)</f>
        <v>Low Risk</v>
      </c>
    </row>
    <row r="4357" spans="1:14">
      <c r="A4357" s="2">
        <v>0.55525462962962968</v>
      </c>
      <c r="B4357" s="3">
        <v>44841</v>
      </c>
      <c r="C4357" s="1">
        <v>8203229522</v>
      </c>
      <c r="D4357" s="1">
        <v>5254058209</v>
      </c>
      <c r="E4357" s="1">
        <v>4400.5</v>
      </c>
      <c r="F4357" s="1" t="s">
        <v>12</v>
      </c>
      <c r="G4357" s="1" t="s">
        <v>16</v>
      </c>
      <c r="H4357" s="1" t="s">
        <v>13</v>
      </c>
      <c r="I4357" s="1" t="s">
        <v>17</v>
      </c>
      <c r="J4357" s="1" t="s">
        <v>18</v>
      </c>
      <c r="K4357" s="1">
        <v>0</v>
      </c>
      <c r="L4357" s="1" t="s">
        <v>19</v>
      </c>
      <c r="M4357" s="1" t="str">
        <f t="shared" si="69"/>
        <v>Potential Layering</v>
      </c>
      <c r="N4357" s="1" t="str">
        <f>_xlfn.XLOOKUP(H4357, risk_score!A:A, risk_score!B:B, 0)</f>
        <v>Low Risk</v>
      </c>
    </row>
    <row r="4358" spans="1:14">
      <c r="A4358" s="2">
        <v>0.55527777777777776</v>
      </c>
      <c r="B4358" s="3">
        <v>44841</v>
      </c>
      <c r="C4358" s="1">
        <v>6904668523</v>
      </c>
      <c r="D4358" s="1">
        <v>6960206116</v>
      </c>
      <c r="E4358" s="1">
        <v>22676.98</v>
      </c>
      <c r="F4358" s="1" t="s">
        <v>12</v>
      </c>
      <c r="G4358" s="1" t="s">
        <v>12</v>
      </c>
      <c r="H4358" s="1" t="s">
        <v>13</v>
      </c>
      <c r="I4358" s="1" t="s">
        <v>13</v>
      </c>
      <c r="J4358" s="1" t="s">
        <v>22</v>
      </c>
      <c r="K4358" s="1">
        <v>0</v>
      </c>
      <c r="L4358" s="1" t="s">
        <v>19</v>
      </c>
      <c r="M4358" s="1" t="str">
        <f t="shared" si="69"/>
        <v>Consistent</v>
      </c>
      <c r="N4358" s="1" t="str">
        <f>_xlfn.XLOOKUP(H4358, risk_score!A:A, risk_score!B:B, 0)</f>
        <v>Low Risk</v>
      </c>
    </row>
    <row r="4359" spans="1:14">
      <c r="A4359" s="2">
        <v>0.5552893518518518</v>
      </c>
      <c r="B4359" s="3">
        <v>44841</v>
      </c>
      <c r="C4359" s="1">
        <v>511037666</v>
      </c>
      <c r="D4359" s="1">
        <v>8678802420</v>
      </c>
      <c r="E4359" s="1">
        <v>8556.68</v>
      </c>
      <c r="F4359" s="1" t="s">
        <v>12</v>
      </c>
      <c r="G4359" s="1" t="s">
        <v>12</v>
      </c>
      <c r="H4359" s="1" t="s">
        <v>13</v>
      </c>
      <c r="I4359" s="1" t="s">
        <v>13</v>
      </c>
      <c r="J4359" s="1" t="s">
        <v>20</v>
      </c>
      <c r="K4359" s="1">
        <v>0</v>
      </c>
      <c r="L4359" s="1" t="s">
        <v>23</v>
      </c>
      <c r="M4359" s="1" t="str">
        <f t="shared" si="69"/>
        <v>Consistent</v>
      </c>
      <c r="N4359" s="1" t="str">
        <f>_xlfn.XLOOKUP(H4359, risk_score!A:A, risk_score!B:B, 0)</f>
        <v>Low Risk</v>
      </c>
    </row>
    <row r="4360" spans="1:14">
      <c r="A4360" s="2">
        <v>0.55533564814814818</v>
      </c>
      <c r="B4360" s="3">
        <v>44841</v>
      </c>
      <c r="C4360" s="1">
        <v>6916264887</v>
      </c>
      <c r="D4360" s="1">
        <v>6953672776</v>
      </c>
      <c r="E4360" s="1">
        <v>6717.73</v>
      </c>
      <c r="F4360" s="1" t="s">
        <v>12</v>
      </c>
      <c r="G4360" s="1" t="s">
        <v>34</v>
      </c>
      <c r="H4360" s="1" t="s">
        <v>13</v>
      </c>
      <c r="I4360" s="1" t="s">
        <v>35</v>
      </c>
      <c r="J4360" s="1" t="s">
        <v>18</v>
      </c>
      <c r="K4360" s="1">
        <v>0</v>
      </c>
      <c r="L4360" s="1" t="s">
        <v>23</v>
      </c>
      <c r="M4360" s="1" t="str">
        <f t="shared" si="69"/>
        <v>Potential Layering</v>
      </c>
      <c r="N4360" s="1" t="str">
        <f>_xlfn.XLOOKUP(H4360, risk_score!A:A, risk_score!B:B, 0)</f>
        <v>Low Risk</v>
      </c>
    </row>
    <row r="4361" spans="1:14">
      <c r="A4361" s="2">
        <v>0.55533564814814818</v>
      </c>
      <c r="B4361" s="3">
        <v>44841</v>
      </c>
      <c r="C4361" s="1">
        <v>7548422007</v>
      </c>
      <c r="D4361" s="1">
        <v>4270865741</v>
      </c>
      <c r="E4361" s="1">
        <v>7592.07</v>
      </c>
      <c r="F4361" s="1" t="s">
        <v>12</v>
      </c>
      <c r="G4361" s="1" t="s">
        <v>12</v>
      </c>
      <c r="H4361" s="1" t="s">
        <v>13</v>
      </c>
      <c r="I4361" s="1" t="s">
        <v>13</v>
      </c>
      <c r="J4361" s="1" t="s">
        <v>25</v>
      </c>
      <c r="K4361" s="1">
        <v>0</v>
      </c>
      <c r="L4361" s="1" t="s">
        <v>23</v>
      </c>
      <c r="M4361" s="1" t="str">
        <f t="shared" si="69"/>
        <v>Consistent</v>
      </c>
      <c r="N4361" s="1" t="str">
        <f>_xlfn.XLOOKUP(H4361, risk_score!A:A, risk_score!B:B, 0)</f>
        <v>Low Risk</v>
      </c>
    </row>
    <row r="4362" spans="1:14">
      <c r="A4362" s="2">
        <v>0.55534722222222221</v>
      </c>
      <c r="B4362" s="3">
        <v>44841</v>
      </c>
      <c r="C4362" s="1">
        <v>9975059059</v>
      </c>
      <c r="D4362" s="1">
        <v>7160736915</v>
      </c>
      <c r="E4362" s="1">
        <v>6653.34</v>
      </c>
      <c r="F4362" s="1" t="s">
        <v>12</v>
      </c>
      <c r="G4362" s="1" t="s">
        <v>12</v>
      </c>
      <c r="H4362" s="1" t="s">
        <v>13</v>
      </c>
      <c r="I4362" s="1" t="s">
        <v>13</v>
      </c>
      <c r="J4362" s="1" t="s">
        <v>27</v>
      </c>
      <c r="K4362" s="1">
        <v>0</v>
      </c>
      <c r="L4362" s="1" t="s">
        <v>23</v>
      </c>
      <c r="M4362" s="1" t="str">
        <f t="shared" si="69"/>
        <v>Consistent</v>
      </c>
      <c r="N4362" s="1" t="str">
        <f>_xlfn.XLOOKUP(H4362, risk_score!A:A, risk_score!B:B, 0)</f>
        <v>Low Risk</v>
      </c>
    </row>
    <row r="4363" spans="1:14">
      <c r="A4363" s="2">
        <v>0.55534722222222221</v>
      </c>
      <c r="B4363" s="3">
        <v>44841</v>
      </c>
      <c r="C4363" s="1">
        <v>1424693007</v>
      </c>
      <c r="D4363" s="1">
        <v>6735598947</v>
      </c>
      <c r="E4363" s="1">
        <v>11556.03</v>
      </c>
      <c r="F4363" s="1" t="s">
        <v>12</v>
      </c>
      <c r="G4363" s="1" t="s">
        <v>12</v>
      </c>
      <c r="H4363" s="1" t="s">
        <v>13</v>
      </c>
      <c r="I4363" s="1" t="s">
        <v>13</v>
      </c>
      <c r="J4363" s="1" t="s">
        <v>27</v>
      </c>
      <c r="K4363" s="1">
        <v>0</v>
      </c>
      <c r="L4363" s="1" t="s">
        <v>24</v>
      </c>
      <c r="M4363" s="1" t="str">
        <f t="shared" si="69"/>
        <v>Consistent</v>
      </c>
      <c r="N4363" s="1" t="str">
        <f>_xlfn.XLOOKUP(H4363, risk_score!A:A, risk_score!B:B, 0)</f>
        <v>Low Risk</v>
      </c>
    </row>
    <row r="4364" spans="1:14">
      <c r="A4364" s="2">
        <v>0.55535879629629625</v>
      </c>
      <c r="B4364" s="3">
        <v>44841</v>
      </c>
      <c r="C4364" s="1">
        <v>2365007895</v>
      </c>
      <c r="D4364" s="1">
        <v>4301159904</v>
      </c>
      <c r="E4364" s="1">
        <v>5605.61</v>
      </c>
      <c r="F4364" s="1" t="s">
        <v>12</v>
      </c>
      <c r="G4364" s="1" t="s">
        <v>12</v>
      </c>
      <c r="H4364" s="1" t="s">
        <v>13</v>
      </c>
      <c r="I4364" s="1" t="s">
        <v>13</v>
      </c>
      <c r="J4364" s="1" t="s">
        <v>22</v>
      </c>
      <c r="K4364" s="1">
        <v>0</v>
      </c>
      <c r="L4364" s="1" t="s">
        <v>19</v>
      </c>
      <c r="M4364" s="1" t="str">
        <f t="shared" si="69"/>
        <v>Consistent</v>
      </c>
      <c r="N4364" s="1" t="str">
        <f>_xlfn.XLOOKUP(H4364, risk_score!A:A, risk_score!B:B, 0)</f>
        <v>Low Risk</v>
      </c>
    </row>
    <row r="4365" spans="1:14">
      <c r="A4365" s="2">
        <v>0.5553703703703704</v>
      </c>
      <c r="B4365" s="3">
        <v>44841</v>
      </c>
      <c r="C4365" s="1">
        <v>8164143401</v>
      </c>
      <c r="D4365" s="1">
        <v>3605744818</v>
      </c>
      <c r="E4365" s="1">
        <v>4353.7</v>
      </c>
      <c r="F4365" s="1" t="s">
        <v>12</v>
      </c>
      <c r="G4365" s="1" t="s">
        <v>12</v>
      </c>
      <c r="H4365" s="1" t="s">
        <v>13</v>
      </c>
      <c r="I4365" s="1" t="s">
        <v>13</v>
      </c>
      <c r="J4365" s="1" t="s">
        <v>22</v>
      </c>
      <c r="K4365" s="1">
        <v>0</v>
      </c>
      <c r="L4365" s="1" t="s">
        <v>21</v>
      </c>
      <c r="M4365" s="1" t="str">
        <f t="shared" si="69"/>
        <v>Consistent</v>
      </c>
      <c r="N4365" s="1" t="str">
        <f>_xlfn.XLOOKUP(H4365, risk_score!A:A, risk_score!B:B, 0)</f>
        <v>Low Risk</v>
      </c>
    </row>
    <row r="4366" spans="1:14">
      <c r="A4366" s="2">
        <v>0.55540509259259263</v>
      </c>
      <c r="B4366" s="3">
        <v>44841</v>
      </c>
      <c r="C4366" s="1">
        <v>2749172169</v>
      </c>
      <c r="D4366" s="1">
        <v>241741047</v>
      </c>
      <c r="E4366" s="1">
        <v>1199.9000000000001</v>
      </c>
      <c r="F4366" s="1" t="s">
        <v>12</v>
      </c>
      <c r="G4366" s="1" t="s">
        <v>12</v>
      </c>
      <c r="H4366" s="1" t="s">
        <v>13</v>
      </c>
      <c r="I4366" s="1" t="s">
        <v>13</v>
      </c>
      <c r="J4366" s="1" t="s">
        <v>25</v>
      </c>
      <c r="K4366" s="1">
        <v>0</v>
      </c>
      <c r="L4366" s="1" t="s">
        <v>21</v>
      </c>
      <c r="M4366" s="1" t="str">
        <f t="shared" si="69"/>
        <v>Consistent</v>
      </c>
      <c r="N4366" s="1" t="str">
        <f>_xlfn.XLOOKUP(H4366, risk_score!A:A, risk_score!B:B, 0)</f>
        <v>Low Risk</v>
      </c>
    </row>
    <row r="4367" spans="1:14">
      <c r="A4367" s="2">
        <v>0.55540509259259263</v>
      </c>
      <c r="B4367" s="3">
        <v>44841</v>
      </c>
      <c r="C4367" s="1">
        <v>6906471181</v>
      </c>
      <c r="D4367" s="1">
        <v>6693082933</v>
      </c>
      <c r="E4367" s="1">
        <v>845.47</v>
      </c>
      <c r="F4367" s="1" t="s">
        <v>12</v>
      </c>
      <c r="G4367" s="1" t="s">
        <v>12</v>
      </c>
      <c r="H4367" s="1" t="s">
        <v>13</v>
      </c>
      <c r="I4367" s="1" t="s">
        <v>13</v>
      </c>
      <c r="J4367" s="1" t="s">
        <v>22</v>
      </c>
      <c r="K4367" s="1">
        <v>0</v>
      </c>
      <c r="L4367" s="1" t="s">
        <v>21</v>
      </c>
      <c r="M4367" s="1" t="str">
        <f t="shared" si="69"/>
        <v>Consistent</v>
      </c>
      <c r="N4367" s="1" t="str">
        <f>_xlfn.XLOOKUP(H4367, risk_score!A:A, risk_score!B:B, 0)</f>
        <v>Low Risk</v>
      </c>
    </row>
    <row r="4368" spans="1:14">
      <c r="A4368" s="2">
        <v>0.55540509259259263</v>
      </c>
      <c r="B4368" s="3">
        <v>44841</v>
      </c>
      <c r="C4368" s="1">
        <v>1074859180</v>
      </c>
      <c r="D4368" s="1">
        <v>5363117119</v>
      </c>
      <c r="E4368" s="1">
        <v>17445.84</v>
      </c>
      <c r="F4368" s="1" t="s">
        <v>12</v>
      </c>
      <c r="G4368" s="1" t="s">
        <v>12</v>
      </c>
      <c r="H4368" s="1" t="s">
        <v>13</v>
      </c>
      <c r="I4368" s="1" t="s">
        <v>13</v>
      </c>
      <c r="J4368" s="1" t="s">
        <v>20</v>
      </c>
      <c r="K4368" s="1">
        <v>0</v>
      </c>
      <c r="L4368" s="1" t="s">
        <v>23</v>
      </c>
      <c r="M4368" s="1" t="str">
        <f t="shared" si="69"/>
        <v>Consistent</v>
      </c>
      <c r="N4368" s="1" t="str">
        <f>_xlfn.XLOOKUP(H4368, risk_score!A:A, risk_score!B:B, 0)</f>
        <v>Low Risk</v>
      </c>
    </row>
    <row r="4369" spans="1:14">
      <c r="A4369" s="2">
        <v>0.55540509259259263</v>
      </c>
      <c r="B4369" s="3">
        <v>44841</v>
      </c>
      <c r="C4369" s="1">
        <v>3709430533</v>
      </c>
      <c r="D4369" s="1">
        <v>7543250720</v>
      </c>
      <c r="E4369" s="1">
        <v>6905.02</v>
      </c>
      <c r="F4369" s="1" t="s">
        <v>12</v>
      </c>
      <c r="G4369" s="1" t="s">
        <v>12</v>
      </c>
      <c r="H4369" s="1" t="s">
        <v>13</v>
      </c>
      <c r="I4369" s="1" t="s">
        <v>13</v>
      </c>
      <c r="J4369" s="1" t="s">
        <v>22</v>
      </c>
      <c r="K4369" s="1">
        <v>0</v>
      </c>
      <c r="L4369" s="1" t="s">
        <v>19</v>
      </c>
      <c r="M4369" s="1" t="str">
        <f t="shared" si="69"/>
        <v>Consistent</v>
      </c>
      <c r="N4369" s="1" t="str">
        <f>_xlfn.XLOOKUP(H4369, risk_score!A:A, risk_score!B:B, 0)</f>
        <v>Low Risk</v>
      </c>
    </row>
    <row r="4370" spans="1:14">
      <c r="A4370" s="2">
        <v>0.55542824074074071</v>
      </c>
      <c r="B4370" s="3">
        <v>44841</v>
      </c>
      <c r="C4370" s="1">
        <v>3807409081</v>
      </c>
      <c r="D4370" s="1">
        <v>7602737497</v>
      </c>
      <c r="E4370" s="1">
        <v>2177.39</v>
      </c>
      <c r="F4370" s="1" t="s">
        <v>12</v>
      </c>
      <c r="G4370" s="1" t="s">
        <v>12</v>
      </c>
      <c r="H4370" s="1" t="s">
        <v>13</v>
      </c>
      <c r="I4370" s="1" t="s">
        <v>13</v>
      </c>
      <c r="J4370" s="1" t="s">
        <v>27</v>
      </c>
      <c r="K4370" s="1">
        <v>0</v>
      </c>
      <c r="L4370" s="1" t="s">
        <v>21</v>
      </c>
      <c r="M4370" s="1" t="str">
        <f t="shared" si="69"/>
        <v>Consistent</v>
      </c>
      <c r="N4370" s="1" t="str">
        <f>_xlfn.XLOOKUP(H4370, risk_score!A:A, risk_score!B:B, 0)</f>
        <v>Low Risk</v>
      </c>
    </row>
    <row r="4371" spans="1:14">
      <c r="A4371" s="2">
        <v>0.55542824074074071</v>
      </c>
      <c r="B4371" s="3">
        <v>44841</v>
      </c>
      <c r="C4371" s="1">
        <v>9522916824</v>
      </c>
      <c r="D4371" s="1">
        <v>4370991235</v>
      </c>
      <c r="E4371" s="1">
        <v>709.91</v>
      </c>
      <c r="F4371" s="1" t="s">
        <v>12</v>
      </c>
      <c r="G4371" s="1" t="s">
        <v>12</v>
      </c>
      <c r="H4371" s="1" t="s">
        <v>13</v>
      </c>
      <c r="I4371" s="1" t="s">
        <v>13</v>
      </c>
      <c r="J4371" s="1" t="s">
        <v>25</v>
      </c>
      <c r="K4371" s="1">
        <v>0</v>
      </c>
      <c r="L4371" s="1" t="s">
        <v>21</v>
      </c>
      <c r="M4371" s="1" t="str">
        <f t="shared" si="69"/>
        <v>Consistent</v>
      </c>
      <c r="N4371" s="1" t="str">
        <f>_xlfn.XLOOKUP(H4371, risk_score!A:A, risk_score!B:B, 0)</f>
        <v>Low Risk</v>
      </c>
    </row>
    <row r="4372" spans="1:14">
      <c r="A4372" s="2">
        <v>0.55542824074074071</v>
      </c>
      <c r="B4372" s="3">
        <v>44841</v>
      </c>
      <c r="C4372" s="1">
        <v>5836104021</v>
      </c>
      <c r="D4372" s="1">
        <v>1316458123</v>
      </c>
      <c r="E4372" s="1">
        <v>29732.59</v>
      </c>
      <c r="F4372" s="1" t="s">
        <v>51</v>
      </c>
      <c r="G4372" s="1" t="s">
        <v>34</v>
      </c>
      <c r="H4372" s="1" t="s">
        <v>13</v>
      </c>
      <c r="I4372" s="1" t="s">
        <v>35</v>
      </c>
      <c r="J4372" s="1" t="s">
        <v>18</v>
      </c>
      <c r="K4372" s="1">
        <v>0</v>
      </c>
      <c r="L4372" s="1" t="s">
        <v>23</v>
      </c>
      <c r="M4372" s="1" t="str">
        <f t="shared" si="69"/>
        <v>Potential Layering</v>
      </c>
      <c r="N4372" s="1" t="str">
        <f>_xlfn.XLOOKUP(H4372, risk_score!A:A, risk_score!B:B, 0)</f>
        <v>Low Risk</v>
      </c>
    </row>
    <row r="4373" spans="1:14">
      <c r="A4373" s="2">
        <v>0.55549768518518516</v>
      </c>
      <c r="B4373" s="3">
        <v>44841</v>
      </c>
      <c r="C4373" s="1">
        <v>3452368468</v>
      </c>
      <c r="D4373" s="1">
        <v>4536194683</v>
      </c>
      <c r="E4373" s="1">
        <v>11318.01</v>
      </c>
      <c r="F4373" s="1" t="s">
        <v>12</v>
      </c>
      <c r="G4373" s="1" t="s">
        <v>12</v>
      </c>
      <c r="H4373" s="1" t="s">
        <v>13</v>
      </c>
      <c r="I4373" s="1" t="s">
        <v>13</v>
      </c>
      <c r="J4373" s="1" t="s">
        <v>22</v>
      </c>
      <c r="K4373" s="1">
        <v>0</v>
      </c>
      <c r="L4373" s="1" t="s">
        <v>19</v>
      </c>
      <c r="M4373" s="1" t="str">
        <f t="shared" si="69"/>
        <v>Consistent</v>
      </c>
      <c r="N4373" s="1" t="str">
        <f>_xlfn.XLOOKUP(H4373, risk_score!A:A, risk_score!B:B, 0)</f>
        <v>Low Risk</v>
      </c>
    </row>
    <row r="4374" spans="1:14">
      <c r="A4374" s="2">
        <v>0.55550925925925931</v>
      </c>
      <c r="B4374" s="3">
        <v>44841</v>
      </c>
      <c r="C4374" s="1">
        <v>1915450576</v>
      </c>
      <c r="D4374" s="1">
        <v>9391166135</v>
      </c>
      <c r="E4374" s="1">
        <v>17762.37</v>
      </c>
      <c r="F4374" s="1" t="s">
        <v>12</v>
      </c>
      <c r="G4374" s="1" t="s">
        <v>12</v>
      </c>
      <c r="H4374" s="1" t="s">
        <v>13</v>
      </c>
      <c r="I4374" s="1" t="s">
        <v>13</v>
      </c>
      <c r="J4374" s="1" t="s">
        <v>20</v>
      </c>
      <c r="K4374" s="1">
        <v>0</v>
      </c>
      <c r="L4374" s="1" t="s">
        <v>19</v>
      </c>
      <c r="M4374" s="1" t="str">
        <f t="shared" si="69"/>
        <v>Consistent</v>
      </c>
      <c r="N4374" s="1" t="str">
        <f>_xlfn.XLOOKUP(H4374, risk_score!A:A, risk_score!B:B, 0)</f>
        <v>Low Risk</v>
      </c>
    </row>
    <row r="4375" spans="1:14">
      <c r="A4375" s="2">
        <v>0.55550925925925931</v>
      </c>
      <c r="B4375" s="3">
        <v>44841</v>
      </c>
      <c r="C4375" s="1">
        <v>5601568252</v>
      </c>
      <c r="D4375" s="1">
        <v>6444220418</v>
      </c>
      <c r="E4375" s="1">
        <v>9161.65</v>
      </c>
      <c r="F4375" s="1" t="s">
        <v>12</v>
      </c>
      <c r="G4375" s="1" t="s">
        <v>12</v>
      </c>
      <c r="H4375" s="1" t="s">
        <v>13</v>
      </c>
      <c r="I4375" s="1" t="s">
        <v>13</v>
      </c>
      <c r="J4375" s="1" t="s">
        <v>20</v>
      </c>
      <c r="K4375" s="1">
        <v>0</v>
      </c>
      <c r="L4375" s="1" t="s">
        <v>23</v>
      </c>
      <c r="M4375" s="1" t="str">
        <f t="shared" si="69"/>
        <v>Consistent</v>
      </c>
      <c r="N4375" s="1" t="str">
        <f>_xlfn.XLOOKUP(H4375, risk_score!A:A, risk_score!B:B, 0)</f>
        <v>Low Risk</v>
      </c>
    </row>
    <row r="4376" spans="1:14">
      <c r="A4376" s="2">
        <v>0.55554398148148143</v>
      </c>
      <c r="B4376" s="3">
        <v>44841</v>
      </c>
      <c r="C4376" s="1">
        <v>6153457836</v>
      </c>
      <c r="D4376" s="1">
        <v>4270902712</v>
      </c>
      <c r="E4376" s="1">
        <v>6033.98</v>
      </c>
      <c r="F4376" s="1" t="s">
        <v>12</v>
      </c>
      <c r="G4376" s="1" t="s">
        <v>12</v>
      </c>
      <c r="H4376" s="1" t="s">
        <v>13</v>
      </c>
      <c r="I4376" s="1" t="s">
        <v>13</v>
      </c>
      <c r="J4376" s="1" t="s">
        <v>27</v>
      </c>
      <c r="K4376" s="1">
        <v>0</v>
      </c>
      <c r="L4376" s="1" t="s">
        <v>41</v>
      </c>
      <c r="M4376" s="1" t="str">
        <f t="shared" si="69"/>
        <v>Consistent</v>
      </c>
      <c r="N4376" s="1" t="str">
        <f>_xlfn.XLOOKUP(H4376, risk_score!A:A, risk_score!B:B, 0)</f>
        <v>Low Risk</v>
      </c>
    </row>
    <row r="4377" spans="1:14">
      <c r="A4377" s="2">
        <v>0.55554398148148143</v>
      </c>
      <c r="B4377" s="3">
        <v>44841</v>
      </c>
      <c r="C4377" s="1">
        <v>6541552727</v>
      </c>
      <c r="D4377" s="1">
        <v>475649742</v>
      </c>
      <c r="E4377" s="1">
        <v>6515.57</v>
      </c>
      <c r="F4377" s="1" t="s">
        <v>12</v>
      </c>
      <c r="G4377" s="1" t="s">
        <v>12</v>
      </c>
      <c r="H4377" s="1" t="s">
        <v>13</v>
      </c>
      <c r="I4377" s="1" t="s">
        <v>13</v>
      </c>
      <c r="J4377" s="1" t="s">
        <v>27</v>
      </c>
      <c r="K4377" s="1">
        <v>0</v>
      </c>
      <c r="L4377" s="1" t="s">
        <v>19</v>
      </c>
      <c r="M4377" s="1" t="str">
        <f t="shared" si="69"/>
        <v>Consistent</v>
      </c>
      <c r="N4377" s="1" t="str">
        <f>_xlfn.XLOOKUP(H4377, risk_score!A:A, risk_score!B:B, 0)</f>
        <v>Low Risk</v>
      </c>
    </row>
    <row r="4378" spans="1:14">
      <c r="A4378" s="2">
        <v>0.55555555555555558</v>
      </c>
      <c r="B4378" s="3">
        <v>44841</v>
      </c>
      <c r="C4378" s="1">
        <v>1378784400</v>
      </c>
      <c r="D4378" s="1">
        <v>3466246214</v>
      </c>
      <c r="E4378" s="1">
        <v>7338.89</v>
      </c>
      <c r="F4378" s="1" t="s">
        <v>12</v>
      </c>
      <c r="G4378" s="1" t="s">
        <v>28</v>
      </c>
      <c r="H4378" s="1" t="s">
        <v>13</v>
      </c>
      <c r="I4378" s="1" t="s">
        <v>57</v>
      </c>
      <c r="J4378" s="1" t="s">
        <v>18</v>
      </c>
      <c r="K4378" s="1">
        <v>0</v>
      </c>
      <c r="L4378" s="1" t="s">
        <v>19</v>
      </c>
      <c r="M4378" s="1" t="str">
        <f t="shared" si="69"/>
        <v>Potential Layering</v>
      </c>
      <c r="N4378" s="1" t="str">
        <f>_xlfn.XLOOKUP(H4378, risk_score!A:A, risk_score!B:B, 0)</f>
        <v>Low Risk</v>
      </c>
    </row>
    <row r="4379" spans="1:14">
      <c r="A4379" s="2">
        <v>0.55555555555555558</v>
      </c>
      <c r="B4379" s="3">
        <v>44841</v>
      </c>
      <c r="C4379" s="1">
        <v>2561938455</v>
      </c>
      <c r="D4379" s="1">
        <v>6855935396</v>
      </c>
      <c r="E4379" s="1">
        <v>15074.46</v>
      </c>
      <c r="F4379" s="1" t="s">
        <v>12</v>
      </c>
      <c r="G4379" s="1" t="s">
        <v>12</v>
      </c>
      <c r="H4379" s="1" t="s">
        <v>13</v>
      </c>
      <c r="I4379" s="1" t="s">
        <v>13</v>
      </c>
      <c r="J4379" s="1" t="s">
        <v>22</v>
      </c>
      <c r="K4379" s="1">
        <v>0</v>
      </c>
      <c r="L4379" s="1" t="s">
        <v>23</v>
      </c>
      <c r="M4379" s="1" t="str">
        <f t="shared" si="69"/>
        <v>Consistent</v>
      </c>
      <c r="N4379" s="1" t="str">
        <f>_xlfn.XLOOKUP(H4379, risk_score!A:A, risk_score!B:B, 0)</f>
        <v>Low Risk</v>
      </c>
    </row>
    <row r="4380" spans="1:14">
      <c r="A4380" s="2">
        <v>0.55556712962962962</v>
      </c>
      <c r="B4380" s="3">
        <v>44841</v>
      </c>
      <c r="C4380" s="1">
        <v>971196785</v>
      </c>
      <c r="D4380" s="1">
        <v>1431561040</v>
      </c>
      <c r="E4380" s="1">
        <v>22677.33</v>
      </c>
      <c r="F4380" s="1" t="s">
        <v>12</v>
      </c>
      <c r="G4380" s="1" t="s">
        <v>12</v>
      </c>
      <c r="H4380" s="1" t="s">
        <v>13</v>
      </c>
      <c r="I4380" s="1" t="s">
        <v>13</v>
      </c>
      <c r="J4380" s="1" t="s">
        <v>22</v>
      </c>
      <c r="K4380" s="1">
        <v>0</v>
      </c>
      <c r="L4380" s="1" t="s">
        <v>23</v>
      </c>
      <c r="M4380" s="1" t="str">
        <f t="shared" si="69"/>
        <v>Consistent</v>
      </c>
      <c r="N4380" s="1" t="str">
        <f>_xlfn.XLOOKUP(H4380, risk_score!A:A, risk_score!B:B, 0)</f>
        <v>Low Risk</v>
      </c>
    </row>
    <row r="4381" spans="1:14">
      <c r="A4381" s="2">
        <v>0.55559027777777781</v>
      </c>
      <c r="B4381" s="3">
        <v>44841</v>
      </c>
      <c r="C4381" s="1">
        <v>8456279067</v>
      </c>
      <c r="D4381" s="1">
        <v>5441570240</v>
      </c>
      <c r="E4381" s="1">
        <v>7633.06</v>
      </c>
      <c r="F4381" s="1" t="s">
        <v>12</v>
      </c>
      <c r="G4381" s="1" t="s">
        <v>12</v>
      </c>
      <c r="H4381" s="1" t="s">
        <v>13</v>
      </c>
      <c r="I4381" s="1" t="s">
        <v>13</v>
      </c>
      <c r="J4381" s="1" t="s">
        <v>22</v>
      </c>
      <c r="K4381" s="1">
        <v>0</v>
      </c>
      <c r="L4381" s="1" t="s">
        <v>21</v>
      </c>
      <c r="M4381" s="1" t="str">
        <f t="shared" si="69"/>
        <v>Consistent</v>
      </c>
      <c r="N4381" s="1" t="str">
        <f>_xlfn.XLOOKUP(H4381, risk_score!A:A, risk_score!B:B, 0)</f>
        <v>Low Risk</v>
      </c>
    </row>
    <row r="4382" spans="1:14">
      <c r="A4382" s="2">
        <v>0.55559027777777781</v>
      </c>
      <c r="B4382" s="3">
        <v>44841</v>
      </c>
      <c r="C4382" s="1">
        <v>6115478776</v>
      </c>
      <c r="D4382" s="1">
        <v>8518184956</v>
      </c>
      <c r="E4382" s="1">
        <v>22619.759999999998</v>
      </c>
      <c r="F4382" s="1" t="s">
        <v>12</v>
      </c>
      <c r="G4382" s="1" t="s">
        <v>12</v>
      </c>
      <c r="H4382" s="1" t="s">
        <v>13</v>
      </c>
      <c r="I4382" s="1" t="s">
        <v>13</v>
      </c>
      <c r="J4382" s="1" t="s">
        <v>25</v>
      </c>
      <c r="K4382" s="1">
        <v>0</v>
      </c>
      <c r="L4382" s="1" t="s">
        <v>23</v>
      </c>
      <c r="M4382" s="1" t="str">
        <f t="shared" si="69"/>
        <v>Consistent</v>
      </c>
      <c r="N4382" s="1" t="str">
        <f>_xlfn.XLOOKUP(H4382, risk_score!A:A, risk_score!B:B, 0)</f>
        <v>Low Risk</v>
      </c>
    </row>
    <row r="4383" spans="1:14">
      <c r="A4383" s="2">
        <v>0.55562500000000004</v>
      </c>
      <c r="B4383" s="3">
        <v>44841</v>
      </c>
      <c r="C4383" s="1">
        <v>9876938535</v>
      </c>
      <c r="D4383" s="1">
        <v>6706856471</v>
      </c>
      <c r="E4383" s="1">
        <v>1407.47</v>
      </c>
      <c r="F4383" s="1" t="s">
        <v>12</v>
      </c>
      <c r="G4383" s="1" t="s">
        <v>12</v>
      </c>
      <c r="H4383" s="1" t="s">
        <v>13</v>
      </c>
      <c r="I4383" s="1" t="s">
        <v>13</v>
      </c>
      <c r="J4383" s="1" t="s">
        <v>20</v>
      </c>
      <c r="K4383" s="1">
        <v>0</v>
      </c>
      <c r="L4383" s="1" t="s">
        <v>21</v>
      </c>
      <c r="M4383" s="1" t="str">
        <f t="shared" si="69"/>
        <v>Consistent</v>
      </c>
      <c r="N4383" s="1" t="str">
        <f>_xlfn.XLOOKUP(H4383, risk_score!A:A, risk_score!B:B, 0)</f>
        <v>Low Risk</v>
      </c>
    </row>
    <row r="4384" spans="1:14">
      <c r="A4384" s="2">
        <v>0.55564814814814811</v>
      </c>
      <c r="B4384" s="3">
        <v>44841</v>
      </c>
      <c r="C4384" s="1">
        <v>5348495305</v>
      </c>
      <c r="D4384" s="1">
        <v>6767915368</v>
      </c>
      <c r="E4384" s="1">
        <v>1759.28</v>
      </c>
      <c r="F4384" s="1" t="s">
        <v>12</v>
      </c>
      <c r="G4384" s="1" t="s">
        <v>12</v>
      </c>
      <c r="H4384" s="1" t="s">
        <v>13</v>
      </c>
      <c r="I4384" s="1" t="s">
        <v>13</v>
      </c>
      <c r="J4384" s="1" t="s">
        <v>27</v>
      </c>
      <c r="K4384" s="1">
        <v>0</v>
      </c>
      <c r="L4384" s="1" t="s">
        <v>21</v>
      </c>
      <c r="M4384" s="1" t="str">
        <f t="shared" si="69"/>
        <v>Consistent</v>
      </c>
      <c r="N4384" s="1" t="str">
        <f>_xlfn.XLOOKUP(H4384, risk_score!A:A, risk_score!B:B, 0)</f>
        <v>Low Risk</v>
      </c>
    </row>
    <row r="4385" spans="1:14">
      <c r="A4385" s="2">
        <v>0.55569444444444449</v>
      </c>
      <c r="B4385" s="3">
        <v>44841</v>
      </c>
      <c r="C4385" s="1">
        <v>2527694082</v>
      </c>
      <c r="D4385" s="1">
        <v>273465992</v>
      </c>
      <c r="E4385" s="1">
        <v>689.39</v>
      </c>
      <c r="F4385" s="1" t="s">
        <v>12</v>
      </c>
      <c r="G4385" s="1" t="s">
        <v>12</v>
      </c>
      <c r="H4385" s="1" t="s">
        <v>13</v>
      </c>
      <c r="I4385" s="1" t="s">
        <v>13</v>
      </c>
      <c r="J4385" s="1" t="s">
        <v>20</v>
      </c>
      <c r="K4385" s="1">
        <v>0</v>
      </c>
      <c r="L4385" s="1" t="s">
        <v>21</v>
      </c>
      <c r="M4385" s="1" t="str">
        <f t="shared" si="69"/>
        <v>Consistent</v>
      </c>
      <c r="N4385" s="1" t="str">
        <f>_xlfn.XLOOKUP(H4385, risk_score!A:A, risk_score!B:B, 0)</f>
        <v>Low Risk</v>
      </c>
    </row>
    <row r="4386" spans="1:14">
      <c r="A4386" s="2">
        <v>0.55569444444444449</v>
      </c>
      <c r="B4386" s="3">
        <v>44841</v>
      </c>
      <c r="C4386" s="1">
        <v>8868768215</v>
      </c>
      <c r="D4386" s="1">
        <v>7532110654</v>
      </c>
      <c r="E4386" s="1">
        <v>2246.98</v>
      </c>
      <c r="F4386" s="1" t="s">
        <v>12</v>
      </c>
      <c r="G4386" s="1" t="s">
        <v>12</v>
      </c>
      <c r="H4386" s="1" t="s">
        <v>13</v>
      </c>
      <c r="I4386" s="1" t="s">
        <v>13</v>
      </c>
      <c r="J4386" s="1" t="s">
        <v>25</v>
      </c>
      <c r="K4386" s="1">
        <v>0</v>
      </c>
      <c r="L4386" s="1" t="s">
        <v>24</v>
      </c>
      <c r="M4386" s="1" t="str">
        <f t="shared" si="69"/>
        <v>Consistent</v>
      </c>
      <c r="N4386" s="1" t="str">
        <f>_xlfn.XLOOKUP(H4386, risk_score!A:A, risk_score!B:B, 0)</f>
        <v>Low Risk</v>
      </c>
    </row>
    <row r="4387" spans="1:14">
      <c r="A4387" s="2">
        <v>0.55570601851851853</v>
      </c>
      <c r="B4387" s="3">
        <v>44841</v>
      </c>
      <c r="C4387" s="1">
        <v>3443340463</v>
      </c>
      <c r="D4387" s="1">
        <v>553781253</v>
      </c>
      <c r="E4387" s="1">
        <v>1715.52</v>
      </c>
      <c r="F4387" s="1" t="s">
        <v>12</v>
      </c>
      <c r="G4387" s="1" t="s">
        <v>12</v>
      </c>
      <c r="H4387" s="1" t="s">
        <v>13</v>
      </c>
      <c r="I4387" s="1" t="s">
        <v>13</v>
      </c>
      <c r="J4387" s="1" t="s">
        <v>20</v>
      </c>
      <c r="K4387" s="1">
        <v>0</v>
      </c>
      <c r="L4387" s="1" t="s">
        <v>24</v>
      </c>
      <c r="M4387" s="1" t="str">
        <f t="shared" si="69"/>
        <v>Consistent</v>
      </c>
      <c r="N4387" s="1" t="str">
        <f>_xlfn.XLOOKUP(H4387, risk_score!A:A, risk_score!B:B, 0)</f>
        <v>Low Risk</v>
      </c>
    </row>
    <row r="4388" spans="1:14">
      <c r="A4388" s="2">
        <v>0.55570601851851853</v>
      </c>
      <c r="B4388" s="3">
        <v>44841</v>
      </c>
      <c r="C4388" s="1">
        <v>1179981989</v>
      </c>
      <c r="D4388" s="1">
        <v>3699045829</v>
      </c>
      <c r="E4388" s="1">
        <v>2367.29</v>
      </c>
      <c r="F4388" s="1" t="s">
        <v>12</v>
      </c>
      <c r="G4388" s="1" t="s">
        <v>12</v>
      </c>
      <c r="H4388" s="1" t="s">
        <v>13</v>
      </c>
      <c r="I4388" s="1" t="s">
        <v>13</v>
      </c>
      <c r="J4388" s="1" t="s">
        <v>25</v>
      </c>
      <c r="K4388" s="1">
        <v>0</v>
      </c>
      <c r="L4388" s="1" t="s">
        <v>24</v>
      </c>
      <c r="M4388" s="1" t="str">
        <f t="shared" si="69"/>
        <v>Consistent</v>
      </c>
      <c r="N4388" s="1" t="str">
        <f>_xlfn.XLOOKUP(H4388, risk_score!A:A, risk_score!B:B, 0)</f>
        <v>Low Risk</v>
      </c>
    </row>
    <row r="4389" spans="1:14">
      <c r="A4389" s="2">
        <v>0.55571759259259257</v>
      </c>
      <c r="B4389" s="3">
        <v>44841</v>
      </c>
      <c r="C4389" s="1">
        <v>3510078932</v>
      </c>
      <c r="D4389" s="1">
        <v>1861324833</v>
      </c>
      <c r="E4389" s="1">
        <v>4451.33</v>
      </c>
      <c r="F4389" s="1" t="s">
        <v>12</v>
      </c>
      <c r="G4389" s="1" t="s">
        <v>12</v>
      </c>
      <c r="H4389" s="1" t="s">
        <v>13</v>
      </c>
      <c r="I4389" s="1" t="s">
        <v>13</v>
      </c>
      <c r="J4389" s="1" t="s">
        <v>25</v>
      </c>
      <c r="K4389" s="1">
        <v>0</v>
      </c>
      <c r="L4389" s="1" t="s">
        <v>19</v>
      </c>
      <c r="M4389" s="1" t="str">
        <f t="shared" si="69"/>
        <v>Consistent</v>
      </c>
      <c r="N4389" s="1" t="str">
        <f>_xlfn.XLOOKUP(H4389, risk_score!A:A, risk_score!B:B, 0)</f>
        <v>Low Risk</v>
      </c>
    </row>
    <row r="4390" spans="1:14">
      <c r="A4390" s="2">
        <v>0.55574074074074076</v>
      </c>
      <c r="B4390" s="3">
        <v>44841</v>
      </c>
      <c r="C4390" s="1">
        <v>6032005546</v>
      </c>
      <c r="D4390" s="1">
        <v>6444220418</v>
      </c>
      <c r="E4390" s="1">
        <v>20451.21</v>
      </c>
      <c r="F4390" s="1" t="s">
        <v>12</v>
      </c>
      <c r="G4390" s="1" t="s">
        <v>12</v>
      </c>
      <c r="H4390" s="1" t="s">
        <v>13</v>
      </c>
      <c r="I4390" s="1" t="s">
        <v>13</v>
      </c>
      <c r="J4390" s="1" t="s">
        <v>27</v>
      </c>
      <c r="K4390" s="1">
        <v>0</v>
      </c>
      <c r="L4390" s="1" t="s">
        <v>23</v>
      </c>
      <c r="M4390" s="1" t="str">
        <f t="shared" si="69"/>
        <v>Consistent</v>
      </c>
      <c r="N4390" s="1" t="str">
        <f>_xlfn.XLOOKUP(H4390, risk_score!A:A, risk_score!B:B, 0)</f>
        <v>Low Risk</v>
      </c>
    </row>
    <row r="4391" spans="1:14">
      <c r="A4391" s="2">
        <v>0.55581018518518521</v>
      </c>
      <c r="B4391" s="3">
        <v>44841</v>
      </c>
      <c r="C4391" s="1">
        <v>9055543964</v>
      </c>
      <c r="D4391" s="1">
        <v>7435623435</v>
      </c>
      <c r="E4391" s="1">
        <v>4849.38</v>
      </c>
      <c r="F4391" s="1" t="s">
        <v>12</v>
      </c>
      <c r="G4391" s="1" t="s">
        <v>12</v>
      </c>
      <c r="H4391" s="1" t="s">
        <v>13</v>
      </c>
      <c r="I4391" s="1" t="s">
        <v>13</v>
      </c>
      <c r="J4391" s="1" t="s">
        <v>22</v>
      </c>
      <c r="K4391" s="1">
        <v>0</v>
      </c>
      <c r="L4391" s="1" t="s">
        <v>21</v>
      </c>
      <c r="M4391" s="1" t="str">
        <f t="shared" si="69"/>
        <v>Consistent</v>
      </c>
      <c r="N4391" s="1" t="str">
        <f>_xlfn.XLOOKUP(H4391, risk_score!A:A, risk_score!B:B, 0)</f>
        <v>Low Risk</v>
      </c>
    </row>
    <row r="4392" spans="1:14">
      <c r="A4392" s="2">
        <v>0.55587962962962967</v>
      </c>
      <c r="B4392" s="3">
        <v>44841</v>
      </c>
      <c r="C4392" s="1">
        <v>8768198399</v>
      </c>
      <c r="D4392" s="1">
        <v>9105769228</v>
      </c>
      <c r="E4392" s="1">
        <v>13158.79</v>
      </c>
      <c r="F4392" s="1" t="s">
        <v>12</v>
      </c>
      <c r="G4392" s="1" t="s">
        <v>12</v>
      </c>
      <c r="H4392" s="1" t="s">
        <v>13</v>
      </c>
      <c r="I4392" s="1" t="s">
        <v>13</v>
      </c>
      <c r="J4392" s="1" t="s">
        <v>20</v>
      </c>
      <c r="K4392" s="1">
        <v>0</v>
      </c>
      <c r="L4392" s="1" t="s">
        <v>23</v>
      </c>
      <c r="M4392" s="1" t="str">
        <f t="shared" si="69"/>
        <v>Consistent</v>
      </c>
      <c r="N4392" s="1" t="str">
        <f>_xlfn.XLOOKUP(H4392, risk_score!A:A, risk_score!B:B, 0)</f>
        <v>Low Risk</v>
      </c>
    </row>
    <row r="4393" spans="1:14">
      <c r="A4393" s="2">
        <v>0.55590277777777775</v>
      </c>
      <c r="B4393" s="3">
        <v>44841</v>
      </c>
      <c r="C4393" s="1">
        <v>5021785800</v>
      </c>
      <c r="D4393" s="1">
        <v>9085148554</v>
      </c>
      <c r="E4393" s="1">
        <v>10467.66</v>
      </c>
      <c r="F4393" s="1" t="s">
        <v>12</v>
      </c>
      <c r="G4393" s="1" t="s">
        <v>12</v>
      </c>
      <c r="H4393" s="1" t="s">
        <v>13</v>
      </c>
      <c r="I4393" s="1" t="s">
        <v>13</v>
      </c>
      <c r="J4393" s="1" t="s">
        <v>25</v>
      </c>
      <c r="K4393" s="1">
        <v>0</v>
      </c>
      <c r="L4393" s="1" t="s">
        <v>19</v>
      </c>
      <c r="M4393" s="1" t="str">
        <f t="shared" si="69"/>
        <v>Consistent</v>
      </c>
      <c r="N4393" s="1" t="str">
        <f>_xlfn.XLOOKUP(H4393, risk_score!A:A, risk_score!B:B, 0)</f>
        <v>Low Risk</v>
      </c>
    </row>
    <row r="4394" spans="1:14">
      <c r="A4394" s="2">
        <v>0.55594907407407412</v>
      </c>
      <c r="B4394" s="3">
        <v>44841</v>
      </c>
      <c r="C4394" s="1">
        <v>4994594454</v>
      </c>
      <c r="D4394" s="1">
        <v>1494725668</v>
      </c>
      <c r="E4394" s="1">
        <v>832.31</v>
      </c>
      <c r="F4394" s="1" t="s">
        <v>12</v>
      </c>
      <c r="G4394" s="1" t="s">
        <v>12</v>
      </c>
      <c r="H4394" s="1" t="s">
        <v>13</v>
      </c>
      <c r="I4394" s="1" t="s">
        <v>13</v>
      </c>
      <c r="J4394" s="1" t="s">
        <v>27</v>
      </c>
      <c r="K4394" s="1">
        <v>0</v>
      </c>
      <c r="L4394" s="1" t="s">
        <v>21</v>
      </c>
      <c r="M4394" s="1" t="str">
        <f t="shared" si="69"/>
        <v>Consistent</v>
      </c>
      <c r="N4394" s="1" t="str">
        <f>_xlfn.XLOOKUP(H4394, risk_score!A:A, risk_score!B:B, 0)</f>
        <v>Low Risk</v>
      </c>
    </row>
    <row r="4395" spans="1:14">
      <c r="A4395" s="2">
        <v>0.55594907407407412</v>
      </c>
      <c r="B4395" s="3">
        <v>44841</v>
      </c>
      <c r="C4395" s="1">
        <v>3278826777</v>
      </c>
      <c r="D4395" s="1">
        <v>8146049834</v>
      </c>
      <c r="E4395" s="1">
        <v>2965.69</v>
      </c>
      <c r="F4395" s="1" t="s">
        <v>12</v>
      </c>
      <c r="G4395" s="1" t="s">
        <v>12</v>
      </c>
      <c r="H4395" s="1" t="s">
        <v>13</v>
      </c>
      <c r="I4395" s="1" t="s">
        <v>13</v>
      </c>
      <c r="J4395" s="1" t="s">
        <v>25</v>
      </c>
      <c r="K4395" s="1">
        <v>0</v>
      </c>
      <c r="L4395" s="1" t="s">
        <v>21</v>
      </c>
      <c r="M4395" s="1" t="str">
        <f t="shared" si="69"/>
        <v>Consistent</v>
      </c>
      <c r="N4395" s="1" t="str">
        <f>_xlfn.XLOOKUP(H4395, risk_score!A:A, risk_score!B:B, 0)</f>
        <v>Low Risk</v>
      </c>
    </row>
    <row r="4396" spans="1:14">
      <c r="A4396" s="2">
        <v>0.55594907407407412</v>
      </c>
      <c r="B4396" s="3">
        <v>44841</v>
      </c>
      <c r="C4396" s="1">
        <v>9891848998</v>
      </c>
      <c r="D4396" s="1">
        <v>3536751515</v>
      </c>
      <c r="E4396" s="1">
        <v>482.55</v>
      </c>
      <c r="F4396" s="1" t="s">
        <v>12</v>
      </c>
      <c r="G4396" s="1" t="s">
        <v>12</v>
      </c>
      <c r="H4396" s="1" t="s">
        <v>13</v>
      </c>
      <c r="I4396" s="1" t="s">
        <v>13</v>
      </c>
      <c r="J4396" s="1" t="s">
        <v>14</v>
      </c>
      <c r="K4396" s="1">
        <v>0</v>
      </c>
      <c r="L4396" s="1" t="s">
        <v>15</v>
      </c>
      <c r="M4396" s="1" t="str">
        <f t="shared" si="69"/>
        <v>Consistent</v>
      </c>
      <c r="N4396" s="1" t="str">
        <f>_xlfn.XLOOKUP(H4396, risk_score!A:A, risk_score!B:B, 0)</f>
        <v>Low Risk</v>
      </c>
    </row>
    <row r="4397" spans="1:14">
      <c r="A4397" s="2">
        <v>0.55599537037037039</v>
      </c>
      <c r="B4397" s="3">
        <v>44841</v>
      </c>
      <c r="C4397" s="1">
        <v>9869486438</v>
      </c>
      <c r="D4397" s="1">
        <v>4478486594</v>
      </c>
      <c r="E4397" s="1">
        <v>767.13</v>
      </c>
      <c r="F4397" s="1" t="s">
        <v>29</v>
      </c>
      <c r="G4397" s="1" t="s">
        <v>12</v>
      </c>
      <c r="H4397" s="1" t="s">
        <v>13</v>
      </c>
      <c r="I4397" s="1" t="s">
        <v>13</v>
      </c>
      <c r="J4397" s="1" t="s">
        <v>20</v>
      </c>
      <c r="K4397" s="1">
        <v>0</v>
      </c>
      <c r="L4397" s="1" t="s">
        <v>21</v>
      </c>
      <c r="M4397" s="1" t="str">
        <f t="shared" si="69"/>
        <v>Potential Layering</v>
      </c>
      <c r="N4397" s="1" t="str">
        <f>_xlfn.XLOOKUP(H4397, risk_score!A:A, risk_score!B:B, 0)</f>
        <v>Low Risk</v>
      </c>
    </row>
    <row r="4398" spans="1:14">
      <c r="A4398" s="2">
        <v>0.55600694444444443</v>
      </c>
      <c r="B4398" s="3">
        <v>44841</v>
      </c>
      <c r="C4398" s="1">
        <v>6447841775</v>
      </c>
      <c r="D4398" s="1">
        <v>7080357663</v>
      </c>
      <c r="E4398" s="1">
        <v>11855.75</v>
      </c>
      <c r="F4398" s="1" t="s">
        <v>12</v>
      </c>
      <c r="G4398" s="1" t="s">
        <v>12</v>
      </c>
      <c r="H4398" s="1" t="s">
        <v>13</v>
      </c>
      <c r="I4398" s="1" t="s">
        <v>13</v>
      </c>
      <c r="J4398" s="1" t="s">
        <v>22</v>
      </c>
      <c r="K4398" s="1">
        <v>0</v>
      </c>
      <c r="L4398" s="1" t="s">
        <v>23</v>
      </c>
      <c r="M4398" s="1" t="str">
        <f t="shared" si="69"/>
        <v>Consistent</v>
      </c>
      <c r="N4398" s="1" t="str">
        <f>_xlfn.XLOOKUP(H4398, risk_score!A:A, risk_score!B:B, 0)</f>
        <v>Low Risk</v>
      </c>
    </row>
    <row r="4399" spans="1:14">
      <c r="A4399" s="2">
        <v>0.55603009259259262</v>
      </c>
      <c r="B4399" s="3">
        <v>44841</v>
      </c>
      <c r="C4399" s="1">
        <v>8039988521</v>
      </c>
      <c r="D4399" s="1">
        <v>5247041092</v>
      </c>
      <c r="E4399" s="1">
        <v>458.82</v>
      </c>
      <c r="F4399" s="1" t="s">
        <v>12</v>
      </c>
      <c r="G4399" s="1" t="s">
        <v>12</v>
      </c>
      <c r="H4399" s="1" t="s">
        <v>13</v>
      </c>
      <c r="I4399" s="1" t="s">
        <v>13</v>
      </c>
      <c r="J4399" s="1" t="s">
        <v>27</v>
      </c>
      <c r="K4399" s="1">
        <v>0</v>
      </c>
      <c r="L4399" s="1" t="s">
        <v>24</v>
      </c>
      <c r="M4399" s="1" t="str">
        <f t="shared" si="69"/>
        <v>Consistent</v>
      </c>
      <c r="N4399" s="1" t="str">
        <f>_xlfn.XLOOKUP(H4399, risk_score!A:A, risk_score!B:B, 0)</f>
        <v>Low Risk</v>
      </c>
    </row>
    <row r="4400" spans="1:14">
      <c r="A4400" s="2">
        <v>0.55604166666666666</v>
      </c>
      <c r="B4400" s="3">
        <v>44841</v>
      </c>
      <c r="C4400" s="1">
        <v>6303992479</v>
      </c>
      <c r="D4400" s="1">
        <v>5628674969</v>
      </c>
      <c r="E4400" s="1">
        <v>13134.51</v>
      </c>
      <c r="F4400" s="1" t="s">
        <v>12</v>
      </c>
      <c r="G4400" s="1" t="s">
        <v>12</v>
      </c>
      <c r="H4400" s="1" t="s">
        <v>13</v>
      </c>
      <c r="I4400" s="1" t="s">
        <v>13</v>
      </c>
      <c r="J4400" s="1" t="s">
        <v>22</v>
      </c>
      <c r="K4400" s="1">
        <v>0</v>
      </c>
      <c r="L4400" s="1" t="s">
        <v>23</v>
      </c>
      <c r="M4400" s="1" t="str">
        <f t="shared" si="69"/>
        <v>Consistent</v>
      </c>
      <c r="N4400" s="1" t="str">
        <f>_xlfn.XLOOKUP(H4400, risk_score!A:A, risk_score!B:B, 0)</f>
        <v>Low Risk</v>
      </c>
    </row>
    <row r="4401" spans="1:14">
      <c r="A4401" s="2">
        <v>0.55606481481481485</v>
      </c>
      <c r="B4401" s="3">
        <v>44841</v>
      </c>
      <c r="C4401" s="1">
        <v>1786945327</v>
      </c>
      <c r="D4401" s="1">
        <v>1998343458</v>
      </c>
      <c r="E4401" s="1">
        <v>1306.3699999999999</v>
      </c>
      <c r="F4401" s="1" t="s">
        <v>12</v>
      </c>
      <c r="G4401" s="1" t="s">
        <v>12</v>
      </c>
      <c r="H4401" s="1" t="s">
        <v>13</v>
      </c>
      <c r="I4401" s="1" t="s">
        <v>13</v>
      </c>
      <c r="J4401" s="1" t="s">
        <v>20</v>
      </c>
      <c r="K4401" s="1">
        <v>0</v>
      </c>
      <c r="L4401" s="1" t="s">
        <v>21</v>
      </c>
      <c r="M4401" s="1" t="str">
        <f t="shared" si="69"/>
        <v>Consistent</v>
      </c>
      <c r="N4401" s="1" t="str">
        <f>_xlfn.XLOOKUP(H4401, risk_score!A:A, risk_score!B:B, 0)</f>
        <v>Low Risk</v>
      </c>
    </row>
    <row r="4402" spans="1:14">
      <c r="A4402" s="2">
        <v>0.55608796296296292</v>
      </c>
      <c r="B4402" s="3">
        <v>44841</v>
      </c>
      <c r="C4402" s="1">
        <v>1776918759</v>
      </c>
      <c r="D4402" s="1">
        <v>5069800366</v>
      </c>
      <c r="E4402" s="1">
        <v>2481.9499999999998</v>
      </c>
      <c r="F4402" s="1" t="s">
        <v>12</v>
      </c>
      <c r="G4402" s="1" t="s">
        <v>12</v>
      </c>
      <c r="H4402" s="1" t="s">
        <v>13</v>
      </c>
      <c r="I4402" s="1" t="s">
        <v>13</v>
      </c>
      <c r="J4402" s="1" t="s">
        <v>22</v>
      </c>
      <c r="K4402" s="1">
        <v>0</v>
      </c>
      <c r="L4402" s="1" t="s">
        <v>21</v>
      </c>
      <c r="M4402" s="1" t="str">
        <f t="shared" si="69"/>
        <v>Consistent</v>
      </c>
      <c r="N4402" s="1" t="str">
        <f>_xlfn.XLOOKUP(H4402, risk_score!A:A, risk_score!B:B, 0)</f>
        <v>Low Risk</v>
      </c>
    </row>
    <row r="4403" spans="1:14">
      <c r="A4403" s="2">
        <v>0.55608796296296292</v>
      </c>
      <c r="B4403" s="3">
        <v>44841</v>
      </c>
      <c r="C4403" s="1">
        <v>2119800842</v>
      </c>
      <c r="D4403" s="1">
        <v>439043689</v>
      </c>
      <c r="E4403" s="1">
        <v>1091.98</v>
      </c>
      <c r="F4403" s="1" t="s">
        <v>12</v>
      </c>
      <c r="G4403" s="1" t="s">
        <v>12</v>
      </c>
      <c r="H4403" s="1" t="s">
        <v>13</v>
      </c>
      <c r="I4403" s="1" t="s">
        <v>13</v>
      </c>
      <c r="J4403" s="1" t="s">
        <v>27</v>
      </c>
      <c r="K4403" s="1">
        <v>0</v>
      </c>
      <c r="L4403" s="1" t="s">
        <v>21</v>
      </c>
      <c r="M4403" s="1" t="str">
        <f t="shared" si="69"/>
        <v>Consistent</v>
      </c>
      <c r="N4403" s="1" t="str">
        <f>_xlfn.XLOOKUP(H4403, risk_score!A:A, risk_score!B:B, 0)</f>
        <v>Low Risk</v>
      </c>
    </row>
    <row r="4404" spans="1:14">
      <c r="A4404" s="2">
        <v>0.55611111111111111</v>
      </c>
      <c r="B4404" s="3">
        <v>44841</v>
      </c>
      <c r="C4404" s="1">
        <v>7208334533</v>
      </c>
      <c r="D4404" s="1">
        <v>2867312322</v>
      </c>
      <c r="E4404" s="1">
        <v>14197.76</v>
      </c>
      <c r="F4404" s="1" t="s">
        <v>12</v>
      </c>
      <c r="G4404" s="1" t="s">
        <v>12</v>
      </c>
      <c r="H4404" s="1" t="s">
        <v>13</v>
      </c>
      <c r="I4404" s="1" t="s">
        <v>13</v>
      </c>
      <c r="J4404" s="1" t="s">
        <v>22</v>
      </c>
      <c r="K4404" s="1">
        <v>0</v>
      </c>
      <c r="L4404" s="1" t="s">
        <v>21</v>
      </c>
      <c r="M4404" s="1" t="str">
        <f t="shared" si="69"/>
        <v>Consistent</v>
      </c>
      <c r="N4404" s="1" t="str">
        <f>_xlfn.XLOOKUP(H4404, risk_score!A:A, risk_score!B:B, 0)</f>
        <v>Low Risk</v>
      </c>
    </row>
    <row r="4405" spans="1:14">
      <c r="A4405" s="2">
        <v>0.5561342592592593</v>
      </c>
      <c r="B4405" s="3">
        <v>44841</v>
      </c>
      <c r="C4405" s="1">
        <v>3894217933</v>
      </c>
      <c r="D4405" s="1">
        <v>1185251380</v>
      </c>
      <c r="E4405" s="1">
        <v>3320.82</v>
      </c>
      <c r="F4405" s="1" t="s">
        <v>12</v>
      </c>
      <c r="G4405" s="1" t="s">
        <v>12</v>
      </c>
      <c r="H4405" s="1" t="s">
        <v>13</v>
      </c>
      <c r="I4405" s="1" t="s">
        <v>13</v>
      </c>
      <c r="J4405" s="1" t="s">
        <v>20</v>
      </c>
      <c r="K4405" s="1">
        <v>0</v>
      </c>
      <c r="L4405" s="1" t="s">
        <v>21</v>
      </c>
      <c r="M4405" s="1" t="str">
        <f t="shared" si="69"/>
        <v>Consistent</v>
      </c>
      <c r="N4405" s="1" t="str">
        <f>_xlfn.XLOOKUP(H4405, risk_score!A:A, risk_score!B:B, 0)</f>
        <v>Low Risk</v>
      </c>
    </row>
    <row r="4406" spans="1:14">
      <c r="A4406" s="2">
        <v>0.5561342592592593</v>
      </c>
      <c r="B4406" s="3">
        <v>44841</v>
      </c>
      <c r="C4406" s="1">
        <v>5704638962</v>
      </c>
      <c r="D4406" s="1">
        <v>2806779674</v>
      </c>
      <c r="E4406" s="1">
        <v>5693.37</v>
      </c>
      <c r="F4406" s="1" t="s">
        <v>12</v>
      </c>
      <c r="G4406" s="1" t="s">
        <v>12</v>
      </c>
      <c r="H4406" s="1" t="s">
        <v>13</v>
      </c>
      <c r="I4406" s="1" t="s">
        <v>13</v>
      </c>
      <c r="J4406" s="1" t="s">
        <v>27</v>
      </c>
      <c r="K4406" s="1">
        <v>0</v>
      </c>
      <c r="L4406" s="1" t="s">
        <v>24</v>
      </c>
      <c r="M4406" s="1" t="str">
        <f t="shared" si="69"/>
        <v>Consistent</v>
      </c>
      <c r="N4406" s="1" t="str">
        <f>_xlfn.XLOOKUP(H4406, risk_score!A:A, risk_score!B:B, 0)</f>
        <v>Low Risk</v>
      </c>
    </row>
    <row r="4407" spans="1:14">
      <c r="A4407" s="2">
        <v>0.55615740740740738</v>
      </c>
      <c r="B4407" s="3">
        <v>44841</v>
      </c>
      <c r="C4407" s="1">
        <v>1958294737</v>
      </c>
      <c r="D4407" s="1">
        <v>1493436023</v>
      </c>
      <c r="E4407" s="1">
        <v>7593.78</v>
      </c>
      <c r="F4407" s="1" t="s">
        <v>12</v>
      </c>
      <c r="G4407" s="1" t="s">
        <v>12</v>
      </c>
      <c r="H4407" s="1" t="s">
        <v>13</v>
      </c>
      <c r="I4407" s="1" t="s">
        <v>13</v>
      </c>
      <c r="J4407" s="1" t="s">
        <v>25</v>
      </c>
      <c r="K4407" s="1">
        <v>0</v>
      </c>
      <c r="L4407" s="1" t="s">
        <v>23</v>
      </c>
      <c r="M4407" s="1" t="str">
        <f t="shared" si="69"/>
        <v>Consistent</v>
      </c>
      <c r="N4407" s="1" t="str">
        <f>_xlfn.XLOOKUP(H4407, risk_score!A:A, risk_score!B:B, 0)</f>
        <v>Low Risk</v>
      </c>
    </row>
    <row r="4408" spans="1:14">
      <c r="A4408" s="2">
        <v>0.55618055555555557</v>
      </c>
      <c r="B4408" s="3">
        <v>44841</v>
      </c>
      <c r="C4408" s="1">
        <v>8784689595</v>
      </c>
      <c r="D4408" s="1">
        <v>8548435265</v>
      </c>
      <c r="E4408" s="1">
        <v>5645.49</v>
      </c>
      <c r="F4408" s="1" t="s">
        <v>12</v>
      </c>
      <c r="G4408" s="1" t="s">
        <v>12</v>
      </c>
      <c r="H4408" s="1" t="s">
        <v>13</v>
      </c>
      <c r="I4408" s="1" t="s">
        <v>13</v>
      </c>
      <c r="J4408" s="1" t="s">
        <v>20</v>
      </c>
      <c r="K4408" s="1">
        <v>0</v>
      </c>
      <c r="L4408" s="1" t="s">
        <v>21</v>
      </c>
      <c r="M4408" s="1" t="str">
        <f t="shared" si="69"/>
        <v>Consistent</v>
      </c>
      <c r="N4408" s="1" t="str">
        <f>_xlfn.XLOOKUP(H4408, risk_score!A:A, risk_score!B:B, 0)</f>
        <v>Low Risk</v>
      </c>
    </row>
    <row r="4409" spans="1:14">
      <c r="A4409" s="2">
        <v>0.55623842592592587</v>
      </c>
      <c r="B4409" s="3">
        <v>44841</v>
      </c>
      <c r="C4409" s="1">
        <v>1475265356</v>
      </c>
      <c r="D4409" s="1">
        <v>8824829352</v>
      </c>
      <c r="E4409" s="1">
        <v>1179.02</v>
      </c>
      <c r="F4409" s="1" t="s">
        <v>12</v>
      </c>
      <c r="G4409" s="1" t="s">
        <v>12</v>
      </c>
      <c r="H4409" s="1" t="s">
        <v>13</v>
      </c>
      <c r="I4409" s="1" t="s">
        <v>13</v>
      </c>
      <c r="J4409" s="1" t="s">
        <v>20</v>
      </c>
      <c r="K4409" s="1">
        <v>0</v>
      </c>
      <c r="L4409" s="1" t="s">
        <v>24</v>
      </c>
      <c r="M4409" s="1" t="str">
        <f t="shared" si="69"/>
        <v>Consistent</v>
      </c>
      <c r="N4409" s="1" t="str">
        <f>_xlfn.XLOOKUP(H4409, risk_score!A:A, risk_score!B:B, 0)</f>
        <v>Low Risk</v>
      </c>
    </row>
    <row r="4410" spans="1:14">
      <c r="A4410" s="2">
        <v>0.55626157407407406</v>
      </c>
      <c r="B4410" s="3">
        <v>44841</v>
      </c>
      <c r="C4410" s="1">
        <v>8501920513</v>
      </c>
      <c r="D4410" s="1">
        <v>813395681</v>
      </c>
      <c r="E4410" s="1">
        <v>7500.77</v>
      </c>
      <c r="F4410" s="1" t="s">
        <v>12</v>
      </c>
      <c r="G4410" s="1" t="s">
        <v>12</v>
      </c>
      <c r="H4410" s="1" t="s">
        <v>13</v>
      </c>
      <c r="I4410" s="1" t="s">
        <v>13</v>
      </c>
      <c r="J4410" s="1" t="s">
        <v>27</v>
      </c>
      <c r="K4410" s="1">
        <v>0</v>
      </c>
      <c r="L4410" s="1" t="s">
        <v>24</v>
      </c>
      <c r="M4410" s="1" t="str">
        <f t="shared" si="69"/>
        <v>Consistent</v>
      </c>
      <c r="N4410" s="1" t="str">
        <f>_xlfn.XLOOKUP(H4410, risk_score!A:A, risk_score!B:B, 0)</f>
        <v>Low Risk</v>
      </c>
    </row>
    <row r="4411" spans="1:14">
      <c r="A4411" s="2">
        <v>0.5562731481481481</v>
      </c>
      <c r="B4411" s="3">
        <v>44841</v>
      </c>
      <c r="C4411" s="1">
        <v>9007044451</v>
      </c>
      <c r="D4411" s="1">
        <v>3155814024</v>
      </c>
      <c r="E4411" s="1">
        <v>264.32</v>
      </c>
      <c r="F4411" s="1" t="s">
        <v>12</v>
      </c>
      <c r="G4411" s="1" t="s">
        <v>26</v>
      </c>
      <c r="H4411" s="1" t="s">
        <v>13</v>
      </c>
      <c r="I4411" s="1" t="s">
        <v>56</v>
      </c>
      <c r="J4411" s="1" t="s">
        <v>18</v>
      </c>
      <c r="K4411" s="1">
        <v>0</v>
      </c>
      <c r="L4411" s="1" t="s">
        <v>21</v>
      </c>
      <c r="M4411" s="1" t="str">
        <f t="shared" si="69"/>
        <v>Potential Layering</v>
      </c>
      <c r="N4411" s="1" t="str">
        <f>_xlfn.XLOOKUP(H4411, risk_score!A:A, risk_score!B:B, 0)</f>
        <v>Low Risk</v>
      </c>
    </row>
    <row r="4412" spans="1:14">
      <c r="A4412" s="2">
        <v>0.5562731481481481</v>
      </c>
      <c r="B4412" s="3">
        <v>44841</v>
      </c>
      <c r="C4412" s="1">
        <v>4045011140</v>
      </c>
      <c r="D4412" s="1">
        <v>5628674969</v>
      </c>
      <c r="E4412" s="1">
        <v>6995.93</v>
      </c>
      <c r="F4412" s="1" t="s">
        <v>12</v>
      </c>
      <c r="G4412" s="1" t="s">
        <v>12</v>
      </c>
      <c r="H4412" s="1" t="s">
        <v>13</v>
      </c>
      <c r="I4412" s="1" t="s">
        <v>13</v>
      </c>
      <c r="J4412" s="1" t="s">
        <v>20</v>
      </c>
      <c r="K4412" s="1">
        <v>0</v>
      </c>
      <c r="L4412" s="1" t="s">
        <v>23</v>
      </c>
      <c r="M4412" s="1" t="str">
        <f t="shared" si="69"/>
        <v>Consistent</v>
      </c>
      <c r="N4412" s="1" t="str">
        <f>_xlfn.XLOOKUP(H4412, risk_score!A:A, risk_score!B:B, 0)</f>
        <v>Low Risk</v>
      </c>
    </row>
    <row r="4413" spans="1:14">
      <c r="A4413" s="2">
        <v>0.55628472222222225</v>
      </c>
      <c r="B4413" s="3">
        <v>44841</v>
      </c>
      <c r="C4413" s="1">
        <v>7902528419</v>
      </c>
      <c r="D4413" s="1">
        <v>62755646</v>
      </c>
      <c r="E4413" s="1">
        <v>156.84</v>
      </c>
      <c r="F4413" s="1" t="s">
        <v>12</v>
      </c>
      <c r="G4413" s="1" t="s">
        <v>12</v>
      </c>
      <c r="H4413" s="1" t="s">
        <v>13</v>
      </c>
      <c r="I4413" s="1" t="s">
        <v>13</v>
      </c>
      <c r="J4413" s="1" t="s">
        <v>27</v>
      </c>
      <c r="K4413" s="1">
        <v>0</v>
      </c>
      <c r="L4413" s="1" t="s">
        <v>21</v>
      </c>
      <c r="M4413" s="1" t="str">
        <f t="shared" si="69"/>
        <v>Consistent</v>
      </c>
      <c r="N4413" s="1" t="str">
        <f>_xlfn.XLOOKUP(H4413, risk_score!A:A, risk_score!B:B, 0)</f>
        <v>Low Risk</v>
      </c>
    </row>
    <row r="4414" spans="1:14">
      <c r="A4414" s="2">
        <v>0.55628472222222225</v>
      </c>
      <c r="B4414" s="3">
        <v>44841</v>
      </c>
      <c r="C4414" s="1">
        <v>8371074038</v>
      </c>
      <c r="D4414" s="1">
        <v>2237493386</v>
      </c>
      <c r="E4414" s="1">
        <v>13067.22</v>
      </c>
      <c r="F4414" s="1" t="s">
        <v>12</v>
      </c>
      <c r="G4414" s="1" t="s">
        <v>12</v>
      </c>
      <c r="H4414" s="1" t="s">
        <v>13</v>
      </c>
      <c r="I4414" s="1" t="s">
        <v>13</v>
      </c>
      <c r="J4414" s="1" t="s">
        <v>22</v>
      </c>
      <c r="K4414" s="1">
        <v>0</v>
      </c>
      <c r="L4414" s="1" t="s">
        <v>21</v>
      </c>
      <c r="M4414" s="1" t="str">
        <f t="shared" si="69"/>
        <v>Consistent</v>
      </c>
      <c r="N4414" s="1" t="str">
        <f>_xlfn.XLOOKUP(H4414, risk_score!A:A, risk_score!B:B, 0)</f>
        <v>Low Risk</v>
      </c>
    </row>
    <row r="4415" spans="1:14">
      <c r="A4415" s="2">
        <v>0.55631944444444448</v>
      </c>
      <c r="B4415" s="3">
        <v>44841</v>
      </c>
      <c r="C4415" s="1">
        <v>8363694247</v>
      </c>
      <c r="D4415" s="1">
        <v>2972765449</v>
      </c>
      <c r="E4415" s="1">
        <v>13699.82</v>
      </c>
      <c r="F4415" s="1" t="s">
        <v>12</v>
      </c>
      <c r="G4415" s="1" t="s">
        <v>12</v>
      </c>
      <c r="H4415" s="1" t="s">
        <v>13</v>
      </c>
      <c r="I4415" s="1" t="s">
        <v>13</v>
      </c>
      <c r="J4415" s="1" t="s">
        <v>27</v>
      </c>
      <c r="K4415" s="1">
        <v>0</v>
      </c>
      <c r="L4415" s="1" t="s">
        <v>21</v>
      </c>
      <c r="M4415" s="1" t="str">
        <f t="shared" ref="M4415:M4478" si="70">IF(F4415=G4415, "Consistent", "Potential Layering")</f>
        <v>Consistent</v>
      </c>
      <c r="N4415" s="1" t="str">
        <f>_xlfn.XLOOKUP(H4415, risk_score!A:A, risk_score!B:B, 0)</f>
        <v>Low Risk</v>
      </c>
    </row>
    <row r="4416" spans="1:14">
      <c r="A4416" s="2">
        <v>0.55635416666666671</v>
      </c>
      <c r="B4416" s="3">
        <v>44841</v>
      </c>
      <c r="C4416" s="1">
        <v>2661600778</v>
      </c>
      <c r="D4416" s="1">
        <v>1307660141</v>
      </c>
      <c r="E4416" s="1">
        <v>662.59</v>
      </c>
      <c r="F4416" s="1" t="s">
        <v>12</v>
      </c>
      <c r="G4416" s="1" t="s">
        <v>12</v>
      </c>
      <c r="H4416" s="1" t="s">
        <v>13</v>
      </c>
      <c r="I4416" s="1" t="s">
        <v>13</v>
      </c>
      <c r="J4416" s="1" t="s">
        <v>22</v>
      </c>
      <c r="K4416" s="1">
        <v>0</v>
      </c>
      <c r="L4416" s="1" t="s">
        <v>21</v>
      </c>
      <c r="M4416" s="1" t="str">
        <f t="shared" si="70"/>
        <v>Consistent</v>
      </c>
      <c r="N4416" s="1" t="str">
        <f>_xlfn.XLOOKUP(H4416, risk_score!A:A, risk_score!B:B, 0)</f>
        <v>Low Risk</v>
      </c>
    </row>
    <row r="4417" spans="1:14">
      <c r="A4417" s="2">
        <v>0.55637731481481478</v>
      </c>
      <c r="B4417" s="3">
        <v>44841</v>
      </c>
      <c r="C4417" s="1">
        <v>2365007895</v>
      </c>
      <c r="D4417" s="1">
        <v>5021091640</v>
      </c>
      <c r="E4417" s="1">
        <v>14719.49</v>
      </c>
      <c r="F4417" s="1" t="s">
        <v>12</v>
      </c>
      <c r="G4417" s="1" t="s">
        <v>12</v>
      </c>
      <c r="H4417" s="1" t="s">
        <v>13</v>
      </c>
      <c r="I4417" s="1" t="s">
        <v>13</v>
      </c>
      <c r="J4417" s="1" t="s">
        <v>25</v>
      </c>
      <c r="K4417" s="1">
        <v>0</v>
      </c>
      <c r="L4417" s="1" t="s">
        <v>19</v>
      </c>
      <c r="M4417" s="1" t="str">
        <f t="shared" si="70"/>
        <v>Consistent</v>
      </c>
      <c r="N4417" s="1" t="str">
        <f>_xlfn.XLOOKUP(H4417, risk_score!A:A, risk_score!B:B, 0)</f>
        <v>Low Risk</v>
      </c>
    </row>
    <row r="4418" spans="1:14">
      <c r="A4418" s="2">
        <v>0.55641203703703701</v>
      </c>
      <c r="B4418" s="3">
        <v>44841</v>
      </c>
      <c r="C4418" s="1">
        <v>3565108277</v>
      </c>
      <c r="D4418" s="1">
        <v>6646502650</v>
      </c>
      <c r="E4418" s="1">
        <v>32359.599999999999</v>
      </c>
      <c r="F4418" s="1" t="s">
        <v>12</v>
      </c>
      <c r="G4418" s="1" t="s">
        <v>29</v>
      </c>
      <c r="H4418" s="1" t="s">
        <v>13</v>
      </c>
      <c r="I4418" s="1" t="s">
        <v>31</v>
      </c>
      <c r="J4418" s="1" t="s">
        <v>18</v>
      </c>
      <c r="K4418" s="1">
        <v>0</v>
      </c>
      <c r="L4418" s="1" t="s">
        <v>23</v>
      </c>
      <c r="M4418" s="1" t="str">
        <f t="shared" si="70"/>
        <v>Potential Layering</v>
      </c>
      <c r="N4418" s="1" t="str">
        <f>_xlfn.XLOOKUP(H4418, risk_score!A:A, risk_score!B:B, 0)</f>
        <v>Low Risk</v>
      </c>
    </row>
    <row r="4419" spans="1:14">
      <c r="A4419" s="2">
        <v>0.5564351851851852</v>
      </c>
      <c r="B4419" s="3">
        <v>44841</v>
      </c>
      <c r="C4419" s="1">
        <v>9599009457</v>
      </c>
      <c r="D4419" s="1">
        <v>2048840179</v>
      </c>
      <c r="E4419" s="1">
        <v>5202.3999999999996</v>
      </c>
      <c r="F4419" s="1" t="s">
        <v>12</v>
      </c>
      <c r="G4419" s="1" t="s">
        <v>12</v>
      </c>
      <c r="H4419" s="1" t="s">
        <v>13</v>
      </c>
      <c r="I4419" s="1" t="s">
        <v>13</v>
      </c>
      <c r="J4419" s="1" t="s">
        <v>20</v>
      </c>
      <c r="K4419" s="1">
        <v>0</v>
      </c>
      <c r="L4419" s="1" t="s">
        <v>19</v>
      </c>
      <c r="M4419" s="1" t="str">
        <f t="shared" si="70"/>
        <v>Consistent</v>
      </c>
      <c r="N4419" s="1" t="str">
        <f>_xlfn.XLOOKUP(H4419, risk_score!A:A, risk_score!B:B, 0)</f>
        <v>Low Risk</v>
      </c>
    </row>
    <row r="4420" spans="1:14">
      <c r="A4420" s="2">
        <v>0.55644675925925924</v>
      </c>
      <c r="B4420" s="3">
        <v>44841</v>
      </c>
      <c r="C4420" s="1">
        <v>2229743449</v>
      </c>
      <c r="D4420" s="1">
        <v>2937802843</v>
      </c>
      <c r="E4420" s="1">
        <v>830.33</v>
      </c>
      <c r="F4420" s="1" t="s">
        <v>12</v>
      </c>
      <c r="G4420" s="1" t="s">
        <v>12</v>
      </c>
      <c r="H4420" s="1" t="s">
        <v>13</v>
      </c>
      <c r="I4420" s="1" t="s">
        <v>13</v>
      </c>
      <c r="J4420" s="1" t="s">
        <v>22</v>
      </c>
      <c r="K4420" s="1">
        <v>0</v>
      </c>
      <c r="L4420" s="1" t="s">
        <v>21</v>
      </c>
      <c r="M4420" s="1" t="str">
        <f t="shared" si="70"/>
        <v>Consistent</v>
      </c>
      <c r="N4420" s="1" t="str">
        <f>_xlfn.XLOOKUP(H4420, risk_score!A:A, risk_score!B:B, 0)</f>
        <v>Low Risk</v>
      </c>
    </row>
    <row r="4421" spans="1:14">
      <c r="A4421" s="2">
        <v>0.55650462962962965</v>
      </c>
      <c r="B4421" s="3">
        <v>44841</v>
      </c>
      <c r="C4421" s="1">
        <v>7965472676</v>
      </c>
      <c r="D4421" s="1">
        <v>6646502650</v>
      </c>
      <c r="E4421" s="1">
        <v>5415.47</v>
      </c>
      <c r="F4421" s="1" t="s">
        <v>12</v>
      </c>
      <c r="G4421" s="1" t="s">
        <v>29</v>
      </c>
      <c r="H4421" s="1" t="s">
        <v>13</v>
      </c>
      <c r="I4421" s="1" t="s">
        <v>31</v>
      </c>
      <c r="J4421" s="1" t="s">
        <v>18</v>
      </c>
      <c r="K4421" s="1">
        <v>0</v>
      </c>
      <c r="L4421" s="1" t="s">
        <v>23</v>
      </c>
      <c r="M4421" s="1" t="str">
        <f t="shared" si="70"/>
        <v>Potential Layering</v>
      </c>
      <c r="N4421" s="1" t="str">
        <f>_xlfn.XLOOKUP(H4421, risk_score!A:A, risk_score!B:B, 0)</f>
        <v>Low Risk</v>
      </c>
    </row>
    <row r="4422" spans="1:14">
      <c r="A4422" s="2">
        <v>0.55655092592592592</v>
      </c>
      <c r="B4422" s="3">
        <v>44841</v>
      </c>
      <c r="C4422" s="1">
        <v>2365007895</v>
      </c>
      <c r="D4422" s="1">
        <v>5021091640</v>
      </c>
      <c r="E4422" s="1">
        <v>14765.91</v>
      </c>
      <c r="F4422" s="1" t="s">
        <v>12</v>
      </c>
      <c r="G4422" s="1" t="s">
        <v>12</v>
      </c>
      <c r="H4422" s="1" t="s">
        <v>13</v>
      </c>
      <c r="I4422" s="1" t="s">
        <v>13</v>
      </c>
      <c r="J4422" s="1" t="s">
        <v>27</v>
      </c>
      <c r="K4422" s="1">
        <v>0</v>
      </c>
      <c r="L4422" s="1" t="s">
        <v>19</v>
      </c>
      <c r="M4422" s="1" t="str">
        <f t="shared" si="70"/>
        <v>Consistent</v>
      </c>
      <c r="N4422" s="1" t="str">
        <f>_xlfn.XLOOKUP(H4422, risk_score!A:A, risk_score!B:B, 0)</f>
        <v>Low Risk</v>
      </c>
    </row>
    <row r="4423" spans="1:14">
      <c r="A4423" s="2">
        <v>0.55657407407407411</v>
      </c>
      <c r="B4423" s="3">
        <v>44841</v>
      </c>
      <c r="C4423" s="1">
        <v>3682462176</v>
      </c>
      <c r="D4423" s="1">
        <v>5607759223</v>
      </c>
      <c r="E4423" s="1">
        <v>1058.45</v>
      </c>
      <c r="F4423" s="1" t="s">
        <v>12</v>
      </c>
      <c r="G4423" s="1" t="s">
        <v>12</v>
      </c>
      <c r="H4423" s="1" t="s">
        <v>13</v>
      </c>
      <c r="I4423" s="1" t="s">
        <v>13</v>
      </c>
      <c r="J4423" s="1" t="s">
        <v>20</v>
      </c>
      <c r="K4423" s="1">
        <v>0</v>
      </c>
      <c r="L4423" s="1" t="s">
        <v>21</v>
      </c>
      <c r="M4423" s="1" t="str">
        <f t="shared" si="70"/>
        <v>Consistent</v>
      </c>
      <c r="N4423" s="1" t="str">
        <f>_xlfn.XLOOKUP(H4423, risk_score!A:A, risk_score!B:B, 0)</f>
        <v>Low Risk</v>
      </c>
    </row>
    <row r="4424" spans="1:14">
      <c r="A4424" s="2">
        <v>0.55660879629629634</v>
      </c>
      <c r="B4424" s="3">
        <v>44841</v>
      </c>
      <c r="C4424" s="1">
        <v>2588097391</v>
      </c>
      <c r="D4424" s="1">
        <v>6385499580</v>
      </c>
      <c r="E4424" s="1">
        <v>6964.28</v>
      </c>
      <c r="F4424" s="1" t="s">
        <v>12</v>
      </c>
      <c r="G4424" s="1" t="s">
        <v>12</v>
      </c>
      <c r="H4424" s="1" t="s">
        <v>13</v>
      </c>
      <c r="I4424" s="1" t="s">
        <v>13</v>
      </c>
      <c r="J4424" s="1" t="s">
        <v>22</v>
      </c>
      <c r="K4424" s="1">
        <v>0</v>
      </c>
      <c r="L4424" s="1" t="s">
        <v>21</v>
      </c>
      <c r="M4424" s="1" t="str">
        <f t="shared" si="70"/>
        <v>Consistent</v>
      </c>
      <c r="N4424" s="1" t="str">
        <f>_xlfn.XLOOKUP(H4424, risk_score!A:A, risk_score!B:B, 0)</f>
        <v>Low Risk</v>
      </c>
    </row>
    <row r="4425" spans="1:14">
      <c r="A4425" s="2">
        <v>0.55663194444444442</v>
      </c>
      <c r="B4425" s="3">
        <v>44841</v>
      </c>
      <c r="C4425" s="1">
        <v>6032005546</v>
      </c>
      <c r="D4425" s="1">
        <v>6444220418</v>
      </c>
      <c r="E4425" s="1">
        <v>20329.22</v>
      </c>
      <c r="F4425" s="1" t="s">
        <v>12</v>
      </c>
      <c r="G4425" s="1" t="s">
        <v>12</v>
      </c>
      <c r="H4425" s="1" t="s">
        <v>13</v>
      </c>
      <c r="I4425" s="1" t="s">
        <v>13</v>
      </c>
      <c r="J4425" s="1" t="s">
        <v>22</v>
      </c>
      <c r="K4425" s="1">
        <v>0</v>
      </c>
      <c r="L4425" s="1" t="s">
        <v>23</v>
      </c>
      <c r="M4425" s="1" t="str">
        <f t="shared" si="70"/>
        <v>Consistent</v>
      </c>
      <c r="N4425" s="1" t="str">
        <f>_xlfn.XLOOKUP(H4425, risk_score!A:A, risk_score!B:B, 0)</f>
        <v>Low Risk</v>
      </c>
    </row>
    <row r="4426" spans="1:14">
      <c r="A4426" s="2">
        <v>0.55663194444444442</v>
      </c>
      <c r="B4426" s="3">
        <v>44841</v>
      </c>
      <c r="C4426" s="1">
        <v>9168588789</v>
      </c>
      <c r="D4426" s="1">
        <v>4889197724</v>
      </c>
      <c r="E4426" s="1">
        <v>8340.56</v>
      </c>
      <c r="F4426" s="1" t="s">
        <v>12</v>
      </c>
      <c r="G4426" s="1" t="s">
        <v>12</v>
      </c>
      <c r="H4426" s="1" t="s">
        <v>13</v>
      </c>
      <c r="I4426" s="1" t="s">
        <v>13</v>
      </c>
      <c r="J4426" s="1" t="s">
        <v>27</v>
      </c>
      <c r="K4426" s="1">
        <v>0</v>
      </c>
      <c r="L4426" s="1" t="s">
        <v>38</v>
      </c>
      <c r="M4426" s="1" t="str">
        <f t="shared" si="70"/>
        <v>Consistent</v>
      </c>
      <c r="N4426" s="1" t="str">
        <f>_xlfn.XLOOKUP(H4426, risk_score!A:A, risk_score!B:B, 0)</f>
        <v>Low Risk</v>
      </c>
    </row>
    <row r="4427" spans="1:14">
      <c r="A4427" s="2">
        <v>0.55664351851851857</v>
      </c>
      <c r="B4427" s="3">
        <v>44841</v>
      </c>
      <c r="C4427" s="1">
        <v>8952177221</v>
      </c>
      <c r="D4427" s="1">
        <v>4269977194</v>
      </c>
      <c r="E4427" s="1">
        <v>7392.75</v>
      </c>
      <c r="F4427" s="1" t="s">
        <v>12</v>
      </c>
      <c r="G4427" s="1" t="s">
        <v>12</v>
      </c>
      <c r="H4427" s="1" t="s">
        <v>13</v>
      </c>
      <c r="I4427" s="1" t="s">
        <v>13</v>
      </c>
      <c r="J4427" s="1" t="s">
        <v>22</v>
      </c>
      <c r="K4427" s="1">
        <v>0</v>
      </c>
      <c r="L4427" s="1" t="s">
        <v>19</v>
      </c>
      <c r="M4427" s="1" t="str">
        <f t="shared" si="70"/>
        <v>Consistent</v>
      </c>
      <c r="N4427" s="1" t="str">
        <f>_xlfn.XLOOKUP(H4427, risk_score!A:A, risk_score!B:B, 0)</f>
        <v>Low Risk</v>
      </c>
    </row>
    <row r="4428" spans="1:14">
      <c r="A4428" s="2">
        <v>0.55668981481481483</v>
      </c>
      <c r="B4428" s="3">
        <v>44841</v>
      </c>
      <c r="C4428" s="1">
        <v>459774876</v>
      </c>
      <c r="D4428" s="1">
        <v>403526894</v>
      </c>
      <c r="E4428" s="1">
        <v>8694.3799999999992</v>
      </c>
      <c r="F4428" s="1" t="s">
        <v>12</v>
      </c>
      <c r="G4428" s="1" t="s">
        <v>12</v>
      </c>
      <c r="H4428" s="1" t="s">
        <v>13</v>
      </c>
      <c r="I4428" s="1" t="s">
        <v>13</v>
      </c>
      <c r="J4428" s="1" t="s">
        <v>27</v>
      </c>
      <c r="K4428" s="1">
        <v>0</v>
      </c>
      <c r="L4428" s="1" t="s">
        <v>24</v>
      </c>
      <c r="M4428" s="1" t="str">
        <f t="shared" si="70"/>
        <v>Consistent</v>
      </c>
      <c r="N4428" s="1" t="str">
        <f>_xlfn.XLOOKUP(H4428, risk_score!A:A, risk_score!B:B, 0)</f>
        <v>Low Risk</v>
      </c>
    </row>
    <row r="4429" spans="1:14">
      <c r="A4429" s="2">
        <v>0.55671296296296291</v>
      </c>
      <c r="B4429" s="3">
        <v>44841</v>
      </c>
      <c r="C4429" s="1">
        <v>4335622850</v>
      </c>
      <c r="D4429" s="1">
        <v>5877285590</v>
      </c>
      <c r="E4429" s="1">
        <v>304.63</v>
      </c>
      <c r="F4429" s="1" t="s">
        <v>12</v>
      </c>
      <c r="G4429" s="1" t="s">
        <v>12</v>
      </c>
      <c r="H4429" s="1" t="s">
        <v>13</v>
      </c>
      <c r="I4429" s="1" t="s">
        <v>13</v>
      </c>
      <c r="J4429" s="1" t="s">
        <v>27</v>
      </c>
      <c r="K4429" s="1">
        <v>0</v>
      </c>
      <c r="L4429" s="1" t="s">
        <v>21</v>
      </c>
      <c r="M4429" s="1" t="str">
        <f t="shared" si="70"/>
        <v>Consistent</v>
      </c>
      <c r="N4429" s="1" t="str">
        <f>_xlfn.XLOOKUP(H4429, risk_score!A:A, risk_score!B:B, 0)</f>
        <v>Low Risk</v>
      </c>
    </row>
    <row r="4430" spans="1:14">
      <c r="A4430" s="2">
        <v>0.55671296296296291</v>
      </c>
      <c r="B4430" s="3">
        <v>44841</v>
      </c>
      <c r="C4430" s="1">
        <v>6684218753</v>
      </c>
      <c r="D4430" s="1">
        <v>3682105766</v>
      </c>
      <c r="E4430" s="1">
        <v>2883.19</v>
      </c>
      <c r="F4430" s="1" t="s">
        <v>12</v>
      </c>
      <c r="G4430" s="1" t="s">
        <v>12</v>
      </c>
      <c r="H4430" s="1" t="s">
        <v>13</v>
      </c>
      <c r="I4430" s="1" t="s">
        <v>13</v>
      </c>
      <c r="J4430" s="1" t="s">
        <v>25</v>
      </c>
      <c r="K4430" s="1">
        <v>0</v>
      </c>
      <c r="L4430" s="1" t="s">
        <v>24</v>
      </c>
      <c r="M4430" s="1" t="str">
        <f t="shared" si="70"/>
        <v>Consistent</v>
      </c>
      <c r="N4430" s="1" t="str">
        <f>_xlfn.XLOOKUP(H4430, risk_score!A:A, risk_score!B:B, 0)</f>
        <v>Low Risk</v>
      </c>
    </row>
    <row r="4431" spans="1:14">
      <c r="A4431" s="2">
        <v>0.55672453703703706</v>
      </c>
      <c r="B4431" s="3">
        <v>44841</v>
      </c>
      <c r="C4431" s="1">
        <v>3891176935</v>
      </c>
      <c r="D4431" s="1">
        <v>7514194006</v>
      </c>
      <c r="E4431" s="1">
        <v>42.39</v>
      </c>
      <c r="F4431" s="1" t="s">
        <v>12</v>
      </c>
      <c r="G4431" s="1" t="s">
        <v>12</v>
      </c>
      <c r="H4431" s="1" t="s">
        <v>13</v>
      </c>
      <c r="I4431" s="1" t="s">
        <v>13</v>
      </c>
      <c r="J4431" s="1" t="s">
        <v>36</v>
      </c>
      <c r="K4431" s="1">
        <v>0</v>
      </c>
      <c r="L4431" s="1" t="s">
        <v>37</v>
      </c>
      <c r="M4431" s="1" t="str">
        <f t="shared" si="70"/>
        <v>Consistent</v>
      </c>
      <c r="N4431" s="1" t="str">
        <f>_xlfn.XLOOKUP(H4431, risk_score!A:A, risk_score!B:B, 0)</f>
        <v>Low Risk</v>
      </c>
    </row>
    <row r="4432" spans="1:14">
      <c r="A4432" s="2">
        <v>0.5567361111111111</v>
      </c>
      <c r="B4432" s="3">
        <v>44841</v>
      </c>
      <c r="C4432" s="1">
        <v>6086421020</v>
      </c>
      <c r="D4432" s="1">
        <v>4967072739</v>
      </c>
      <c r="E4432" s="1">
        <v>4787.38</v>
      </c>
      <c r="F4432" s="1" t="s">
        <v>12</v>
      </c>
      <c r="G4432" s="1" t="s">
        <v>12</v>
      </c>
      <c r="H4432" s="1" t="s">
        <v>13</v>
      </c>
      <c r="I4432" s="1" t="s">
        <v>13</v>
      </c>
      <c r="J4432" s="1" t="s">
        <v>20</v>
      </c>
      <c r="K4432" s="1">
        <v>0</v>
      </c>
      <c r="L4432" s="1" t="s">
        <v>19</v>
      </c>
      <c r="M4432" s="1" t="str">
        <f t="shared" si="70"/>
        <v>Consistent</v>
      </c>
      <c r="N4432" s="1" t="str">
        <f>_xlfn.XLOOKUP(H4432, risk_score!A:A, risk_score!B:B, 0)</f>
        <v>Low Risk</v>
      </c>
    </row>
    <row r="4433" spans="1:14">
      <c r="A4433" s="2">
        <v>0.5567361111111111</v>
      </c>
      <c r="B4433" s="3">
        <v>44841</v>
      </c>
      <c r="C4433" s="1">
        <v>9848316613</v>
      </c>
      <c r="D4433" s="1">
        <v>7080357663</v>
      </c>
      <c r="E4433" s="1">
        <v>7491.37</v>
      </c>
      <c r="F4433" s="1" t="s">
        <v>12</v>
      </c>
      <c r="G4433" s="1" t="s">
        <v>12</v>
      </c>
      <c r="H4433" s="1" t="s">
        <v>13</v>
      </c>
      <c r="I4433" s="1" t="s">
        <v>13</v>
      </c>
      <c r="J4433" s="1" t="s">
        <v>20</v>
      </c>
      <c r="K4433" s="1">
        <v>0</v>
      </c>
      <c r="L4433" s="1" t="s">
        <v>23</v>
      </c>
      <c r="M4433" s="1" t="str">
        <f t="shared" si="70"/>
        <v>Consistent</v>
      </c>
      <c r="N4433" s="1" t="str">
        <f>_xlfn.XLOOKUP(H4433, risk_score!A:A, risk_score!B:B, 0)</f>
        <v>Low Risk</v>
      </c>
    </row>
    <row r="4434" spans="1:14">
      <c r="A4434" s="2">
        <v>0.55674768518518514</v>
      </c>
      <c r="B4434" s="3">
        <v>44841</v>
      </c>
      <c r="C4434" s="1">
        <v>7337750922</v>
      </c>
      <c r="D4434" s="1">
        <v>1674677625</v>
      </c>
      <c r="E4434" s="1">
        <v>20285.8</v>
      </c>
      <c r="F4434" s="1" t="s">
        <v>39</v>
      </c>
      <c r="G4434" s="1" t="s">
        <v>12</v>
      </c>
      <c r="H4434" s="1" t="s">
        <v>40</v>
      </c>
      <c r="I4434" s="1" t="s">
        <v>13</v>
      </c>
      <c r="J4434" s="1" t="s">
        <v>18</v>
      </c>
      <c r="K4434" s="1">
        <v>0</v>
      </c>
      <c r="L4434" s="1" t="s">
        <v>21</v>
      </c>
      <c r="M4434" s="1" t="str">
        <f t="shared" si="70"/>
        <v>Potential Layering</v>
      </c>
      <c r="N4434" s="1" t="str">
        <f>_xlfn.XLOOKUP(H4434, risk_score!A:A, risk_score!B:B, 0)</f>
        <v>High Risk</v>
      </c>
    </row>
    <row r="4435" spans="1:14">
      <c r="A4435" s="2">
        <v>0.55677083333333333</v>
      </c>
      <c r="B4435" s="3">
        <v>44841</v>
      </c>
      <c r="C4435" s="1">
        <v>9083573641</v>
      </c>
      <c r="D4435" s="1">
        <v>8154718696</v>
      </c>
      <c r="E4435" s="1">
        <v>1840.58</v>
      </c>
      <c r="F4435" s="1" t="s">
        <v>12</v>
      </c>
      <c r="G4435" s="1" t="s">
        <v>12</v>
      </c>
      <c r="H4435" s="1" t="s">
        <v>13</v>
      </c>
      <c r="I4435" s="1" t="s">
        <v>13</v>
      </c>
      <c r="J4435" s="1" t="s">
        <v>27</v>
      </c>
      <c r="K4435" s="1">
        <v>0</v>
      </c>
      <c r="L4435" s="1" t="s">
        <v>24</v>
      </c>
      <c r="M4435" s="1" t="str">
        <f t="shared" si="70"/>
        <v>Consistent</v>
      </c>
      <c r="N4435" s="1" t="str">
        <f>_xlfn.XLOOKUP(H4435, risk_score!A:A, risk_score!B:B, 0)</f>
        <v>Low Risk</v>
      </c>
    </row>
    <row r="4436" spans="1:14">
      <c r="A4436" s="2">
        <v>0.55679398148148151</v>
      </c>
      <c r="B4436" s="3">
        <v>44841</v>
      </c>
      <c r="C4436" s="1">
        <v>8357330139</v>
      </c>
      <c r="D4436" s="1">
        <v>3244505853</v>
      </c>
      <c r="E4436" s="1">
        <v>12825.15</v>
      </c>
      <c r="F4436" s="1" t="s">
        <v>12</v>
      </c>
      <c r="G4436" s="1" t="s">
        <v>12</v>
      </c>
      <c r="H4436" s="1" t="s">
        <v>13</v>
      </c>
      <c r="I4436" s="1" t="s">
        <v>13</v>
      </c>
      <c r="J4436" s="1" t="s">
        <v>22</v>
      </c>
      <c r="K4436" s="1">
        <v>0</v>
      </c>
      <c r="L4436" s="1" t="s">
        <v>21</v>
      </c>
      <c r="M4436" s="1" t="str">
        <f t="shared" si="70"/>
        <v>Consistent</v>
      </c>
      <c r="N4436" s="1" t="str">
        <f>_xlfn.XLOOKUP(H4436, risk_score!A:A, risk_score!B:B, 0)</f>
        <v>Low Risk</v>
      </c>
    </row>
    <row r="4437" spans="1:14">
      <c r="A4437" s="2">
        <v>0.55680555555555555</v>
      </c>
      <c r="B4437" s="3">
        <v>44841</v>
      </c>
      <c r="C4437" s="1">
        <v>7758268667</v>
      </c>
      <c r="D4437" s="1">
        <v>8969112643</v>
      </c>
      <c r="E4437" s="1">
        <v>13668.15</v>
      </c>
      <c r="F4437" s="1" t="s">
        <v>12</v>
      </c>
      <c r="G4437" s="1" t="s">
        <v>12</v>
      </c>
      <c r="H4437" s="1" t="s">
        <v>13</v>
      </c>
      <c r="I4437" s="1" t="s">
        <v>13</v>
      </c>
      <c r="J4437" s="1" t="s">
        <v>20</v>
      </c>
      <c r="K4437" s="1">
        <v>0</v>
      </c>
      <c r="L4437" s="1" t="s">
        <v>19</v>
      </c>
      <c r="M4437" s="1" t="str">
        <f t="shared" si="70"/>
        <v>Consistent</v>
      </c>
      <c r="N4437" s="1" t="str">
        <f>_xlfn.XLOOKUP(H4437, risk_score!A:A, risk_score!B:B, 0)</f>
        <v>Low Risk</v>
      </c>
    </row>
    <row r="4438" spans="1:14">
      <c r="A4438" s="2">
        <v>0.55681712962962959</v>
      </c>
      <c r="B4438" s="3">
        <v>44841</v>
      </c>
      <c r="C4438" s="1">
        <v>6644494660</v>
      </c>
      <c r="D4438" s="1">
        <v>3655768972</v>
      </c>
      <c r="E4438" s="1">
        <v>3240.5</v>
      </c>
      <c r="F4438" s="1" t="s">
        <v>42</v>
      </c>
      <c r="G4438" s="1" t="s">
        <v>59</v>
      </c>
      <c r="H4438" s="1" t="s">
        <v>43</v>
      </c>
      <c r="I4438" s="1" t="s">
        <v>60</v>
      </c>
      <c r="J4438" s="1" t="s">
        <v>18</v>
      </c>
      <c r="K4438" s="1">
        <v>0</v>
      </c>
      <c r="L4438" s="1" t="s">
        <v>21</v>
      </c>
      <c r="M4438" s="1" t="str">
        <f t="shared" si="70"/>
        <v>Potential Layering</v>
      </c>
      <c r="N4438" s="1" t="str">
        <f>_xlfn.XLOOKUP(H4438, risk_score!A:A, risk_score!B:B, 0)</f>
        <v>High Risk</v>
      </c>
    </row>
    <row r="4439" spans="1:14">
      <c r="A4439" s="2">
        <v>0.55681712962962959</v>
      </c>
      <c r="B4439" s="3">
        <v>44841</v>
      </c>
      <c r="C4439" s="1">
        <v>841171611</v>
      </c>
      <c r="D4439" s="1">
        <v>8172080174</v>
      </c>
      <c r="E4439" s="1">
        <v>9327.08</v>
      </c>
      <c r="F4439" s="1" t="s">
        <v>12</v>
      </c>
      <c r="G4439" s="1" t="s">
        <v>12</v>
      </c>
      <c r="H4439" s="1" t="s">
        <v>13</v>
      </c>
      <c r="I4439" s="1" t="s">
        <v>13</v>
      </c>
      <c r="J4439" s="1" t="s">
        <v>20</v>
      </c>
      <c r="K4439" s="1">
        <v>0</v>
      </c>
      <c r="L4439" s="1" t="s">
        <v>23</v>
      </c>
      <c r="M4439" s="1" t="str">
        <f t="shared" si="70"/>
        <v>Consistent</v>
      </c>
      <c r="N4439" s="1" t="str">
        <f>_xlfn.XLOOKUP(H4439, risk_score!A:A, risk_score!B:B, 0)</f>
        <v>Low Risk</v>
      </c>
    </row>
    <row r="4440" spans="1:14">
      <c r="A4440" s="2">
        <v>0.55682870370370374</v>
      </c>
      <c r="B4440" s="3">
        <v>44841</v>
      </c>
      <c r="C4440" s="1">
        <v>2670254274</v>
      </c>
      <c r="D4440" s="1">
        <v>7854984166</v>
      </c>
      <c r="E4440" s="1">
        <v>9730.51</v>
      </c>
      <c r="F4440" s="1" t="s">
        <v>12</v>
      </c>
      <c r="G4440" s="1" t="s">
        <v>12</v>
      </c>
      <c r="H4440" s="1" t="s">
        <v>13</v>
      </c>
      <c r="I4440" s="1" t="s">
        <v>13</v>
      </c>
      <c r="J4440" s="1" t="s">
        <v>27</v>
      </c>
      <c r="K4440" s="1">
        <v>0</v>
      </c>
      <c r="L4440" s="1" t="s">
        <v>21</v>
      </c>
      <c r="M4440" s="1" t="str">
        <f t="shared" si="70"/>
        <v>Consistent</v>
      </c>
      <c r="N4440" s="1" t="str">
        <f>_xlfn.XLOOKUP(H4440, risk_score!A:A, risk_score!B:B, 0)</f>
        <v>Low Risk</v>
      </c>
    </row>
    <row r="4441" spans="1:14">
      <c r="A4441" s="2">
        <v>0.55684027777777778</v>
      </c>
      <c r="B4441" s="3">
        <v>44841</v>
      </c>
      <c r="C4441" s="1">
        <v>1501847079</v>
      </c>
      <c r="D4441" s="1">
        <v>8394168777</v>
      </c>
      <c r="E4441" s="1">
        <v>580.32000000000005</v>
      </c>
      <c r="F4441" s="1" t="s">
        <v>12</v>
      </c>
      <c r="G4441" s="1" t="s">
        <v>12</v>
      </c>
      <c r="H4441" s="1" t="s">
        <v>13</v>
      </c>
      <c r="I4441" s="1" t="s">
        <v>13</v>
      </c>
      <c r="J4441" s="1" t="s">
        <v>22</v>
      </c>
      <c r="K4441" s="1">
        <v>0</v>
      </c>
      <c r="L4441" s="1" t="s">
        <v>21</v>
      </c>
      <c r="M4441" s="1" t="str">
        <f t="shared" si="70"/>
        <v>Consistent</v>
      </c>
      <c r="N4441" s="1" t="str">
        <f>_xlfn.XLOOKUP(H4441, risk_score!A:A, risk_score!B:B, 0)</f>
        <v>Low Risk</v>
      </c>
    </row>
    <row r="4442" spans="1:14">
      <c r="A4442" s="2">
        <v>0.55686342592592597</v>
      </c>
      <c r="B4442" s="3">
        <v>44841</v>
      </c>
      <c r="C4442" s="1">
        <v>6904668523</v>
      </c>
      <c r="D4442" s="1">
        <v>3540529623</v>
      </c>
      <c r="E4442" s="1">
        <v>9250.1200000000008</v>
      </c>
      <c r="F4442" s="1" t="s">
        <v>12</v>
      </c>
      <c r="G4442" s="1" t="s">
        <v>12</v>
      </c>
      <c r="H4442" s="1" t="s">
        <v>13</v>
      </c>
      <c r="I4442" s="1" t="s">
        <v>13</v>
      </c>
      <c r="J4442" s="1" t="s">
        <v>25</v>
      </c>
      <c r="K4442" s="1">
        <v>0</v>
      </c>
      <c r="L4442" s="1" t="s">
        <v>19</v>
      </c>
      <c r="M4442" s="1" t="str">
        <f t="shared" si="70"/>
        <v>Consistent</v>
      </c>
      <c r="N4442" s="1" t="str">
        <f>_xlfn.XLOOKUP(H4442, risk_score!A:A, risk_score!B:B, 0)</f>
        <v>Low Risk</v>
      </c>
    </row>
    <row r="4443" spans="1:14">
      <c r="A4443" s="2">
        <v>0.55688657407407405</v>
      </c>
      <c r="B4443" s="3">
        <v>44841</v>
      </c>
      <c r="C4443" s="1">
        <v>8076812096</v>
      </c>
      <c r="D4443" s="1">
        <v>4527731236</v>
      </c>
      <c r="E4443" s="1">
        <v>779.79</v>
      </c>
      <c r="F4443" s="1" t="s">
        <v>12</v>
      </c>
      <c r="G4443" s="1" t="s">
        <v>12</v>
      </c>
      <c r="H4443" s="1" t="s">
        <v>13</v>
      </c>
      <c r="I4443" s="1" t="s">
        <v>13</v>
      </c>
      <c r="J4443" s="1" t="s">
        <v>25</v>
      </c>
      <c r="K4443" s="1">
        <v>0</v>
      </c>
      <c r="L4443" s="1" t="s">
        <v>21</v>
      </c>
      <c r="M4443" s="1" t="str">
        <f t="shared" si="70"/>
        <v>Consistent</v>
      </c>
      <c r="N4443" s="1" t="str">
        <f>_xlfn.XLOOKUP(H4443, risk_score!A:A, risk_score!B:B, 0)</f>
        <v>Low Risk</v>
      </c>
    </row>
    <row r="4444" spans="1:14">
      <c r="A4444" s="2">
        <v>0.55690972222222224</v>
      </c>
      <c r="B4444" s="3">
        <v>44841</v>
      </c>
      <c r="C4444" s="1">
        <v>8255987550</v>
      </c>
      <c r="D4444" s="1">
        <v>6746036361</v>
      </c>
      <c r="E4444" s="1">
        <v>826.9</v>
      </c>
      <c r="F4444" s="1" t="s">
        <v>12</v>
      </c>
      <c r="G4444" s="1" t="s">
        <v>12</v>
      </c>
      <c r="H4444" s="1" t="s">
        <v>13</v>
      </c>
      <c r="I4444" s="1" t="s">
        <v>13</v>
      </c>
      <c r="J4444" s="1" t="s">
        <v>25</v>
      </c>
      <c r="K4444" s="1">
        <v>0</v>
      </c>
      <c r="L4444" s="1" t="s">
        <v>21</v>
      </c>
      <c r="M4444" s="1" t="str">
        <f t="shared" si="70"/>
        <v>Consistent</v>
      </c>
      <c r="N4444" s="1" t="str">
        <f>_xlfn.XLOOKUP(H4444, risk_score!A:A, risk_score!B:B, 0)</f>
        <v>Low Risk</v>
      </c>
    </row>
    <row r="4445" spans="1:14">
      <c r="A4445" s="2">
        <v>0.55692129629629628</v>
      </c>
      <c r="B4445" s="3">
        <v>44841</v>
      </c>
      <c r="C4445" s="1">
        <v>612186078</v>
      </c>
      <c r="D4445" s="1">
        <v>9107206798</v>
      </c>
      <c r="E4445" s="1">
        <v>1581.47</v>
      </c>
      <c r="F4445" s="1" t="s">
        <v>12</v>
      </c>
      <c r="G4445" s="1" t="s">
        <v>12</v>
      </c>
      <c r="H4445" s="1" t="s">
        <v>13</v>
      </c>
      <c r="I4445" s="1" t="s">
        <v>13</v>
      </c>
      <c r="J4445" s="1" t="s">
        <v>14</v>
      </c>
      <c r="K4445" s="1">
        <v>0</v>
      </c>
      <c r="L4445" s="1" t="s">
        <v>15</v>
      </c>
      <c r="M4445" s="1" t="str">
        <f t="shared" si="70"/>
        <v>Consistent</v>
      </c>
      <c r="N4445" s="1" t="str">
        <f>_xlfn.XLOOKUP(H4445, risk_score!A:A, risk_score!B:B, 0)</f>
        <v>Low Risk</v>
      </c>
    </row>
    <row r="4446" spans="1:14">
      <c r="A4446" s="2">
        <v>0.55707175925925922</v>
      </c>
      <c r="B4446" s="3">
        <v>44841</v>
      </c>
      <c r="C4446" s="1">
        <v>4038914321</v>
      </c>
      <c r="D4446" s="1">
        <v>8515479473</v>
      </c>
      <c r="E4446" s="1">
        <v>5438.95</v>
      </c>
      <c r="F4446" s="1" t="s">
        <v>12</v>
      </c>
      <c r="G4446" s="1" t="s">
        <v>12</v>
      </c>
      <c r="H4446" s="1" t="s">
        <v>13</v>
      </c>
      <c r="I4446" s="1" t="s">
        <v>13</v>
      </c>
      <c r="J4446" s="1" t="s">
        <v>27</v>
      </c>
      <c r="K4446" s="1">
        <v>0</v>
      </c>
      <c r="L4446" s="1" t="s">
        <v>24</v>
      </c>
      <c r="M4446" s="1" t="str">
        <f t="shared" si="70"/>
        <v>Consistent</v>
      </c>
      <c r="N4446" s="1" t="str">
        <f>_xlfn.XLOOKUP(H4446, risk_score!A:A, risk_score!B:B, 0)</f>
        <v>Low Risk</v>
      </c>
    </row>
    <row r="4447" spans="1:14">
      <c r="A4447" s="2">
        <v>0.55708333333333337</v>
      </c>
      <c r="B4447" s="3">
        <v>44841</v>
      </c>
      <c r="C4447" s="1">
        <v>2483726392</v>
      </c>
      <c r="D4447" s="1">
        <v>9258743082</v>
      </c>
      <c r="E4447" s="1">
        <v>5940.16</v>
      </c>
      <c r="F4447" s="1" t="s">
        <v>12</v>
      </c>
      <c r="G4447" s="1" t="s">
        <v>12</v>
      </c>
      <c r="H4447" s="1" t="s">
        <v>13</v>
      </c>
      <c r="I4447" s="1" t="s">
        <v>13</v>
      </c>
      <c r="J4447" s="1" t="s">
        <v>14</v>
      </c>
      <c r="K4447" s="1">
        <v>0</v>
      </c>
      <c r="L4447" s="1" t="s">
        <v>15</v>
      </c>
      <c r="M4447" s="1" t="str">
        <f t="shared" si="70"/>
        <v>Consistent</v>
      </c>
      <c r="N4447" s="1" t="str">
        <f>_xlfn.XLOOKUP(H4447, risk_score!A:A, risk_score!B:B, 0)</f>
        <v>Low Risk</v>
      </c>
    </row>
    <row r="4448" spans="1:14">
      <c r="A4448" s="2">
        <v>0.5571180555555556</v>
      </c>
      <c r="B4448" s="3">
        <v>44841</v>
      </c>
      <c r="C4448" s="1">
        <v>7864299048</v>
      </c>
      <c r="D4448" s="1">
        <v>3092775499</v>
      </c>
      <c r="E4448" s="1">
        <v>36395.89</v>
      </c>
      <c r="F4448" s="1" t="s">
        <v>12</v>
      </c>
      <c r="G4448" s="1" t="s">
        <v>12</v>
      </c>
      <c r="H4448" s="1" t="s">
        <v>13</v>
      </c>
      <c r="I4448" s="1" t="s">
        <v>13</v>
      </c>
      <c r="J4448" s="1" t="s">
        <v>27</v>
      </c>
      <c r="K4448" s="1">
        <v>0</v>
      </c>
      <c r="L4448" s="1" t="s">
        <v>49</v>
      </c>
      <c r="M4448" s="1" t="str">
        <f t="shared" si="70"/>
        <v>Consistent</v>
      </c>
      <c r="N4448" s="1" t="str">
        <f>_xlfn.XLOOKUP(H4448, risk_score!A:A, risk_score!B:B, 0)</f>
        <v>Low Risk</v>
      </c>
    </row>
    <row r="4449" spans="1:14">
      <c r="A4449" s="2">
        <v>0.55714120370370368</v>
      </c>
      <c r="B4449" s="3">
        <v>44841</v>
      </c>
      <c r="C4449" s="1">
        <v>7236343054</v>
      </c>
      <c r="D4449" s="1">
        <v>7697622754</v>
      </c>
      <c r="E4449" s="1">
        <v>4037.57</v>
      </c>
      <c r="F4449" s="1" t="s">
        <v>12</v>
      </c>
      <c r="G4449" s="1" t="s">
        <v>12</v>
      </c>
      <c r="H4449" s="1" t="s">
        <v>13</v>
      </c>
      <c r="I4449" s="1" t="s">
        <v>13</v>
      </c>
      <c r="J4449" s="1" t="s">
        <v>14</v>
      </c>
      <c r="K4449" s="1">
        <v>0</v>
      </c>
      <c r="L4449" s="1" t="s">
        <v>15</v>
      </c>
      <c r="M4449" s="1" t="str">
        <f t="shared" si="70"/>
        <v>Consistent</v>
      </c>
      <c r="N4449" s="1" t="str">
        <f>_xlfn.XLOOKUP(H4449, risk_score!A:A, risk_score!B:B, 0)</f>
        <v>Low Risk</v>
      </c>
    </row>
    <row r="4450" spans="1:14">
      <c r="A4450" s="2">
        <v>0.55715277777777783</v>
      </c>
      <c r="B4450" s="3">
        <v>44841</v>
      </c>
      <c r="C4450" s="1">
        <v>8355706144</v>
      </c>
      <c r="D4450" s="1">
        <v>5270653383</v>
      </c>
      <c r="E4450" s="1">
        <v>3365.82</v>
      </c>
      <c r="F4450" s="1" t="s">
        <v>12</v>
      </c>
      <c r="G4450" s="1" t="s">
        <v>12</v>
      </c>
      <c r="H4450" s="1" t="s">
        <v>13</v>
      </c>
      <c r="I4450" s="1" t="s">
        <v>13</v>
      </c>
      <c r="J4450" s="1" t="s">
        <v>14</v>
      </c>
      <c r="K4450" s="1">
        <v>0</v>
      </c>
      <c r="L4450" s="1" t="s">
        <v>15</v>
      </c>
      <c r="M4450" s="1" t="str">
        <f t="shared" si="70"/>
        <v>Consistent</v>
      </c>
      <c r="N4450" s="1" t="str">
        <f>_xlfn.XLOOKUP(H4450, risk_score!A:A, risk_score!B:B, 0)</f>
        <v>Low Risk</v>
      </c>
    </row>
    <row r="4451" spans="1:14">
      <c r="A4451" s="2">
        <v>0.55716435185185187</v>
      </c>
      <c r="B4451" s="3">
        <v>44841</v>
      </c>
      <c r="C4451" s="1">
        <v>1817897839</v>
      </c>
      <c r="D4451" s="1">
        <v>247475957</v>
      </c>
      <c r="E4451" s="1">
        <v>633.32000000000005</v>
      </c>
      <c r="F4451" s="1" t="s">
        <v>59</v>
      </c>
      <c r="G4451" s="1" t="s">
        <v>12</v>
      </c>
      <c r="H4451" s="1" t="s">
        <v>13</v>
      </c>
      <c r="I4451" s="1" t="s">
        <v>13</v>
      </c>
      <c r="J4451" s="1" t="s">
        <v>20</v>
      </c>
      <c r="K4451" s="1">
        <v>0</v>
      </c>
      <c r="L4451" s="1" t="s">
        <v>21</v>
      </c>
      <c r="M4451" s="1" t="str">
        <f t="shared" si="70"/>
        <v>Potential Layering</v>
      </c>
      <c r="N4451" s="1" t="str">
        <f>_xlfn.XLOOKUP(H4451, risk_score!A:A, risk_score!B:B, 0)</f>
        <v>Low Risk</v>
      </c>
    </row>
    <row r="4452" spans="1:14">
      <c r="A4452" s="2">
        <v>0.55723379629629632</v>
      </c>
      <c r="B4452" s="3">
        <v>44841</v>
      </c>
      <c r="C4452" s="1">
        <v>7421451752</v>
      </c>
      <c r="D4452" s="1">
        <v>1160338470</v>
      </c>
      <c r="E4452" s="1">
        <v>4509.1099999999997</v>
      </c>
      <c r="F4452" s="1" t="s">
        <v>12</v>
      </c>
      <c r="G4452" s="1" t="s">
        <v>12</v>
      </c>
      <c r="H4452" s="1" t="s">
        <v>13</v>
      </c>
      <c r="I4452" s="1" t="s">
        <v>13</v>
      </c>
      <c r="J4452" s="1" t="s">
        <v>25</v>
      </c>
      <c r="K4452" s="1">
        <v>0</v>
      </c>
      <c r="L4452" s="1" t="s">
        <v>19</v>
      </c>
      <c r="M4452" s="1" t="str">
        <f t="shared" si="70"/>
        <v>Consistent</v>
      </c>
      <c r="N4452" s="1" t="str">
        <f>_xlfn.XLOOKUP(H4452, risk_score!A:A, risk_score!B:B, 0)</f>
        <v>Low Risk</v>
      </c>
    </row>
    <row r="4453" spans="1:14">
      <c r="A4453" s="2">
        <v>0.55726851851851855</v>
      </c>
      <c r="B4453" s="3">
        <v>44841</v>
      </c>
      <c r="C4453" s="1">
        <v>5325117002</v>
      </c>
      <c r="D4453" s="1">
        <v>4173195094</v>
      </c>
      <c r="E4453" s="1">
        <v>16959.8</v>
      </c>
      <c r="F4453" s="1" t="s">
        <v>12</v>
      </c>
      <c r="G4453" s="1" t="s">
        <v>12</v>
      </c>
      <c r="H4453" s="1" t="s">
        <v>13</v>
      </c>
      <c r="I4453" s="1" t="s">
        <v>13</v>
      </c>
      <c r="J4453" s="1" t="s">
        <v>25</v>
      </c>
      <c r="K4453" s="1">
        <v>0</v>
      </c>
      <c r="L4453" s="1" t="s">
        <v>23</v>
      </c>
      <c r="M4453" s="1" t="str">
        <f t="shared" si="70"/>
        <v>Consistent</v>
      </c>
      <c r="N4453" s="1" t="str">
        <f>_xlfn.XLOOKUP(H4453, risk_score!A:A, risk_score!B:B, 0)</f>
        <v>Low Risk</v>
      </c>
    </row>
    <row r="4454" spans="1:14">
      <c r="A4454" s="2">
        <v>0.55726851851851855</v>
      </c>
      <c r="B4454" s="3">
        <v>44841</v>
      </c>
      <c r="C4454" s="1">
        <v>9043538926</v>
      </c>
      <c r="D4454" s="1">
        <v>8053995400</v>
      </c>
      <c r="E4454" s="1">
        <v>314.22000000000003</v>
      </c>
      <c r="F4454" s="1" t="s">
        <v>12</v>
      </c>
      <c r="G4454" s="1" t="s">
        <v>12</v>
      </c>
      <c r="H4454" s="1" t="s">
        <v>13</v>
      </c>
      <c r="I4454" s="1" t="s">
        <v>13</v>
      </c>
      <c r="J4454" s="1" t="s">
        <v>36</v>
      </c>
      <c r="K4454" s="1">
        <v>0</v>
      </c>
      <c r="L4454" s="1" t="s">
        <v>37</v>
      </c>
      <c r="M4454" s="1" t="str">
        <f t="shared" si="70"/>
        <v>Consistent</v>
      </c>
      <c r="N4454" s="1" t="str">
        <f>_xlfn.XLOOKUP(H4454, risk_score!A:A, risk_score!B:B, 0)</f>
        <v>Low Risk</v>
      </c>
    </row>
    <row r="4455" spans="1:14">
      <c r="A4455" s="2">
        <v>0.55729166666666663</v>
      </c>
      <c r="B4455" s="3">
        <v>44841</v>
      </c>
      <c r="C4455" s="1">
        <v>2484231014</v>
      </c>
      <c r="D4455" s="1">
        <v>1465487567</v>
      </c>
      <c r="E4455" s="1">
        <v>7211.98</v>
      </c>
      <c r="F4455" s="1" t="s">
        <v>12</v>
      </c>
      <c r="G4455" s="1" t="s">
        <v>12</v>
      </c>
      <c r="H4455" s="1" t="s">
        <v>13</v>
      </c>
      <c r="I4455" s="1" t="s">
        <v>13</v>
      </c>
      <c r="J4455" s="1" t="s">
        <v>22</v>
      </c>
      <c r="K4455" s="1">
        <v>0</v>
      </c>
      <c r="L4455" s="1" t="s">
        <v>23</v>
      </c>
      <c r="M4455" s="1" t="str">
        <f t="shared" si="70"/>
        <v>Consistent</v>
      </c>
      <c r="N4455" s="1" t="str">
        <f>_xlfn.XLOOKUP(H4455, risk_score!A:A, risk_score!B:B, 0)</f>
        <v>Low Risk</v>
      </c>
    </row>
    <row r="4456" spans="1:14">
      <c r="A4456" s="2">
        <v>0.55732638888888886</v>
      </c>
      <c r="B4456" s="3">
        <v>44841</v>
      </c>
      <c r="C4456" s="1">
        <v>8203229522</v>
      </c>
      <c r="D4456" s="1">
        <v>8818164834</v>
      </c>
      <c r="E4456" s="1">
        <v>4673.3500000000004</v>
      </c>
      <c r="F4456" s="1" t="s">
        <v>12</v>
      </c>
      <c r="G4456" s="1" t="s">
        <v>12</v>
      </c>
      <c r="H4456" s="1" t="s">
        <v>13</v>
      </c>
      <c r="I4456" s="1" t="s">
        <v>13</v>
      </c>
      <c r="J4456" s="1" t="s">
        <v>20</v>
      </c>
      <c r="K4456" s="1">
        <v>0</v>
      </c>
      <c r="L4456" s="1" t="s">
        <v>19</v>
      </c>
      <c r="M4456" s="1" t="str">
        <f t="shared" si="70"/>
        <v>Consistent</v>
      </c>
      <c r="N4456" s="1" t="str">
        <f>_xlfn.XLOOKUP(H4456, risk_score!A:A, risk_score!B:B, 0)</f>
        <v>Low Risk</v>
      </c>
    </row>
    <row r="4457" spans="1:14">
      <c r="A4457" s="2">
        <v>0.5574189814814815</v>
      </c>
      <c r="B4457" s="3">
        <v>44841</v>
      </c>
      <c r="C4457" s="1">
        <v>675669049</v>
      </c>
      <c r="D4457" s="1">
        <v>3559090340</v>
      </c>
      <c r="E4457" s="1">
        <v>10979.73</v>
      </c>
      <c r="F4457" s="1" t="s">
        <v>12</v>
      </c>
      <c r="G4457" s="1" t="s">
        <v>12</v>
      </c>
      <c r="H4457" s="1" t="s">
        <v>13</v>
      </c>
      <c r="I4457" s="1" t="s">
        <v>13</v>
      </c>
      <c r="J4457" s="1" t="s">
        <v>20</v>
      </c>
      <c r="K4457" s="1">
        <v>0</v>
      </c>
      <c r="L4457" s="1" t="s">
        <v>19</v>
      </c>
      <c r="M4457" s="1" t="str">
        <f t="shared" si="70"/>
        <v>Consistent</v>
      </c>
      <c r="N4457" s="1" t="str">
        <f>_xlfn.XLOOKUP(H4457, risk_score!A:A, risk_score!B:B, 0)</f>
        <v>Low Risk</v>
      </c>
    </row>
    <row r="4458" spans="1:14">
      <c r="A4458" s="2">
        <v>0.55744212962962958</v>
      </c>
      <c r="B4458" s="3">
        <v>44841</v>
      </c>
      <c r="C4458" s="1">
        <v>9588577727</v>
      </c>
      <c r="D4458" s="1">
        <v>3220735304</v>
      </c>
      <c r="E4458" s="1">
        <v>8027.54</v>
      </c>
      <c r="F4458" s="1" t="s">
        <v>12</v>
      </c>
      <c r="G4458" s="1" t="s">
        <v>12</v>
      </c>
      <c r="H4458" s="1" t="s">
        <v>13</v>
      </c>
      <c r="I4458" s="1" t="s">
        <v>13</v>
      </c>
      <c r="J4458" s="1" t="s">
        <v>25</v>
      </c>
      <c r="K4458" s="1">
        <v>0</v>
      </c>
      <c r="L4458" s="1" t="s">
        <v>23</v>
      </c>
      <c r="M4458" s="1" t="str">
        <f t="shared" si="70"/>
        <v>Consistent</v>
      </c>
      <c r="N4458" s="1" t="str">
        <f>_xlfn.XLOOKUP(H4458, risk_score!A:A, risk_score!B:B, 0)</f>
        <v>Low Risk</v>
      </c>
    </row>
    <row r="4459" spans="1:14">
      <c r="A4459" s="2">
        <v>0.55748842592592596</v>
      </c>
      <c r="B4459" s="3">
        <v>44841</v>
      </c>
      <c r="C4459" s="1">
        <v>2101877453</v>
      </c>
      <c r="D4459" s="1">
        <v>621060264</v>
      </c>
      <c r="E4459" s="1">
        <v>10716.04</v>
      </c>
      <c r="F4459" s="1" t="s">
        <v>12</v>
      </c>
      <c r="G4459" s="1" t="s">
        <v>12</v>
      </c>
      <c r="H4459" s="1" t="s">
        <v>13</v>
      </c>
      <c r="I4459" s="1" t="s">
        <v>13</v>
      </c>
      <c r="J4459" s="1" t="s">
        <v>25</v>
      </c>
      <c r="K4459" s="1">
        <v>0</v>
      </c>
      <c r="L4459" s="1" t="s">
        <v>23</v>
      </c>
      <c r="M4459" s="1" t="str">
        <f t="shared" si="70"/>
        <v>Consistent</v>
      </c>
      <c r="N4459" s="1" t="str">
        <f>_xlfn.XLOOKUP(H4459, risk_score!A:A, risk_score!B:B, 0)</f>
        <v>Low Risk</v>
      </c>
    </row>
    <row r="4460" spans="1:14">
      <c r="A4460" s="2">
        <v>0.55751157407407403</v>
      </c>
      <c r="B4460" s="3">
        <v>44841</v>
      </c>
      <c r="C4460" s="1">
        <v>8379629650</v>
      </c>
      <c r="D4460" s="1">
        <v>1064863534</v>
      </c>
      <c r="E4460" s="1">
        <v>92464.3</v>
      </c>
      <c r="F4460" s="1" t="s">
        <v>12</v>
      </c>
      <c r="G4460" s="1" t="s">
        <v>12</v>
      </c>
      <c r="H4460" s="1" t="s">
        <v>13</v>
      </c>
      <c r="I4460" s="1" t="s">
        <v>13</v>
      </c>
      <c r="J4460" s="1" t="s">
        <v>20</v>
      </c>
      <c r="K4460" s="1">
        <v>0</v>
      </c>
      <c r="L4460" s="1" t="s">
        <v>58</v>
      </c>
      <c r="M4460" s="1" t="str">
        <f t="shared" si="70"/>
        <v>Consistent</v>
      </c>
      <c r="N4460" s="1" t="str">
        <f>_xlfn.XLOOKUP(H4460, risk_score!A:A, risk_score!B:B, 0)</f>
        <v>Low Risk</v>
      </c>
    </row>
    <row r="4461" spans="1:14">
      <c r="A4461" s="2">
        <v>0.55753472222222222</v>
      </c>
      <c r="B4461" s="3">
        <v>44841</v>
      </c>
      <c r="C4461" s="1">
        <v>194928445</v>
      </c>
      <c r="D4461" s="1">
        <v>4263827576</v>
      </c>
      <c r="E4461" s="1">
        <v>1562.56</v>
      </c>
      <c r="F4461" s="1" t="s">
        <v>12</v>
      </c>
      <c r="G4461" s="1" t="s">
        <v>12</v>
      </c>
      <c r="H4461" s="1" t="s">
        <v>13</v>
      </c>
      <c r="I4461" s="1" t="s">
        <v>13</v>
      </c>
      <c r="J4461" s="1" t="s">
        <v>25</v>
      </c>
      <c r="K4461" s="1">
        <v>0</v>
      </c>
      <c r="L4461" s="1" t="s">
        <v>21</v>
      </c>
      <c r="M4461" s="1" t="str">
        <f t="shared" si="70"/>
        <v>Consistent</v>
      </c>
      <c r="N4461" s="1" t="str">
        <f>_xlfn.XLOOKUP(H4461, risk_score!A:A, risk_score!B:B, 0)</f>
        <v>Low Risk</v>
      </c>
    </row>
    <row r="4462" spans="1:14">
      <c r="A4462" s="2">
        <v>0.55755787037037041</v>
      </c>
      <c r="B4462" s="3">
        <v>44841</v>
      </c>
      <c r="C4462" s="1">
        <v>3957772280</v>
      </c>
      <c r="D4462" s="1">
        <v>7834799023</v>
      </c>
      <c r="E4462" s="1">
        <v>6739.01</v>
      </c>
      <c r="F4462" s="1" t="s">
        <v>12</v>
      </c>
      <c r="G4462" s="1" t="s">
        <v>12</v>
      </c>
      <c r="H4462" s="1" t="s">
        <v>13</v>
      </c>
      <c r="I4462" s="1" t="s">
        <v>13</v>
      </c>
      <c r="J4462" s="1" t="s">
        <v>20</v>
      </c>
      <c r="K4462" s="1">
        <v>0</v>
      </c>
      <c r="L4462" s="1" t="s">
        <v>21</v>
      </c>
      <c r="M4462" s="1" t="str">
        <f t="shared" si="70"/>
        <v>Consistent</v>
      </c>
      <c r="N4462" s="1" t="str">
        <f>_xlfn.XLOOKUP(H4462, risk_score!A:A, risk_score!B:B, 0)</f>
        <v>Low Risk</v>
      </c>
    </row>
    <row r="4463" spans="1:14">
      <c r="A4463" s="2">
        <v>0.55756944444444445</v>
      </c>
      <c r="B4463" s="3">
        <v>44841</v>
      </c>
      <c r="C4463" s="1">
        <v>6904668523</v>
      </c>
      <c r="D4463" s="1">
        <v>4959470648</v>
      </c>
      <c r="E4463" s="1">
        <v>8109.57</v>
      </c>
      <c r="F4463" s="1" t="s">
        <v>12</v>
      </c>
      <c r="G4463" s="1" t="s">
        <v>12</v>
      </c>
      <c r="H4463" s="1" t="s">
        <v>13</v>
      </c>
      <c r="I4463" s="1" t="s">
        <v>13</v>
      </c>
      <c r="J4463" s="1" t="s">
        <v>25</v>
      </c>
      <c r="K4463" s="1">
        <v>0</v>
      </c>
      <c r="L4463" s="1" t="s">
        <v>19</v>
      </c>
      <c r="M4463" s="1" t="str">
        <f t="shared" si="70"/>
        <v>Consistent</v>
      </c>
      <c r="N4463" s="1" t="str">
        <f>_xlfn.XLOOKUP(H4463, risk_score!A:A, risk_score!B:B, 0)</f>
        <v>Low Risk</v>
      </c>
    </row>
    <row r="4464" spans="1:14">
      <c r="A4464" s="2">
        <v>0.55759259259259264</v>
      </c>
      <c r="B4464" s="3">
        <v>44841</v>
      </c>
      <c r="C4464" s="1">
        <v>2905812646</v>
      </c>
      <c r="D4464" s="1">
        <v>8200104457</v>
      </c>
      <c r="E4464" s="1">
        <v>217.11</v>
      </c>
      <c r="F4464" s="1" t="s">
        <v>12</v>
      </c>
      <c r="G4464" s="1" t="s">
        <v>12</v>
      </c>
      <c r="H4464" s="1" t="s">
        <v>13</v>
      </c>
      <c r="I4464" s="1" t="s">
        <v>13</v>
      </c>
      <c r="J4464" s="1" t="s">
        <v>14</v>
      </c>
      <c r="K4464" s="1">
        <v>0</v>
      </c>
      <c r="L4464" s="1" t="s">
        <v>15</v>
      </c>
      <c r="M4464" s="1" t="str">
        <f t="shared" si="70"/>
        <v>Consistent</v>
      </c>
      <c r="N4464" s="1" t="str">
        <f>_xlfn.XLOOKUP(H4464, risk_score!A:A, risk_score!B:B, 0)</f>
        <v>Low Risk</v>
      </c>
    </row>
    <row r="4465" spans="1:14">
      <c r="A4465" s="2">
        <v>0.55760416666666668</v>
      </c>
      <c r="B4465" s="3">
        <v>44841</v>
      </c>
      <c r="C4465" s="1">
        <v>1830300701</v>
      </c>
      <c r="D4465" s="1">
        <v>1740103909</v>
      </c>
      <c r="E4465" s="1">
        <v>11451.51</v>
      </c>
      <c r="F4465" s="1" t="s">
        <v>12</v>
      </c>
      <c r="G4465" s="1" t="s">
        <v>12</v>
      </c>
      <c r="H4465" s="1" t="s">
        <v>13</v>
      </c>
      <c r="I4465" s="1" t="s">
        <v>13</v>
      </c>
      <c r="J4465" s="1" t="s">
        <v>22</v>
      </c>
      <c r="K4465" s="1">
        <v>0</v>
      </c>
      <c r="L4465" s="1" t="s">
        <v>38</v>
      </c>
      <c r="M4465" s="1" t="str">
        <f t="shared" si="70"/>
        <v>Consistent</v>
      </c>
      <c r="N4465" s="1" t="str">
        <f>_xlfn.XLOOKUP(H4465, risk_score!A:A, risk_score!B:B, 0)</f>
        <v>Low Risk</v>
      </c>
    </row>
    <row r="4466" spans="1:14">
      <c r="A4466" s="2">
        <v>0.55763888888888891</v>
      </c>
      <c r="B4466" s="3">
        <v>44841</v>
      </c>
      <c r="C4466" s="1">
        <v>8456279067</v>
      </c>
      <c r="D4466" s="1">
        <v>8572828015</v>
      </c>
      <c r="E4466" s="1">
        <v>5623.12</v>
      </c>
      <c r="F4466" s="1" t="s">
        <v>12</v>
      </c>
      <c r="G4466" s="1" t="s">
        <v>12</v>
      </c>
      <c r="H4466" s="1" t="s">
        <v>13</v>
      </c>
      <c r="I4466" s="1" t="s">
        <v>13</v>
      </c>
      <c r="J4466" s="1" t="s">
        <v>25</v>
      </c>
      <c r="K4466" s="1">
        <v>0</v>
      </c>
      <c r="L4466" s="1" t="s">
        <v>19</v>
      </c>
      <c r="M4466" s="1" t="str">
        <f t="shared" si="70"/>
        <v>Consistent</v>
      </c>
      <c r="N4466" s="1" t="str">
        <f>_xlfn.XLOOKUP(H4466, risk_score!A:A, risk_score!B:B, 0)</f>
        <v>Low Risk</v>
      </c>
    </row>
    <row r="4467" spans="1:14">
      <c r="A4467" s="2">
        <v>0.55763888888888891</v>
      </c>
      <c r="B4467" s="3">
        <v>44841</v>
      </c>
      <c r="C4467" s="1">
        <v>6712711200</v>
      </c>
      <c r="D4467" s="1">
        <v>8518184956</v>
      </c>
      <c r="E4467" s="1">
        <v>14915.17</v>
      </c>
      <c r="F4467" s="1" t="s">
        <v>12</v>
      </c>
      <c r="G4467" s="1" t="s">
        <v>12</v>
      </c>
      <c r="H4467" s="1" t="s">
        <v>13</v>
      </c>
      <c r="I4467" s="1" t="s">
        <v>13</v>
      </c>
      <c r="J4467" s="1" t="s">
        <v>20</v>
      </c>
      <c r="K4467" s="1">
        <v>0</v>
      </c>
      <c r="L4467" s="1" t="s">
        <v>23</v>
      </c>
      <c r="M4467" s="1" t="str">
        <f t="shared" si="70"/>
        <v>Consistent</v>
      </c>
      <c r="N4467" s="1" t="str">
        <f>_xlfn.XLOOKUP(H4467, risk_score!A:A, risk_score!B:B, 0)</f>
        <v>Low Risk</v>
      </c>
    </row>
    <row r="4468" spans="1:14">
      <c r="A4468" s="2">
        <v>0.55765046296296295</v>
      </c>
      <c r="B4468" s="3">
        <v>44841</v>
      </c>
      <c r="C4468" s="1">
        <v>2484231014</v>
      </c>
      <c r="D4468" s="1">
        <v>1465487567</v>
      </c>
      <c r="E4468" s="1">
        <v>7229.12</v>
      </c>
      <c r="F4468" s="1" t="s">
        <v>12</v>
      </c>
      <c r="G4468" s="1" t="s">
        <v>12</v>
      </c>
      <c r="H4468" s="1" t="s">
        <v>13</v>
      </c>
      <c r="I4468" s="1" t="s">
        <v>13</v>
      </c>
      <c r="J4468" s="1" t="s">
        <v>22</v>
      </c>
      <c r="K4468" s="1">
        <v>0</v>
      </c>
      <c r="L4468" s="1" t="s">
        <v>23</v>
      </c>
      <c r="M4468" s="1" t="str">
        <f t="shared" si="70"/>
        <v>Consistent</v>
      </c>
      <c r="N4468" s="1" t="str">
        <f>_xlfn.XLOOKUP(H4468, risk_score!A:A, risk_score!B:B, 0)</f>
        <v>Low Risk</v>
      </c>
    </row>
    <row r="4469" spans="1:14">
      <c r="A4469" s="2">
        <v>0.55765046296296295</v>
      </c>
      <c r="B4469" s="3">
        <v>44841</v>
      </c>
      <c r="C4469" s="1">
        <v>121415105</v>
      </c>
      <c r="D4469" s="1">
        <v>6871541615</v>
      </c>
      <c r="E4469" s="1">
        <v>485.55</v>
      </c>
      <c r="F4469" s="1" t="s">
        <v>12</v>
      </c>
      <c r="G4469" s="1" t="s">
        <v>12</v>
      </c>
      <c r="H4469" s="1" t="s">
        <v>13</v>
      </c>
      <c r="I4469" s="1" t="s">
        <v>13</v>
      </c>
      <c r="J4469" s="1" t="s">
        <v>25</v>
      </c>
      <c r="K4469" s="1">
        <v>0</v>
      </c>
      <c r="L4469" s="1" t="s">
        <v>21</v>
      </c>
      <c r="M4469" s="1" t="str">
        <f t="shared" si="70"/>
        <v>Consistent</v>
      </c>
      <c r="N4469" s="1" t="str">
        <f>_xlfn.XLOOKUP(H4469, risk_score!A:A, risk_score!B:B, 0)</f>
        <v>Low Risk</v>
      </c>
    </row>
    <row r="4470" spans="1:14">
      <c r="A4470" s="2">
        <v>0.55765046296296295</v>
      </c>
      <c r="B4470" s="3">
        <v>44841</v>
      </c>
      <c r="C4470" s="1">
        <v>3012603098</v>
      </c>
      <c r="D4470" s="1">
        <v>1694189962</v>
      </c>
      <c r="E4470" s="1">
        <v>463.7</v>
      </c>
      <c r="F4470" s="1" t="s">
        <v>12</v>
      </c>
      <c r="G4470" s="1" t="s">
        <v>12</v>
      </c>
      <c r="H4470" s="1" t="s">
        <v>13</v>
      </c>
      <c r="I4470" s="1" t="s">
        <v>13</v>
      </c>
      <c r="J4470" s="1" t="s">
        <v>27</v>
      </c>
      <c r="K4470" s="1">
        <v>0</v>
      </c>
      <c r="L4470" s="1" t="s">
        <v>21</v>
      </c>
      <c r="M4470" s="1" t="str">
        <f t="shared" si="70"/>
        <v>Consistent</v>
      </c>
      <c r="N4470" s="1" t="str">
        <f>_xlfn.XLOOKUP(H4470, risk_score!A:A, risk_score!B:B, 0)</f>
        <v>Low Risk</v>
      </c>
    </row>
    <row r="4471" spans="1:14">
      <c r="A4471" s="2">
        <v>0.55767361111111113</v>
      </c>
      <c r="B4471" s="3">
        <v>44841</v>
      </c>
      <c r="C4471" s="1">
        <v>9975059059</v>
      </c>
      <c r="D4471" s="1">
        <v>7160736915</v>
      </c>
      <c r="E4471" s="1">
        <v>6651.01</v>
      </c>
      <c r="F4471" s="1" t="s">
        <v>12</v>
      </c>
      <c r="G4471" s="1" t="s">
        <v>12</v>
      </c>
      <c r="H4471" s="1" t="s">
        <v>13</v>
      </c>
      <c r="I4471" s="1" t="s">
        <v>13</v>
      </c>
      <c r="J4471" s="1" t="s">
        <v>27</v>
      </c>
      <c r="K4471" s="1">
        <v>0</v>
      </c>
      <c r="L4471" s="1" t="s">
        <v>23</v>
      </c>
      <c r="M4471" s="1" t="str">
        <f t="shared" si="70"/>
        <v>Consistent</v>
      </c>
      <c r="N4471" s="1" t="str">
        <f>_xlfn.XLOOKUP(H4471, risk_score!A:A, risk_score!B:B, 0)</f>
        <v>Low Risk</v>
      </c>
    </row>
    <row r="4472" spans="1:14">
      <c r="A4472" s="2">
        <v>0.55767361111111113</v>
      </c>
      <c r="B4472" s="3">
        <v>44841</v>
      </c>
      <c r="C4472" s="1">
        <v>5982914936</v>
      </c>
      <c r="D4472" s="1">
        <v>9491670243</v>
      </c>
      <c r="E4472" s="1">
        <v>9680.2900000000009</v>
      </c>
      <c r="F4472" s="1" t="s">
        <v>12</v>
      </c>
      <c r="G4472" s="1" t="s">
        <v>12</v>
      </c>
      <c r="H4472" s="1" t="s">
        <v>13</v>
      </c>
      <c r="I4472" s="1" t="s">
        <v>13</v>
      </c>
      <c r="J4472" s="1" t="s">
        <v>25</v>
      </c>
      <c r="K4472" s="1">
        <v>0</v>
      </c>
      <c r="L4472" s="1" t="s">
        <v>19</v>
      </c>
      <c r="M4472" s="1" t="str">
        <f t="shared" si="70"/>
        <v>Consistent</v>
      </c>
      <c r="N4472" s="1" t="str">
        <f>_xlfn.XLOOKUP(H4472, risk_score!A:A, risk_score!B:B, 0)</f>
        <v>Low Risk</v>
      </c>
    </row>
    <row r="4473" spans="1:14">
      <c r="A4473" s="2">
        <v>0.55777777777777782</v>
      </c>
      <c r="B4473" s="3">
        <v>44841</v>
      </c>
      <c r="C4473" s="1">
        <v>581151126</v>
      </c>
      <c r="D4473" s="1">
        <v>6855935396</v>
      </c>
      <c r="E4473" s="1">
        <v>5031.6499999999996</v>
      </c>
      <c r="F4473" s="1" t="s">
        <v>12</v>
      </c>
      <c r="G4473" s="1" t="s">
        <v>12</v>
      </c>
      <c r="H4473" s="1" t="s">
        <v>13</v>
      </c>
      <c r="I4473" s="1" t="s">
        <v>13</v>
      </c>
      <c r="J4473" s="1" t="s">
        <v>22</v>
      </c>
      <c r="K4473" s="1">
        <v>0</v>
      </c>
      <c r="L4473" s="1" t="s">
        <v>23</v>
      </c>
      <c r="M4473" s="1" t="str">
        <f t="shared" si="70"/>
        <v>Consistent</v>
      </c>
      <c r="N4473" s="1" t="str">
        <f>_xlfn.XLOOKUP(H4473, risk_score!A:A, risk_score!B:B, 0)</f>
        <v>Low Risk</v>
      </c>
    </row>
    <row r="4474" spans="1:14">
      <c r="A4474" s="2">
        <v>0.55778935185185186</v>
      </c>
      <c r="B4474" s="3">
        <v>44841</v>
      </c>
      <c r="C4474" s="1">
        <v>1730350525</v>
      </c>
      <c r="D4474" s="1">
        <v>4336977506</v>
      </c>
      <c r="E4474" s="1">
        <v>7176.77</v>
      </c>
      <c r="F4474" s="1" t="s">
        <v>12</v>
      </c>
      <c r="G4474" s="1" t="s">
        <v>12</v>
      </c>
      <c r="H4474" s="1" t="s">
        <v>13</v>
      </c>
      <c r="I4474" s="1" t="s">
        <v>13</v>
      </c>
      <c r="J4474" s="1" t="s">
        <v>27</v>
      </c>
      <c r="K4474" s="1">
        <v>0</v>
      </c>
      <c r="L4474" s="1" t="s">
        <v>23</v>
      </c>
      <c r="M4474" s="1" t="str">
        <f t="shared" si="70"/>
        <v>Consistent</v>
      </c>
      <c r="N4474" s="1" t="str">
        <f>_xlfn.XLOOKUP(H4474, risk_score!A:A, risk_score!B:B, 0)</f>
        <v>Low Risk</v>
      </c>
    </row>
    <row r="4475" spans="1:14">
      <c r="A4475" s="2">
        <v>0.55783564814814812</v>
      </c>
      <c r="B4475" s="3">
        <v>44841</v>
      </c>
      <c r="C4475" s="1">
        <v>5002785238</v>
      </c>
      <c r="D4475" s="1">
        <v>1983187467</v>
      </c>
      <c r="E4475" s="1">
        <v>1809.12</v>
      </c>
      <c r="F4475" s="1" t="s">
        <v>12</v>
      </c>
      <c r="G4475" s="1" t="s">
        <v>12</v>
      </c>
      <c r="H4475" s="1" t="s">
        <v>13</v>
      </c>
      <c r="I4475" s="1" t="s">
        <v>13</v>
      </c>
      <c r="J4475" s="1" t="s">
        <v>22</v>
      </c>
      <c r="K4475" s="1">
        <v>0</v>
      </c>
      <c r="L4475" s="1" t="s">
        <v>21</v>
      </c>
      <c r="M4475" s="1" t="str">
        <f t="shared" si="70"/>
        <v>Consistent</v>
      </c>
      <c r="N4475" s="1" t="str">
        <f>_xlfn.XLOOKUP(H4475, risk_score!A:A, risk_score!B:B, 0)</f>
        <v>Low Risk</v>
      </c>
    </row>
    <row r="4476" spans="1:14">
      <c r="A4476" s="2">
        <v>0.55785879629629631</v>
      </c>
      <c r="B4476" s="3">
        <v>44841</v>
      </c>
      <c r="C4476" s="1">
        <v>5172850121</v>
      </c>
      <c r="D4476" s="1">
        <v>3695545812</v>
      </c>
      <c r="E4476" s="1">
        <v>24189.29</v>
      </c>
      <c r="F4476" s="1" t="s">
        <v>12</v>
      </c>
      <c r="G4476" s="1" t="s">
        <v>12</v>
      </c>
      <c r="H4476" s="1" t="s">
        <v>13</v>
      </c>
      <c r="I4476" s="1" t="s">
        <v>13</v>
      </c>
      <c r="J4476" s="1" t="s">
        <v>25</v>
      </c>
      <c r="K4476" s="1">
        <v>0</v>
      </c>
      <c r="L4476" s="1" t="s">
        <v>23</v>
      </c>
      <c r="M4476" s="1" t="str">
        <f t="shared" si="70"/>
        <v>Consistent</v>
      </c>
      <c r="N4476" s="1" t="str">
        <f>_xlfn.XLOOKUP(H4476, risk_score!A:A, risk_score!B:B, 0)</f>
        <v>Low Risk</v>
      </c>
    </row>
    <row r="4477" spans="1:14">
      <c r="A4477" s="2">
        <v>0.55787037037037035</v>
      </c>
      <c r="B4477" s="3">
        <v>44841</v>
      </c>
      <c r="C4477" s="1">
        <v>8952177221</v>
      </c>
      <c r="D4477" s="1">
        <v>3031188286</v>
      </c>
      <c r="E4477" s="1">
        <v>11938.47</v>
      </c>
      <c r="F4477" s="1" t="s">
        <v>12</v>
      </c>
      <c r="G4477" s="1" t="s">
        <v>12</v>
      </c>
      <c r="H4477" s="1" t="s">
        <v>13</v>
      </c>
      <c r="I4477" s="1" t="s">
        <v>13</v>
      </c>
      <c r="J4477" s="1" t="s">
        <v>27</v>
      </c>
      <c r="K4477" s="1">
        <v>0</v>
      </c>
      <c r="L4477" s="1" t="s">
        <v>19</v>
      </c>
      <c r="M4477" s="1" t="str">
        <f t="shared" si="70"/>
        <v>Consistent</v>
      </c>
      <c r="N4477" s="1" t="str">
        <f>_xlfn.XLOOKUP(H4477, risk_score!A:A, risk_score!B:B, 0)</f>
        <v>Low Risk</v>
      </c>
    </row>
    <row r="4478" spans="1:14">
      <c r="A4478" s="2">
        <v>0.55789351851851854</v>
      </c>
      <c r="B4478" s="3">
        <v>44841</v>
      </c>
      <c r="C4478" s="1">
        <v>2822263820</v>
      </c>
      <c r="D4478" s="1">
        <v>8964346334</v>
      </c>
      <c r="E4478" s="1">
        <v>411.99</v>
      </c>
      <c r="F4478" s="1" t="s">
        <v>12</v>
      </c>
      <c r="G4478" s="1" t="s">
        <v>12</v>
      </c>
      <c r="H4478" s="1" t="s">
        <v>13</v>
      </c>
      <c r="I4478" s="1" t="s">
        <v>13</v>
      </c>
      <c r="J4478" s="1" t="s">
        <v>25</v>
      </c>
      <c r="K4478" s="1">
        <v>0</v>
      </c>
      <c r="L4478" s="1" t="s">
        <v>21</v>
      </c>
      <c r="M4478" s="1" t="str">
        <f t="shared" si="70"/>
        <v>Consistent</v>
      </c>
      <c r="N4478" s="1" t="str">
        <f>_xlfn.XLOOKUP(H4478, risk_score!A:A, risk_score!B:B, 0)</f>
        <v>Low Risk</v>
      </c>
    </row>
    <row r="4479" spans="1:14">
      <c r="A4479" s="2">
        <v>0.55791666666666662</v>
      </c>
      <c r="B4479" s="3">
        <v>44841</v>
      </c>
      <c r="C4479" s="1">
        <v>654541182</v>
      </c>
      <c r="D4479" s="1">
        <v>9503561690</v>
      </c>
      <c r="E4479" s="1">
        <v>199.41</v>
      </c>
      <c r="F4479" s="1" t="s">
        <v>12</v>
      </c>
      <c r="G4479" s="1" t="s">
        <v>12</v>
      </c>
      <c r="H4479" s="1" t="s">
        <v>13</v>
      </c>
      <c r="I4479" s="1" t="s">
        <v>13</v>
      </c>
      <c r="J4479" s="1" t="s">
        <v>22</v>
      </c>
      <c r="K4479" s="1">
        <v>0</v>
      </c>
      <c r="L4479" s="1" t="s">
        <v>21</v>
      </c>
      <c r="M4479" s="1" t="str">
        <f t="shared" ref="M4479:M4542" si="71">IF(F4479=G4479, "Consistent", "Potential Layering")</f>
        <v>Consistent</v>
      </c>
      <c r="N4479" s="1" t="str">
        <f>_xlfn.XLOOKUP(H4479, risk_score!A:A, risk_score!B:B, 0)</f>
        <v>Low Risk</v>
      </c>
    </row>
    <row r="4480" spans="1:14">
      <c r="A4480" s="2">
        <v>0.55792824074074077</v>
      </c>
      <c r="B4480" s="3">
        <v>44841</v>
      </c>
      <c r="C4480" s="1">
        <v>9825715647</v>
      </c>
      <c r="D4480" s="1">
        <v>7512529248</v>
      </c>
      <c r="E4480" s="1">
        <v>2036.41</v>
      </c>
      <c r="F4480" s="1" t="s">
        <v>12</v>
      </c>
      <c r="G4480" s="1" t="s">
        <v>12</v>
      </c>
      <c r="H4480" s="1" t="s">
        <v>13</v>
      </c>
      <c r="I4480" s="1" t="s">
        <v>13</v>
      </c>
      <c r="J4480" s="1" t="s">
        <v>25</v>
      </c>
      <c r="K4480" s="1">
        <v>0</v>
      </c>
      <c r="L4480" s="1" t="s">
        <v>21</v>
      </c>
      <c r="M4480" s="1" t="str">
        <f t="shared" si="71"/>
        <v>Consistent</v>
      </c>
      <c r="N4480" s="1" t="str">
        <f>_xlfn.XLOOKUP(H4480, risk_score!A:A, risk_score!B:B, 0)</f>
        <v>Low Risk</v>
      </c>
    </row>
    <row r="4481" spans="1:14">
      <c r="A4481" s="2">
        <v>0.55796296296296299</v>
      </c>
      <c r="B4481" s="3">
        <v>44841</v>
      </c>
      <c r="C4481" s="1">
        <v>942349529</v>
      </c>
      <c r="D4481" s="1">
        <v>8518184956</v>
      </c>
      <c r="E4481" s="1">
        <v>6958.44</v>
      </c>
      <c r="F4481" s="1" t="s">
        <v>12</v>
      </c>
      <c r="G4481" s="1" t="s">
        <v>12</v>
      </c>
      <c r="H4481" s="1" t="s">
        <v>13</v>
      </c>
      <c r="I4481" s="1" t="s">
        <v>13</v>
      </c>
      <c r="J4481" s="1" t="s">
        <v>22</v>
      </c>
      <c r="K4481" s="1">
        <v>0</v>
      </c>
      <c r="L4481" s="1" t="s">
        <v>23</v>
      </c>
      <c r="M4481" s="1" t="str">
        <f t="shared" si="71"/>
        <v>Consistent</v>
      </c>
      <c r="N4481" s="1" t="str">
        <f>_xlfn.XLOOKUP(H4481, risk_score!A:A, risk_score!B:B, 0)</f>
        <v>Low Risk</v>
      </c>
    </row>
    <row r="4482" spans="1:14">
      <c r="A4482" s="2">
        <v>0.55799768518518522</v>
      </c>
      <c r="B4482" s="3">
        <v>44841</v>
      </c>
      <c r="C4482" s="1">
        <v>2814891352</v>
      </c>
      <c r="D4482" s="1">
        <v>3117154751</v>
      </c>
      <c r="E4482" s="1">
        <v>6550.83</v>
      </c>
      <c r="F4482" s="1" t="s">
        <v>51</v>
      </c>
      <c r="G4482" s="1" t="s">
        <v>28</v>
      </c>
      <c r="H4482" s="1" t="s">
        <v>52</v>
      </c>
      <c r="I4482" s="1" t="s">
        <v>13</v>
      </c>
      <c r="J4482" s="1" t="s">
        <v>18</v>
      </c>
      <c r="K4482" s="1">
        <v>0</v>
      </c>
      <c r="L4482" s="1" t="s">
        <v>21</v>
      </c>
      <c r="M4482" s="1" t="str">
        <f t="shared" si="71"/>
        <v>Potential Layering</v>
      </c>
      <c r="N4482" s="1" t="str">
        <f>_xlfn.XLOOKUP(H4482, risk_score!A:A, risk_score!B:B, 0)</f>
        <v>Medium Risk</v>
      </c>
    </row>
    <row r="4483" spans="1:14">
      <c r="A4483" s="2">
        <v>0.55800925925925926</v>
      </c>
      <c r="B4483" s="3">
        <v>44841</v>
      </c>
      <c r="C4483" s="1">
        <v>5982914936</v>
      </c>
      <c r="D4483" s="1">
        <v>7629589738</v>
      </c>
      <c r="E4483" s="1">
        <v>5653.63</v>
      </c>
      <c r="F4483" s="1" t="s">
        <v>12</v>
      </c>
      <c r="G4483" s="1" t="s">
        <v>12</v>
      </c>
      <c r="H4483" s="1" t="s">
        <v>13</v>
      </c>
      <c r="I4483" s="1" t="s">
        <v>13</v>
      </c>
      <c r="J4483" s="1" t="s">
        <v>20</v>
      </c>
      <c r="K4483" s="1">
        <v>0</v>
      </c>
      <c r="L4483" s="1" t="s">
        <v>19</v>
      </c>
      <c r="M4483" s="1" t="str">
        <f t="shared" si="71"/>
        <v>Consistent</v>
      </c>
      <c r="N4483" s="1" t="str">
        <f>_xlfn.XLOOKUP(H4483, risk_score!A:A, risk_score!B:B, 0)</f>
        <v>Low Risk</v>
      </c>
    </row>
    <row r="4484" spans="1:14">
      <c r="A4484" s="2">
        <v>0.5580208333333333</v>
      </c>
      <c r="B4484" s="3">
        <v>44841</v>
      </c>
      <c r="C4484" s="1">
        <v>7829253679</v>
      </c>
      <c r="D4484" s="1">
        <v>3299494566</v>
      </c>
      <c r="E4484" s="1">
        <v>1463.86</v>
      </c>
      <c r="F4484" s="1" t="s">
        <v>12</v>
      </c>
      <c r="G4484" s="1" t="s">
        <v>12</v>
      </c>
      <c r="H4484" s="1" t="s">
        <v>13</v>
      </c>
      <c r="I4484" s="1" t="s">
        <v>13</v>
      </c>
      <c r="J4484" s="1" t="s">
        <v>27</v>
      </c>
      <c r="K4484" s="1">
        <v>0</v>
      </c>
      <c r="L4484" s="1" t="s">
        <v>21</v>
      </c>
      <c r="M4484" s="1" t="str">
        <f t="shared" si="71"/>
        <v>Consistent</v>
      </c>
      <c r="N4484" s="1" t="str">
        <f>_xlfn.XLOOKUP(H4484, risk_score!A:A, risk_score!B:B, 0)</f>
        <v>Low Risk</v>
      </c>
    </row>
    <row r="4485" spans="1:14">
      <c r="A4485" s="2">
        <v>0.55803240740740745</v>
      </c>
      <c r="B4485" s="3">
        <v>44841</v>
      </c>
      <c r="C4485" s="1">
        <v>1635754417</v>
      </c>
      <c r="D4485" s="1">
        <v>7449883589</v>
      </c>
      <c r="E4485" s="1">
        <v>2753.99</v>
      </c>
      <c r="F4485" s="1" t="s">
        <v>12</v>
      </c>
      <c r="G4485" s="1" t="s">
        <v>12</v>
      </c>
      <c r="H4485" s="1" t="s">
        <v>13</v>
      </c>
      <c r="I4485" s="1" t="s">
        <v>13</v>
      </c>
      <c r="J4485" s="1" t="s">
        <v>25</v>
      </c>
      <c r="K4485" s="1">
        <v>0</v>
      </c>
      <c r="L4485" s="1" t="s">
        <v>21</v>
      </c>
      <c r="M4485" s="1" t="str">
        <f t="shared" si="71"/>
        <v>Consistent</v>
      </c>
      <c r="N4485" s="1" t="str">
        <f>_xlfn.XLOOKUP(H4485, risk_score!A:A, risk_score!B:B, 0)</f>
        <v>Low Risk</v>
      </c>
    </row>
    <row r="4486" spans="1:14">
      <c r="A4486" s="2">
        <v>0.55803240740740745</v>
      </c>
      <c r="B4486" s="3">
        <v>44841</v>
      </c>
      <c r="C4486" s="1">
        <v>7877700106</v>
      </c>
      <c r="D4486" s="1">
        <v>2534644942</v>
      </c>
      <c r="E4486" s="1">
        <v>25243.48</v>
      </c>
      <c r="F4486" s="1" t="s">
        <v>12</v>
      </c>
      <c r="G4486" s="1" t="s">
        <v>29</v>
      </c>
      <c r="H4486" s="1" t="s">
        <v>13</v>
      </c>
      <c r="I4486" s="1" t="s">
        <v>31</v>
      </c>
      <c r="J4486" s="1" t="s">
        <v>18</v>
      </c>
      <c r="K4486" s="1">
        <v>0</v>
      </c>
      <c r="L4486" s="1" t="s">
        <v>23</v>
      </c>
      <c r="M4486" s="1" t="str">
        <f t="shared" si="71"/>
        <v>Potential Layering</v>
      </c>
      <c r="N4486" s="1" t="str">
        <f>_xlfn.XLOOKUP(H4486, risk_score!A:A, risk_score!B:B, 0)</f>
        <v>Low Risk</v>
      </c>
    </row>
    <row r="4487" spans="1:14">
      <c r="A4487" s="2">
        <v>0.55805555555555553</v>
      </c>
      <c r="B4487" s="3">
        <v>44841</v>
      </c>
      <c r="C4487" s="1">
        <v>5184249833</v>
      </c>
      <c r="D4487" s="1">
        <v>3063639034</v>
      </c>
      <c r="E4487" s="1">
        <v>3372.23</v>
      </c>
      <c r="F4487" s="1" t="s">
        <v>12</v>
      </c>
      <c r="G4487" s="1" t="s">
        <v>12</v>
      </c>
      <c r="H4487" s="1" t="s">
        <v>13</v>
      </c>
      <c r="I4487" s="1" t="s">
        <v>13</v>
      </c>
      <c r="J4487" s="1" t="s">
        <v>20</v>
      </c>
      <c r="K4487" s="1">
        <v>0</v>
      </c>
      <c r="L4487" s="1" t="s">
        <v>21</v>
      </c>
      <c r="M4487" s="1" t="str">
        <f t="shared" si="71"/>
        <v>Consistent</v>
      </c>
      <c r="N4487" s="1" t="str">
        <f>_xlfn.XLOOKUP(H4487, risk_score!A:A, risk_score!B:B, 0)</f>
        <v>Low Risk</v>
      </c>
    </row>
    <row r="4488" spans="1:14">
      <c r="A4488" s="2">
        <v>0.55809027777777775</v>
      </c>
      <c r="B4488" s="3">
        <v>44841</v>
      </c>
      <c r="C4488" s="1">
        <v>7723120112</v>
      </c>
      <c r="D4488" s="1">
        <v>1431561040</v>
      </c>
      <c r="E4488" s="1">
        <v>8467.65</v>
      </c>
      <c r="F4488" s="1" t="s">
        <v>12</v>
      </c>
      <c r="G4488" s="1" t="s">
        <v>12</v>
      </c>
      <c r="H4488" s="1" t="s">
        <v>13</v>
      </c>
      <c r="I4488" s="1" t="s">
        <v>13</v>
      </c>
      <c r="J4488" s="1" t="s">
        <v>20</v>
      </c>
      <c r="K4488" s="1">
        <v>0</v>
      </c>
      <c r="L4488" s="1" t="s">
        <v>23</v>
      </c>
      <c r="M4488" s="1" t="str">
        <f t="shared" si="71"/>
        <v>Consistent</v>
      </c>
      <c r="N4488" s="1" t="str">
        <f>_xlfn.XLOOKUP(H4488, risk_score!A:A, risk_score!B:B, 0)</f>
        <v>Low Risk</v>
      </c>
    </row>
    <row r="4489" spans="1:14">
      <c r="A4489" s="2">
        <v>0.55809027777777775</v>
      </c>
      <c r="B4489" s="3">
        <v>44841</v>
      </c>
      <c r="C4489" s="1">
        <v>7410595143</v>
      </c>
      <c r="D4489" s="1">
        <v>6415119939</v>
      </c>
      <c r="E4489" s="1">
        <v>604.03</v>
      </c>
      <c r="F4489" s="1" t="s">
        <v>12</v>
      </c>
      <c r="G4489" s="1" t="s">
        <v>12</v>
      </c>
      <c r="H4489" s="1" t="s">
        <v>13</v>
      </c>
      <c r="I4489" s="1" t="s">
        <v>13</v>
      </c>
      <c r="J4489" s="1" t="s">
        <v>27</v>
      </c>
      <c r="K4489" s="1">
        <v>0</v>
      </c>
      <c r="L4489" s="1" t="s">
        <v>21</v>
      </c>
      <c r="M4489" s="1" t="str">
        <f t="shared" si="71"/>
        <v>Consistent</v>
      </c>
      <c r="N4489" s="1" t="str">
        <f>_xlfn.XLOOKUP(H4489, risk_score!A:A, risk_score!B:B, 0)</f>
        <v>Low Risk</v>
      </c>
    </row>
    <row r="4490" spans="1:14">
      <c r="A4490" s="2">
        <v>0.5581018518518519</v>
      </c>
      <c r="B4490" s="3">
        <v>44841</v>
      </c>
      <c r="C4490" s="1">
        <v>410721659</v>
      </c>
      <c r="D4490" s="1">
        <v>9584519127</v>
      </c>
      <c r="E4490" s="1">
        <v>52.1</v>
      </c>
      <c r="F4490" s="1" t="s">
        <v>12</v>
      </c>
      <c r="G4490" s="1" t="s">
        <v>12</v>
      </c>
      <c r="H4490" s="1" t="s">
        <v>13</v>
      </c>
      <c r="I4490" s="1" t="s">
        <v>13</v>
      </c>
      <c r="J4490" s="1" t="s">
        <v>36</v>
      </c>
      <c r="K4490" s="1">
        <v>0</v>
      </c>
      <c r="L4490" s="1" t="s">
        <v>37</v>
      </c>
      <c r="M4490" s="1" t="str">
        <f t="shared" si="71"/>
        <v>Consistent</v>
      </c>
      <c r="N4490" s="1" t="str">
        <f>_xlfn.XLOOKUP(H4490, risk_score!A:A, risk_score!B:B, 0)</f>
        <v>Low Risk</v>
      </c>
    </row>
    <row r="4491" spans="1:14">
      <c r="A4491" s="2">
        <v>0.55814814814814817</v>
      </c>
      <c r="B4491" s="3">
        <v>44841</v>
      </c>
      <c r="C4491" s="1">
        <v>5544372349</v>
      </c>
      <c r="D4491" s="1">
        <v>621060264</v>
      </c>
      <c r="E4491" s="1">
        <v>12241.56</v>
      </c>
      <c r="F4491" s="1" t="s">
        <v>12</v>
      </c>
      <c r="G4491" s="1" t="s">
        <v>12</v>
      </c>
      <c r="H4491" s="1" t="s">
        <v>13</v>
      </c>
      <c r="I4491" s="1" t="s">
        <v>13</v>
      </c>
      <c r="J4491" s="1" t="s">
        <v>27</v>
      </c>
      <c r="K4491" s="1">
        <v>0</v>
      </c>
      <c r="L4491" s="1" t="s">
        <v>23</v>
      </c>
      <c r="M4491" s="1" t="str">
        <f t="shared" si="71"/>
        <v>Consistent</v>
      </c>
      <c r="N4491" s="1" t="str">
        <f>_xlfn.XLOOKUP(H4491, risk_score!A:A, risk_score!B:B, 0)</f>
        <v>Low Risk</v>
      </c>
    </row>
    <row r="4492" spans="1:14">
      <c r="A4492" s="2">
        <v>0.55814814814814817</v>
      </c>
      <c r="B4492" s="3">
        <v>44841</v>
      </c>
      <c r="C4492" s="1">
        <v>9506591992</v>
      </c>
      <c r="D4492" s="1">
        <v>791276398</v>
      </c>
      <c r="E4492" s="1">
        <v>19116.490000000002</v>
      </c>
      <c r="F4492" s="1" t="s">
        <v>12</v>
      </c>
      <c r="G4492" s="1" t="s">
        <v>12</v>
      </c>
      <c r="H4492" s="1" t="s">
        <v>13</v>
      </c>
      <c r="I4492" s="1" t="s">
        <v>13</v>
      </c>
      <c r="J4492" s="1" t="s">
        <v>25</v>
      </c>
      <c r="K4492" s="1">
        <v>0</v>
      </c>
      <c r="L4492" s="1" t="s">
        <v>38</v>
      </c>
      <c r="M4492" s="1" t="str">
        <f t="shared" si="71"/>
        <v>Consistent</v>
      </c>
      <c r="N4492" s="1" t="str">
        <f>_xlfn.XLOOKUP(H4492, risk_score!A:A, risk_score!B:B, 0)</f>
        <v>Low Risk</v>
      </c>
    </row>
    <row r="4493" spans="1:14">
      <c r="A4493" s="2">
        <v>0.5581828703703704</v>
      </c>
      <c r="B4493" s="3">
        <v>44841</v>
      </c>
      <c r="C4493" s="1">
        <v>5452849099</v>
      </c>
      <c r="D4493" s="1">
        <v>4336977506</v>
      </c>
      <c r="E4493" s="1">
        <v>8617.59</v>
      </c>
      <c r="F4493" s="1" t="s">
        <v>12</v>
      </c>
      <c r="G4493" s="1" t="s">
        <v>12</v>
      </c>
      <c r="H4493" s="1" t="s">
        <v>13</v>
      </c>
      <c r="I4493" s="1" t="s">
        <v>13</v>
      </c>
      <c r="J4493" s="1" t="s">
        <v>27</v>
      </c>
      <c r="K4493" s="1">
        <v>0</v>
      </c>
      <c r="L4493" s="1" t="s">
        <v>23</v>
      </c>
      <c r="M4493" s="1" t="str">
        <f t="shared" si="71"/>
        <v>Consistent</v>
      </c>
      <c r="N4493" s="1" t="str">
        <f>_xlfn.XLOOKUP(H4493, risk_score!A:A, risk_score!B:B, 0)</f>
        <v>Low Risk</v>
      </c>
    </row>
    <row r="4494" spans="1:14">
      <c r="A4494" s="2">
        <v>0.55820601851851848</v>
      </c>
      <c r="B4494" s="3">
        <v>44841</v>
      </c>
      <c r="C4494" s="1">
        <v>4516148683</v>
      </c>
      <c r="D4494" s="1">
        <v>1332670678</v>
      </c>
      <c r="E4494" s="1">
        <v>11365.54</v>
      </c>
      <c r="F4494" s="1" t="s">
        <v>12</v>
      </c>
      <c r="G4494" s="1" t="s">
        <v>12</v>
      </c>
      <c r="H4494" s="1" t="s">
        <v>13</v>
      </c>
      <c r="I4494" s="1" t="s">
        <v>13</v>
      </c>
      <c r="J4494" s="1" t="s">
        <v>20</v>
      </c>
      <c r="K4494" s="1">
        <v>0</v>
      </c>
      <c r="L4494" s="1" t="s">
        <v>58</v>
      </c>
      <c r="M4494" s="1" t="str">
        <f t="shared" si="71"/>
        <v>Consistent</v>
      </c>
      <c r="N4494" s="1" t="str">
        <f>_xlfn.XLOOKUP(H4494, risk_score!A:A, risk_score!B:B, 0)</f>
        <v>Low Risk</v>
      </c>
    </row>
    <row r="4495" spans="1:14">
      <c r="A4495" s="2">
        <v>0.55822916666666667</v>
      </c>
      <c r="B4495" s="3">
        <v>44841</v>
      </c>
      <c r="C4495" s="1">
        <v>1530108108</v>
      </c>
      <c r="D4495" s="1">
        <v>5885236282</v>
      </c>
      <c r="E4495" s="1">
        <v>3111.8</v>
      </c>
      <c r="F4495" s="1" t="s">
        <v>12</v>
      </c>
      <c r="G4495" s="1" t="s">
        <v>12</v>
      </c>
      <c r="H4495" s="1" t="s">
        <v>13</v>
      </c>
      <c r="I4495" s="1" t="s">
        <v>13</v>
      </c>
      <c r="J4495" s="1" t="s">
        <v>25</v>
      </c>
      <c r="K4495" s="1">
        <v>0</v>
      </c>
      <c r="L4495" s="1" t="s">
        <v>21</v>
      </c>
      <c r="M4495" s="1" t="str">
        <f t="shared" si="71"/>
        <v>Consistent</v>
      </c>
      <c r="N4495" s="1" t="str">
        <f>_xlfn.XLOOKUP(H4495, risk_score!A:A, risk_score!B:B, 0)</f>
        <v>Low Risk</v>
      </c>
    </row>
    <row r="4496" spans="1:14">
      <c r="A4496" s="2">
        <v>0.55825231481481485</v>
      </c>
      <c r="B4496" s="3">
        <v>44841</v>
      </c>
      <c r="C4496" s="1">
        <v>3452368468</v>
      </c>
      <c r="D4496" s="1">
        <v>3828135271</v>
      </c>
      <c r="E4496" s="1">
        <v>5634.93</v>
      </c>
      <c r="F4496" s="1" t="s">
        <v>12</v>
      </c>
      <c r="G4496" s="1" t="s">
        <v>12</v>
      </c>
      <c r="H4496" s="1" t="s">
        <v>13</v>
      </c>
      <c r="I4496" s="1" t="s">
        <v>13</v>
      </c>
      <c r="J4496" s="1" t="s">
        <v>25</v>
      </c>
      <c r="K4496" s="1">
        <v>0</v>
      </c>
      <c r="L4496" s="1" t="s">
        <v>19</v>
      </c>
      <c r="M4496" s="1" t="str">
        <f t="shared" si="71"/>
        <v>Consistent</v>
      </c>
      <c r="N4496" s="1" t="str">
        <f>_xlfn.XLOOKUP(H4496, risk_score!A:A, risk_score!B:B, 0)</f>
        <v>Low Risk</v>
      </c>
    </row>
    <row r="4497" spans="1:14">
      <c r="A4497" s="2">
        <v>0.55825231481481485</v>
      </c>
      <c r="B4497" s="3">
        <v>44841</v>
      </c>
      <c r="C4497" s="1">
        <v>1529009481</v>
      </c>
      <c r="D4497" s="1">
        <v>191564974</v>
      </c>
      <c r="E4497" s="1">
        <v>2223.42</v>
      </c>
      <c r="F4497" s="1" t="s">
        <v>12</v>
      </c>
      <c r="G4497" s="1" t="s">
        <v>12</v>
      </c>
      <c r="H4497" s="1" t="s">
        <v>13</v>
      </c>
      <c r="I4497" s="1" t="s">
        <v>13</v>
      </c>
      <c r="J4497" s="1" t="s">
        <v>14</v>
      </c>
      <c r="K4497" s="1">
        <v>0</v>
      </c>
      <c r="L4497" s="1" t="s">
        <v>15</v>
      </c>
      <c r="M4497" s="1" t="str">
        <f t="shared" si="71"/>
        <v>Consistent</v>
      </c>
      <c r="N4497" s="1" t="str">
        <f>_xlfn.XLOOKUP(H4497, risk_score!A:A, risk_score!B:B, 0)</f>
        <v>Low Risk</v>
      </c>
    </row>
    <row r="4498" spans="1:14">
      <c r="A4498" s="2">
        <v>0.55833333333333335</v>
      </c>
      <c r="B4498" s="3">
        <v>44841</v>
      </c>
      <c r="C4498" s="1">
        <v>2207671475</v>
      </c>
      <c r="D4498" s="1">
        <v>9481666533</v>
      </c>
      <c r="E4498" s="1">
        <v>3691.58</v>
      </c>
      <c r="F4498" s="1" t="s">
        <v>12</v>
      </c>
      <c r="G4498" s="1" t="s">
        <v>12</v>
      </c>
      <c r="H4498" s="1" t="s">
        <v>13</v>
      </c>
      <c r="I4498" s="1" t="s">
        <v>13</v>
      </c>
      <c r="J4498" s="1" t="s">
        <v>14</v>
      </c>
      <c r="K4498" s="1">
        <v>0</v>
      </c>
      <c r="L4498" s="1" t="s">
        <v>15</v>
      </c>
      <c r="M4498" s="1" t="str">
        <f t="shared" si="71"/>
        <v>Consistent</v>
      </c>
      <c r="N4498" s="1" t="str">
        <f>_xlfn.XLOOKUP(H4498, risk_score!A:A, risk_score!B:B, 0)</f>
        <v>Low Risk</v>
      </c>
    </row>
    <row r="4499" spans="1:14">
      <c r="A4499" s="2">
        <v>0.55835648148148154</v>
      </c>
      <c r="B4499" s="3">
        <v>44841</v>
      </c>
      <c r="C4499" s="1">
        <v>7917085696</v>
      </c>
      <c r="D4499" s="1">
        <v>832123785</v>
      </c>
      <c r="E4499" s="1">
        <v>252.98</v>
      </c>
      <c r="F4499" s="1" t="s">
        <v>12</v>
      </c>
      <c r="G4499" s="1" t="s">
        <v>12</v>
      </c>
      <c r="H4499" s="1" t="s">
        <v>13</v>
      </c>
      <c r="I4499" s="1" t="s">
        <v>13</v>
      </c>
      <c r="J4499" s="1" t="s">
        <v>27</v>
      </c>
      <c r="K4499" s="1">
        <v>0</v>
      </c>
      <c r="L4499" s="1" t="s">
        <v>21</v>
      </c>
      <c r="M4499" s="1" t="str">
        <f t="shared" si="71"/>
        <v>Consistent</v>
      </c>
      <c r="N4499" s="1" t="str">
        <f>_xlfn.XLOOKUP(H4499, risk_score!A:A, risk_score!B:B, 0)</f>
        <v>Low Risk</v>
      </c>
    </row>
    <row r="4500" spans="1:14">
      <c r="A4500" s="2">
        <v>0.55836805555555558</v>
      </c>
      <c r="B4500" s="3">
        <v>44841</v>
      </c>
      <c r="C4500" s="1">
        <v>2527100295</v>
      </c>
      <c r="D4500" s="1">
        <v>3171122245</v>
      </c>
      <c r="E4500" s="1">
        <v>4228.62</v>
      </c>
      <c r="F4500" s="1" t="s">
        <v>12</v>
      </c>
      <c r="G4500" s="1" t="s">
        <v>12</v>
      </c>
      <c r="H4500" s="1" t="s">
        <v>13</v>
      </c>
      <c r="I4500" s="1" t="s">
        <v>13</v>
      </c>
      <c r="J4500" s="1" t="s">
        <v>27</v>
      </c>
      <c r="K4500" s="1">
        <v>0</v>
      </c>
      <c r="L4500" s="1" t="s">
        <v>21</v>
      </c>
      <c r="M4500" s="1" t="str">
        <f t="shared" si="71"/>
        <v>Consistent</v>
      </c>
      <c r="N4500" s="1" t="str">
        <f>_xlfn.XLOOKUP(H4500, risk_score!A:A, risk_score!B:B, 0)</f>
        <v>Low Risk</v>
      </c>
    </row>
    <row r="4501" spans="1:14">
      <c r="A4501" s="2">
        <v>0.55839120370370365</v>
      </c>
      <c r="B4501" s="3">
        <v>44841</v>
      </c>
      <c r="C4501" s="1">
        <v>7648952589</v>
      </c>
      <c r="D4501" s="1">
        <v>4586589659</v>
      </c>
      <c r="E4501" s="1">
        <v>1552.75</v>
      </c>
      <c r="F4501" s="1" t="s">
        <v>12</v>
      </c>
      <c r="G4501" s="1" t="s">
        <v>12</v>
      </c>
      <c r="H4501" s="1" t="s">
        <v>13</v>
      </c>
      <c r="I4501" s="1" t="s">
        <v>13</v>
      </c>
      <c r="J4501" s="1" t="s">
        <v>20</v>
      </c>
      <c r="K4501" s="1">
        <v>0</v>
      </c>
      <c r="L4501" s="1" t="s">
        <v>21</v>
      </c>
      <c r="M4501" s="1" t="str">
        <f t="shared" si="71"/>
        <v>Consistent</v>
      </c>
      <c r="N4501" s="1" t="str">
        <f>_xlfn.XLOOKUP(H4501, risk_score!A:A, risk_score!B:B, 0)</f>
        <v>Low Risk</v>
      </c>
    </row>
    <row r="4502" spans="1:14">
      <c r="A4502" s="2">
        <v>0.5584027777777778</v>
      </c>
      <c r="B4502" s="3">
        <v>44841</v>
      </c>
      <c r="C4502" s="1">
        <v>7758268667</v>
      </c>
      <c r="D4502" s="1">
        <v>8969112643</v>
      </c>
      <c r="E4502" s="1">
        <v>13693.15</v>
      </c>
      <c r="F4502" s="1" t="s">
        <v>12</v>
      </c>
      <c r="G4502" s="1" t="s">
        <v>12</v>
      </c>
      <c r="H4502" s="1" t="s">
        <v>13</v>
      </c>
      <c r="I4502" s="1" t="s">
        <v>13</v>
      </c>
      <c r="J4502" s="1" t="s">
        <v>20</v>
      </c>
      <c r="K4502" s="1">
        <v>0</v>
      </c>
      <c r="L4502" s="1" t="s">
        <v>19</v>
      </c>
      <c r="M4502" s="1" t="str">
        <f t="shared" si="71"/>
        <v>Consistent</v>
      </c>
      <c r="N4502" s="1" t="str">
        <f>_xlfn.XLOOKUP(H4502, risk_score!A:A, risk_score!B:B, 0)</f>
        <v>Low Risk</v>
      </c>
    </row>
    <row r="4503" spans="1:14">
      <c r="A4503" s="2">
        <v>0.55844907407407407</v>
      </c>
      <c r="B4503" s="3">
        <v>44841</v>
      </c>
      <c r="C4503" s="1">
        <v>1958294737</v>
      </c>
      <c r="D4503" s="1">
        <v>1493436023</v>
      </c>
      <c r="E4503" s="1">
        <v>7642.06</v>
      </c>
      <c r="F4503" s="1" t="s">
        <v>12</v>
      </c>
      <c r="G4503" s="1" t="s">
        <v>12</v>
      </c>
      <c r="H4503" s="1" t="s">
        <v>13</v>
      </c>
      <c r="I4503" s="1" t="s">
        <v>13</v>
      </c>
      <c r="J4503" s="1" t="s">
        <v>20</v>
      </c>
      <c r="K4503" s="1">
        <v>0</v>
      </c>
      <c r="L4503" s="1" t="s">
        <v>23</v>
      </c>
      <c r="M4503" s="1" t="str">
        <f t="shared" si="71"/>
        <v>Consistent</v>
      </c>
      <c r="N4503" s="1" t="str">
        <f>_xlfn.XLOOKUP(H4503, risk_score!A:A, risk_score!B:B, 0)</f>
        <v>Low Risk</v>
      </c>
    </row>
    <row r="4504" spans="1:14">
      <c r="A4504" s="2">
        <v>0.55846064814814811</v>
      </c>
      <c r="B4504" s="3">
        <v>44841</v>
      </c>
      <c r="C4504" s="1">
        <v>6086421020</v>
      </c>
      <c r="D4504" s="1">
        <v>5888689265</v>
      </c>
      <c r="E4504" s="1">
        <v>9048.32</v>
      </c>
      <c r="F4504" s="1" t="s">
        <v>12</v>
      </c>
      <c r="G4504" s="1" t="s">
        <v>12</v>
      </c>
      <c r="H4504" s="1" t="s">
        <v>13</v>
      </c>
      <c r="I4504" s="1" t="s">
        <v>13</v>
      </c>
      <c r="J4504" s="1" t="s">
        <v>22</v>
      </c>
      <c r="K4504" s="1">
        <v>0</v>
      </c>
      <c r="L4504" s="1" t="s">
        <v>19</v>
      </c>
      <c r="M4504" s="1" t="str">
        <f t="shared" si="71"/>
        <v>Consistent</v>
      </c>
      <c r="N4504" s="1" t="str">
        <f>_xlfn.XLOOKUP(H4504, risk_score!A:A, risk_score!B:B, 0)</f>
        <v>Low Risk</v>
      </c>
    </row>
    <row r="4505" spans="1:14">
      <c r="A4505" s="2">
        <v>0.5584837962962963</v>
      </c>
      <c r="B4505" s="3">
        <v>44841</v>
      </c>
      <c r="C4505" s="1">
        <v>4018854670</v>
      </c>
      <c r="D4505" s="1">
        <v>2314280513</v>
      </c>
      <c r="E4505" s="1">
        <v>1349.01</v>
      </c>
      <c r="F4505" s="1" t="s">
        <v>12</v>
      </c>
      <c r="G4505" s="1" t="s">
        <v>12</v>
      </c>
      <c r="H4505" s="1" t="s">
        <v>13</v>
      </c>
      <c r="I4505" s="1" t="s">
        <v>13</v>
      </c>
      <c r="J4505" s="1" t="s">
        <v>27</v>
      </c>
      <c r="K4505" s="1">
        <v>0</v>
      </c>
      <c r="L4505" s="1" t="s">
        <v>21</v>
      </c>
      <c r="M4505" s="1" t="str">
        <f t="shared" si="71"/>
        <v>Consistent</v>
      </c>
      <c r="N4505" s="1" t="str">
        <f>_xlfn.XLOOKUP(H4505, risk_score!A:A, risk_score!B:B, 0)</f>
        <v>Low Risk</v>
      </c>
    </row>
    <row r="4506" spans="1:14">
      <c r="A4506" s="2">
        <v>0.55853009259259256</v>
      </c>
      <c r="B4506" s="3">
        <v>44841</v>
      </c>
      <c r="C4506" s="1">
        <v>5496610940</v>
      </c>
      <c r="D4506" s="1">
        <v>7237596021</v>
      </c>
      <c r="E4506" s="1">
        <v>3636.65</v>
      </c>
      <c r="F4506" s="1" t="s">
        <v>12</v>
      </c>
      <c r="G4506" s="1" t="s">
        <v>12</v>
      </c>
      <c r="H4506" s="1" t="s">
        <v>13</v>
      </c>
      <c r="I4506" s="1" t="s">
        <v>13</v>
      </c>
      <c r="J4506" s="1" t="s">
        <v>14</v>
      </c>
      <c r="K4506" s="1">
        <v>0</v>
      </c>
      <c r="L4506" s="1" t="s">
        <v>15</v>
      </c>
      <c r="M4506" s="1" t="str">
        <f t="shared" si="71"/>
        <v>Consistent</v>
      </c>
      <c r="N4506" s="1" t="str">
        <f>_xlfn.XLOOKUP(H4506, risk_score!A:A, risk_score!B:B, 0)</f>
        <v>Low Risk</v>
      </c>
    </row>
    <row r="4507" spans="1:14">
      <c r="A4507" s="2">
        <v>0.55853009259259256</v>
      </c>
      <c r="B4507" s="3">
        <v>44841</v>
      </c>
      <c r="C4507" s="1">
        <v>3452368468</v>
      </c>
      <c r="D4507" s="1">
        <v>4536194683</v>
      </c>
      <c r="E4507" s="1">
        <v>11237.7</v>
      </c>
      <c r="F4507" s="1" t="s">
        <v>12</v>
      </c>
      <c r="G4507" s="1" t="s">
        <v>12</v>
      </c>
      <c r="H4507" s="1" t="s">
        <v>13</v>
      </c>
      <c r="I4507" s="1" t="s">
        <v>13</v>
      </c>
      <c r="J4507" s="1" t="s">
        <v>25</v>
      </c>
      <c r="K4507" s="1">
        <v>0</v>
      </c>
      <c r="L4507" s="1" t="s">
        <v>19</v>
      </c>
      <c r="M4507" s="1" t="str">
        <f t="shared" si="71"/>
        <v>Consistent</v>
      </c>
      <c r="N4507" s="1" t="str">
        <f>_xlfn.XLOOKUP(H4507, risk_score!A:A, risk_score!B:B, 0)</f>
        <v>Low Risk</v>
      </c>
    </row>
    <row r="4508" spans="1:14">
      <c r="A4508" s="2">
        <v>0.55855324074074075</v>
      </c>
      <c r="B4508" s="3">
        <v>44841</v>
      </c>
      <c r="C4508" s="1">
        <v>9455886739</v>
      </c>
      <c r="D4508" s="1">
        <v>98860072</v>
      </c>
      <c r="E4508" s="1">
        <v>7370.57</v>
      </c>
      <c r="F4508" s="1" t="s">
        <v>12</v>
      </c>
      <c r="G4508" s="1" t="s">
        <v>12</v>
      </c>
      <c r="H4508" s="1" t="s">
        <v>13</v>
      </c>
      <c r="I4508" s="1" t="s">
        <v>13</v>
      </c>
      <c r="J4508" s="1" t="s">
        <v>27</v>
      </c>
      <c r="K4508" s="1">
        <v>0</v>
      </c>
      <c r="L4508" s="1" t="s">
        <v>21</v>
      </c>
      <c r="M4508" s="1" t="str">
        <f t="shared" si="71"/>
        <v>Consistent</v>
      </c>
      <c r="N4508" s="1" t="str">
        <f>_xlfn.XLOOKUP(H4508, risk_score!A:A, risk_score!B:B, 0)</f>
        <v>Low Risk</v>
      </c>
    </row>
    <row r="4509" spans="1:14">
      <c r="A4509" s="2">
        <v>0.55856481481481479</v>
      </c>
      <c r="B4509" s="3">
        <v>44841</v>
      </c>
      <c r="C4509" s="1">
        <v>2514117425</v>
      </c>
      <c r="D4509" s="1">
        <v>409707192</v>
      </c>
      <c r="E4509" s="1">
        <v>19610.740000000002</v>
      </c>
      <c r="F4509" s="1" t="s">
        <v>12</v>
      </c>
      <c r="G4509" s="1" t="s">
        <v>12</v>
      </c>
      <c r="H4509" s="1" t="s">
        <v>13</v>
      </c>
      <c r="I4509" s="1" t="s">
        <v>13</v>
      </c>
      <c r="J4509" s="1" t="s">
        <v>27</v>
      </c>
      <c r="K4509" s="1">
        <v>0</v>
      </c>
      <c r="L4509" s="1" t="s">
        <v>23</v>
      </c>
      <c r="M4509" s="1" t="str">
        <f t="shared" si="71"/>
        <v>Consistent</v>
      </c>
      <c r="N4509" s="1" t="str">
        <f>_xlfn.XLOOKUP(H4509, risk_score!A:A, risk_score!B:B, 0)</f>
        <v>Low Risk</v>
      </c>
    </row>
    <row r="4510" spans="1:14">
      <c r="A4510" s="2">
        <v>0.55861111111111106</v>
      </c>
      <c r="B4510" s="3">
        <v>44841</v>
      </c>
      <c r="C4510" s="1">
        <v>3580636597</v>
      </c>
      <c r="D4510" s="1">
        <v>5103043844</v>
      </c>
      <c r="E4510" s="1">
        <v>7609.69</v>
      </c>
      <c r="F4510" s="1" t="s">
        <v>12</v>
      </c>
      <c r="G4510" s="1" t="s">
        <v>44</v>
      </c>
      <c r="H4510" s="1" t="s">
        <v>13</v>
      </c>
      <c r="I4510" s="1" t="s">
        <v>45</v>
      </c>
      <c r="J4510" s="1" t="s">
        <v>18</v>
      </c>
      <c r="K4510" s="1">
        <v>0</v>
      </c>
      <c r="L4510" s="1" t="s">
        <v>23</v>
      </c>
      <c r="M4510" s="1" t="str">
        <f t="shared" si="71"/>
        <v>Potential Layering</v>
      </c>
      <c r="N4510" s="1" t="str">
        <f>_xlfn.XLOOKUP(H4510, risk_score!A:A, risk_score!B:B, 0)</f>
        <v>Low Risk</v>
      </c>
    </row>
    <row r="4511" spans="1:14">
      <c r="A4511" s="2">
        <v>0.55861111111111106</v>
      </c>
      <c r="B4511" s="3">
        <v>44841</v>
      </c>
      <c r="C4511" s="1">
        <v>6017583380</v>
      </c>
      <c r="D4511" s="1">
        <v>6181249562</v>
      </c>
      <c r="E4511" s="1">
        <v>2980.29</v>
      </c>
      <c r="F4511" s="1" t="s">
        <v>12</v>
      </c>
      <c r="G4511" s="1" t="s">
        <v>12</v>
      </c>
      <c r="H4511" s="1" t="s">
        <v>13</v>
      </c>
      <c r="I4511" s="1" t="s">
        <v>13</v>
      </c>
      <c r="J4511" s="1" t="s">
        <v>20</v>
      </c>
      <c r="K4511" s="1">
        <v>0</v>
      </c>
      <c r="L4511" s="1" t="s">
        <v>21</v>
      </c>
      <c r="M4511" s="1" t="str">
        <f t="shared" si="71"/>
        <v>Consistent</v>
      </c>
      <c r="N4511" s="1" t="str">
        <f>_xlfn.XLOOKUP(H4511, risk_score!A:A, risk_score!B:B, 0)</f>
        <v>Low Risk</v>
      </c>
    </row>
    <row r="4512" spans="1:14">
      <c r="A4512" s="2">
        <v>0.55869212962962966</v>
      </c>
      <c r="B4512" s="3">
        <v>44841</v>
      </c>
      <c r="C4512" s="1">
        <v>3626395055</v>
      </c>
      <c r="D4512" s="1">
        <v>1813519723</v>
      </c>
      <c r="E4512" s="1">
        <v>165.37</v>
      </c>
      <c r="F4512" s="1" t="s">
        <v>12</v>
      </c>
      <c r="G4512" s="1" t="s">
        <v>12</v>
      </c>
      <c r="H4512" s="1" t="s">
        <v>13</v>
      </c>
      <c r="I4512" s="1" t="s">
        <v>13</v>
      </c>
      <c r="J4512" s="1" t="s">
        <v>27</v>
      </c>
      <c r="K4512" s="1">
        <v>0</v>
      </c>
      <c r="L4512" s="1" t="s">
        <v>21</v>
      </c>
      <c r="M4512" s="1" t="str">
        <f t="shared" si="71"/>
        <v>Consistent</v>
      </c>
      <c r="N4512" s="1" t="str">
        <f>_xlfn.XLOOKUP(H4512, risk_score!A:A, risk_score!B:B, 0)</f>
        <v>Low Risk</v>
      </c>
    </row>
    <row r="4513" spans="1:14">
      <c r="A4513" s="2">
        <v>0.5587037037037037</v>
      </c>
      <c r="B4513" s="3">
        <v>44841</v>
      </c>
      <c r="C4513" s="1">
        <v>8164894544</v>
      </c>
      <c r="D4513" s="1">
        <v>5896180453</v>
      </c>
      <c r="E4513" s="1">
        <v>7326.84</v>
      </c>
      <c r="F4513" s="1" t="s">
        <v>12</v>
      </c>
      <c r="G4513" s="1" t="s">
        <v>12</v>
      </c>
      <c r="H4513" s="1" t="s">
        <v>13</v>
      </c>
      <c r="I4513" s="1" t="s">
        <v>13</v>
      </c>
      <c r="J4513" s="1" t="s">
        <v>22</v>
      </c>
      <c r="K4513" s="1">
        <v>0</v>
      </c>
      <c r="L4513" s="1" t="s">
        <v>23</v>
      </c>
      <c r="M4513" s="1" t="str">
        <f t="shared" si="71"/>
        <v>Consistent</v>
      </c>
      <c r="N4513" s="1" t="str">
        <f>_xlfn.XLOOKUP(H4513, risk_score!A:A, risk_score!B:B, 0)</f>
        <v>Low Risk</v>
      </c>
    </row>
    <row r="4514" spans="1:14">
      <c r="A4514" s="2">
        <v>0.55872685185185189</v>
      </c>
      <c r="B4514" s="3">
        <v>44841</v>
      </c>
      <c r="C4514" s="1">
        <v>7060011330</v>
      </c>
      <c r="D4514" s="1">
        <v>9257854941</v>
      </c>
      <c r="E4514" s="1">
        <v>664.78</v>
      </c>
      <c r="F4514" s="1" t="s">
        <v>12</v>
      </c>
      <c r="G4514" s="1" t="s">
        <v>12</v>
      </c>
      <c r="H4514" s="1" t="s">
        <v>13</v>
      </c>
      <c r="I4514" s="1" t="s">
        <v>13</v>
      </c>
      <c r="J4514" s="1" t="s">
        <v>14</v>
      </c>
      <c r="K4514" s="1">
        <v>0</v>
      </c>
      <c r="L4514" s="1" t="s">
        <v>15</v>
      </c>
      <c r="M4514" s="1" t="str">
        <f t="shared" si="71"/>
        <v>Consistent</v>
      </c>
      <c r="N4514" s="1" t="str">
        <f>_xlfn.XLOOKUP(H4514, risk_score!A:A, risk_score!B:B, 0)</f>
        <v>Low Risk</v>
      </c>
    </row>
    <row r="4515" spans="1:14">
      <c r="A4515" s="2">
        <v>0.55872685185185189</v>
      </c>
      <c r="B4515" s="3">
        <v>44841</v>
      </c>
      <c r="C4515" s="1">
        <v>5993566238</v>
      </c>
      <c r="D4515" s="1">
        <v>9334092695</v>
      </c>
      <c r="E4515" s="1">
        <v>2644.14</v>
      </c>
      <c r="F4515" s="1" t="s">
        <v>12</v>
      </c>
      <c r="G4515" s="1" t="s">
        <v>12</v>
      </c>
      <c r="H4515" s="1" t="s">
        <v>13</v>
      </c>
      <c r="I4515" s="1" t="s">
        <v>13</v>
      </c>
      <c r="J4515" s="1" t="s">
        <v>14</v>
      </c>
      <c r="K4515" s="1">
        <v>0</v>
      </c>
      <c r="L4515" s="1" t="s">
        <v>15</v>
      </c>
      <c r="M4515" s="1" t="str">
        <f t="shared" si="71"/>
        <v>Consistent</v>
      </c>
      <c r="N4515" s="1" t="str">
        <f>_xlfn.XLOOKUP(H4515, risk_score!A:A, risk_score!B:B, 0)</f>
        <v>Low Risk</v>
      </c>
    </row>
    <row r="4516" spans="1:14">
      <c r="A4516" s="2">
        <v>0.55873842592592593</v>
      </c>
      <c r="B4516" s="3">
        <v>44841</v>
      </c>
      <c r="C4516" s="1">
        <v>8394294350</v>
      </c>
      <c r="D4516" s="1">
        <v>8678802420</v>
      </c>
      <c r="E4516" s="1">
        <v>7871.02</v>
      </c>
      <c r="F4516" s="1" t="s">
        <v>12</v>
      </c>
      <c r="G4516" s="1" t="s">
        <v>12</v>
      </c>
      <c r="H4516" s="1" t="s">
        <v>13</v>
      </c>
      <c r="I4516" s="1" t="s">
        <v>13</v>
      </c>
      <c r="J4516" s="1" t="s">
        <v>27</v>
      </c>
      <c r="K4516" s="1">
        <v>0</v>
      </c>
      <c r="L4516" s="1" t="s">
        <v>23</v>
      </c>
      <c r="M4516" s="1" t="str">
        <f t="shared" si="71"/>
        <v>Consistent</v>
      </c>
      <c r="N4516" s="1" t="str">
        <f>_xlfn.XLOOKUP(H4516, risk_score!A:A, risk_score!B:B, 0)</f>
        <v>Low Risk</v>
      </c>
    </row>
    <row r="4517" spans="1:14">
      <c r="A4517" s="2">
        <v>0.5587847222222222</v>
      </c>
      <c r="B4517" s="3">
        <v>44841</v>
      </c>
      <c r="C4517" s="1">
        <v>7511413041</v>
      </c>
      <c r="D4517" s="1">
        <v>4612854029</v>
      </c>
      <c r="E4517" s="1">
        <v>21288.33</v>
      </c>
      <c r="F4517" s="1" t="s">
        <v>12</v>
      </c>
      <c r="G4517" s="1" t="s">
        <v>34</v>
      </c>
      <c r="H4517" s="1" t="s">
        <v>13</v>
      </c>
      <c r="I4517" s="1" t="s">
        <v>35</v>
      </c>
      <c r="J4517" s="1" t="s">
        <v>18</v>
      </c>
      <c r="K4517" s="1">
        <v>0</v>
      </c>
      <c r="L4517" s="1" t="s">
        <v>21</v>
      </c>
      <c r="M4517" s="1" t="str">
        <f t="shared" si="71"/>
        <v>Potential Layering</v>
      </c>
      <c r="N4517" s="1" t="str">
        <f>_xlfn.XLOOKUP(H4517, risk_score!A:A, risk_score!B:B, 0)</f>
        <v>Low Risk</v>
      </c>
    </row>
    <row r="4518" spans="1:14">
      <c r="A4518" s="2">
        <v>0.55880787037037039</v>
      </c>
      <c r="B4518" s="3">
        <v>44841</v>
      </c>
      <c r="C4518" s="1">
        <v>517435154</v>
      </c>
      <c r="D4518" s="1">
        <v>7411118474</v>
      </c>
      <c r="E4518" s="1">
        <v>1365.5</v>
      </c>
      <c r="F4518" s="1" t="s">
        <v>12</v>
      </c>
      <c r="G4518" s="1" t="s">
        <v>12</v>
      </c>
      <c r="H4518" s="1" t="s">
        <v>13</v>
      </c>
      <c r="I4518" s="1" t="s">
        <v>13</v>
      </c>
      <c r="J4518" s="1" t="s">
        <v>14</v>
      </c>
      <c r="K4518" s="1">
        <v>0</v>
      </c>
      <c r="L4518" s="1" t="s">
        <v>15</v>
      </c>
      <c r="M4518" s="1" t="str">
        <f t="shared" si="71"/>
        <v>Consistent</v>
      </c>
      <c r="N4518" s="1" t="str">
        <f>_xlfn.XLOOKUP(H4518, risk_score!A:A, risk_score!B:B, 0)</f>
        <v>Low Risk</v>
      </c>
    </row>
    <row r="4519" spans="1:14">
      <c r="A4519" s="2">
        <v>0.55880787037037039</v>
      </c>
      <c r="B4519" s="3">
        <v>44841</v>
      </c>
      <c r="C4519" s="1">
        <v>5906035370</v>
      </c>
      <c r="D4519" s="1">
        <v>5363117119</v>
      </c>
      <c r="E4519" s="1">
        <v>12878.58</v>
      </c>
      <c r="F4519" s="1" t="s">
        <v>12</v>
      </c>
      <c r="G4519" s="1" t="s">
        <v>12</v>
      </c>
      <c r="H4519" s="1" t="s">
        <v>13</v>
      </c>
      <c r="I4519" s="1" t="s">
        <v>13</v>
      </c>
      <c r="J4519" s="1" t="s">
        <v>25</v>
      </c>
      <c r="K4519" s="1">
        <v>0</v>
      </c>
      <c r="L4519" s="1" t="s">
        <v>23</v>
      </c>
      <c r="M4519" s="1" t="str">
        <f t="shared" si="71"/>
        <v>Consistent</v>
      </c>
      <c r="N4519" s="1" t="str">
        <f>_xlfn.XLOOKUP(H4519, risk_score!A:A, risk_score!B:B, 0)</f>
        <v>Low Risk</v>
      </c>
    </row>
    <row r="4520" spans="1:14">
      <c r="A4520" s="2">
        <v>0.55883101851851846</v>
      </c>
      <c r="B4520" s="3">
        <v>44841</v>
      </c>
      <c r="C4520" s="1">
        <v>6916264887</v>
      </c>
      <c r="D4520" s="1">
        <v>6953672776</v>
      </c>
      <c r="E4520" s="1">
        <v>6600.95</v>
      </c>
      <c r="F4520" s="1" t="s">
        <v>12</v>
      </c>
      <c r="G4520" s="1" t="s">
        <v>34</v>
      </c>
      <c r="H4520" s="1" t="s">
        <v>13</v>
      </c>
      <c r="I4520" s="1" t="s">
        <v>35</v>
      </c>
      <c r="J4520" s="1" t="s">
        <v>18</v>
      </c>
      <c r="K4520" s="1">
        <v>0</v>
      </c>
      <c r="L4520" s="1" t="s">
        <v>23</v>
      </c>
      <c r="M4520" s="1" t="str">
        <f t="shared" si="71"/>
        <v>Potential Layering</v>
      </c>
      <c r="N4520" s="1" t="str">
        <f>_xlfn.XLOOKUP(H4520, risk_score!A:A, risk_score!B:B, 0)</f>
        <v>Low Risk</v>
      </c>
    </row>
    <row r="4521" spans="1:14">
      <c r="A4521" s="2">
        <v>0.55884259259259261</v>
      </c>
      <c r="B4521" s="3">
        <v>44841</v>
      </c>
      <c r="C4521" s="1">
        <v>8952177221</v>
      </c>
      <c r="D4521" s="1">
        <v>4269977194</v>
      </c>
      <c r="E4521" s="1">
        <v>7468.83</v>
      </c>
      <c r="F4521" s="1" t="s">
        <v>12</v>
      </c>
      <c r="G4521" s="1" t="s">
        <v>12</v>
      </c>
      <c r="H4521" s="1" t="s">
        <v>13</v>
      </c>
      <c r="I4521" s="1" t="s">
        <v>13</v>
      </c>
      <c r="J4521" s="1" t="s">
        <v>25</v>
      </c>
      <c r="K4521" s="1">
        <v>0</v>
      </c>
      <c r="L4521" s="1" t="s">
        <v>19</v>
      </c>
      <c r="M4521" s="1" t="str">
        <f t="shared" si="71"/>
        <v>Consistent</v>
      </c>
      <c r="N4521" s="1" t="str">
        <f>_xlfn.XLOOKUP(H4521, risk_score!A:A, risk_score!B:B, 0)</f>
        <v>Low Risk</v>
      </c>
    </row>
    <row r="4522" spans="1:14">
      <c r="A4522" s="2">
        <v>0.55890046296296292</v>
      </c>
      <c r="B4522" s="3">
        <v>44841</v>
      </c>
      <c r="C4522" s="1">
        <v>7660286186</v>
      </c>
      <c r="D4522" s="1">
        <v>419860950</v>
      </c>
      <c r="E4522" s="1">
        <v>86.48</v>
      </c>
      <c r="F4522" s="1" t="s">
        <v>12</v>
      </c>
      <c r="G4522" s="1" t="s">
        <v>12</v>
      </c>
      <c r="H4522" s="1" t="s">
        <v>13</v>
      </c>
      <c r="I4522" s="1" t="s">
        <v>13</v>
      </c>
      <c r="J4522" s="1" t="s">
        <v>36</v>
      </c>
      <c r="K4522" s="1">
        <v>0</v>
      </c>
      <c r="L4522" s="1" t="s">
        <v>37</v>
      </c>
      <c r="M4522" s="1" t="str">
        <f t="shared" si="71"/>
        <v>Consistent</v>
      </c>
      <c r="N4522" s="1" t="str">
        <f>_xlfn.XLOOKUP(H4522, risk_score!A:A, risk_score!B:B, 0)</f>
        <v>Low Risk</v>
      </c>
    </row>
    <row r="4523" spans="1:14">
      <c r="A4523" s="2">
        <v>0.5589467592592593</v>
      </c>
      <c r="B4523" s="3">
        <v>44841</v>
      </c>
      <c r="C4523" s="1">
        <v>8203229522</v>
      </c>
      <c r="D4523" s="1">
        <v>9897263201</v>
      </c>
      <c r="E4523" s="1">
        <v>12606.42</v>
      </c>
      <c r="F4523" s="1" t="s">
        <v>12</v>
      </c>
      <c r="G4523" s="1" t="s">
        <v>12</v>
      </c>
      <c r="H4523" s="1" t="s">
        <v>13</v>
      </c>
      <c r="I4523" s="1" t="s">
        <v>13</v>
      </c>
      <c r="J4523" s="1" t="s">
        <v>27</v>
      </c>
      <c r="K4523" s="1">
        <v>0</v>
      </c>
      <c r="L4523" s="1" t="s">
        <v>19</v>
      </c>
      <c r="M4523" s="1" t="str">
        <f t="shared" si="71"/>
        <v>Consistent</v>
      </c>
      <c r="N4523" s="1" t="str">
        <f>_xlfn.XLOOKUP(H4523, risk_score!A:A, risk_score!B:B, 0)</f>
        <v>Low Risk</v>
      </c>
    </row>
    <row r="4524" spans="1:14">
      <c r="A4524" s="2">
        <v>0.55895833333333333</v>
      </c>
      <c r="B4524" s="3">
        <v>44841</v>
      </c>
      <c r="C4524" s="1">
        <v>8465013530</v>
      </c>
      <c r="D4524" s="1">
        <v>2534644942</v>
      </c>
      <c r="E4524" s="1">
        <v>16704.419999999998</v>
      </c>
      <c r="F4524" s="1" t="s">
        <v>12</v>
      </c>
      <c r="G4524" s="1" t="s">
        <v>29</v>
      </c>
      <c r="H4524" s="1" t="s">
        <v>13</v>
      </c>
      <c r="I4524" s="1" t="s">
        <v>31</v>
      </c>
      <c r="J4524" s="1" t="s">
        <v>18</v>
      </c>
      <c r="K4524" s="1">
        <v>0</v>
      </c>
      <c r="L4524" s="1" t="s">
        <v>23</v>
      </c>
      <c r="M4524" s="1" t="str">
        <f t="shared" si="71"/>
        <v>Potential Layering</v>
      </c>
      <c r="N4524" s="1" t="str">
        <f>_xlfn.XLOOKUP(H4524, risk_score!A:A, risk_score!B:B, 0)</f>
        <v>Low Risk</v>
      </c>
    </row>
    <row r="4525" spans="1:14">
      <c r="A4525" s="2">
        <v>0.55895833333333333</v>
      </c>
      <c r="B4525" s="3">
        <v>44841</v>
      </c>
      <c r="C4525" s="1">
        <v>3331021797</v>
      </c>
      <c r="D4525" s="1">
        <v>828974974</v>
      </c>
      <c r="E4525" s="1">
        <v>339.07</v>
      </c>
      <c r="F4525" s="1" t="s">
        <v>12</v>
      </c>
      <c r="G4525" s="1" t="s">
        <v>12</v>
      </c>
      <c r="H4525" s="1" t="s">
        <v>13</v>
      </c>
      <c r="I4525" s="1" t="s">
        <v>13</v>
      </c>
      <c r="J4525" s="1" t="s">
        <v>27</v>
      </c>
      <c r="K4525" s="1">
        <v>0</v>
      </c>
      <c r="L4525" s="1" t="s">
        <v>21</v>
      </c>
      <c r="M4525" s="1" t="str">
        <f t="shared" si="71"/>
        <v>Consistent</v>
      </c>
      <c r="N4525" s="1" t="str">
        <f>_xlfn.XLOOKUP(H4525, risk_score!A:A, risk_score!B:B, 0)</f>
        <v>Low Risk</v>
      </c>
    </row>
    <row r="4526" spans="1:14">
      <c r="A4526" s="2">
        <v>0.55895833333333333</v>
      </c>
      <c r="B4526" s="3">
        <v>44841</v>
      </c>
      <c r="C4526" s="1">
        <v>7258656047</v>
      </c>
      <c r="D4526" s="1">
        <v>1377603863</v>
      </c>
      <c r="E4526" s="1">
        <v>10219.84</v>
      </c>
      <c r="F4526" s="1" t="s">
        <v>12</v>
      </c>
      <c r="G4526" s="1" t="s">
        <v>12</v>
      </c>
      <c r="H4526" s="1" t="s">
        <v>13</v>
      </c>
      <c r="I4526" s="1" t="s">
        <v>13</v>
      </c>
      <c r="J4526" s="1" t="s">
        <v>27</v>
      </c>
      <c r="K4526" s="1">
        <v>0</v>
      </c>
      <c r="L4526" s="1" t="s">
        <v>23</v>
      </c>
      <c r="M4526" s="1" t="str">
        <f t="shared" si="71"/>
        <v>Consistent</v>
      </c>
      <c r="N4526" s="1" t="str">
        <f>_xlfn.XLOOKUP(H4526, risk_score!A:A, risk_score!B:B, 0)</f>
        <v>Low Risk</v>
      </c>
    </row>
    <row r="4527" spans="1:14">
      <c r="A4527" s="2">
        <v>0.55898148148148152</v>
      </c>
      <c r="B4527" s="3">
        <v>44841</v>
      </c>
      <c r="C4527" s="1">
        <v>7877700106</v>
      </c>
      <c r="D4527" s="1">
        <v>2534644942</v>
      </c>
      <c r="E4527" s="1">
        <v>25361.66</v>
      </c>
      <c r="F4527" s="1" t="s">
        <v>12</v>
      </c>
      <c r="G4527" s="1" t="s">
        <v>29</v>
      </c>
      <c r="H4527" s="1" t="s">
        <v>13</v>
      </c>
      <c r="I4527" s="1" t="s">
        <v>31</v>
      </c>
      <c r="J4527" s="1" t="s">
        <v>18</v>
      </c>
      <c r="K4527" s="1">
        <v>0</v>
      </c>
      <c r="L4527" s="1" t="s">
        <v>23</v>
      </c>
      <c r="M4527" s="1" t="str">
        <f t="shared" si="71"/>
        <v>Potential Layering</v>
      </c>
      <c r="N4527" s="1" t="str">
        <f>_xlfn.XLOOKUP(H4527, risk_score!A:A, risk_score!B:B, 0)</f>
        <v>Low Risk</v>
      </c>
    </row>
    <row r="4528" spans="1:14">
      <c r="A4528" s="2">
        <v>0.55901620370370375</v>
      </c>
      <c r="B4528" s="3">
        <v>44841</v>
      </c>
      <c r="C4528" s="1">
        <v>3452368468</v>
      </c>
      <c r="D4528" s="1">
        <v>4889103394</v>
      </c>
      <c r="E4528" s="1">
        <v>14825.62</v>
      </c>
      <c r="F4528" s="1" t="s">
        <v>12</v>
      </c>
      <c r="G4528" s="1" t="s">
        <v>12</v>
      </c>
      <c r="H4528" s="1" t="s">
        <v>13</v>
      </c>
      <c r="I4528" s="1" t="s">
        <v>13</v>
      </c>
      <c r="J4528" s="1" t="s">
        <v>20</v>
      </c>
      <c r="K4528" s="1">
        <v>0</v>
      </c>
      <c r="L4528" s="1" t="s">
        <v>19</v>
      </c>
      <c r="M4528" s="1" t="str">
        <f t="shared" si="71"/>
        <v>Consistent</v>
      </c>
      <c r="N4528" s="1" t="str">
        <f>_xlfn.XLOOKUP(H4528, risk_score!A:A, risk_score!B:B, 0)</f>
        <v>Low Risk</v>
      </c>
    </row>
    <row r="4529" spans="1:14">
      <c r="A4529" s="2">
        <v>0.55906250000000002</v>
      </c>
      <c r="B4529" s="3">
        <v>44841</v>
      </c>
      <c r="C4529" s="1">
        <v>7612945954</v>
      </c>
      <c r="D4529" s="1">
        <v>5954788102</v>
      </c>
      <c r="E4529" s="1">
        <v>1428.7</v>
      </c>
      <c r="F4529" s="1" t="s">
        <v>12</v>
      </c>
      <c r="G4529" s="1" t="s">
        <v>12</v>
      </c>
      <c r="H4529" s="1" t="s">
        <v>13</v>
      </c>
      <c r="I4529" s="1" t="s">
        <v>13</v>
      </c>
      <c r="J4529" s="1" t="s">
        <v>14</v>
      </c>
      <c r="K4529" s="1">
        <v>0</v>
      </c>
      <c r="L4529" s="1" t="s">
        <v>15</v>
      </c>
      <c r="M4529" s="1" t="str">
        <f t="shared" si="71"/>
        <v>Consistent</v>
      </c>
      <c r="N4529" s="1" t="str">
        <f>_xlfn.XLOOKUP(H4529, risk_score!A:A, risk_score!B:B, 0)</f>
        <v>Low Risk</v>
      </c>
    </row>
    <row r="4530" spans="1:14">
      <c r="A4530" s="2">
        <v>0.55906250000000002</v>
      </c>
      <c r="B4530" s="3">
        <v>44841</v>
      </c>
      <c r="C4530" s="1">
        <v>622563575</v>
      </c>
      <c r="D4530" s="1">
        <v>1215740475</v>
      </c>
      <c r="E4530" s="1">
        <v>6844.81</v>
      </c>
      <c r="F4530" s="1" t="s">
        <v>12</v>
      </c>
      <c r="G4530" s="1" t="s">
        <v>12</v>
      </c>
      <c r="H4530" s="1" t="s">
        <v>13</v>
      </c>
      <c r="I4530" s="1" t="s">
        <v>13</v>
      </c>
      <c r="J4530" s="1" t="s">
        <v>20</v>
      </c>
      <c r="K4530" s="1">
        <v>0</v>
      </c>
      <c r="L4530" s="1" t="s">
        <v>24</v>
      </c>
      <c r="M4530" s="1" t="str">
        <f t="shared" si="71"/>
        <v>Consistent</v>
      </c>
      <c r="N4530" s="1" t="str">
        <f>_xlfn.XLOOKUP(H4530, risk_score!A:A, risk_score!B:B, 0)</f>
        <v>Low Risk</v>
      </c>
    </row>
    <row r="4531" spans="1:14">
      <c r="A4531" s="2">
        <v>0.55909722222222225</v>
      </c>
      <c r="B4531" s="3">
        <v>44841</v>
      </c>
      <c r="C4531" s="1">
        <v>6134361468</v>
      </c>
      <c r="D4531" s="1">
        <v>3126004356</v>
      </c>
      <c r="E4531" s="1">
        <v>10639.24</v>
      </c>
      <c r="F4531" s="1" t="s">
        <v>12</v>
      </c>
      <c r="G4531" s="1" t="s">
        <v>12</v>
      </c>
      <c r="H4531" s="1" t="s">
        <v>13</v>
      </c>
      <c r="I4531" s="1" t="s">
        <v>13</v>
      </c>
      <c r="J4531" s="1" t="s">
        <v>25</v>
      </c>
      <c r="K4531" s="1">
        <v>0</v>
      </c>
      <c r="L4531" s="1" t="s">
        <v>21</v>
      </c>
      <c r="M4531" s="1" t="str">
        <f t="shared" si="71"/>
        <v>Consistent</v>
      </c>
      <c r="N4531" s="1" t="str">
        <f>_xlfn.XLOOKUP(H4531, risk_score!A:A, risk_score!B:B, 0)</f>
        <v>Low Risk</v>
      </c>
    </row>
    <row r="4532" spans="1:14">
      <c r="A4532" s="2">
        <v>0.55913194444444447</v>
      </c>
      <c r="B4532" s="3">
        <v>44841</v>
      </c>
      <c r="C4532" s="1">
        <v>5955159897</v>
      </c>
      <c r="D4532" s="1">
        <v>6034997194</v>
      </c>
      <c r="E4532" s="1">
        <v>13482.48</v>
      </c>
      <c r="F4532" s="1" t="s">
        <v>29</v>
      </c>
      <c r="G4532" s="1" t="s">
        <v>12</v>
      </c>
      <c r="H4532" s="1" t="s">
        <v>50</v>
      </c>
      <c r="I4532" s="1" t="s">
        <v>13</v>
      </c>
      <c r="J4532" s="1" t="s">
        <v>18</v>
      </c>
      <c r="K4532" s="1">
        <v>0</v>
      </c>
      <c r="L4532" s="1" t="s">
        <v>23</v>
      </c>
      <c r="M4532" s="1" t="str">
        <f t="shared" si="71"/>
        <v>Potential Layering</v>
      </c>
      <c r="N4532" s="1" t="str">
        <f>_xlfn.XLOOKUP(H4532, risk_score!A:A, risk_score!B:B, 0)</f>
        <v>Low Risk</v>
      </c>
    </row>
    <row r="4533" spans="1:14">
      <c r="A4533" s="2">
        <v>0.55918981481481478</v>
      </c>
      <c r="B4533" s="3">
        <v>44841</v>
      </c>
      <c r="C4533" s="1">
        <v>3918256548</v>
      </c>
      <c r="D4533" s="1">
        <v>6185167250</v>
      </c>
      <c r="E4533" s="1">
        <v>470.51</v>
      </c>
      <c r="F4533" s="1" t="s">
        <v>12</v>
      </c>
      <c r="G4533" s="1" t="s">
        <v>12</v>
      </c>
      <c r="H4533" s="1" t="s">
        <v>13</v>
      </c>
      <c r="I4533" s="1" t="s">
        <v>13</v>
      </c>
      <c r="J4533" s="1" t="s">
        <v>20</v>
      </c>
      <c r="K4533" s="1">
        <v>0</v>
      </c>
      <c r="L4533" s="1" t="s">
        <v>21</v>
      </c>
      <c r="M4533" s="1" t="str">
        <f t="shared" si="71"/>
        <v>Consistent</v>
      </c>
      <c r="N4533" s="1" t="str">
        <f>_xlfn.XLOOKUP(H4533, risk_score!A:A, risk_score!B:B, 0)</f>
        <v>Low Risk</v>
      </c>
    </row>
    <row r="4534" spans="1:14">
      <c r="A4534" s="2">
        <v>0.55920138888888893</v>
      </c>
      <c r="B4534" s="3">
        <v>44841</v>
      </c>
      <c r="C4534" s="1">
        <v>4325840388</v>
      </c>
      <c r="D4534" s="1">
        <v>8448609952</v>
      </c>
      <c r="E4534" s="1">
        <v>3308.48</v>
      </c>
      <c r="F4534" s="1" t="s">
        <v>12</v>
      </c>
      <c r="G4534" s="1" t="s">
        <v>12</v>
      </c>
      <c r="H4534" s="1" t="s">
        <v>13</v>
      </c>
      <c r="I4534" s="1" t="s">
        <v>13</v>
      </c>
      <c r="J4534" s="1" t="s">
        <v>25</v>
      </c>
      <c r="K4534" s="1">
        <v>0</v>
      </c>
      <c r="L4534" s="1" t="s">
        <v>21</v>
      </c>
      <c r="M4534" s="1" t="str">
        <f t="shared" si="71"/>
        <v>Consistent</v>
      </c>
      <c r="N4534" s="1" t="str">
        <f>_xlfn.XLOOKUP(H4534, risk_score!A:A, risk_score!B:B, 0)</f>
        <v>Low Risk</v>
      </c>
    </row>
    <row r="4535" spans="1:14">
      <c r="A4535" s="2">
        <v>0.55921296296296297</v>
      </c>
      <c r="B4535" s="3">
        <v>44841</v>
      </c>
      <c r="C4535" s="1">
        <v>7042835632</v>
      </c>
      <c r="D4535" s="1">
        <v>1424693007</v>
      </c>
      <c r="E4535" s="1">
        <v>3360.22</v>
      </c>
      <c r="F4535" s="1" t="s">
        <v>12</v>
      </c>
      <c r="G4535" s="1" t="s">
        <v>12</v>
      </c>
      <c r="H4535" s="1" t="s">
        <v>13</v>
      </c>
      <c r="I4535" s="1" t="s">
        <v>13</v>
      </c>
      <c r="J4535" s="1" t="s">
        <v>20</v>
      </c>
      <c r="K4535" s="1">
        <v>0</v>
      </c>
      <c r="L4535" s="1" t="s">
        <v>24</v>
      </c>
      <c r="M4535" s="1" t="str">
        <f t="shared" si="71"/>
        <v>Consistent</v>
      </c>
      <c r="N4535" s="1" t="str">
        <f>_xlfn.XLOOKUP(H4535, risk_score!A:A, risk_score!B:B, 0)</f>
        <v>Low Risk</v>
      </c>
    </row>
    <row r="4536" spans="1:14">
      <c r="A4536" s="2">
        <v>0.55922453703703701</v>
      </c>
      <c r="B4536" s="3">
        <v>44841</v>
      </c>
      <c r="C4536" s="1">
        <v>7758268667</v>
      </c>
      <c r="D4536" s="1">
        <v>8992041252</v>
      </c>
      <c r="E4536" s="1">
        <v>7648.36</v>
      </c>
      <c r="F4536" s="1" t="s">
        <v>12</v>
      </c>
      <c r="G4536" s="1" t="s">
        <v>12</v>
      </c>
      <c r="H4536" s="1" t="s">
        <v>13</v>
      </c>
      <c r="I4536" s="1" t="s">
        <v>13</v>
      </c>
      <c r="J4536" s="1" t="s">
        <v>22</v>
      </c>
      <c r="K4536" s="1">
        <v>0</v>
      </c>
      <c r="L4536" s="1" t="s">
        <v>19</v>
      </c>
      <c r="M4536" s="1" t="str">
        <f t="shared" si="71"/>
        <v>Consistent</v>
      </c>
      <c r="N4536" s="1" t="str">
        <f>_xlfn.XLOOKUP(H4536, risk_score!A:A, risk_score!B:B, 0)</f>
        <v>Low Risk</v>
      </c>
    </row>
    <row r="4537" spans="1:14">
      <c r="A4537" s="2">
        <v>0.55925925925925923</v>
      </c>
      <c r="B4537" s="3">
        <v>44841</v>
      </c>
      <c r="C4537" s="1">
        <v>9033093606</v>
      </c>
      <c r="D4537" s="1">
        <v>4566276320</v>
      </c>
      <c r="E4537" s="1">
        <v>945.81</v>
      </c>
      <c r="F4537" s="1" t="s">
        <v>12</v>
      </c>
      <c r="G4537" s="1" t="s">
        <v>12</v>
      </c>
      <c r="H4537" s="1" t="s">
        <v>13</v>
      </c>
      <c r="I4537" s="1" t="s">
        <v>13</v>
      </c>
      <c r="J4537" s="1" t="s">
        <v>27</v>
      </c>
      <c r="K4537" s="1">
        <v>0</v>
      </c>
      <c r="L4537" s="1" t="s">
        <v>21</v>
      </c>
      <c r="M4537" s="1" t="str">
        <f t="shared" si="71"/>
        <v>Consistent</v>
      </c>
      <c r="N4537" s="1" t="str">
        <f>_xlfn.XLOOKUP(H4537, risk_score!A:A, risk_score!B:B, 0)</f>
        <v>Low Risk</v>
      </c>
    </row>
    <row r="4538" spans="1:14">
      <c r="A4538" s="2">
        <v>0.55925925925925923</v>
      </c>
      <c r="B4538" s="3">
        <v>44841</v>
      </c>
      <c r="C4538" s="1">
        <v>7758268667</v>
      </c>
      <c r="D4538" s="1">
        <v>301740914</v>
      </c>
      <c r="E4538" s="1">
        <v>8829.49</v>
      </c>
      <c r="F4538" s="1" t="s">
        <v>12</v>
      </c>
      <c r="G4538" s="1" t="s">
        <v>12</v>
      </c>
      <c r="H4538" s="1" t="s">
        <v>13</v>
      </c>
      <c r="I4538" s="1" t="s">
        <v>13</v>
      </c>
      <c r="J4538" s="1" t="s">
        <v>22</v>
      </c>
      <c r="K4538" s="1">
        <v>0</v>
      </c>
      <c r="L4538" s="1" t="s">
        <v>19</v>
      </c>
      <c r="M4538" s="1" t="str">
        <f t="shared" si="71"/>
        <v>Consistent</v>
      </c>
      <c r="N4538" s="1" t="str">
        <f>_xlfn.XLOOKUP(H4538, risk_score!A:A, risk_score!B:B, 0)</f>
        <v>Low Risk</v>
      </c>
    </row>
    <row r="4539" spans="1:14">
      <c r="A4539" s="2">
        <v>0.5593055555555555</v>
      </c>
      <c r="B4539" s="3">
        <v>44841</v>
      </c>
      <c r="C4539" s="1">
        <v>86251380</v>
      </c>
      <c r="D4539" s="1">
        <v>8252790943</v>
      </c>
      <c r="E4539" s="1">
        <v>57.17</v>
      </c>
      <c r="F4539" s="1" t="s">
        <v>12</v>
      </c>
      <c r="G4539" s="1" t="s">
        <v>12</v>
      </c>
      <c r="H4539" s="1" t="s">
        <v>13</v>
      </c>
      <c r="I4539" s="1" t="s">
        <v>13</v>
      </c>
      <c r="J4539" s="1" t="s">
        <v>22</v>
      </c>
      <c r="K4539" s="1">
        <v>0</v>
      </c>
      <c r="L4539" s="1" t="s">
        <v>21</v>
      </c>
      <c r="M4539" s="1" t="str">
        <f t="shared" si="71"/>
        <v>Consistent</v>
      </c>
      <c r="N4539" s="1" t="str">
        <f>_xlfn.XLOOKUP(H4539, risk_score!A:A, risk_score!B:B, 0)</f>
        <v>Low Risk</v>
      </c>
    </row>
    <row r="4540" spans="1:14">
      <c r="A4540" s="2">
        <v>0.5593055555555555</v>
      </c>
      <c r="B4540" s="3">
        <v>44841</v>
      </c>
      <c r="C4540" s="1">
        <v>7149658623</v>
      </c>
      <c r="D4540" s="1">
        <v>8562157450</v>
      </c>
      <c r="E4540" s="1">
        <v>1625.12</v>
      </c>
      <c r="F4540" s="1" t="s">
        <v>12</v>
      </c>
      <c r="G4540" s="1" t="s">
        <v>12</v>
      </c>
      <c r="H4540" s="1" t="s">
        <v>13</v>
      </c>
      <c r="I4540" s="1" t="s">
        <v>13</v>
      </c>
      <c r="J4540" s="1" t="s">
        <v>20</v>
      </c>
      <c r="K4540" s="1">
        <v>0</v>
      </c>
      <c r="L4540" s="1" t="s">
        <v>21</v>
      </c>
      <c r="M4540" s="1" t="str">
        <f t="shared" si="71"/>
        <v>Consistent</v>
      </c>
      <c r="N4540" s="1" t="str">
        <f>_xlfn.XLOOKUP(H4540, risk_score!A:A, risk_score!B:B, 0)</f>
        <v>Low Risk</v>
      </c>
    </row>
    <row r="4541" spans="1:14">
      <c r="A4541" s="2">
        <v>0.55934027777777773</v>
      </c>
      <c r="B4541" s="3">
        <v>44841</v>
      </c>
      <c r="C4541" s="1">
        <v>47426338</v>
      </c>
      <c r="D4541" s="1">
        <v>5448000896</v>
      </c>
      <c r="E4541" s="1">
        <v>11094.49</v>
      </c>
      <c r="F4541" s="1" t="s">
        <v>12</v>
      </c>
      <c r="G4541" s="1" t="s">
        <v>12</v>
      </c>
      <c r="H4541" s="1" t="s">
        <v>13</v>
      </c>
      <c r="I4541" s="1" t="s">
        <v>13</v>
      </c>
      <c r="J4541" s="1" t="s">
        <v>25</v>
      </c>
      <c r="K4541" s="1">
        <v>0</v>
      </c>
      <c r="L4541" s="1" t="s">
        <v>21</v>
      </c>
      <c r="M4541" s="1" t="str">
        <f t="shared" si="71"/>
        <v>Consistent</v>
      </c>
      <c r="N4541" s="1" t="str">
        <f>_xlfn.XLOOKUP(H4541, risk_score!A:A, risk_score!B:B, 0)</f>
        <v>Low Risk</v>
      </c>
    </row>
    <row r="4542" spans="1:14">
      <c r="A4542" s="2">
        <v>0.55939814814814814</v>
      </c>
      <c r="B4542" s="3">
        <v>44841</v>
      </c>
      <c r="C4542" s="1">
        <v>3399295126</v>
      </c>
      <c r="D4542" s="1">
        <v>5341764983</v>
      </c>
      <c r="E4542" s="1">
        <v>292.64999999999998</v>
      </c>
      <c r="F4542" s="1" t="s">
        <v>12</v>
      </c>
      <c r="G4542" s="1" t="s">
        <v>12</v>
      </c>
      <c r="H4542" s="1" t="s">
        <v>13</v>
      </c>
      <c r="I4542" s="1" t="s">
        <v>13</v>
      </c>
      <c r="J4542" s="1" t="s">
        <v>36</v>
      </c>
      <c r="K4542" s="1">
        <v>0</v>
      </c>
      <c r="L4542" s="1" t="s">
        <v>37</v>
      </c>
      <c r="M4542" s="1" t="str">
        <f t="shared" si="71"/>
        <v>Consistent</v>
      </c>
      <c r="N4542" s="1" t="str">
        <f>_xlfn.XLOOKUP(H4542, risk_score!A:A, risk_score!B:B, 0)</f>
        <v>Low Risk</v>
      </c>
    </row>
    <row r="4543" spans="1:14">
      <c r="A4543" s="2">
        <v>0.55940972222222218</v>
      </c>
      <c r="B4543" s="3">
        <v>44841</v>
      </c>
      <c r="C4543" s="1">
        <v>9734083970</v>
      </c>
      <c r="D4543" s="1">
        <v>1812525358</v>
      </c>
      <c r="E4543" s="1">
        <v>5797.02</v>
      </c>
      <c r="F4543" s="1" t="s">
        <v>12</v>
      </c>
      <c r="G4543" s="1" t="s">
        <v>12</v>
      </c>
      <c r="H4543" s="1" t="s">
        <v>13</v>
      </c>
      <c r="I4543" s="1" t="s">
        <v>13</v>
      </c>
      <c r="J4543" s="1" t="s">
        <v>25</v>
      </c>
      <c r="K4543" s="1">
        <v>0</v>
      </c>
      <c r="L4543" s="1" t="s">
        <v>19</v>
      </c>
      <c r="M4543" s="1" t="str">
        <f t="shared" ref="M4543:M4606" si="72">IF(F4543=G4543, "Consistent", "Potential Layering")</f>
        <v>Consistent</v>
      </c>
      <c r="N4543" s="1" t="str">
        <f>_xlfn.XLOOKUP(H4543, risk_score!A:A, risk_score!B:B, 0)</f>
        <v>Low Risk</v>
      </c>
    </row>
    <row r="4544" spans="1:14">
      <c r="A4544" s="2">
        <v>0.55950231481481483</v>
      </c>
      <c r="B4544" s="3">
        <v>44841</v>
      </c>
      <c r="C4544" s="1">
        <v>1937509788</v>
      </c>
      <c r="D4544" s="1">
        <v>5628674969</v>
      </c>
      <c r="E4544" s="1">
        <v>9761.5</v>
      </c>
      <c r="F4544" s="1" t="s">
        <v>12</v>
      </c>
      <c r="G4544" s="1" t="s">
        <v>12</v>
      </c>
      <c r="H4544" s="1" t="s">
        <v>13</v>
      </c>
      <c r="I4544" s="1" t="s">
        <v>13</v>
      </c>
      <c r="J4544" s="1" t="s">
        <v>20</v>
      </c>
      <c r="K4544" s="1">
        <v>0</v>
      </c>
      <c r="L4544" s="1" t="s">
        <v>23</v>
      </c>
      <c r="M4544" s="1" t="str">
        <f t="shared" si="72"/>
        <v>Consistent</v>
      </c>
      <c r="N4544" s="1" t="str">
        <f>_xlfn.XLOOKUP(H4544, risk_score!A:A, risk_score!B:B, 0)</f>
        <v>Low Risk</v>
      </c>
    </row>
    <row r="4545" spans="1:14">
      <c r="A4545" s="2">
        <v>0.55954861111111109</v>
      </c>
      <c r="B4545" s="3">
        <v>44841</v>
      </c>
      <c r="C4545" s="1">
        <v>4934495998</v>
      </c>
      <c r="D4545" s="1">
        <v>9481895054</v>
      </c>
      <c r="E4545" s="1">
        <v>1019.77</v>
      </c>
      <c r="F4545" s="1" t="s">
        <v>12</v>
      </c>
      <c r="G4545" s="1" t="s">
        <v>12</v>
      </c>
      <c r="H4545" s="1" t="s">
        <v>13</v>
      </c>
      <c r="I4545" s="1" t="s">
        <v>13</v>
      </c>
      <c r="J4545" s="1" t="s">
        <v>22</v>
      </c>
      <c r="K4545" s="1">
        <v>0</v>
      </c>
      <c r="L4545" s="1" t="s">
        <v>21</v>
      </c>
      <c r="M4545" s="1" t="str">
        <f t="shared" si="72"/>
        <v>Consistent</v>
      </c>
      <c r="N4545" s="1" t="str">
        <f>_xlfn.XLOOKUP(H4545, risk_score!A:A, risk_score!B:B, 0)</f>
        <v>Low Risk</v>
      </c>
    </row>
    <row r="4546" spans="1:14">
      <c r="A4546" s="2">
        <v>0.55954861111111109</v>
      </c>
      <c r="B4546" s="3">
        <v>44841</v>
      </c>
      <c r="C4546" s="1">
        <v>1376796548</v>
      </c>
      <c r="D4546" s="1">
        <v>6444220418</v>
      </c>
      <c r="E4546" s="1">
        <v>8224.8799999999992</v>
      </c>
      <c r="F4546" s="1" t="s">
        <v>12</v>
      </c>
      <c r="G4546" s="1" t="s">
        <v>12</v>
      </c>
      <c r="H4546" s="1" t="s">
        <v>13</v>
      </c>
      <c r="I4546" s="1" t="s">
        <v>13</v>
      </c>
      <c r="J4546" s="1" t="s">
        <v>25</v>
      </c>
      <c r="K4546" s="1">
        <v>0</v>
      </c>
      <c r="L4546" s="1" t="s">
        <v>23</v>
      </c>
      <c r="M4546" s="1" t="str">
        <f t="shared" si="72"/>
        <v>Consistent</v>
      </c>
      <c r="N4546" s="1" t="str">
        <f>_xlfn.XLOOKUP(H4546, risk_score!A:A, risk_score!B:B, 0)</f>
        <v>Low Risk</v>
      </c>
    </row>
    <row r="4547" spans="1:14">
      <c r="A4547" s="2">
        <v>0.55956018518518513</v>
      </c>
      <c r="B4547" s="3">
        <v>44841</v>
      </c>
      <c r="C4547" s="1">
        <v>9222757302</v>
      </c>
      <c r="D4547" s="1">
        <v>5109623450</v>
      </c>
      <c r="E4547" s="1">
        <v>9142.15</v>
      </c>
      <c r="F4547" s="1" t="s">
        <v>12</v>
      </c>
      <c r="G4547" s="1" t="s">
        <v>12</v>
      </c>
      <c r="H4547" s="1" t="s">
        <v>13</v>
      </c>
      <c r="I4547" s="1" t="s">
        <v>13</v>
      </c>
      <c r="J4547" s="1" t="s">
        <v>22</v>
      </c>
      <c r="K4547" s="1">
        <v>0</v>
      </c>
      <c r="L4547" s="1" t="s">
        <v>23</v>
      </c>
      <c r="M4547" s="1" t="str">
        <f t="shared" si="72"/>
        <v>Consistent</v>
      </c>
      <c r="N4547" s="1" t="str">
        <f>_xlfn.XLOOKUP(H4547, risk_score!A:A, risk_score!B:B, 0)</f>
        <v>Low Risk</v>
      </c>
    </row>
    <row r="4548" spans="1:14">
      <c r="A4548" s="2">
        <v>0.55956018518518513</v>
      </c>
      <c r="B4548" s="3">
        <v>44841</v>
      </c>
      <c r="C4548" s="1">
        <v>4422193584</v>
      </c>
      <c r="D4548" s="1">
        <v>9412281200</v>
      </c>
      <c r="E4548" s="1">
        <v>96.59</v>
      </c>
      <c r="F4548" s="1" t="s">
        <v>12</v>
      </c>
      <c r="G4548" s="1" t="s">
        <v>12</v>
      </c>
      <c r="H4548" s="1" t="s">
        <v>13</v>
      </c>
      <c r="I4548" s="1" t="s">
        <v>13</v>
      </c>
      <c r="J4548" s="1" t="s">
        <v>36</v>
      </c>
      <c r="K4548" s="1">
        <v>0</v>
      </c>
      <c r="L4548" s="1" t="s">
        <v>37</v>
      </c>
      <c r="M4548" s="1" t="str">
        <f t="shared" si="72"/>
        <v>Consistent</v>
      </c>
      <c r="N4548" s="1" t="str">
        <f>_xlfn.XLOOKUP(H4548, risk_score!A:A, risk_score!B:B, 0)</f>
        <v>Low Risk</v>
      </c>
    </row>
    <row r="4549" spans="1:14">
      <c r="A4549" s="2">
        <v>0.55957175925925928</v>
      </c>
      <c r="B4549" s="3">
        <v>44841</v>
      </c>
      <c r="C4549" s="1">
        <v>507469920</v>
      </c>
      <c r="D4549" s="1">
        <v>1027651346</v>
      </c>
      <c r="E4549" s="1">
        <v>1186.19</v>
      </c>
      <c r="F4549" s="1" t="s">
        <v>26</v>
      </c>
      <c r="G4549" s="1" t="s">
        <v>12</v>
      </c>
      <c r="H4549" s="1" t="s">
        <v>13</v>
      </c>
      <c r="I4549" s="1" t="s">
        <v>13</v>
      </c>
      <c r="J4549" s="1" t="s">
        <v>20</v>
      </c>
      <c r="K4549" s="1">
        <v>0</v>
      </c>
      <c r="L4549" s="1" t="s">
        <v>21</v>
      </c>
      <c r="M4549" s="1" t="str">
        <f t="shared" si="72"/>
        <v>Potential Layering</v>
      </c>
      <c r="N4549" s="1" t="str">
        <f>_xlfn.XLOOKUP(H4549, risk_score!A:A, risk_score!B:B, 0)</f>
        <v>Low Risk</v>
      </c>
    </row>
    <row r="4550" spans="1:14">
      <c r="A4550" s="2">
        <v>0.55965277777777778</v>
      </c>
      <c r="B4550" s="3">
        <v>44841</v>
      </c>
      <c r="C4550" s="1">
        <v>8341412096</v>
      </c>
      <c r="D4550" s="1">
        <v>5109623450</v>
      </c>
      <c r="E4550" s="1">
        <v>7851.96</v>
      </c>
      <c r="F4550" s="1" t="s">
        <v>12</v>
      </c>
      <c r="G4550" s="1" t="s">
        <v>12</v>
      </c>
      <c r="H4550" s="1" t="s">
        <v>13</v>
      </c>
      <c r="I4550" s="1" t="s">
        <v>13</v>
      </c>
      <c r="J4550" s="1" t="s">
        <v>22</v>
      </c>
      <c r="K4550" s="1">
        <v>0</v>
      </c>
      <c r="L4550" s="1" t="s">
        <v>23</v>
      </c>
      <c r="M4550" s="1" t="str">
        <f t="shared" si="72"/>
        <v>Consistent</v>
      </c>
      <c r="N4550" s="1" t="str">
        <f>_xlfn.XLOOKUP(H4550, risk_score!A:A, risk_score!B:B, 0)</f>
        <v>Low Risk</v>
      </c>
    </row>
    <row r="4551" spans="1:14">
      <c r="A4551" s="2">
        <v>0.55980324074074073</v>
      </c>
      <c r="B4551" s="3">
        <v>44841</v>
      </c>
      <c r="C4551" s="1">
        <v>7992464835</v>
      </c>
      <c r="D4551" s="1">
        <v>8739855178</v>
      </c>
      <c r="E4551" s="1">
        <v>871.66</v>
      </c>
      <c r="F4551" s="1" t="s">
        <v>12</v>
      </c>
      <c r="G4551" s="1" t="s">
        <v>12</v>
      </c>
      <c r="H4551" s="1" t="s">
        <v>13</v>
      </c>
      <c r="I4551" s="1" t="s">
        <v>13</v>
      </c>
      <c r="J4551" s="1" t="s">
        <v>20</v>
      </c>
      <c r="K4551" s="1">
        <v>0</v>
      </c>
      <c r="L4551" s="1" t="s">
        <v>21</v>
      </c>
      <c r="M4551" s="1" t="str">
        <f t="shared" si="72"/>
        <v>Consistent</v>
      </c>
      <c r="N4551" s="1" t="str">
        <f>_xlfn.XLOOKUP(H4551, risk_score!A:A, risk_score!B:B, 0)</f>
        <v>Low Risk</v>
      </c>
    </row>
    <row r="4552" spans="1:14">
      <c r="A4552" s="2">
        <v>0.55984953703703699</v>
      </c>
      <c r="B4552" s="3">
        <v>44841</v>
      </c>
      <c r="C4552" s="1">
        <v>8898696157</v>
      </c>
      <c r="D4552" s="1">
        <v>6646502650</v>
      </c>
      <c r="E4552" s="1">
        <v>10169.129999999999</v>
      </c>
      <c r="F4552" s="1" t="s">
        <v>12</v>
      </c>
      <c r="G4552" s="1" t="s">
        <v>29</v>
      </c>
      <c r="H4552" s="1" t="s">
        <v>13</v>
      </c>
      <c r="I4552" s="1" t="s">
        <v>31</v>
      </c>
      <c r="J4552" s="1" t="s">
        <v>18</v>
      </c>
      <c r="K4552" s="1">
        <v>0</v>
      </c>
      <c r="L4552" s="1" t="s">
        <v>23</v>
      </c>
      <c r="M4552" s="1" t="str">
        <f t="shared" si="72"/>
        <v>Potential Layering</v>
      </c>
      <c r="N4552" s="1" t="str">
        <f>_xlfn.XLOOKUP(H4552, risk_score!A:A, risk_score!B:B, 0)</f>
        <v>Low Risk</v>
      </c>
    </row>
    <row r="4553" spans="1:14">
      <c r="A4553" s="2">
        <v>0.55987268518518518</v>
      </c>
      <c r="B4553" s="3">
        <v>44841</v>
      </c>
      <c r="C4553" s="1">
        <v>2013350717</v>
      </c>
      <c r="D4553" s="1">
        <v>8309111731</v>
      </c>
      <c r="E4553" s="1">
        <v>3137.01</v>
      </c>
      <c r="F4553" s="1" t="s">
        <v>12</v>
      </c>
      <c r="G4553" s="1" t="s">
        <v>12</v>
      </c>
      <c r="H4553" s="1" t="s">
        <v>13</v>
      </c>
      <c r="I4553" s="1" t="s">
        <v>13</v>
      </c>
      <c r="J4553" s="1" t="s">
        <v>27</v>
      </c>
      <c r="K4553" s="1">
        <v>0</v>
      </c>
      <c r="L4553" s="1" t="s">
        <v>24</v>
      </c>
      <c r="M4553" s="1" t="str">
        <f t="shared" si="72"/>
        <v>Consistent</v>
      </c>
      <c r="N4553" s="1" t="str">
        <f>_xlfn.XLOOKUP(H4553, risk_score!A:A, risk_score!B:B, 0)</f>
        <v>Low Risk</v>
      </c>
    </row>
    <row r="4554" spans="1:14">
      <c r="A4554" s="2">
        <v>0.55988425925925922</v>
      </c>
      <c r="B4554" s="3">
        <v>44841</v>
      </c>
      <c r="C4554" s="1">
        <v>6679205752</v>
      </c>
      <c r="D4554" s="1">
        <v>5109623450</v>
      </c>
      <c r="E4554" s="1">
        <v>12149.75</v>
      </c>
      <c r="F4554" s="1" t="s">
        <v>12</v>
      </c>
      <c r="G4554" s="1" t="s">
        <v>12</v>
      </c>
      <c r="H4554" s="1" t="s">
        <v>13</v>
      </c>
      <c r="I4554" s="1" t="s">
        <v>13</v>
      </c>
      <c r="J4554" s="1" t="s">
        <v>25</v>
      </c>
      <c r="K4554" s="1">
        <v>0</v>
      </c>
      <c r="L4554" s="1" t="s">
        <v>23</v>
      </c>
      <c r="M4554" s="1" t="str">
        <f t="shared" si="72"/>
        <v>Consistent</v>
      </c>
      <c r="N4554" s="1" t="str">
        <f>_xlfn.XLOOKUP(H4554, risk_score!A:A, risk_score!B:B, 0)</f>
        <v>Low Risk</v>
      </c>
    </row>
    <row r="4555" spans="1:14">
      <c r="A4555" s="2">
        <v>0.55991898148148145</v>
      </c>
      <c r="B4555" s="3">
        <v>44841</v>
      </c>
      <c r="C4555" s="1">
        <v>3337304913</v>
      </c>
      <c r="D4555" s="1">
        <v>3549170820</v>
      </c>
      <c r="E4555" s="1">
        <v>5533.77</v>
      </c>
      <c r="F4555" s="1" t="s">
        <v>12</v>
      </c>
      <c r="G4555" s="1" t="s">
        <v>12</v>
      </c>
      <c r="H4555" s="1" t="s">
        <v>13</v>
      </c>
      <c r="I4555" s="1" t="s">
        <v>13</v>
      </c>
      <c r="J4555" s="1" t="s">
        <v>14</v>
      </c>
      <c r="K4555" s="1">
        <v>0</v>
      </c>
      <c r="L4555" s="1" t="s">
        <v>15</v>
      </c>
      <c r="M4555" s="1" t="str">
        <f t="shared" si="72"/>
        <v>Consistent</v>
      </c>
      <c r="N4555" s="1" t="str">
        <f>_xlfn.XLOOKUP(H4555, risk_score!A:A, risk_score!B:B, 0)</f>
        <v>Low Risk</v>
      </c>
    </row>
    <row r="4556" spans="1:14">
      <c r="A4556" s="2">
        <v>0.55995370370370368</v>
      </c>
      <c r="B4556" s="3">
        <v>44841</v>
      </c>
      <c r="C4556" s="1">
        <v>9734083970</v>
      </c>
      <c r="D4556" s="1">
        <v>1812525358</v>
      </c>
      <c r="E4556" s="1">
        <v>5743.1</v>
      </c>
      <c r="F4556" s="1" t="s">
        <v>12</v>
      </c>
      <c r="G4556" s="1" t="s">
        <v>12</v>
      </c>
      <c r="H4556" s="1" t="s">
        <v>13</v>
      </c>
      <c r="I4556" s="1" t="s">
        <v>13</v>
      </c>
      <c r="J4556" s="1" t="s">
        <v>20</v>
      </c>
      <c r="K4556" s="1">
        <v>0</v>
      </c>
      <c r="L4556" s="1" t="s">
        <v>19</v>
      </c>
      <c r="M4556" s="1" t="str">
        <f t="shared" si="72"/>
        <v>Consistent</v>
      </c>
      <c r="N4556" s="1" t="str">
        <f>_xlfn.XLOOKUP(H4556, risk_score!A:A, risk_score!B:B, 0)</f>
        <v>Low Risk</v>
      </c>
    </row>
    <row r="4557" spans="1:14">
      <c r="A4557" s="2">
        <v>0.56001157407407409</v>
      </c>
      <c r="B4557" s="3">
        <v>44841</v>
      </c>
      <c r="C4557" s="1">
        <v>1670948762</v>
      </c>
      <c r="D4557" s="1">
        <v>6444220418</v>
      </c>
      <c r="E4557" s="1">
        <v>17638.759999999998</v>
      </c>
      <c r="F4557" s="1" t="s">
        <v>12</v>
      </c>
      <c r="G4557" s="1" t="s">
        <v>12</v>
      </c>
      <c r="H4557" s="1" t="s">
        <v>13</v>
      </c>
      <c r="I4557" s="1" t="s">
        <v>13</v>
      </c>
      <c r="J4557" s="1" t="s">
        <v>22</v>
      </c>
      <c r="K4557" s="1">
        <v>0</v>
      </c>
      <c r="L4557" s="1" t="s">
        <v>23</v>
      </c>
      <c r="M4557" s="1" t="str">
        <f t="shared" si="72"/>
        <v>Consistent</v>
      </c>
      <c r="N4557" s="1" t="str">
        <f>_xlfn.XLOOKUP(H4557, risk_score!A:A, risk_score!B:B, 0)</f>
        <v>Low Risk</v>
      </c>
    </row>
    <row r="4558" spans="1:14">
      <c r="A4558" s="2">
        <v>0.56004629629629632</v>
      </c>
      <c r="B4558" s="3">
        <v>44841</v>
      </c>
      <c r="C4558" s="1">
        <v>6086421020</v>
      </c>
      <c r="D4558" s="1">
        <v>7141835964</v>
      </c>
      <c r="E4558" s="1">
        <v>8114.63</v>
      </c>
      <c r="F4558" s="1" t="s">
        <v>12</v>
      </c>
      <c r="G4558" s="1" t="s">
        <v>12</v>
      </c>
      <c r="H4558" s="1" t="s">
        <v>13</v>
      </c>
      <c r="I4558" s="1" t="s">
        <v>13</v>
      </c>
      <c r="J4558" s="1" t="s">
        <v>20</v>
      </c>
      <c r="K4558" s="1">
        <v>0</v>
      </c>
      <c r="L4558" s="1" t="s">
        <v>19</v>
      </c>
      <c r="M4558" s="1" t="str">
        <f t="shared" si="72"/>
        <v>Consistent</v>
      </c>
      <c r="N4558" s="1" t="str">
        <f>_xlfn.XLOOKUP(H4558, risk_score!A:A, risk_score!B:B, 0)</f>
        <v>Low Risk</v>
      </c>
    </row>
    <row r="4559" spans="1:14">
      <c r="A4559" s="2">
        <v>0.56005787037037036</v>
      </c>
      <c r="B4559" s="3">
        <v>44841</v>
      </c>
      <c r="C4559" s="1">
        <v>9599009457</v>
      </c>
      <c r="D4559" s="1">
        <v>8402697545</v>
      </c>
      <c r="E4559" s="1">
        <v>12966.95</v>
      </c>
      <c r="F4559" s="1" t="s">
        <v>12</v>
      </c>
      <c r="G4559" s="1" t="s">
        <v>12</v>
      </c>
      <c r="H4559" s="1" t="s">
        <v>13</v>
      </c>
      <c r="I4559" s="1" t="s">
        <v>13</v>
      </c>
      <c r="J4559" s="1" t="s">
        <v>20</v>
      </c>
      <c r="K4559" s="1">
        <v>0</v>
      </c>
      <c r="L4559" s="1" t="s">
        <v>19</v>
      </c>
      <c r="M4559" s="1" t="str">
        <f t="shared" si="72"/>
        <v>Consistent</v>
      </c>
      <c r="N4559" s="1" t="str">
        <f>_xlfn.XLOOKUP(H4559, risk_score!A:A, risk_score!B:B, 0)</f>
        <v>Low Risk</v>
      </c>
    </row>
    <row r="4560" spans="1:14">
      <c r="A4560" s="2">
        <v>0.56005787037037036</v>
      </c>
      <c r="B4560" s="3">
        <v>44841</v>
      </c>
      <c r="C4560" s="1">
        <v>2010751584</v>
      </c>
      <c r="D4560" s="1">
        <v>9034847904</v>
      </c>
      <c r="E4560" s="1">
        <v>4321.92</v>
      </c>
      <c r="F4560" s="1" t="s">
        <v>12</v>
      </c>
      <c r="G4560" s="1" t="s">
        <v>12</v>
      </c>
      <c r="H4560" s="1" t="s">
        <v>13</v>
      </c>
      <c r="I4560" s="1" t="s">
        <v>13</v>
      </c>
      <c r="J4560" s="1" t="s">
        <v>27</v>
      </c>
      <c r="K4560" s="1">
        <v>0</v>
      </c>
      <c r="L4560" s="1" t="s">
        <v>21</v>
      </c>
      <c r="M4560" s="1" t="str">
        <f t="shared" si="72"/>
        <v>Consistent</v>
      </c>
      <c r="N4560" s="1" t="str">
        <f>_xlfn.XLOOKUP(H4560, risk_score!A:A, risk_score!B:B, 0)</f>
        <v>Low Risk</v>
      </c>
    </row>
    <row r="4561" spans="1:14">
      <c r="A4561" s="2">
        <v>0.56008101851851855</v>
      </c>
      <c r="B4561" s="3">
        <v>44841</v>
      </c>
      <c r="C4561" s="1">
        <v>2797271466</v>
      </c>
      <c r="D4561" s="1">
        <v>5633100295</v>
      </c>
      <c r="E4561" s="1">
        <v>8721.94</v>
      </c>
      <c r="F4561" s="1" t="s">
        <v>12</v>
      </c>
      <c r="G4561" s="1" t="s">
        <v>12</v>
      </c>
      <c r="H4561" s="1" t="s">
        <v>13</v>
      </c>
      <c r="I4561" s="1" t="s">
        <v>13</v>
      </c>
      <c r="J4561" s="1" t="s">
        <v>20</v>
      </c>
      <c r="K4561" s="1">
        <v>0</v>
      </c>
      <c r="L4561" s="1" t="s">
        <v>19</v>
      </c>
      <c r="M4561" s="1" t="str">
        <f t="shared" si="72"/>
        <v>Consistent</v>
      </c>
      <c r="N4561" s="1" t="str">
        <f>_xlfn.XLOOKUP(H4561, risk_score!A:A, risk_score!B:B, 0)</f>
        <v>Low Risk</v>
      </c>
    </row>
    <row r="4562" spans="1:14">
      <c r="A4562" s="2">
        <v>0.56008101851851855</v>
      </c>
      <c r="B4562" s="3">
        <v>44841</v>
      </c>
      <c r="C4562" s="1">
        <v>2365007895</v>
      </c>
      <c r="D4562" s="1">
        <v>2695185687</v>
      </c>
      <c r="E4562" s="1">
        <v>7997.16</v>
      </c>
      <c r="F4562" s="1" t="s">
        <v>12</v>
      </c>
      <c r="G4562" s="1" t="s">
        <v>12</v>
      </c>
      <c r="H4562" s="1" t="s">
        <v>13</v>
      </c>
      <c r="I4562" s="1" t="s">
        <v>13</v>
      </c>
      <c r="J4562" s="1" t="s">
        <v>20</v>
      </c>
      <c r="K4562" s="1">
        <v>0</v>
      </c>
      <c r="L4562" s="1" t="s">
        <v>19</v>
      </c>
      <c r="M4562" s="1" t="str">
        <f t="shared" si="72"/>
        <v>Consistent</v>
      </c>
      <c r="N4562" s="1" t="str">
        <f>_xlfn.XLOOKUP(H4562, risk_score!A:A, risk_score!B:B, 0)</f>
        <v>Low Risk</v>
      </c>
    </row>
    <row r="4563" spans="1:14">
      <c r="A4563" s="2">
        <v>0.56011574074074078</v>
      </c>
      <c r="B4563" s="3">
        <v>44841</v>
      </c>
      <c r="C4563" s="1">
        <v>358191542</v>
      </c>
      <c r="D4563" s="1">
        <v>657942039</v>
      </c>
      <c r="E4563" s="1">
        <v>5134.01</v>
      </c>
      <c r="F4563" s="1" t="s">
        <v>12</v>
      </c>
      <c r="G4563" s="1" t="s">
        <v>12</v>
      </c>
      <c r="H4563" s="1" t="s">
        <v>13</v>
      </c>
      <c r="I4563" s="1" t="s">
        <v>13</v>
      </c>
      <c r="J4563" s="1" t="s">
        <v>20</v>
      </c>
      <c r="K4563" s="1">
        <v>0</v>
      </c>
      <c r="L4563" s="1" t="s">
        <v>21</v>
      </c>
      <c r="M4563" s="1" t="str">
        <f t="shared" si="72"/>
        <v>Consistent</v>
      </c>
      <c r="N4563" s="1" t="str">
        <f>_xlfn.XLOOKUP(H4563, risk_score!A:A, risk_score!B:B, 0)</f>
        <v>Low Risk</v>
      </c>
    </row>
    <row r="4564" spans="1:14">
      <c r="A4564" s="2">
        <v>0.56013888888888885</v>
      </c>
      <c r="B4564" s="3">
        <v>44841</v>
      </c>
      <c r="C4564" s="1">
        <v>3487894253</v>
      </c>
      <c r="D4564" s="1">
        <v>906585162</v>
      </c>
      <c r="E4564" s="1">
        <v>6080.21</v>
      </c>
      <c r="F4564" s="1" t="s">
        <v>12</v>
      </c>
      <c r="G4564" s="1" t="s">
        <v>12</v>
      </c>
      <c r="H4564" s="1" t="s">
        <v>13</v>
      </c>
      <c r="I4564" s="1" t="s">
        <v>13</v>
      </c>
      <c r="J4564" s="1" t="s">
        <v>25</v>
      </c>
      <c r="K4564" s="1">
        <v>0</v>
      </c>
      <c r="L4564" s="1" t="s">
        <v>21</v>
      </c>
      <c r="M4564" s="1" t="str">
        <f t="shared" si="72"/>
        <v>Consistent</v>
      </c>
      <c r="N4564" s="1" t="str">
        <f>_xlfn.XLOOKUP(H4564, risk_score!A:A, risk_score!B:B, 0)</f>
        <v>Low Risk</v>
      </c>
    </row>
    <row r="4565" spans="1:14">
      <c r="A4565" s="2">
        <v>0.56018518518518523</v>
      </c>
      <c r="B4565" s="3">
        <v>44841</v>
      </c>
      <c r="C4565" s="1">
        <v>1975276125</v>
      </c>
      <c r="D4565" s="1">
        <v>7338736386</v>
      </c>
      <c r="E4565" s="1">
        <v>1872.81</v>
      </c>
      <c r="F4565" s="1" t="s">
        <v>12</v>
      </c>
      <c r="G4565" s="1" t="s">
        <v>12</v>
      </c>
      <c r="H4565" s="1" t="s">
        <v>13</v>
      </c>
      <c r="I4565" s="1" t="s">
        <v>13</v>
      </c>
      <c r="J4565" s="1" t="s">
        <v>27</v>
      </c>
      <c r="K4565" s="1">
        <v>0</v>
      </c>
      <c r="L4565" s="1" t="s">
        <v>21</v>
      </c>
      <c r="M4565" s="1" t="str">
        <f t="shared" si="72"/>
        <v>Consistent</v>
      </c>
      <c r="N4565" s="1" t="str">
        <f>_xlfn.XLOOKUP(H4565, risk_score!A:A, risk_score!B:B, 0)</f>
        <v>Low Risk</v>
      </c>
    </row>
    <row r="4566" spans="1:14">
      <c r="A4566" s="2">
        <v>0.56021990740740746</v>
      </c>
      <c r="B4566" s="3">
        <v>44841</v>
      </c>
      <c r="C4566" s="1">
        <v>3760907521</v>
      </c>
      <c r="D4566" s="1">
        <v>9554642525</v>
      </c>
      <c r="E4566" s="1">
        <v>1242.3399999999999</v>
      </c>
      <c r="F4566" s="1" t="s">
        <v>12</v>
      </c>
      <c r="G4566" s="1" t="s">
        <v>12</v>
      </c>
      <c r="H4566" s="1" t="s">
        <v>13</v>
      </c>
      <c r="I4566" s="1" t="s">
        <v>13</v>
      </c>
      <c r="J4566" s="1" t="s">
        <v>25</v>
      </c>
      <c r="K4566" s="1">
        <v>0</v>
      </c>
      <c r="L4566" s="1" t="s">
        <v>21</v>
      </c>
      <c r="M4566" s="1" t="str">
        <f t="shared" si="72"/>
        <v>Consistent</v>
      </c>
      <c r="N4566" s="1" t="str">
        <f>_xlfn.XLOOKUP(H4566, risk_score!A:A, risk_score!B:B, 0)</f>
        <v>Low Risk</v>
      </c>
    </row>
    <row r="4567" spans="1:14">
      <c r="A4567" s="2">
        <v>0.5602314814814815</v>
      </c>
      <c r="B4567" s="3">
        <v>44841</v>
      </c>
      <c r="C4567" s="1">
        <v>3529260592</v>
      </c>
      <c r="D4567" s="1">
        <v>5623976634</v>
      </c>
      <c r="E4567" s="1">
        <v>4301.09</v>
      </c>
      <c r="F4567" s="1" t="s">
        <v>12</v>
      </c>
      <c r="G4567" s="1" t="s">
        <v>12</v>
      </c>
      <c r="H4567" s="1" t="s">
        <v>13</v>
      </c>
      <c r="I4567" s="1" t="s">
        <v>13</v>
      </c>
      <c r="J4567" s="1" t="s">
        <v>25</v>
      </c>
      <c r="K4567" s="1">
        <v>0</v>
      </c>
      <c r="L4567" s="1" t="s">
        <v>21</v>
      </c>
      <c r="M4567" s="1" t="str">
        <f t="shared" si="72"/>
        <v>Consistent</v>
      </c>
      <c r="N4567" s="1" t="str">
        <f>_xlfn.XLOOKUP(H4567, risk_score!A:A, risk_score!B:B, 0)</f>
        <v>Low Risk</v>
      </c>
    </row>
    <row r="4568" spans="1:14">
      <c r="A4568" s="2">
        <v>0.56024305555555554</v>
      </c>
      <c r="B4568" s="3">
        <v>44841</v>
      </c>
      <c r="C4568" s="1">
        <v>6456964355</v>
      </c>
      <c r="D4568" s="1">
        <v>6646502650</v>
      </c>
      <c r="E4568" s="1">
        <v>5652.31</v>
      </c>
      <c r="F4568" s="1" t="s">
        <v>12</v>
      </c>
      <c r="G4568" s="1" t="s">
        <v>29</v>
      </c>
      <c r="H4568" s="1" t="s">
        <v>13</v>
      </c>
      <c r="I4568" s="1" t="s">
        <v>31</v>
      </c>
      <c r="J4568" s="1" t="s">
        <v>18</v>
      </c>
      <c r="K4568" s="1">
        <v>0</v>
      </c>
      <c r="L4568" s="1" t="s">
        <v>23</v>
      </c>
      <c r="M4568" s="1" t="str">
        <f t="shared" si="72"/>
        <v>Potential Layering</v>
      </c>
      <c r="N4568" s="1" t="str">
        <f>_xlfn.XLOOKUP(H4568, risk_score!A:A, risk_score!B:B, 0)</f>
        <v>Low Risk</v>
      </c>
    </row>
    <row r="4569" spans="1:14">
      <c r="A4569" s="2">
        <v>0.56026620370370372</v>
      </c>
      <c r="B4569" s="3">
        <v>44841</v>
      </c>
      <c r="C4569" s="1">
        <v>3905907712</v>
      </c>
      <c r="D4569" s="1">
        <v>4720971649</v>
      </c>
      <c r="E4569" s="1">
        <v>10348.91</v>
      </c>
      <c r="F4569" s="1" t="s">
        <v>12</v>
      </c>
      <c r="G4569" s="1" t="s">
        <v>26</v>
      </c>
      <c r="H4569" s="1" t="s">
        <v>13</v>
      </c>
      <c r="I4569" s="1" t="s">
        <v>56</v>
      </c>
      <c r="J4569" s="1" t="s">
        <v>18</v>
      </c>
      <c r="K4569" s="1">
        <v>0</v>
      </c>
      <c r="L4569" s="1" t="s">
        <v>21</v>
      </c>
      <c r="M4569" s="1" t="str">
        <f t="shared" si="72"/>
        <v>Potential Layering</v>
      </c>
      <c r="N4569" s="1" t="str">
        <f>_xlfn.XLOOKUP(H4569, risk_score!A:A, risk_score!B:B, 0)</f>
        <v>Low Risk</v>
      </c>
    </row>
    <row r="4570" spans="1:14">
      <c r="A4570" s="2">
        <v>0.56026620370370372</v>
      </c>
      <c r="B4570" s="3">
        <v>44841</v>
      </c>
      <c r="C4570" s="1">
        <v>2933176962</v>
      </c>
      <c r="D4570" s="1">
        <v>6855935396</v>
      </c>
      <c r="E4570" s="1">
        <v>13028.53</v>
      </c>
      <c r="F4570" s="1" t="s">
        <v>12</v>
      </c>
      <c r="G4570" s="1" t="s">
        <v>34</v>
      </c>
      <c r="H4570" s="1" t="s">
        <v>13</v>
      </c>
      <c r="I4570" s="1" t="s">
        <v>13</v>
      </c>
      <c r="J4570" s="1" t="s">
        <v>27</v>
      </c>
      <c r="K4570" s="1">
        <v>0</v>
      </c>
      <c r="L4570" s="1" t="s">
        <v>23</v>
      </c>
      <c r="M4570" s="1" t="str">
        <f t="shared" si="72"/>
        <v>Potential Layering</v>
      </c>
      <c r="N4570" s="1" t="str">
        <f>_xlfn.XLOOKUP(H4570, risk_score!A:A, risk_score!B:B, 0)</f>
        <v>Low Risk</v>
      </c>
    </row>
    <row r="4571" spans="1:14">
      <c r="A4571" s="2">
        <v>0.56027777777777776</v>
      </c>
      <c r="B4571" s="3">
        <v>44841</v>
      </c>
      <c r="C4571" s="1">
        <v>8456279067</v>
      </c>
      <c r="D4571" s="1">
        <v>3681770380</v>
      </c>
      <c r="E4571" s="1">
        <v>22335.96</v>
      </c>
      <c r="F4571" s="1" t="s">
        <v>12</v>
      </c>
      <c r="G4571" s="1" t="s">
        <v>12</v>
      </c>
      <c r="H4571" s="1" t="s">
        <v>13</v>
      </c>
      <c r="I4571" s="1" t="s">
        <v>13</v>
      </c>
      <c r="J4571" s="1" t="s">
        <v>27</v>
      </c>
      <c r="K4571" s="1">
        <v>0</v>
      </c>
      <c r="L4571" s="1" t="s">
        <v>19</v>
      </c>
      <c r="M4571" s="1" t="str">
        <f t="shared" si="72"/>
        <v>Consistent</v>
      </c>
      <c r="N4571" s="1" t="str">
        <f>_xlfn.XLOOKUP(H4571, risk_score!A:A, risk_score!B:B, 0)</f>
        <v>Low Risk</v>
      </c>
    </row>
    <row r="4572" spans="1:14">
      <c r="A4572" s="2">
        <v>0.56032407407407403</v>
      </c>
      <c r="B4572" s="3">
        <v>44841</v>
      </c>
      <c r="C4572" s="1">
        <v>8394204937</v>
      </c>
      <c r="D4572" s="1">
        <v>2898076984</v>
      </c>
      <c r="E4572" s="1">
        <v>920.27</v>
      </c>
      <c r="F4572" s="1" t="s">
        <v>12</v>
      </c>
      <c r="G4572" s="1" t="s">
        <v>12</v>
      </c>
      <c r="H4572" s="1" t="s">
        <v>13</v>
      </c>
      <c r="I4572" s="1" t="s">
        <v>13</v>
      </c>
      <c r="J4572" s="1" t="s">
        <v>27</v>
      </c>
      <c r="K4572" s="1">
        <v>0</v>
      </c>
      <c r="L4572" s="1" t="s">
        <v>21</v>
      </c>
      <c r="M4572" s="1" t="str">
        <f t="shared" si="72"/>
        <v>Consistent</v>
      </c>
      <c r="N4572" s="1" t="str">
        <f>_xlfn.XLOOKUP(H4572, risk_score!A:A, risk_score!B:B, 0)</f>
        <v>Low Risk</v>
      </c>
    </row>
    <row r="4573" spans="1:14">
      <c r="A4573" s="2">
        <v>0.56034722222222222</v>
      </c>
      <c r="B4573" s="3">
        <v>44841</v>
      </c>
      <c r="C4573" s="1">
        <v>2365007895</v>
      </c>
      <c r="D4573" s="1">
        <v>2166082350</v>
      </c>
      <c r="E4573" s="1">
        <v>4743.9799999999996</v>
      </c>
      <c r="F4573" s="1" t="s">
        <v>12</v>
      </c>
      <c r="G4573" s="1" t="s">
        <v>12</v>
      </c>
      <c r="H4573" s="1" t="s">
        <v>13</v>
      </c>
      <c r="I4573" s="1" t="s">
        <v>13</v>
      </c>
      <c r="J4573" s="1" t="s">
        <v>22</v>
      </c>
      <c r="K4573" s="1">
        <v>0</v>
      </c>
      <c r="L4573" s="1" t="s">
        <v>19</v>
      </c>
      <c r="M4573" s="1" t="str">
        <f t="shared" si="72"/>
        <v>Consistent</v>
      </c>
      <c r="N4573" s="1" t="str">
        <f>_xlfn.XLOOKUP(H4573, risk_score!A:A, risk_score!B:B, 0)</f>
        <v>Low Risk</v>
      </c>
    </row>
    <row r="4574" spans="1:14">
      <c r="A4574" s="2">
        <v>0.56038194444444445</v>
      </c>
      <c r="B4574" s="3">
        <v>44841</v>
      </c>
      <c r="C4574" s="1">
        <v>7501327339</v>
      </c>
      <c r="D4574" s="1">
        <v>8061984977</v>
      </c>
      <c r="E4574" s="1">
        <v>9551.14</v>
      </c>
      <c r="F4574" s="1" t="s">
        <v>12</v>
      </c>
      <c r="G4574" s="1" t="s">
        <v>12</v>
      </c>
      <c r="H4574" s="1" t="s">
        <v>13</v>
      </c>
      <c r="I4574" s="1" t="s">
        <v>13</v>
      </c>
      <c r="J4574" s="1" t="s">
        <v>27</v>
      </c>
      <c r="K4574" s="1">
        <v>0</v>
      </c>
      <c r="L4574" s="1" t="s">
        <v>19</v>
      </c>
      <c r="M4574" s="1" t="str">
        <f t="shared" si="72"/>
        <v>Consistent</v>
      </c>
      <c r="N4574" s="1" t="str">
        <f>_xlfn.XLOOKUP(H4574, risk_score!A:A, risk_score!B:B, 0)</f>
        <v>Low Risk</v>
      </c>
    </row>
    <row r="4575" spans="1:14">
      <c r="A4575" s="2">
        <v>0.56040509259259264</v>
      </c>
      <c r="B4575" s="3">
        <v>44841</v>
      </c>
      <c r="C4575" s="1">
        <v>6086421020</v>
      </c>
      <c r="D4575" s="1">
        <v>1799978362</v>
      </c>
      <c r="E4575" s="1">
        <v>7573.88</v>
      </c>
      <c r="F4575" s="1" t="s">
        <v>12</v>
      </c>
      <c r="G4575" s="1" t="s">
        <v>12</v>
      </c>
      <c r="H4575" s="1" t="s">
        <v>13</v>
      </c>
      <c r="I4575" s="1" t="s">
        <v>13</v>
      </c>
      <c r="J4575" s="1" t="s">
        <v>20</v>
      </c>
      <c r="K4575" s="1">
        <v>0</v>
      </c>
      <c r="L4575" s="1" t="s">
        <v>19</v>
      </c>
      <c r="M4575" s="1" t="str">
        <f t="shared" si="72"/>
        <v>Consistent</v>
      </c>
      <c r="N4575" s="1" t="str">
        <f>_xlfn.XLOOKUP(H4575, risk_score!A:A, risk_score!B:B, 0)</f>
        <v>Low Risk</v>
      </c>
    </row>
    <row r="4576" spans="1:14">
      <c r="A4576" s="2">
        <v>0.56041666666666667</v>
      </c>
      <c r="B4576" s="3">
        <v>44841</v>
      </c>
      <c r="C4576" s="1">
        <v>9442180171</v>
      </c>
      <c r="D4576" s="1">
        <v>6223365730</v>
      </c>
      <c r="E4576" s="1">
        <v>11719.29</v>
      </c>
      <c r="F4576" s="1" t="s">
        <v>12</v>
      </c>
      <c r="G4576" s="1" t="s">
        <v>12</v>
      </c>
      <c r="H4576" s="1" t="s">
        <v>13</v>
      </c>
      <c r="I4576" s="1" t="s">
        <v>13</v>
      </c>
      <c r="J4576" s="1" t="s">
        <v>27</v>
      </c>
      <c r="K4576" s="1">
        <v>0</v>
      </c>
      <c r="L4576" s="1" t="s">
        <v>23</v>
      </c>
      <c r="M4576" s="1" t="str">
        <f t="shared" si="72"/>
        <v>Consistent</v>
      </c>
      <c r="N4576" s="1" t="str">
        <f>_xlfn.XLOOKUP(H4576, risk_score!A:A, risk_score!B:B, 0)</f>
        <v>Low Risk</v>
      </c>
    </row>
    <row r="4577" spans="1:14">
      <c r="A4577" s="2">
        <v>0.56041666666666667</v>
      </c>
      <c r="B4577" s="3">
        <v>44841</v>
      </c>
      <c r="C4577" s="1">
        <v>715433079</v>
      </c>
      <c r="D4577" s="1">
        <v>618248540</v>
      </c>
      <c r="E4577" s="1">
        <v>3200.79</v>
      </c>
      <c r="F4577" s="1" t="s">
        <v>12</v>
      </c>
      <c r="G4577" s="1" t="s">
        <v>12</v>
      </c>
      <c r="H4577" s="1" t="s">
        <v>13</v>
      </c>
      <c r="I4577" s="1" t="s">
        <v>13</v>
      </c>
      <c r="J4577" s="1" t="s">
        <v>14</v>
      </c>
      <c r="K4577" s="1">
        <v>0</v>
      </c>
      <c r="L4577" s="1" t="s">
        <v>15</v>
      </c>
      <c r="M4577" s="1" t="str">
        <f t="shared" si="72"/>
        <v>Consistent</v>
      </c>
      <c r="N4577" s="1" t="str">
        <f>_xlfn.XLOOKUP(H4577, risk_score!A:A, risk_score!B:B, 0)</f>
        <v>Low Risk</v>
      </c>
    </row>
    <row r="4578" spans="1:14">
      <c r="A4578" s="2">
        <v>0.5604513888888889</v>
      </c>
      <c r="B4578" s="3">
        <v>44841</v>
      </c>
      <c r="C4578" s="1">
        <v>5021785800</v>
      </c>
      <c r="D4578" s="1">
        <v>4135708880</v>
      </c>
      <c r="E4578" s="1">
        <v>7889.92</v>
      </c>
      <c r="F4578" s="1" t="s">
        <v>12</v>
      </c>
      <c r="G4578" s="1" t="s">
        <v>12</v>
      </c>
      <c r="H4578" s="1" t="s">
        <v>13</v>
      </c>
      <c r="I4578" s="1" t="s">
        <v>13</v>
      </c>
      <c r="J4578" s="1" t="s">
        <v>20</v>
      </c>
      <c r="K4578" s="1">
        <v>0</v>
      </c>
      <c r="L4578" s="1" t="s">
        <v>19</v>
      </c>
      <c r="M4578" s="1" t="str">
        <f t="shared" si="72"/>
        <v>Consistent</v>
      </c>
      <c r="N4578" s="1" t="str">
        <f>_xlfn.XLOOKUP(H4578, risk_score!A:A, risk_score!B:B, 0)</f>
        <v>Low Risk</v>
      </c>
    </row>
    <row r="4579" spans="1:14">
      <c r="A4579" s="2">
        <v>0.56046296296296294</v>
      </c>
      <c r="B4579" s="3">
        <v>44841</v>
      </c>
      <c r="C4579" s="1">
        <v>9815457790</v>
      </c>
      <c r="D4579" s="1">
        <v>6792035805</v>
      </c>
      <c r="E4579" s="1">
        <v>2292.35</v>
      </c>
      <c r="F4579" s="1" t="s">
        <v>12</v>
      </c>
      <c r="G4579" s="1" t="s">
        <v>12</v>
      </c>
      <c r="H4579" s="1" t="s">
        <v>13</v>
      </c>
      <c r="I4579" s="1" t="s">
        <v>13</v>
      </c>
      <c r="J4579" s="1" t="s">
        <v>22</v>
      </c>
      <c r="K4579" s="1">
        <v>0</v>
      </c>
      <c r="L4579" s="1" t="s">
        <v>21</v>
      </c>
      <c r="M4579" s="1" t="str">
        <f t="shared" si="72"/>
        <v>Consistent</v>
      </c>
      <c r="N4579" s="1" t="str">
        <f>_xlfn.XLOOKUP(H4579, risk_score!A:A, risk_score!B:B, 0)</f>
        <v>Low Risk</v>
      </c>
    </row>
    <row r="4580" spans="1:14">
      <c r="A4580" s="2">
        <v>0.56046296296296294</v>
      </c>
      <c r="B4580" s="3">
        <v>44841</v>
      </c>
      <c r="C4580" s="1">
        <v>8937251939</v>
      </c>
      <c r="D4580" s="1">
        <v>9665064917</v>
      </c>
      <c r="E4580" s="1">
        <v>350.64</v>
      </c>
      <c r="F4580" s="1" t="s">
        <v>12</v>
      </c>
      <c r="G4580" s="1" t="s">
        <v>12</v>
      </c>
      <c r="H4580" s="1" t="s">
        <v>13</v>
      </c>
      <c r="I4580" s="1" t="s">
        <v>13</v>
      </c>
      <c r="J4580" s="1" t="s">
        <v>27</v>
      </c>
      <c r="K4580" s="1">
        <v>0</v>
      </c>
      <c r="L4580" s="1" t="s">
        <v>21</v>
      </c>
      <c r="M4580" s="1" t="str">
        <f t="shared" si="72"/>
        <v>Consistent</v>
      </c>
      <c r="N4580" s="1" t="str">
        <f>_xlfn.XLOOKUP(H4580, risk_score!A:A, risk_score!B:B, 0)</f>
        <v>Low Risk</v>
      </c>
    </row>
    <row r="4581" spans="1:14">
      <c r="A4581" s="2">
        <v>0.56047453703703709</v>
      </c>
      <c r="B4581" s="3">
        <v>44841</v>
      </c>
      <c r="C4581" s="1">
        <v>3168051873</v>
      </c>
      <c r="D4581" s="1">
        <v>6138274964</v>
      </c>
      <c r="E4581" s="1">
        <v>5239.46</v>
      </c>
      <c r="F4581" s="1" t="s">
        <v>12</v>
      </c>
      <c r="G4581" s="1" t="s">
        <v>12</v>
      </c>
      <c r="H4581" s="1" t="s">
        <v>13</v>
      </c>
      <c r="I4581" s="1" t="s">
        <v>13</v>
      </c>
      <c r="J4581" s="1" t="s">
        <v>27</v>
      </c>
      <c r="K4581" s="1">
        <v>0</v>
      </c>
      <c r="L4581" s="1" t="s">
        <v>19</v>
      </c>
      <c r="M4581" s="1" t="str">
        <f t="shared" si="72"/>
        <v>Consistent</v>
      </c>
      <c r="N4581" s="1" t="str">
        <f>_xlfn.XLOOKUP(H4581, risk_score!A:A, risk_score!B:B, 0)</f>
        <v>Low Risk</v>
      </c>
    </row>
    <row r="4582" spans="1:14">
      <c r="A4582" s="2">
        <v>0.56047453703703709</v>
      </c>
      <c r="B4582" s="3">
        <v>44841</v>
      </c>
      <c r="C4582" s="1">
        <v>8587242371</v>
      </c>
      <c r="D4582" s="1">
        <v>5363117119</v>
      </c>
      <c r="E4582" s="1">
        <v>19906.37</v>
      </c>
      <c r="F4582" s="1" t="s">
        <v>12</v>
      </c>
      <c r="G4582" s="1" t="s">
        <v>12</v>
      </c>
      <c r="H4582" s="1" t="s">
        <v>13</v>
      </c>
      <c r="I4582" s="1" t="s">
        <v>13</v>
      </c>
      <c r="J4582" s="1" t="s">
        <v>27</v>
      </c>
      <c r="K4582" s="1">
        <v>0</v>
      </c>
      <c r="L4582" s="1" t="s">
        <v>23</v>
      </c>
      <c r="M4582" s="1" t="str">
        <f t="shared" si="72"/>
        <v>Consistent</v>
      </c>
      <c r="N4582" s="1" t="str">
        <f>_xlfn.XLOOKUP(H4582, risk_score!A:A, risk_score!B:B, 0)</f>
        <v>Low Risk</v>
      </c>
    </row>
    <row r="4583" spans="1:14">
      <c r="A4583" s="2">
        <v>0.56049768518518517</v>
      </c>
      <c r="B4583" s="3">
        <v>44841</v>
      </c>
      <c r="C4583" s="1">
        <v>4121324384</v>
      </c>
      <c r="D4583" s="1">
        <v>3405158611</v>
      </c>
      <c r="E4583" s="1">
        <v>6537.49</v>
      </c>
      <c r="F4583" s="1" t="s">
        <v>29</v>
      </c>
      <c r="G4583" s="1" t="s">
        <v>12</v>
      </c>
      <c r="H4583" s="1" t="s">
        <v>30</v>
      </c>
      <c r="I4583" s="1" t="s">
        <v>13</v>
      </c>
      <c r="J4583" s="1" t="s">
        <v>18</v>
      </c>
      <c r="K4583" s="1">
        <v>0</v>
      </c>
      <c r="L4583" s="1" t="s">
        <v>19</v>
      </c>
      <c r="M4583" s="1" t="str">
        <f t="shared" si="72"/>
        <v>Potential Layering</v>
      </c>
      <c r="N4583" s="1" t="str">
        <f>_xlfn.XLOOKUP(H4583, risk_score!A:A, risk_score!B:B, 0)</f>
        <v>Low Risk</v>
      </c>
    </row>
    <row r="4584" spans="1:14">
      <c r="A4584" s="2">
        <v>0.56057870370370366</v>
      </c>
      <c r="B4584" s="3">
        <v>44841</v>
      </c>
      <c r="C4584" s="1">
        <v>9727149615</v>
      </c>
      <c r="D4584" s="1">
        <v>5641865341</v>
      </c>
      <c r="E4584" s="1">
        <v>5951.61</v>
      </c>
      <c r="F4584" s="1" t="s">
        <v>12</v>
      </c>
      <c r="G4584" s="1" t="s">
        <v>12</v>
      </c>
      <c r="H4584" s="1" t="s">
        <v>13</v>
      </c>
      <c r="I4584" s="1" t="s">
        <v>13</v>
      </c>
      <c r="J4584" s="1" t="s">
        <v>20</v>
      </c>
      <c r="K4584" s="1">
        <v>0</v>
      </c>
      <c r="L4584" s="1" t="s">
        <v>21</v>
      </c>
      <c r="M4584" s="1" t="str">
        <f t="shared" si="72"/>
        <v>Consistent</v>
      </c>
      <c r="N4584" s="1" t="str">
        <f>_xlfn.XLOOKUP(H4584, risk_score!A:A, risk_score!B:B, 0)</f>
        <v>Low Risk</v>
      </c>
    </row>
    <row r="4585" spans="1:14">
      <c r="A4585" s="2">
        <v>0.56061342592592589</v>
      </c>
      <c r="B4585" s="3">
        <v>44841</v>
      </c>
      <c r="C4585" s="1">
        <v>4589102571</v>
      </c>
      <c r="D4585" s="1">
        <v>4694794102</v>
      </c>
      <c r="E4585" s="1">
        <v>1926.02</v>
      </c>
      <c r="F4585" s="1" t="s">
        <v>12</v>
      </c>
      <c r="G4585" s="1" t="s">
        <v>12</v>
      </c>
      <c r="H4585" s="1" t="s">
        <v>13</v>
      </c>
      <c r="I4585" s="1" t="s">
        <v>13</v>
      </c>
      <c r="J4585" s="1" t="s">
        <v>22</v>
      </c>
      <c r="K4585" s="1">
        <v>0</v>
      </c>
      <c r="L4585" s="1" t="s">
        <v>21</v>
      </c>
      <c r="M4585" s="1" t="str">
        <f t="shared" si="72"/>
        <v>Consistent</v>
      </c>
      <c r="N4585" s="1" t="str">
        <f>_xlfn.XLOOKUP(H4585, risk_score!A:A, risk_score!B:B, 0)</f>
        <v>Low Risk</v>
      </c>
    </row>
    <row r="4586" spans="1:14">
      <c r="A4586" s="2">
        <v>0.56063657407407408</v>
      </c>
      <c r="B4586" s="3">
        <v>44841</v>
      </c>
      <c r="C4586" s="1">
        <v>1413590751</v>
      </c>
      <c r="D4586" s="1">
        <v>838181875</v>
      </c>
      <c r="E4586" s="1">
        <v>902.12</v>
      </c>
      <c r="F4586" s="1" t="s">
        <v>12</v>
      </c>
      <c r="G4586" s="1" t="s">
        <v>12</v>
      </c>
      <c r="H4586" s="1" t="s">
        <v>13</v>
      </c>
      <c r="I4586" s="1" t="s">
        <v>13</v>
      </c>
      <c r="J4586" s="1" t="s">
        <v>27</v>
      </c>
      <c r="K4586" s="1">
        <v>0</v>
      </c>
      <c r="L4586" s="1" t="s">
        <v>21</v>
      </c>
      <c r="M4586" s="1" t="str">
        <f t="shared" si="72"/>
        <v>Consistent</v>
      </c>
      <c r="N4586" s="1" t="str">
        <f>_xlfn.XLOOKUP(H4586, risk_score!A:A, risk_score!B:B, 0)</f>
        <v>Low Risk</v>
      </c>
    </row>
    <row r="4587" spans="1:14">
      <c r="A4587" s="2">
        <v>0.56065972222222227</v>
      </c>
      <c r="B4587" s="3">
        <v>44841</v>
      </c>
      <c r="C4587" s="1">
        <v>2547342518</v>
      </c>
      <c r="D4587" s="1">
        <v>8518184956</v>
      </c>
      <c r="E4587" s="1">
        <v>20076.8</v>
      </c>
      <c r="F4587" s="1" t="s">
        <v>12</v>
      </c>
      <c r="G4587" s="1" t="s">
        <v>12</v>
      </c>
      <c r="H4587" s="1" t="s">
        <v>13</v>
      </c>
      <c r="I4587" s="1" t="s">
        <v>13</v>
      </c>
      <c r="J4587" s="1" t="s">
        <v>25</v>
      </c>
      <c r="K4587" s="1">
        <v>0</v>
      </c>
      <c r="L4587" s="1" t="s">
        <v>23</v>
      </c>
      <c r="M4587" s="1" t="str">
        <f t="shared" si="72"/>
        <v>Consistent</v>
      </c>
      <c r="N4587" s="1" t="str">
        <f>_xlfn.XLOOKUP(H4587, risk_score!A:A, risk_score!B:B, 0)</f>
        <v>Low Risk</v>
      </c>
    </row>
    <row r="4588" spans="1:14">
      <c r="A4588" s="2">
        <v>0.56065972222222227</v>
      </c>
      <c r="B4588" s="3">
        <v>44841</v>
      </c>
      <c r="C4588" s="1">
        <v>5748357482</v>
      </c>
      <c r="D4588" s="1">
        <v>7939987867</v>
      </c>
      <c r="E4588" s="1">
        <v>3419.19</v>
      </c>
      <c r="F4588" s="1" t="s">
        <v>12</v>
      </c>
      <c r="G4588" s="1" t="s">
        <v>12</v>
      </c>
      <c r="H4588" s="1" t="s">
        <v>13</v>
      </c>
      <c r="I4588" s="1" t="s">
        <v>13</v>
      </c>
      <c r="J4588" s="1" t="s">
        <v>20</v>
      </c>
      <c r="K4588" s="1">
        <v>0</v>
      </c>
      <c r="L4588" s="1" t="s">
        <v>21</v>
      </c>
      <c r="M4588" s="1" t="str">
        <f t="shared" si="72"/>
        <v>Consistent</v>
      </c>
      <c r="N4588" s="1" t="str">
        <f>_xlfn.XLOOKUP(H4588, risk_score!A:A, risk_score!B:B, 0)</f>
        <v>Low Risk</v>
      </c>
    </row>
    <row r="4589" spans="1:14">
      <c r="A4589" s="2">
        <v>0.56065972222222227</v>
      </c>
      <c r="B4589" s="3">
        <v>44841</v>
      </c>
      <c r="C4589" s="1">
        <v>327970244</v>
      </c>
      <c r="D4589" s="1">
        <v>2748382827</v>
      </c>
      <c r="E4589" s="1">
        <v>892.51</v>
      </c>
      <c r="F4589" s="1" t="s">
        <v>12</v>
      </c>
      <c r="G4589" s="1" t="s">
        <v>12</v>
      </c>
      <c r="H4589" s="1" t="s">
        <v>13</v>
      </c>
      <c r="I4589" s="1" t="s">
        <v>13</v>
      </c>
      <c r="J4589" s="1" t="s">
        <v>22</v>
      </c>
      <c r="K4589" s="1">
        <v>0</v>
      </c>
      <c r="L4589" s="1" t="s">
        <v>21</v>
      </c>
      <c r="M4589" s="1" t="str">
        <f t="shared" si="72"/>
        <v>Consistent</v>
      </c>
      <c r="N4589" s="1" t="str">
        <f>_xlfn.XLOOKUP(H4589, risk_score!A:A, risk_score!B:B, 0)</f>
        <v>Low Risk</v>
      </c>
    </row>
    <row r="4590" spans="1:14">
      <c r="A4590" s="2">
        <v>0.56068287037037035</v>
      </c>
      <c r="B4590" s="3">
        <v>44841</v>
      </c>
      <c r="C4590" s="1">
        <v>8987848252</v>
      </c>
      <c r="D4590" s="1">
        <v>685567924</v>
      </c>
      <c r="E4590" s="1">
        <v>10926.08</v>
      </c>
      <c r="F4590" s="1" t="s">
        <v>12</v>
      </c>
      <c r="G4590" s="1" t="s">
        <v>12</v>
      </c>
      <c r="H4590" s="1" t="s">
        <v>13</v>
      </c>
      <c r="I4590" s="1" t="s">
        <v>13</v>
      </c>
      <c r="J4590" s="1" t="s">
        <v>27</v>
      </c>
      <c r="K4590" s="1">
        <v>0</v>
      </c>
      <c r="L4590" s="1" t="s">
        <v>19</v>
      </c>
      <c r="M4590" s="1" t="str">
        <f t="shared" si="72"/>
        <v>Consistent</v>
      </c>
      <c r="N4590" s="1" t="str">
        <f>_xlfn.XLOOKUP(H4590, risk_score!A:A, risk_score!B:B, 0)</f>
        <v>Low Risk</v>
      </c>
    </row>
    <row r="4591" spans="1:14">
      <c r="A4591" s="2">
        <v>0.5607523148148148</v>
      </c>
      <c r="B4591" s="3">
        <v>44841</v>
      </c>
      <c r="C4591" s="1">
        <v>3786472264</v>
      </c>
      <c r="D4591" s="1">
        <v>5628674969</v>
      </c>
      <c r="E4591" s="1">
        <v>8444.02</v>
      </c>
      <c r="F4591" s="1" t="s">
        <v>12</v>
      </c>
      <c r="G4591" s="1" t="s">
        <v>12</v>
      </c>
      <c r="H4591" s="1" t="s">
        <v>13</v>
      </c>
      <c r="I4591" s="1" t="s">
        <v>13</v>
      </c>
      <c r="J4591" s="1" t="s">
        <v>25</v>
      </c>
      <c r="K4591" s="1">
        <v>0</v>
      </c>
      <c r="L4591" s="1" t="s">
        <v>23</v>
      </c>
      <c r="M4591" s="1" t="str">
        <f t="shared" si="72"/>
        <v>Consistent</v>
      </c>
      <c r="N4591" s="1" t="str">
        <f>_xlfn.XLOOKUP(H4591, risk_score!A:A, risk_score!B:B, 0)</f>
        <v>Low Risk</v>
      </c>
    </row>
    <row r="4592" spans="1:14">
      <c r="A4592" s="2">
        <v>0.56077546296296299</v>
      </c>
      <c r="B4592" s="3">
        <v>44841</v>
      </c>
      <c r="C4592" s="1">
        <v>351184098</v>
      </c>
      <c r="D4592" s="1">
        <v>3374093366</v>
      </c>
      <c r="E4592" s="1">
        <v>3863.42</v>
      </c>
      <c r="F4592" s="1" t="s">
        <v>12</v>
      </c>
      <c r="G4592" s="1" t="s">
        <v>12</v>
      </c>
      <c r="H4592" s="1" t="s">
        <v>13</v>
      </c>
      <c r="I4592" s="1" t="s">
        <v>13</v>
      </c>
      <c r="J4592" s="1" t="s">
        <v>20</v>
      </c>
      <c r="K4592" s="1">
        <v>0</v>
      </c>
      <c r="L4592" s="1" t="s">
        <v>24</v>
      </c>
      <c r="M4592" s="1" t="str">
        <f t="shared" si="72"/>
        <v>Consistent</v>
      </c>
      <c r="N4592" s="1" t="str">
        <f>_xlfn.XLOOKUP(H4592, risk_score!A:A, risk_score!B:B, 0)</f>
        <v>Low Risk</v>
      </c>
    </row>
    <row r="4593" spans="1:14">
      <c r="A4593" s="2">
        <v>0.56079861111111107</v>
      </c>
      <c r="B4593" s="3">
        <v>44841</v>
      </c>
      <c r="C4593" s="1">
        <v>4811427020</v>
      </c>
      <c r="D4593" s="1">
        <v>8073403211</v>
      </c>
      <c r="E4593" s="1">
        <v>5564.78</v>
      </c>
      <c r="F4593" s="1" t="s">
        <v>12</v>
      </c>
      <c r="G4593" s="1" t="s">
        <v>12</v>
      </c>
      <c r="H4593" s="1" t="s">
        <v>13</v>
      </c>
      <c r="I4593" s="1" t="s">
        <v>13</v>
      </c>
      <c r="J4593" s="1" t="s">
        <v>25</v>
      </c>
      <c r="K4593" s="1">
        <v>0</v>
      </c>
      <c r="L4593" s="1" t="s">
        <v>41</v>
      </c>
      <c r="M4593" s="1" t="str">
        <f t="shared" si="72"/>
        <v>Consistent</v>
      </c>
      <c r="N4593" s="1" t="str">
        <f>_xlfn.XLOOKUP(H4593, risk_score!A:A, risk_score!B:B, 0)</f>
        <v>Low Risk</v>
      </c>
    </row>
    <row r="4594" spans="1:14">
      <c r="A4594" s="2">
        <v>0.56079861111111107</v>
      </c>
      <c r="B4594" s="3">
        <v>44841</v>
      </c>
      <c r="C4594" s="1">
        <v>3577713876</v>
      </c>
      <c r="D4594" s="1">
        <v>9261560213</v>
      </c>
      <c r="E4594" s="1">
        <v>80.25</v>
      </c>
      <c r="F4594" s="1" t="s">
        <v>12</v>
      </c>
      <c r="G4594" s="1" t="s">
        <v>12</v>
      </c>
      <c r="H4594" s="1" t="s">
        <v>13</v>
      </c>
      <c r="I4594" s="1" t="s">
        <v>13</v>
      </c>
      <c r="J4594" s="1" t="s">
        <v>36</v>
      </c>
      <c r="K4594" s="1">
        <v>0</v>
      </c>
      <c r="L4594" s="1" t="s">
        <v>37</v>
      </c>
      <c r="M4594" s="1" t="str">
        <f t="shared" si="72"/>
        <v>Consistent</v>
      </c>
      <c r="N4594" s="1" t="str">
        <f>_xlfn.XLOOKUP(H4594, risk_score!A:A, risk_score!B:B, 0)</f>
        <v>Low Risk</v>
      </c>
    </row>
    <row r="4595" spans="1:14">
      <c r="A4595" s="2">
        <v>0.56085648148148148</v>
      </c>
      <c r="B4595" s="3">
        <v>44841</v>
      </c>
      <c r="C4595" s="1">
        <v>2583885405</v>
      </c>
      <c r="D4595" s="1">
        <v>9420911943</v>
      </c>
      <c r="E4595" s="1">
        <v>5028.82</v>
      </c>
      <c r="F4595" s="1" t="s">
        <v>12</v>
      </c>
      <c r="G4595" s="1" t="s">
        <v>12</v>
      </c>
      <c r="H4595" s="1" t="s">
        <v>13</v>
      </c>
      <c r="I4595" s="1" t="s">
        <v>13</v>
      </c>
      <c r="J4595" s="1" t="s">
        <v>14</v>
      </c>
      <c r="K4595" s="1">
        <v>0</v>
      </c>
      <c r="L4595" s="1" t="s">
        <v>15</v>
      </c>
      <c r="M4595" s="1" t="str">
        <f t="shared" si="72"/>
        <v>Consistent</v>
      </c>
      <c r="N4595" s="1" t="str">
        <f>_xlfn.XLOOKUP(H4595, risk_score!A:A, risk_score!B:B, 0)</f>
        <v>Low Risk</v>
      </c>
    </row>
    <row r="4596" spans="1:14">
      <c r="A4596" s="2">
        <v>0.56086805555555552</v>
      </c>
      <c r="B4596" s="3">
        <v>44841</v>
      </c>
      <c r="C4596" s="1">
        <v>3697918511</v>
      </c>
      <c r="D4596" s="1">
        <v>7160736915</v>
      </c>
      <c r="E4596" s="1">
        <v>6648.65</v>
      </c>
      <c r="F4596" s="1" t="s">
        <v>12</v>
      </c>
      <c r="G4596" s="1" t="s">
        <v>12</v>
      </c>
      <c r="H4596" s="1" t="s">
        <v>13</v>
      </c>
      <c r="I4596" s="1" t="s">
        <v>13</v>
      </c>
      <c r="J4596" s="1" t="s">
        <v>22</v>
      </c>
      <c r="K4596" s="1">
        <v>0</v>
      </c>
      <c r="L4596" s="1" t="s">
        <v>23</v>
      </c>
      <c r="M4596" s="1" t="str">
        <f t="shared" si="72"/>
        <v>Consistent</v>
      </c>
      <c r="N4596" s="1" t="str">
        <f>_xlfn.XLOOKUP(H4596, risk_score!A:A, risk_score!B:B, 0)</f>
        <v>Low Risk</v>
      </c>
    </row>
    <row r="4597" spans="1:14">
      <c r="A4597" s="2">
        <v>0.56093749999999998</v>
      </c>
      <c r="B4597" s="3">
        <v>44841</v>
      </c>
      <c r="C4597" s="1">
        <v>8197302577</v>
      </c>
      <c r="D4597" s="1">
        <v>188858444</v>
      </c>
      <c r="E4597" s="1">
        <v>699.38</v>
      </c>
      <c r="F4597" s="1" t="s">
        <v>12</v>
      </c>
      <c r="G4597" s="1" t="s">
        <v>12</v>
      </c>
      <c r="H4597" s="1" t="s">
        <v>13</v>
      </c>
      <c r="I4597" s="1" t="s">
        <v>13</v>
      </c>
      <c r="J4597" s="1" t="s">
        <v>27</v>
      </c>
      <c r="K4597" s="1">
        <v>0</v>
      </c>
      <c r="L4597" s="1" t="s">
        <v>21</v>
      </c>
      <c r="M4597" s="1" t="str">
        <f t="shared" si="72"/>
        <v>Consistent</v>
      </c>
      <c r="N4597" s="1" t="str">
        <f>_xlfn.XLOOKUP(H4597, risk_score!A:A, risk_score!B:B, 0)</f>
        <v>Low Risk</v>
      </c>
    </row>
    <row r="4598" spans="1:14">
      <c r="A4598" s="2">
        <v>0.56096064814814817</v>
      </c>
      <c r="B4598" s="3">
        <v>44841</v>
      </c>
      <c r="C4598" s="1">
        <v>5449304408</v>
      </c>
      <c r="D4598" s="1">
        <v>7719011693</v>
      </c>
      <c r="E4598" s="1">
        <v>156.99</v>
      </c>
      <c r="F4598" s="1" t="s">
        <v>12</v>
      </c>
      <c r="G4598" s="1" t="s">
        <v>12</v>
      </c>
      <c r="H4598" s="1" t="s">
        <v>13</v>
      </c>
      <c r="I4598" s="1" t="s">
        <v>13</v>
      </c>
      <c r="J4598" s="1" t="s">
        <v>25</v>
      </c>
      <c r="K4598" s="1">
        <v>0</v>
      </c>
      <c r="L4598" s="1" t="s">
        <v>21</v>
      </c>
      <c r="M4598" s="1" t="str">
        <f t="shared" si="72"/>
        <v>Consistent</v>
      </c>
      <c r="N4598" s="1" t="str">
        <f>_xlfn.XLOOKUP(H4598, risk_score!A:A, risk_score!B:B, 0)</f>
        <v>Low Risk</v>
      </c>
    </row>
    <row r="4599" spans="1:14">
      <c r="A4599" s="2">
        <v>0.56100694444444443</v>
      </c>
      <c r="B4599" s="3">
        <v>44841</v>
      </c>
      <c r="C4599" s="1">
        <v>6305766590</v>
      </c>
      <c r="D4599" s="1">
        <v>1195461882</v>
      </c>
      <c r="E4599" s="1">
        <v>4448.1499999999996</v>
      </c>
      <c r="F4599" s="1" t="s">
        <v>12</v>
      </c>
      <c r="G4599" s="1" t="s">
        <v>12</v>
      </c>
      <c r="H4599" s="1" t="s">
        <v>13</v>
      </c>
      <c r="I4599" s="1" t="s">
        <v>13</v>
      </c>
      <c r="J4599" s="1" t="s">
        <v>25</v>
      </c>
      <c r="K4599" s="1">
        <v>0</v>
      </c>
      <c r="L4599" s="1" t="s">
        <v>21</v>
      </c>
      <c r="M4599" s="1" t="str">
        <f t="shared" si="72"/>
        <v>Consistent</v>
      </c>
      <c r="N4599" s="1" t="str">
        <f>_xlfn.XLOOKUP(H4599, risk_score!A:A, risk_score!B:B, 0)</f>
        <v>Low Risk</v>
      </c>
    </row>
    <row r="4600" spans="1:14">
      <c r="A4600" s="2">
        <v>0.5610532407407407</v>
      </c>
      <c r="B4600" s="3">
        <v>44841</v>
      </c>
      <c r="C4600" s="1">
        <v>4957552805</v>
      </c>
      <c r="D4600" s="1">
        <v>1377603863</v>
      </c>
      <c r="E4600" s="1">
        <v>5238.13</v>
      </c>
      <c r="F4600" s="1" t="s">
        <v>12</v>
      </c>
      <c r="G4600" s="1" t="s">
        <v>32</v>
      </c>
      <c r="H4600" s="1" t="s">
        <v>13</v>
      </c>
      <c r="I4600" s="1" t="s">
        <v>13</v>
      </c>
      <c r="J4600" s="1" t="s">
        <v>25</v>
      </c>
      <c r="K4600" s="1">
        <v>0</v>
      </c>
      <c r="L4600" s="1" t="s">
        <v>23</v>
      </c>
      <c r="M4600" s="1" t="str">
        <f t="shared" si="72"/>
        <v>Potential Layering</v>
      </c>
      <c r="N4600" s="1" t="str">
        <f>_xlfn.XLOOKUP(H4600, risk_score!A:A, risk_score!B:B, 0)</f>
        <v>Low Risk</v>
      </c>
    </row>
    <row r="4601" spans="1:14">
      <c r="A4601" s="2">
        <v>0.56108796296296293</v>
      </c>
      <c r="B4601" s="3">
        <v>44841</v>
      </c>
      <c r="C4601" s="1">
        <v>7129380861</v>
      </c>
      <c r="D4601" s="1">
        <v>3908007731</v>
      </c>
      <c r="E4601" s="1">
        <v>3862.5</v>
      </c>
      <c r="F4601" s="1" t="s">
        <v>12</v>
      </c>
      <c r="G4601" s="1" t="s">
        <v>12</v>
      </c>
      <c r="H4601" s="1" t="s">
        <v>13</v>
      </c>
      <c r="I4601" s="1" t="s">
        <v>13</v>
      </c>
      <c r="J4601" s="1" t="s">
        <v>14</v>
      </c>
      <c r="K4601" s="1">
        <v>0</v>
      </c>
      <c r="L4601" s="1" t="s">
        <v>15</v>
      </c>
      <c r="M4601" s="1" t="str">
        <f t="shared" si="72"/>
        <v>Consistent</v>
      </c>
      <c r="N4601" s="1" t="str">
        <f>_xlfn.XLOOKUP(H4601, risk_score!A:A, risk_score!B:B, 0)</f>
        <v>Low Risk</v>
      </c>
    </row>
    <row r="4602" spans="1:14">
      <c r="A4602" s="2">
        <v>0.56109953703703708</v>
      </c>
      <c r="B4602" s="3">
        <v>44841</v>
      </c>
      <c r="C4602" s="1">
        <v>3474800855</v>
      </c>
      <c r="D4602" s="1">
        <v>345087914</v>
      </c>
      <c r="E4602" s="1">
        <v>7493.02</v>
      </c>
      <c r="F4602" s="1" t="s">
        <v>12</v>
      </c>
      <c r="G4602" s="1" t="s">
        <v>12</v>
      </c>
      <c r="H4602" s="1" t="s">
        <v>13</v>
      </c>
      <c r="I4602" s="1" t="s">
        <v>13</v>
      </c>
      <c r="J4602" s="1" t="s">
        <v>27</v>
      </c>
      <c r="K4602" s="1">
        <v>0</v>
      </c>
      <c r="L4602" s="1" t="s">
        <v>24</v>
      </c>
      <c r="M4602" s="1" t="str">
        <f t="shared" si="72"/>
        <v>Consistent</v>
      </c>
      <c r="N4602" s="1" t="str">
        <f>_xlfn.XLOOKUP(H4602, risk_score!A:A, risk_score!B:B, 0)</f>
        <v>Low Risk</v>
      </c>
    </row>
    <row r="4603" spans="1:14">
      <c r="A4603" s="2">
        <v>0.5611342592592593</v>
      </c>
      <c r="B4603" s="3">
        <v>44841</v>
      </c>
      <c r="C4603" s="1">
        <v>8339031770</v>
      </c>
      <c r="D4603" s="1">
        <v>5844377613</v>
      </c>
      <c r="E4603" s="1">
        <v>693.34</v>
      </c>
      <c r="F4603" s="1" t="s">
        <v>12</v>
      </c>
      <c r="G4603" s="1" t="s">
        <v>12</v>
      </c>
      <c r="H4603" s="1" t="s">
        <v>13</v>
      </c>
      <c r="I4603" s="1" t="s">
        <v>13</v>
      </c>
      <c r="J4603" s="1" t="s">
        <v>25</v>
      </c>
      <c r="K4603" s="1">
        <v>0</v>
      </c>
      <c r="L4603" s="1" t="s">
        <v>21</v>
      </c>
      <c r="M4603" s="1" t="str">
        <f t="shared" si="72"/>
        <v>Consistent</v>
      </c>
      <c r="N4603" s="1" t="str">
        <f>_xlfn.XLOOKUP(H4603, risk_score!A:A, risk_score!B:B, 0)</f>
        <v>Low Risk</v>
      </c>
    </row>
    <row r="4604" spans="1:14">
      <c r="A4604" s="2">
        <v>0.56115740740740738</v>
      </c>
      <c r="B4604" s="3">
        <v>44841</v>
      </c>
      <c r="C4604" s="1">
        <v>1139132462</v>
      </c>
      <c r="D4604" s="1">
        <v>7199625988</v>
      </c>
      <c r="E4604" s="1">
        <v>10653.04</v>
      </c>
      <c r="F4604" s="1" t="s">
        <v>16</v>
      </c>
      <c r="G4604" s="1" t="s">
        <v>12</v>
      </c>
      <c r="H4604" s="1" t="s">
        <v>17</v>
      </c>
      <c r="I4604" s="1" t="s">
        <v>13</v>
      </c>
      <c r="J4604" s="1" t="s">
        <v>18</v>
      </c>
      <c r="K4604" s="1">
        <v>0</v>
      </c>
      <c r="L4604" s="1" t="s">
        <v>23</v>
      </c>
      <c r="M4604" s="1" t="str">
        <f t="shared" si="72"/>
        <v>Potential Layering</v>
      </c>
      <c r="N4604" s="1" t="str">
        <f>_xlfn.XLOOKUP(H4604, risk_score!A:A, risk_score!B:B, 0)</f>
        <v>Medium Risk</v>
      </c>
    </row>
    <row r="4605" spans="1:14">
      <c r="A4605" s="2">
        <v>0.56116898148148153</v>
      </c>
      <c r="B4605" s="3">
        <v>44841</v>
      </c>
      <c r="C4605" s="1">
        <v>9515307016</v>
      </c>
      <c r="D4605" s="1">
        <v>1162826948</v>
      </c>
      <c r="E4605" s="1">
        <v>3174.23</v>
      </c>
      <c r="F4605" s="1" t="s">
        <v>12</v>
      </c>
      <c r="G4605" s="1" t="s">
        <v>12</v>
      </c>
      <c r="H4605" s="1" t="s">
        <v>13</v>
      </c>
      <c r="I4605" s="1" t="s">
        <v>13</v>
      </c>
      <c r="J4605" s="1" t="s">
        <v>22</v>
      </c>
      <c r="K4605" s="1">
        <v>0</v>
      </c>
      <c r="L4605" s="1" t="s">
        <v>21</v>
      </c>
      <c r="M4605" s="1" t="str">
        <f t="shared" si="72"/>
        <v>Consistent</v>
      </c>
      <c r="N4605" s="1" t="str">
        <f>_xlfn.XLOOKUP(H4605, risk_score!A:A, risk_score!B:B, 0)</f>
        <v>Low Risk</v>
      </c>
    </row>
    <row r="4606" spans="1:14">
      <c r="A4606" s="2">
        <v>0.56120370370370365</v>
      </c>
      <c r="B4606" s="3">
        <v>44841</v>
      </c>
      <c r="C4606" s="1">
        <v>7347424</v>
      </c>
      <c r="D4606" s="1">
        <v>8325668773</v>
      </c>
      <c r="E4606" s="1">
        <v>11732.5</v>
      </c>
      <c r="F4606" s="1" t="s">
        <v>12</v>
      </c>
      <c r="G4606" s="1" t="s">
        <v>12</v>
      </c>
      <c r="H4606" s="1" t="s">
        <v>13</v>
      </c>
      <c r="I4606" s="1" t="s">
        <v>13</v>
      </c>
      <c r="J4606" s="1" t="s">
        <v>27</v>
      </c>
      <c r="K4606" s="1">
        <v>0</v>
      </c>
      <c r="L4606" s="1" t="s">
        <v>24</v>
      </c>
      <c r="M4606" s="1" t="str">
        <f t="shared" si="72"/>
        <v>Consistent</v>
      </c>
      <c r="N4606" s="1" t="str">
        <f>_xlfn.XLOOKUP(H4606, risk_score!A:A, risk_score!B:B, 0)</f>
        <v>Low Risk</v>
      </c>
    </row>
    <row r="4607" spans="1:14">
      <c r="A4607" s="2">
        <v>0.5612152777777778</v>
      </c>
      <c r="B4607" s="3">
        <v>44841</v>
      </c>
      <c r="C4607" s="1">
        <v>2447799663</v>
      </c>
      <c r="D4607" s="1">
        <v>8752943153</v>
      </c>
      <c r="E4607" s="1">
        <v>4867.37</v>
      </c>
      <c r="F4607" s="1" t="s">
        <v>12</v>
      </c>
      <c r="G4607" s="1" t="s">
        <v>12</v>
      </c>
      <c r="H4607" s="1" t="s">
        <v>13</v>
      </c>
      <c r="I4607" s="1" t="s">
        <v>13</v>
      </c>
      <c r="J4607" s="1" t="s">
        <v>25</v>
      </c>
      <c r="K4607" s="1">
        <v>0</v>
      </c>
      <c r="L4607" s="1" t="s">
        <v>24</v>
      </c>
      <c r="M4607" s="1" t="str">
        <f t="shared" ref="M4607:M4670" si="73">IF(F4607=G4607, "Consistent", "Potential Layering")</f>
        <v>Consistent</v>
      </c>
      <c r="N4607" s="1" t="str">
        <f>_xlfn.XLOOKUP(H4607, risk_score!A:A, risk_score!B:B, 0)</f>
        <v>Low Risk</v>
      </c>
    </row>
    <row r="4608" spans="1:14">
      <c r="A4608" s="2">
        <v>0.56125000000000003</v>
      </c>
      <c r="B4608" s="3">
        <v>44841</v>
      </c>
      <c r="C4608" s="1">
        <v>7165160557</v>
      </c>
      <c r="D4608" s="1">
        <v>5683968866</v>
      </c>
      <c r="E4608" s="1">
        <v>727.22</v>
      </c>
      <c r="F4608" s="1" t="s">
        <v>12</v>
      </c>
      <c r="G4608" s="1" t="s">
        <v>12</v>
      </c>
      <c r="H4608" s="1" t="s">
        <v>13</v>
      </c>
      <c r="I4608" s="1" t="s">
        <v>13</v>
      </c>
      <c r="J4608" s="1" t="s">
        <v>22</v>
      </c>
      <c r="K4608" s="1">
        <v>0</v>
      </c>
      <c r="L4608" s="1" t="s">
        <v>21</v>
      </c>
      <c r="M4608" s="1" t="str">
        <f t="shared" si="73"/>
        <v>Consistent</v>
      </c>
      <c r="N4608" s="1" t="str">
        <f>_xlfn.XLOOKUP(H4608, risk_score!A:A, risk_score!B:B, 0)</f>
        <v>Low Risk</v>
      </c>
    </row>
    <row r="4609" spans="1:14">
      <c r="A4609" s="2">
        <v>0.5612731481481481</v>
      </c>
      <c r="B4609" s="3">
        <v>44841</v>
      </c>
      <c r="C4609" s="1">
        <v>621444843</v>
      </c>
      <c r="D4609" s="1">
        <v>5955520642</v>
      </c>
      <c r="E4609" s="1">
        <v>637.54999999999995</v>
      </c>
      <c r="F4609" s="1" t="s">
        <v>12</v>
      </c>
      <c r="G4609" s="1" t="s">
        <v>12</v>
      </c>
      <c r="H4609" s="1" t="s">
        <v>13</v>
      </c>
      <c r="I4609" s="1" t="s">
        <v>13</v>
      </c>
      <c r="J4609" s="1" t="s">
        <v>27</v>
      </c>
      <c r="K4609" s="1">
        <v>0</v>
      </c>
      <c r="L4609" s="1" t="s">
        <v>21</v>
      </c>
      <c r="M4609" s="1" t="str">
        <f t="shared" si="73"/>
        <v>Consistent</v>
      </c>
      <c r="N4609" s="1" t="str">
        <f>_xlfn.XLOOKUP(H4609, risk_score!A:A, risk_score!B:B, 0)</f>
        <v>Low Risk</v>
      </c>
    </row>
    <row r="4610" spans="1:14">
      <c r="A4610" s="2">
        <v>0.5612731481481481</v>
      </c>
      <c r="B4610" s="3">
        <v>44841</v>
      </c>
      <c r="C4610" s="1">
        <v>9908338844</v>
      </c>
      <c r="D4610" s="1">
        <v>6174440244</v>
      </c>
      <c r="E4610" s="1">
        <v>2493.8200000000002</v>
      </c>
      <c r="F4610" s="1" t="s">
        <v>12</v>
      </c>
      <c r="G4610" s="1" t="s">
        <v>12</v>
      </c>
      <c r="H4610" s="1" t="s">
        <v>13</v>
      </c>
      <c r="I4610" s="1" t="s">
        <v>13</v>
      </c>
      <c r="J4610" s="1" t="s">
        <v>22</v>
      </c>
      <c r="K4610" s="1">
        <v>0</v>
      </c>
      <c r="L4610" s="1" t="s">
        <v>24</v>
      </c>
      <c r="M4610" s="1" t="str">
        <f t="shared" si="73"/>
        <v>Consistent</v>
      </c>
      <c r="N4610" s="1" t="str">
        <f>_xlfn.XLOOKUP(H4610, risk_score!A:A, risk_score!B:B, 0)</f>
        <v>Low Risk</v>
      </c>
    </row>
    <row r="4611" spans="1:14">
      <c r="A4611" s="2">
        <v>0.56128472222222225</v>
      </c>
      <c r="B4611" s="3">
        <v>44841</v>
      </c>
      <c r="C4611" s="1">
        <v>7700215720</v>
      </c>
      <c r="D4611" s="1">
        <v>3523706197</v>
      </c>
      <c r="E4611" s="1">
        <v>113.03</v>
      </c>
      <c r="F4611" s="1" t="s">
        <v>12</v>
      </c>
      <c r="G4611" s="1" t="s">
        <v>12</v>
      </c>
      <c r="H4611" s="1" t="s">
        <v>13</v>
      </c>
      <c r="I4611" s="1" t="s">
        <v>13</v>
      </c>
      <c r="J4611" s="1" t="s">
        <v>36</v>
      </c>
      <c r="K4611" s="1">
        <v>0</v>
      </c>
      <c r="L4611" s="1" t="s">
        <v>37</v>
      </c>
      <c r="M4611" s="1" t="str">
        <f t="shared" si="73"/>
        <v>Consistent</v>
      </c>
      <c r="N4611" s="1" t="str">
        <f>_xlfn.XLOOKUP(H4611, risk_score!A:A, risk_score!B:B, 0)</f>
        <v>Low Risk</v>
      </c>
    </row>
    <row r="4612" spans="1:14">
      <c r="A4612" s="2">
        <v>0.56131944444444448</v>
      </c>
      <c r="B4612" s="3">
        <v>44841</v>
      </c>
      <c r="C4612" s="1">
        <v>2999228456</v>
      </c>
      <c r="D4612" s="1">
        <v>7905591095</v>
      </c>
      <c r="E4612" s="1">
        <v>103.01</v>
      </c>
      <c r="F4612" s="1" t="s">
        <v>12</v>
      </c>
      <c r="G4612" s="1" t="s">
        <v>12</v>
      </c>
      <c r="H4612" s="1" t="s">
        <v>13</v>
      </c>
      <c r="I4612" s="1" t="s">
        <v>13</v>
      </c>
      <c r="J4612" s="1" t="s">
        <v>14</v>
      </c>
      <c r="K4612" s="1">
        <v>0</v>
      </c>
      <c r="L4612" s="1" t="s">
        <v>15</v>
      </c>
      <c r="M4612" s="1" t="str">
        <f t="shared" si="73"/>
        <v>Consistent</v>
      </c>
      <c r="N4612" s="1" t="str">
        <f>_xlfn.XLOOKUP(H4612, risk_score!A:A, risk_score!B:B, 0)</f>
        <v>Low Risk</v>
      </c>
    </row>
    <row r="4613" spans="1:14">
      <c r="A4613" s="2">
        <v>0.56131944444444448</v>
      </c>
      <c r="B4613" s="3">
        <v>44841</v>
      </c>
      <c r="C4613" s="1">
        <v>9346100166</v>
      </c>
      <c r="D4613" s="1">
        <v>5708936901</v>
      </c>
      <c r="E4613" s="1">
        <v>12223.75</v>
      </c>
      <c r="F4613" s="1" t="s">
        <v>12</v>
      </c>
      <c r="G4613" s="1" t="s">
        <v>12</v>
      </c>
      <c r="H4613" s="1" t="s">
        <v>13</v>
      </c>
      <c r="I4613" s="1" t="s">
        <v>13</v>
      </c>
      <c r="J4613" s="1" t="s">
        <v>22</v>
      </c>
      <c r="K4613" s="1">
        <v>0</v>
      </c>
      <c r="L4613" s="1" t="s">
        <v>23</v>
      </c>
      <c r="M4613" s="1" t="str">
        <f t="shared" si="73"/>
        <v>Consistent</v>
      </c>
      <c r="N4613" s="1" t="str">
        <f>_xlfn.XLOOKUP(H4613, risk_score!A:A, risk_score!B:B, 0)</f>
        <v>Low Risk</v>
      </c>
    </row>
    <row r="4614" spans="1:14">
      <c r="A4614" s="2">
        <v>0.56133101851851852</v>
      </c>
      <c r="B4614" s="3">
        <v>44841</v>
      </c>
      <c r="C4614" s="1">
        <v>3510078932</v>
      </c>
      <c r="D4614" s="1">
        <v>1379534157</v>
      </c>
      <c r="E4614" s="1">
        <v>5057.87</v>
      </c>
      <c r="F4614" s="1" t="s">
        <v>12</v>
      </c>
      <c r="G4614" s="1" t="s">
        <v>12</v>
      </c>
      <c r="H4614" s="1" t="s">
        <v>13</v>
      </c>
      <c r="I4614" s="1" t="s">
        <v>13</v>
      </c>
      <c r="J4614" s="1" t="s">
        <v>27</v>
      </c>
      <c r="K4614" s="1">
        <v>0</v>
      </c>
      <c r="L4614" s="1" t="s">
        <v>19</v>
      </c>
      <c r="M4614" s="1" t="str">
        <f t="shared" si="73"/>
        <v>Consistent</v>
      </c>
      <c r="N4614" s="1" t="str">
        <f>_xlfn.XLOOKUP(H4614, risk_score!A:A, risk_score!B:B, 0)</f>
        <v>Low Risk</v>
      </c>
    </row>
    <row r="4615" spans="1:14">
      <c r="A4615" s="2">
        <v>0.56135416666666671</v>
      </c>
      <c r="B4615" s="3">
        <v>44841</v>
      </c>
      <c r="C4615" s="1">
        <v>3007675845</v>
      </c>
      <c r="D4615" s="1">
        <v>7655202476</v>
      </c>
      <c r="E4615" s="1">
        <v>1120.6500000000001</v>
      </c>
      <c r="F4615" s="1" t="s">
        <v>12</v>
      </c>
      <c r="G4615" s="1" t="s">
        <v>46</v>
      </c>
      <c r="H4615" s="1" t="s">
        <v>13</v>
      </c>
      <c r="I4615" s="1" t="s">
        <v>47</v>
      </c>
      <c r="J4615" s="1" t="s">
        <v>18</v>
      </c>
      <c r="K4615" s="1">
        <v>0</v>
      </c>
      <c r="L4615" s="1" t="s">
        <v>21</v>
      </c>
      <c r="M4615" s="1" t="str">
        <f t="shared" si="73"/>
        <v>Potential Layering</v>
      </c>
      <c r="N4615" s="1" t="str">
        <f>_xlfn.XLOOKUP(H4615, risk_score!A:A, risk_score!B:B, 0)</f>
        <v>Low Risk</v>
      </c>
    </row>
    <row r="4616" spans="1:14">
      <c r="A4616" s="2">
        <v>0.56136574074074075</v>
      </c>
      <c r="B4616" s="3">
        <v>44841</v>
      </c>
      <c r="C4616" s="1">
        <v>8352689518</v>
      </c>
      <c r="D4616" s="1">
        <v>5480602679</v>
      </c>
      <c r="E4616" s="1">
        <v>328.2</v>
      </c>
      <c r="F4616" s="1" t="s">
        <v>12</v>
      </c>
      <c r="G4616" s="1" t="s">
        <v>12</v>
      </c>
      <c r="H4616" s="1" t="s">
        <v>13</v>
      </c>
      <c r="I4616" s="1" t="s">
        <v>13</v>
      </c>
      <c r="J4616" s="1" t="s">
        <v>20</v>
      </c>
      <c r="K4616" s="1">
        <v>0</v>
      </c>
      <c r="L4616" s="1" t="s">
        <v>21</v>
      </c>
      <c r="M4616" s="1" t="str">
        <f t="shared" si="73"/>
        <v>Consistent</v>
      </c>
      <c r="N4616" s="1" t="str">
        <f>_xlfn.XLOOKUP(H4616, risk_score!A:A, risk_score!B:B, 0)</f>
        <v>Low Risk</v>
      </c>
    </row>
    <row r="4617" spans="1:14">
      <c r="A4617" s="2">
        <v>0.56136574074074075</v>
      </c>
      <c r="B4617" s="3">
        <v>44841</v>
      </c>
      <c r="C4617" s="1">
        <v>212368086</v>
      </c>
      <c r="D4617" s="1">
        <v>9166626726</v>
      </c>
      <c r="E4617" s="1">
        <v>1575.54</v>
      </c>
      <c r="F4617" s="1" t="s">
        <v>12</v>
      </c>
      <c r="G4617" s="1" t="s">
        <v>12</v>
      </c>
      <c r="H4617" s="1" t="s">
        <v>13</v>
      </c>
      <c r="I4617" s="1" t="s">
        <v>13</v>
      </c>
      <c r="J4617" s="1" t="s">
        <v>20</v>
      </c>
      <c r="K4617" s="1">
        <v>0</v>
      </c>
      <c r="L4617" s="1" t="s">
        <v>21</v>
      </c>
      <c r="M4617" s="1" t="str">
        <f t="shared" si="73"/>
        <v>Consistent</v>
      </c>
      <c r="N4617" s="1" t="str">
        <f>_xlfn.XLOOKUP(H4617, risk_score!A:A, risk_score!B:B, 0)</f>
        <v>Low Risk</v>
      </c>
    </row>
    <row r="4618" spans="1:14">
      <c r="A4618" s="2">
        <v>0.56137731481481479</v>
      </c>
      <c r="B4618" s="3">
        <v>44841</v>
      </c>
      <c r="C4618" s="1">
        <v>5424728274</v>
      </c>
      <c r="D4618" s="1">
        <v>4336977506</v>
      </c>
      <c r="E4618" s="1">
        <v>5217.4799999999996</v>
      </c>
      <c r="F4618" s="1" t="s">
        <v>12</v>
      </c>
      <c r="G4618" s="1" t="s">
        <v>12</v>
      </c>
      <c r="H4618" s="1" t="s">
        <v>13</v>
      </c>
      <c r="I4618" s="1" t="s">
        <v>13</v>
      </c>
      <c r="J4618" s="1" t="s">
        <v>22</v>
      </c>
      <c r="K4618" s="1">
        <v>0</v>
      </c>
      <c r="L4618" s="1" t="s">
        <v>23</v>
      </c>
      <c r="M4618" s="1" t="str">
        <f t="shared" si="73"/>
        <v>Consistent</v>
      </c>
      <c r="N4618" s="1" t="str">
        <f>_xlfn.XLOOKUP(H4618, risk_score!A:A, risk_score!B:B, 0)</f>
        <v>Low Risk</v>
      </c>
    </row>
    <row r="4619" spans="1:14">
      <c r="A4619" s="2">
        <v>0.56137731481481479</v>
      </c>
      <c r="B4619" s="3">
        <v>44841</v>
      </c>
      <c r="C4619" s="1">
        <v>9649321106</v>
      </c>
      <c r="D4619" s="1">
        <v>5109623450</v>
      </c>
      <c r="E4619" s="1">
        <v>7876.12</v>
      </c>
      <c r="F4619" s="1" t="s">
        <v>12</v>
      </c>
      <c r="G4619" s="1" t="s">
        <v>12</v>
      </c>
      <c r="H4619" s="1" t="s">
        <v>13</v>
      </c>
      <c r="I4619" s="1" t="s">
        <v>13</v>
      </c>
      <c r="J4619" s="1" t="s">
        <v>22</v>
      </c>
      <c r="K4619" s="1">
        <v>0</v>
      </c>
      <c r="L4619" s="1" t="s">
        <v>23</v>
      </c>
      <c r="M4619" s="1" t="str">
        <f t="shared" si="73"/>
        <v>Consistent</v>
      </c>
      <c r="N4619" s="1" t="str">
        <f>_xlfn.XLOOKUP(H4619, risk_score!A:A, risk_score!B:B, 0)</f>
        <v>Low Risk</v>
      </c>
    </row>
    <row r="4620" spans="1:14">
      <c r="A4620" s="2">
        <v>0.56140046296296298</v>
      </c>
      <c r="B4620" s="3">
        <v>44841</v>
      </c>
      <c r="C4620" s="1">
        <v>8389148416</v>
      </c>
      <c r="D4620" s="1">
        <v>8705942251</v>
      </c>
      <c r="E4620" s="1">
        <v>7463.99</v>
      </c>
      <c r="F4620" s="1" t="s">
        <v>12</v>
      </c>
      <c r="G4620" s="1" t="s">
        <v>12</v>
      </c>
      <c r="H4620" s="1" t="s">
        <v>13</v>
      </c>
      <c r="I4620" s="1" t="s">
        <v>13</v>
      </c>
      <c r="J4620" s="1" t="s">
        <v>20</v>
      </c>
      <c r="K4620" s="1">
        <v>0</v>
      </c>
      <c r="L4620" s="1" t="s">
        <v>19</v>
      </c>
      <c r="M4620" s="1" t="str">
        <f t="shared" si="73"/>
        <v>Consistent</v>
      </c>
      <c r="N4620" s="1" t="str">
        <f>_xlfn.XLOOKUP(H4620, risk_score!A:A, risk_score!B:B, 0)</f>
        <v>Low Risk</v>
      </c>
    </row>
    <row r="4621" spans="1:14">
      <c r="A4621" s="2">
        <v>0.56142361111111116</v>
      </c>
      <c r="B4621" s="3">
        <v>44841</v>
      </c>
      <c r="C4621" s="1">
        <v>5362449039</v>
      </c>
      <c r="D4621" s="1">
        <v>3477434260</v>
      </c>
      <c r="E4621" s="1">
        <v>982.92</v>
      </c>
      <c r="F4621" s="1" t="s">
        <v>12</v>
      </c>
      <c r="G4621" s="1" t="s">
        <v>12</v>
      </c>
      <c r="H4621" s="1" t="s">
        <v>13</v>
      </c>
      <c r="I4621" s="1" t="s">
        <v>13</v>
      </c>
      <c r="J4621" s="1" t="s">
        <v>27</v>
      </c>
      <c r="K4621" s="1">
        <v>0</v>
      </c>
      <c r="L4621" s="1" t="s">
        <v>21</v>
      </c>
      <c r="M4621" s="1" t="str">
        <f t="shared" si="73"/>
        <v>Consistent</v>
      </c>
      <c r="N4621" s="1" t="str">
        <f>_xlfn.XLOOKUP(H4621, risk_score!A:A, risk_score!B:B, 0)</f>
        <v>Low Risk</v>
      </c>
    </row>
    <row r="4622" spans="1:14">
      <c r="A4622" s="2">
        <v>0.56144675925925924</v>
      </c>
      <c r="B4622" s="3">
        <v>44841</v>
      </c>
      <c r="C4622" s="1">
        <v>7628410156</v>
      </c>
      <c r="D4622" s="1">
        <v>5674907569</v>
      </c>
      <c r="E4622" s="1">
        <v>684.06</v>
      </c>
      <c r="F4622" s="1" t="s">
        <v>12</v>
      </c>
      <c r="G4622" s="1" t="s">
        <v>12</v>
      </c>
      <c r="H4622" s="1" t="s">
        <v>13</v>
      </c>
      <c r="I4622" s="1" t="s">
        <v>13</v>
      </c>
      <c r="J4622" s="1" t="s">
        <v>14</v>
      </c>
      <c r="K4622" s="1">
        <v>0</v>
      </c>
      <c r="L4622" s="1" t="s">
        <v>15</v>
      </c>
      <c r="M4622" s="1" t="str">
        <f t="shared" si="73"/>
        <v>Consistent</v>
      </c>
      <c r="N4622" s="1" t="str">
        <f>_xlfn.XLOOKUP(H4622, risk_score!A:A, risk_score!B:B, 0)</f>
        <v>Low Risk</v>
      </c>
    </row>
    <row r="4623" spans="1:14">
      <c r="A4623" s="2">
        <v>0.56148148148148147</v>
      </c>
      <c r="B4623" s="3">
        <v>44841</v>
      </c>
      <c r="C4623" s="1">
        <v>5790471849</v>
      </c>
      <c r="D4623" s="1">
        <v>378335393</v>
      </c>
      <c r="E4623" s="1">
        <v>2194.27</v>
      </c>
      <c r="F4623" s="1" t="s">
        <v>12</v>
      </c>
      <c r="G4623" s="1" t="s">
        <v>26</v>
      </c>
      <c r="H4623" s="1" t="s">
        <v>13</v>
      </c>
      <c r="I4623" s="1" t="s">
        <v>13</v>
      </c>
      <c r="J4623" s="1" t="s">
        <v>22</v>
      </c>
      <c r="K4623" s="1">
        <v>0</v>
      </c>
      <c r="L4623" s="1" t="s">
        <v>38</v>
      </c>
      <c r="M4623" s="1" t="str">
        <f t="shared" si="73"/>
        <v>Potential Layering</v>
      </c>
      <c r="N4623" s="1" t="str">
        <f>_xlfn.XLOOKUP(H4623, risk_score!A:A, risk_score!B:B, 0)</f>
        <v>Low Risk</v>
      </c>
    </row>
    <row r="4624" spans="1:14">
      <c r="A4624" s="2">
        <v>0.56149305555555551</v>
      </c>
      <c r="B4624" s="3">
        <v>44841</v>
      </c>
      <c r="C4624" s="1">
        <v>1706196950</v>
      </c>
      <c r="D4624" s="1">
        <v>3695545812</v>
      </c>
      <c r="E4624" s="1">
        <v>4914.25</v>
      </c>
      <c r="F4624" s="1" t="s">
        <v>12</v>
      </c>
      <c r="G4624" s="1" t="s">
        <v>12</v>
      </c>
      <c r="H4624" s="1" t="s">
        <v>13</v>
      </c>
      <c r="I4624" s="1" t="s">
        <v>13</v>
      </c>
      <c r="J4624" s="1" t="s">
        <v>25</v>
      </c>
      <c r="K4624" s="1">
        <v>0</v>
      </c>
      <c r="L4624" s="1" t="s">
        <v>23</v>
      </c>
      <c r="M4624" s="1" t="str">
        <f t="shared" si="73"/>
        <v>Consistent</v>
      </c>
      <c r="N4624" s="1" t="str">
        <f>_xlfn.XLOOKUP(H4624, risk_score!A:A, risk_score!B:B, 0)</f>
        <v>Low Risk</v>
      </c>
    </row>
    <row r="4625" spans="1:14">
      <c r="A4625" s="2">
        <v>0.56150462962962966</v>
      </c>
      <c r="B4625" s="3">
        <v>44841</v>
      </c>
      <c r="C4625" s="1">
        <v>7669236826</v>
      </c>
      <c r="D4625" s="1">
        <v>2595978516</v>
      </c>
      <c r="E4625" s="1">
        <v>9641.8700000000008</v>
      </c>
      <c r="F4625" s="1" t="s">
        <v>12</v>
      </c>
      <c r="G4625" s="1" t="s">
        <v>12</v>
      </c>
      <c r="H4625" s="1" t="s">
        <v>13</v>
      </c>
      <c r="I4625" s="1" t="s">
        <v>13</v>
      </c>
      <c r="J4625" s="1" t="s">
        <v>25</v>
      </c>
      <c r="K4625" s="1">
        <v>0</v>
      </c>
      <c r="L4625" s="1" t="s">
        <v>19</v>
      </c>
      <c r="M4625" s="1" t="str">
        <f t="shared" si="73"/>
        <v>Consistent</v>
      </c>
      <c r="N4625" s="1" t="str">
        <f>_xlfn.XLOOKUP(H4625, risk_score!A:A, risk_score!B:B, 0)</f>
        <v>Low Risk</v>
      </c>
    </row>
    <row r="4626" spans="1:14">
      <c r="A4626" s="2">
        <v>0.56157407407407411</v>
      </c>
      <c r="B4626" s="3">
        <v>44841</v>
      </c>
      <c r="C4626" s="1">
        <v>4121324384</v>
      </c>
      <c r="D4626" s="1">
        <v>114960068</v>
      </c>
      <c r="E4626" s="1">
        <v>8489.2000000000007</v>
      </c>
      <c r="F4626" s="1" t="s">
        <v>29</v>
      </c>
      <c r="G4626" s="1" t="s">
        <v>16</v>
      </c>
      <c r="H4626" s="1" t="s">
        <v>30</v>
      </c>
      <c r="I4626" s="1" t="s">
        <v>17</v>
      </c>
      <c r="J4626" s="1" t="s">
        <v>18</v>
      </c>
      <c r="K4626" s="1">
        <v>0</v>
      </c>
      <c r="L4626" s="1" t="s">
        <v>19</v>
      </c>
      <c r="M4626" s="1" t="str">
        <f t="shared" si="73"/>
        <v>Potential Layering</v>
      </c>
      <c r="N4626" s="1" t="str">
        <f>_xlfn.XLOOKUP(H4626, risk_score!A:A, risk_score!B:B, 0)</f>
        <v>Low Risk</v>
      </c>
    </row>
    <row r="4627" spans="1:14">
      <c r="A4627" s="2">
        <v>0.56157407407407411</v>
      </c>
      <c r="B4627" s="3">
        <v>44841</v>
      </c>
      <c r="C4627" s="1">
        <v>3691766094</v>
      </c>
      <c r="D4627" s="1">
        <v>2765451286</v>
      </c>
      <c r="E4627" s="1">
        <v>4757.8500000000004</v>
      </c>
      <c r="F4627" s="1" t="s">
        <v>12</v>
      </c>
      <c r="G4627" s="1" t="s">
        <v>12</v>
      </c>
      <c r="H4627" s="1" t="s">
        <v>13</v>
      </c>
      <c r="I4627" s="1" t="s">
        <v>13</v>
      </c>
      <c r="J4627" s="1" t="s">
        <v>25</v>
      </c>
      <c r="K4627" s="1">
        <v>0</v>
      </c>
      <c r="L4627" s="1" t="s">
        <v>21</v>
      </c>
      <c r="M4627" s="1" t="str">
        <f t="shared" si="73"/>
        <v>Consistent</v>
      </c>
      <c r="N4627" s="1" t="str">
        <f>_xlfn.XLOOKUP(H4627, risk_score!A:A, risk_score!B:B, 0)</f>
        <v>Low Risk</v>
      </c>
    </row>
    <row r="4628" spans="1:14">
      <c r="A4628" s="2">
        <v>0.56157407407407411</v>
      </c>
      <c r="B4628" s="3">
        <v>44841</v>
      </c>
      <c r="C4628" s="1">
        <v>6970144725</v>
      </c>
      <c r="D4628" s="1">
        <v>1437911296</v>
      </c>
      <c r="E4628" s="1">
        <v>390.67</v>
      </c>
      <c r="F4628" s="1" t="s">
        <v>12</v>
      </c>
      <c r="G4628" s="1" t="s">
        <v>12</v>
      </c>
      <c r="H4628" s="1" t="s">
        <v>13</v>
      </c>
      <c r="I4628" s="1" t="s">
        <v>13</v>
      </c>
      <c r="J4628" s="1" t="s">
        <v>20</v>
      </c>
      <c r="K4628" s="1">
        <v>0</v>
      </c>
      <c r="L4628" s="1" t="s">
        <v>21</v>
      </c>
      <c r="M4628" s="1" t="str">
        <f t="shared" si="73"/>
        <v>Consistent</v>
      </c>
      <c r="N4628" s="1" t="str">
        <f>_xlfn.XLOOKUP(H4628, risk_score!A:A, risk_score!B:B, 0)</f>
        <v>Low Risk</v>
      </c>
    </row>
    <row r="4629" spans="1:14">
      <c r="A4629" s="2">
        <v>0.56158564814814815</v>
      </c>
      <c r="B4629" s="3">
        <v>44841</v>
      </c>
      <c r="C4629" s="1">
        <v>6026116861</v>
      </c>
      <c r="D4629" s="1">
        <v>5823617053</v>
      </c>
      <c r="E4629" s="1">
        <v>3259.3</v>
      </c>
      <c r="F4629" s="1" t="s">
        <v>12</v>
      </c>
      <c r="G4629" s="1" t="s">
        <v>12</v>
      </c>
      <c r="H4629" s="1" t="s">
        <v>13</v>
      </c>
      <c r="I4629" s="1" t="s">
        <v>13</v>
      </c>
      <c r="J4629" s="1" t="s">
        <v>20</v>
      </c>
      <c r="K4629" s="1">
        <v>0</v>
      </c>
      <c r="L4629" s="1" t="s">
        <v>21</v>
      </c>
      <c r="M4629" s="1" t="str">
        <f t="shared" si="73"/>
        <v>Consistent</v>
      </c>
      <c r="N4629" s="1" t="str">
        <f>_xlfn.XLOOKUP(H4629, risk_score!A:A, risk_score!B:B, 0)</f>
        <v>Low Risk</v>
      </c>
    </row>
    <row r="4630" spans="1:14">
      <c r="A4630" s="2">
        <v>0.56160879629629634</v>
      </c>
      <c r="B4630" s="3">
        <v>44841</v>
      </c>
      <c r="C4630" s="1">
        <v>8456279067</v>
      </c>
      <c r="D4630" s="1">
        <v>2524044622</v>
      </c>
      <c r="E4630" s="1">
        <v>9497.0499999999993</v>
      </c>
      <c r="F4630" s="1" t="s">
        <v>12</v>
      </c>
      <c r="G4630" s="1" t="s">
        <v>12</v>
      </c>
      <c r="H4630" s="1" t="s">
        <v>13</v>
      </c>
      <c r="I4630" s="1" t="s">
        <v>13</v>
      </c>
      <c r="J4630" s="1" t="s">
        <v>22</v>
      </c>
      <c r="K4630" s="1">
        <v>0</v>
      </c>
      <c r="L4630" s="1" t="s">
        <v>19</v>
      </c>
      <c r="M4630" s="1" t="str">
        <f t="shared" si="73"/>
        <v>Consistent</v>
      </c>
      <c r="N4630" s="1" t="str">
        <f>_xlfn.XLOOKUP(H4630, risk_score!A:A, risk_score!B:B, 0)</f>
        <v>Low Risk</v>
      </c>
    </row>
    <row r="4631" spans="1:14">
      <c r="A4631" s="2">
        <v>0.56160879629629634</v>
      </c>
      <c r="B4631" s="3">
        <v>44841</v>
      </c>
      <c r="C4631" s="1">
        <v>8047909179</v>
      </c>
      <c r="D4631" s="1">
        <v>2584568182</v>
      </c>
      <c r="E4631" s="1">
        <v>2780.17</v>
      </c>
      <c r="F4631" s="1" t="s">
        <v>12</v>
      </c>
      <c r="G4631" s="1" t="s">
        <v>12</v>
      </c>
      <c r="H4631" s="1" t="s">
        <v>13</v>
      </c>
      <c r="I4631" s="1" t="s">
        <v>13</v>
      </c>
      <c r="J4631" s="1" t="s">
        <v>25</v>
      </c>
      <c r="K4631" s="1">
        <v>0</v>
      </c>
      <c r="L4631" s="1" t="s">
        <v>38</v>
      </c>
      <c r="M4631" s="1" t="str">
        <f t="shared" si="73"/>
        <v>Consistent</v>
      </c>
      <c r="N4631" s="1" t="str">
        <f>_xlfn.XLOOKUP(H4631, risk_score!A:A, risk_score!B:B, 0)</f>
        <v>Low Risk</v>
      </c>
    </row>
    <row r="4632" spans="1:14">
      <c r="A4632" s="2">
        <v>0.56164351851851857</v>
      </c>
      <c r="B4632" s="3">
        <v>44841</v>
      </c>
      <c r="C4632" s="1">
        <v>2568808410</v>
      </c>
      <c r="D4632" s="1">
        <v>32660860</v>
      </c>
      <c r="E4632" s="1">
        <v>2151.58</v>
      </c>
      <c r="F4632" s="1" t="s">
        <v>12</v>
      </c>
      <c r="G4632" s="1" t="s">
        <v>12</v>
      </c>
      <c r="H4632" s="1" t="s">
        <v>13</v>
      </c>
      <c r="I4632" s="1" t="s">
        <v>13</v>
      </c>
      <c r="J4632" s="1" t="s">
        <v>22</v>
      </c>
      <c r="K4632" s="1">
        <v>0</v>
      </c>
      <c r="L4632" s="1" t="s">
        <v>21</v>
      </c>
      <c r="M4632" s="1" t="str">
        <f t="shared" si="73"/>
        <v>Consistent</v>
      </c>
      <c r="N4632" s="1" t="str">
        <f>_xlfn.XLOOKUP(H4632, risk_score!A:A, risk_score!B:B, 0)</f>
        <v>Low Risk</v>
      </c>
    </row>
    <row r="4633" spans="1:14">
      <c r="A4633" s="2">
        <v>0.56166666666666665</v>
      </c>
      <c r="B4633" s="3">
        <v>44841</v>
      </c>
      <c r="C4633" s="1">
        <v>2299676190</v>
      </c>
      <c r="D4633" s="1">
        <v>2534644942</v>
      </c>
      <c r="E4633" s="1">
        <v>5909.57</v>
      </c>
      <c r="F4633" s="1" t="s">
        <v>12</v>
      </c>
      <c r="G4633" s="1" t="s">
        <v>29</v>
      </c>
      <c r="H4633" s="1" t="s">
        <v>13</v>
      </c>
      <c r="I4633" s="1" t="s">
        <v>31</v>
      </c>
      <c r="J4633" s="1" t="s">
        <v>18</v>
      </c>
      <c r="K4633" s="1">
        <v>0</v>
      </c>
      <c r="L4633" s="1" t="s">
        <v>23</v>
      </c>
      <c r="M4633" s="1" t="str">
        <f t="shared" si="73"/>
        <v>Potential Layering</v>
      </c>
      <c r="N4633" s="1" t="str">
        <f>_xlfn.XLOOKUP(H4633, risk_score!A:A, risk_score!B:B, 0)</f>
        <v>Low Risk</v>
      </c>
    </row>
    <row r="4634" spans="1:14">
      <c r="A4634" s="2">
        <v>0.5617361111111111</v>
      </c>
      <c r="B4634" s="3">
        <v>44841</v>
      </c>
      <c r="C4634" s="1">
        <v>6904668523</v>
      </c>
      <c r="D4634" s="1">
        <v>2361327503</v>
      </c>
      <c r="E4634" s="1">
        <v>7660.83</v>
      </c>
      <c r="F4634" s="1" t="s">
        <v>12</v>
      </c>
      <c r="G4634" s="1" t="s">
        <v>12</v>
      </c>
      <c r="H4634" s="1" t="s">
        <v>13</v>
      </c>
      <c r="I4634" s="1" t="s">
        <v>13</v>
      </c>
      <c r="J4634" s="1" t="s">
        <v>25</v>
      </c>
      <c r="K4634" s="1">
        <v>0</v>
      </c>
      <c r="L4634" s="1" t="s">
        <v>19</v>
      </c>
      <c r="M4634" s="1" t="str">
        <f t="shared" si="73"/>
        <v>Consistent</v>
      </c>
      <c r="N4634" s="1" t="str">
        <f>_xlfn.XLOOKUP(H4634, risk_score!A:A, risk_score!B:B, 0)</f>
        <v>Low Risk</v>
      </c>
    </row>
    <row r="4635" spans="1:14">
      <c r="A4635" s="2">
        <v>0.56175925925925929</v>
      </c>
      <c r="B4635" s="3">
        <v>44841</v>
      </c>
      <c r="C4635" s="1">
        <v>6307900258</v>
      </c>
      <c r="D4635" s="1">
        <v>862828637</v>
      </c>
      <c r="E4635" s="1">
        <v>24985.47</v>
      </c>
      <c r="F4635" s="1" t="s">
        <v>12</v>
      </c>
      <c r="G4635" s="1" t="s">
        <v>12</v>
      </c>
      <c r="H4635" s="1" t="s">
        <v>13</v>
      </c>
      <c r="I4635" s="1" t="s">
        <v>13</v>
      </c>
      <c r="J4635" s="1" t="s">
        <v>22</v>
      </c>
      <c r="K4635" s="1">
        <v>0</v>
      </c>
      <c r="L4635" s="1" t="s">
        <v>21</v>
      </c>
      <c r="M4635" s="1" t="str">
        <f t="shared" si="73"/>
        <v>Consistent</v>
      </c>
      <c r="N4635" s="1" t="str">
        <f>_xlfn.XLOOKUP(H4635, risk_score!A:A, risk_score!B:B, 0)</f>
        <v>Low Risk</v>
      </c>
    </row>
    <row r="4636" spans="1:14">
      <c r="A4636" s="2">
        <v>0.56175925925925929</v>
      </c>
      <c r="B4636" s="3">
        <v>44841</v>
      </c>
      <c r="C4636" s="1">
        <v>9586816158</v>
      </c>
      <c r="D4636" s="1">
        <v>2221393478</v>
      </c>
      <c r="E4636" s="1">
        <v>536.01</v>
      </c>
      <c r="F4636" s="1" t="s">
        <v>12</v>
      </c>
      <c r="G4636" s="1" t="s">
        <v>12</v>
      </c>
      <c r="H4636" s="1" t="s">
        <v>13</v>
      </c>
      <c r="I4636" s="1" t="s">
        <v>13</v>
      </c>
      <c r="J4636" s="1" t="s">
        <v>27</v>
      </c>
      <c r="K4636" s="1">
        <v>0</v>
      </c>
      <c r="L4636" s="1" t="s">
        <v>21</v>
      </c>
      <c r="M4636" s="1" t="str">
        <f t="shared" si="73"/>
        <v>Consistent</v>
      </c>
      <c r="N4636" s="1" t="str">
        <f>_xlfn.XLOOKUP(H4636, risk_score!A:A, risk_score!B:B, 0)</f>
        <v>Low Risk</v>
      </c>
    </row>
    <row r="4637" spans="1:14">
      <c r="A4637" s="2">
        <v>0.5618171296296296</v>
      </c>
      <c r="B4637" s="3">
        <v>44841</v>
      </c>
      <c r="C4637" s="1">
        <v>7669236826</v>
      </c>
      <c r="D4637" s="1">
        <v>7389041504</v>
      </c>
      <c r="E4637" s="1">
        <v>10262.31</v>
      </c>
      <c r="F4637" s="1" t="s">
        <v>12</v>
      </c>
      <c r="G4637" s="1" t="s">
        <v>12</v>
      </c>
      <c r="H4637" s="1" t="s">
        <v>13</v>
      </c>
      <c r="I4637" s="1" t="s">
        <v>13</v>
      </c>
      <c r="J4637" s="1" t="s">
        <v>25</v>
      </c>
      <c r="K4637" s="1">
        <v>0</v>
      </c>
      <c r="L4637" s="1" t="s">
        <v>19</v>
      </c>
      <c r="M4637" s="1" t="str">
        <f t="shared" si="73"/>
        <v>Consistent</v>
      </c>
      <c r="N4637" s="1" t="str">
        <f>_xlfn.XLOOKUP(H4637, risk_score!A:A, risk_score!B:B, 0)</f>
        <v>Low Risk</v>
      </c>
    </row>
    <row r="4638" spans="1:14">
      <c r="A4638" s="2">
        <v>0.56185185185185182</v>
      </c>
      <c r="B4638" s="3">
        <v>44841</v>
      </c>
      <c r="C4638" s="1">
        <v>8992550842</v>
      </c>
      <c r="D4638" s="1">
        <v>1489915777</v>
      </c>
      <c r="E4638" s="1">
        <v>476.25</v>
      </c>
      <c r="F4638" s="1" t="s">
        <v>12</v>
      </c>
      <c r="G4638" s="1" t="s">
        <v>12</v>
      </c>
      <c r="H4638" s="1" t="s">
        <v>13</v>
      </c>
      <c r="I4638" s="1" t="s">
        <v>13</v>
      </c>
      <c r="J4638" s="1" t="s">
        <v>20</v>
      </c>
      <c r="K4638" s="1">
        <v>0</v>
      </c>
      <c r="L4638" s="1" t="s">
        <v>21</v>
      </c>
      <c r="M4638" s="1" t="str">
        <f t="shared" si="73"/>
        <v>Consistent</v>
      </c>
      <c r="N4638" s="1" t="str">
        <f>_xlfn.XLOOKUP(H4638, risk_score!A:A, risk_score!B:B, 0)</f>
        <v>Low Risk</v>
      </c>
    </row>
    <row r="4639" spans="1:14">
      <c r="A4639" s="2">
        <v>0.5618981481481482</v>
      </c>
      <c r="B4639" s="3">
        <v>44841</v>
      </c>
      <c r="C4639" s="1">
        <v>3709430533</v>
      </c>
      <c r="D4639" s="1">
        <v>7543250720</v>
      </c>
      <c r="E4639" s="1">
        <v>6812.56</v>
      </c>
      <c r="F4639" s="1" t="s">
        <v>12</v>
      </c>
      <c r="G4639" s="1" t="s">
        <v>12</v>
      </c>
      <c r="H4639" s="1" t="s">
        <v>13</v>
      </c>
      <c r="I4639" s="1" t="s">
        <v>13</v>
      </c>
      <c r="J4639" s="1" t="s">
        <v>22</v>
      </c>
      <c r="K4639" s="1">
        <v>0</v>
      </c>
      <c r="L4639" s="1" t="s">
        <v>19</v>
      </c>
      <c r="M4639" s="1" t="str">
        <f t="shared" si="73"/>
        <v>Consistent</v>
      </c>
      <c r="N4639" s="1" t="str">
        <f>_xlfn.XLOOKUP(H4639, risk_score!A:A, risk_score!B:B, 0)</f>
        <v>Low Risk</v>
      </c>
    </row>
    <row r="4640" spans="1:14">
      <c r="A4640" s="2">
        <v>0.56190972222222224</v>
      </c>
      <c r="B4640" s="3">
        <v>44841</v>
      </c>
      <c r="C4640" s="1">
        <v>6541552727</v>
      </c>
      <c r="D4640" s="1">
        <v>475649742</v>
      </c>
      <c r="E4640" s="1">
        <v>6501.99</v>
      </c>
      <c r="F4640" s="1" t="s">
        <v>12</v>
      </c>
      <c r="G4640" s="1" t="s">
        <v>12</v>
      </c>
      <c r="H4640" s="1" t="s">
        <v>13</v>
      </c>
      <c r="I4640" s="1" t="s">
        <v>13</v>
      </c>
      <c r="J4640" s="1" t="s">
        <v>27</v>
      </c>
      <c r="K4640" s="1">
        <v>0</v>
      </c>
      <c r="L4640" s="1" t="s">
        <v>19</v>
      </c>
      <c r="M4640" s="1" t="str">
        <f t="shared" si="73"/>
        <v>Consistent</v>
      </c>
      <c r="N4640" s="1" t="str">
        <f>_xlfn.XLOOKUP(H4640, risk_score!A:A, risk_score!B:B, 0)</f>
        <v>Low Risk</v>
      </c>
    </row>
    <row r="4641" spans="1:14">
      <c r="A4641" s="2">
        <v>0.56190972222222224</v>
      </c>
      <c r="B4641" s="3">
        <v>44841</v>
      </c>
      <c r="C4641" s="1">
        <v>630896633</v>
      </c>
      <c r="D4641" s="1">
        <v>1346446264</v>
      </c>
      <c r="E4641" s="1">
        <v>5661.88</v>
      </c>
      <c r="F4641" s="1" t="s">
        <v>12</v>
      </c>
      <c r="G4641" s="1" t="s">
        <v>12</v>
      </c>
      <c r="H4641" s="1" t="s">
        <v>13</v>
      </c>
      <c r="I4641" s="1" t="s">
        <v>13</v>
      </c>
      <c r="J4641" s="1" t="s">
        <v>20</v>
      </c>
      <c r="K4641" s="1">
        <v>0</v>
      </c>
      <c r="L4641" s="1" t="s">
        <v>21</v>
      </c>
      <c r="M4641" s="1" t="str">
        <f t="shared" si="73"/>
        <v>Consistent</v>
      </c>
      <c r="N4641" s="1" t="str">
        <f>_xlfn.XLOOKUP(H4641, risk_score!A:A, risk_score!B:B, 0)</f>
        <v>Low Risk</v>
      </c>
    </row>
    <row r="4642" spans="1:14">
      <c r="A4642" s="2">
        <v>0.56193287037037032</v>
      </c>
      <c r="B4642" s="3">
        <v>44841</v>
      </c>
      <c r="C4642" s="1">
        <v>9580371702</v>
      </c>
      <c r="D4642" s="1">
        <v>6646502650</v>
      </c>
      <c r="E4642" s="1">
        <v>6202.15</v>
      </c>
      <c r="F4642" s="1" t="s">
        <v>12</v>
      </c>
      <c r="G4642" s="1" t="s">
        <v>29</v>
      </c>
      <c r="H4642" s="1" t="s">
        <v>13</v>
      </c>
      <c r="I4642" s="1" t="s">
        <v>31</v>
      </c>
      <c r="J4642" s="1" t="s">
        <v>18</v>
      </c>
      <c r="K4642" s="1">
        <v>0</v>
      </c>
      <c r="L4642" s="1" t="s">
        <v>23</v>
      </c>
      <c r="M4642" s="1" t="str">
        <f t="shared" si="73"/>
        <v>Potential Layering</v>
      </c>
      <c r="N4642" s="1" t="str">
        <f>_xlfn.XLOOKUP(H4642, risk_score!A:A, risk_score!B:B, 0)</f>
        <v>Low Risk</v>
      </c>
    </row>
    <row r="4643" spans="1:14">
      <c r="A4643" s="2">
        <v>0.56194444444444447</v>
      </c>
      <c r="B4643" s="3">
        <v>44841</v>
      </c>
      <c r="C4643" s="1">
        <v>3009397443</v>
      </c>
      <c r="D4643" s="1">
        <v>5708936901</v>
      </c>
      <c r="E4643" s="1">
        <v>11354.17</v>
      </c>
      <c r="F4643" s="1" t="s">
        <v>12</v>
      </c>
      <c r="G4643" s="1" t="s">
        <v>12</v>
      </c>
      <c r="H4643" s="1" t="s">
        <v>13</v>
      </c>
      <c r="I4643" s="1" t="s">
        <v>13</v>
      </c>
      <c r="J4643" s="1" t="s">
        <v>22</v>
      </c>
      <c r="K4643" s="1">
        <v>0</v>
      </c>
      <c r="L4643" s="1" t="s">
        <v>23</v>
      </c>
      <c r="M4643" s="1" t="str">
        <f t="shared" si="73"/>
        <v>Consistent</v>
      </c>
      <c r="N4643" s="1" t="str">
        <f>_xlfn.XLOOKUP(H4643, risk_score!A:A, risk_score!B:B, 0)</f>
        <v>Low Risk</v>
      </c>
    </row>
    <row r="4644" spans="1:14">
      <c r="A4644" s="2">
        <v>0.56201388888888892</v>
      </c>
      <c r="B4644" s="3">
        <v>44841</v>
      </c>
      <c r="C4644" s="1">
        <v>295813874</v>
      </c>
      <c r="D4644" s="1">
        <v>5896180453</v>
      </c>
      <c r="E4644" s="1">
        <v>13354.61</v>
      </c>
      <c r="F4644" s="1" t="s">
        <v>12</v>
      </c>
      <c r="G4644" s="1" t="s">
        <v>12</v>
      </c>
      <c r="H4644" s="1" t="s">
        <v>13</v>
      </c>
      <c r="I4644" s="1" t="s">
        <v>13</v>
      </c>
      <c r="J4644" s="1" t="s">
        <v>25</v>
      </c>
      <c r="K4644" s="1">
        <v>0</v>
      </c>
      <c r="L4644" s="1" t="s">
        <v>23</v>
      </c>
      <c r="M4644" s="1" t="str">
        <f t="shared" si="73"/>
        <v>Consistent</v>
      </c>
      <c r="N4644" s="1" t="str">
        <f>_xlfn.XLOOKUP(H4644, risk_score!A:A, risk_score!B:B, 0)</f>
        <v>Low Risk</v>
      </c>
    </row>
    <row r="4645" spans="1:14">
      <c r="A4645" s="2">
        <v>0.56202546296296296</v>
      </c>
      <c r="B4645" s="3">
        <v>44841</v>
      </c>
      <c r="C4645" s="1">
        <v>9085589836</v>
      </c>
      <c r="D4645" s="1">
        <v>5281036091</v>
      </c>
      <c r="E4645" s="1">
        <v>1744.35</v>
      </c>
      <c r="F4645" s="1" t="s">
        <v>12</v>
      </c>
      <c r="G4645" s="1" t="s">
        <v>12</v>
      </c>
      <c r="H4645" s="1" t="s">
        <v>13</v>
      </c>
      <c r="I4645" s="1" t="s">
        <v>13</v>
      </c>
      <c r="J4645" s="1" t="s">
        <v>25</v>
      </c>
      <c r="K4645" s="1">
        <v>0</v>
      </c>
      <c r="L4645" s="1" t="s">
        <v>21</v>
      </c>
      <c r="M4645" s="1" t="str">
        <f t="shared" si="73"/>
        <v>Consistent</v>
      </c>
      <c r="N4645" s="1" t="str">
        <f>_xlfn.XLOOKUP(H4645, risk_score!A:A, risk_score!B:B, 0)</f>
        <v>Low Risk</v>
      </c>
    </row>
    <row r="4646" spans="1:14">
      <c r="A4646" s="2">
        <v>0.562037037037037</v>
      </c>
      <c r="B4646" s="3">
        <v>44841</v>
      </c>
      <c r="C4646" s="1">
        <v>9113661665</v>
      </c>
      <c r="D4646" s="1">
        <v>7892884492</v>
      </c>
      <c r="E4646" s="1">
        <v>7971</v>
      </c>
      <c r="F4646" s="1" t="s">
        <v>12</v>
      </c>
      <c r="G4646" s="1" t="s">
        <v>32</v>
      </c>
      <c r="H4646" s="1" t="s">
        <v>13</v>
      </c>
      <c r="I4646" s="1" t="s">
        <v>33</v>
      </c>
      <c r="J4646" s="1" t="s">
        <v>18</v>
      </c>
      <c r="K4646" s="1">
        <v>0</v>
      </c>
      <c r="L4646" s="1" t="s">
        <v>23</v>
      </c>
      <c r="M4646" s="1" t="str">
        <f t="shared" si="73"/>
        <v>Potential Layering</v>
      </c>
      <c r="N4646" s="1" t="str">
        <f>_xlfn.XLOOKUP(H4646, risk_score!A:A, risk_score!B:B, 0)</f>
        <v>Low Risk</v>
      </c>
    </row>
    <row r="4647" spans="1:14">
      <c r="A4647" s="2">
        <v>0.56204861111111115</v>
      </c>
      <c r="B4647" s="3">
        <v>44841</v>
      </c>
      <c r="C4647" s="1">
        <v>1858815801</v>
      </c>
      <c r="D4647" s="1">
        <v>5687522584</v>
      </c>
      <c r="E4647" s="1">
        <v>1439.18</v>
      </c>
      <c r="F4647" s="1" t="s">
        <v>12</v>
      </c>
      <c r="G4647" s="1" t="s">
        <v>12</v>
      </c>
      <c r="H4647" s="1" t="s">
        <v>13</v>
      </c>
      <c r="I4647" s="1" t="s">
        <v>13</v>
      </c>
      <c r="J4647" s="1" t="s">
        <v>22</v>
      </c>
      <c r="K4647" s="1">
        <v>0</v>
      </c>
      <c r="L4647" s="1" t="s">
        <v>21</v>
      </c>
      <c r="M4647" s="1" t="str">
        <f t="shared" si="73"/>
        <v>Consistent</v>
      </c>
      <c r="N4647" s="1" t="str">
        <f>_xlfn.XLOOKUP(H4647, risk_score!A:A, risk_score!B:B, 0)</f>
        <v>Low Risk</v>
      </c>
    </row>
    <row r="4648" spans="1:14">
      <c r="A4648" s="2">
        <v>0.56206018518518519</v>
      </c>
      <c r="B4648" s="3">
        <v>44841</v>
      </c>
      <c r="C4648" s="1">
        <v>4768796402</v>
      </c>
      <c r="D4648" s="1">
        <v>2531693916</v>
      </c>
      <c r="E4648" s="1">
        <v>5678.32</v>
      </c>
      <c r="F4648" s="1" t="s">
        <v>12</v>
      </c>
      <c r="G4648" s="1" t="s">
        <v>12</v>
      </c>
      <c r="H4648" s="1" t="s">
        <v>13</v>
      </c>
      <c r="I4648" s="1" t="s">
        <v>13</v>
      </c>
      <c r="J4648" s="1" t="s">
        <v>25</v>
      </c>
      <c r="K4648" s="1">
        <v>0</v>
      </c>
      <c r="L4648" s="1" t="s">
        <v>21</v>
      </c>
      <c r="M4648" s="1" t="str">
        <f t="shared" si="73"/>
        <v>Consistent</v>
      </c>
      <c r="N4648" s="1" t="str">
        <f>_xlfn.XLOOKUP(H4648, risk_score!A:A, risk_score!B:B, 0)</f>
        <v>Low Risk</v>
      </c>
    </row>
    <row r="4649" spans="1:14">
      <c r="A4649" s="2">
        <v>0.56206018518518519</v>
      </c>
      <c r="B4649" s="3">
        <v>44841</v>
      </c>
      <c r="C4649" s="1">
        <v>4567787678</v>
      </c>
      <c r="D4649" s="1">
        <v>8413073398</v>
      </c>
      <c r="E4649" s="1">
        <v>638.96</v>
      </c>
      <c r="F4649" s="1" t="s">
        <v>12</v>
      </c>
      <c r="G4649" s="1" t="s">
        <v>12</v>
      </c>
      <c r="H4649" s="1" t="s">
        <v>13</v>
      </c>
      <c r="I4649" s="1" t="s">
        <v>13</v>
      </c>
      <c r="J4649" s="1" t="s">
        <v>27</v>
      </c>
      <c r="K4649" s="1">
        <v>0</v>
      </c>
      <c r="L4649" s="1" t="s">
        <v>21</v>
      </c>
      <c r="M4649" s="1" t="str">
        <f t="shared" si="73"/>
        <v>Consistent</v>
      </c>
      <c r="N4649" s="1" t="str">
        <f>_xlfn.XLOOKUP(H4649, risk_score!A:A, risk_score!B:B, 0)</f>
        <v>Low Risk</v>
      </c>
    </row>
    <row r="4650" spans="1:14">
      <c r="A4650" s="2">
        <v>0.56207175925925923</v>
      </c>
      <c r="B4650" s="3">
        <v>44841</v>
      </c>
      <c r="C4650" s="1">
        <v>868568688</v>
      </c>
      <c r="D4650" s="1">
        <v>5708936901</v>
      </c>
      <c r="E4650" s="1">
        <v>12843.26</v>
      </c>
      <c r="F4650" s="1" t="s">
        <v>12</v>
      </c>
      <c r="G4650" s="1" t="s">
        <v>12</v>
      </c>
      <c r="H4650" s="1" t="s">
        <v>13</v>
      </c>
      <c r="I4650" s="1" t="s">
        <v>13</v>
      </c>
      <c r="J4650" s="1" t="s">
        <v>22</v>
      </c>
      <c r="K4650" s="1">
        <v>0</v>
      </c>
      <c r="L4650" s="1" t="s">
        <v>23</v>
      </c>
      <c r="M4650" s="1" t="str">
        <f t="shared" si="73"/>
        <v>Consistent</v>
      </c>
      <c r="N4650" s="1" t="str">
        <f>_xlfn.XLOOKUP(H4650, risk_score!A:A, risk_score!B:B, 0)</f>
        <v>Low Risk</v>
      </c>
    </row>
    <row r="4651" spans="1:14">
      <c r="A4651" s="2">
        <v>0.56208333333333338</v>
      </c>
      <c r="B4651" s="3">
        <v>44841</v>
      </c>
      <c r="C4651" s="1">
        <v>3396853729</v>
      </c>
      <c r="D4651" s="1">
        <v>4293580479</v>
      </c>
      <c r="E4651" s="1">
        <v>25522.55</v>
      </c>
      <c r="F4651" s="1" t="s">
        <v>12</v>
      </c>
      <c r="G4651" s="1" t="s">
        <v>12</v>
      </c>
      <c r="H4651" s="1" t="s">
        <v>13</v>
      </c>
      <c r="I4651" s="1" t="s">
        <v>13</v>
      </c>
      <c r="J4651" s="1" t="s">
        <v>25</v>
      </c>
      <c r="K4651" s="1">
        <v>0</v>
      </c>
      <c r="L4651" s="1" t="s">
        <v>23</v>
      </c>
      <c r="M4651" s="1" t="str">
        <f t="shared" si="73"/>
        <v>Consistent</v>
      </c>
      <c r="N4651" s="1" t="str">
        <f>_xlfn.XLOOKUP(H4651, risk_score!A:A, risk_score!B:B, 0)</f>
        <v>Low Risk</v>
      </c>
    </row>
    <row r="4652" spans="1:14">
      <c r="A4652" s="2">
        <v>0.56212962962962965</v>
      </c>
      <c r="B4652" s="3">
        <v>44841</v>
      </c>
      <c r="C4652" s="1">
        <v>8456279067</v>
      </c>
      <c r="D4652" s="1">
        <v>2524044622</v>
      </c>
      <c r="E4652" s="1">
        <v>9500.7000000000007</v>
      </c>
      <c r="F4652" s="1" t="s">
        <v>12</v>
      </c>
      <c r="G4652" s="1" t="s">
        <v>12</v>
      </c>
      <c r="H4652" s="1" t="s">
        <v>13</v>
      </c>
      <c r="I4652" s="1" t="s">
        <v>13</v>
      </c>
      <c r="J4652" s="1" t="s">
        <v>20</v>
      </c>
      <c r="K4652" s="1">
        <v>0</v>
      </c>
      <c r="L4652" s="1" t="s">
        <v>19</v>
      </c>
      <c r="M4652" s="1" t="str">
        <f t="shared" si="73"/>
        <v>Consistent</v>
      </c>
      <c r="N4652" s="1" t="str">
        <f>_xlfn.XLOOKUP(H4652, risk_score!A:A, risk_score!B:B, 0)</f>
        <v>Low Risk</v>
      </c>
    </row>
    <row r="4653" spans="1:14">
      <c r="A4653" s="2">
        <v>0.5621990740740741</v>
      </c>
      <c r="B4653" s="3">
        <v>44841</v>
      </c>
      <c r="C4653" s="1">
        <v>5025012701</v>
      </c>
      <c r="D4653" s="1">
        <v>8523695954</v>
      </c>
      <c r="E4653" s="1">
        <v>867.47</v>
      </c>
      <c r="F4653" s="1" t="s">
        <v>12</v>
      </c>
      <c r="G4653" s="1" t="s">
        <v>12</v>
      </c>
      <c r="H4653" s="1" t="s">
        <v>13</v>
      </c>
      <c r="I4653" s="1" t="s">
        <v>13</v>
      </c>
      <c r="J4653" s="1" t="s">
        <v>22</v>
      </c>
      <c r="K4653" s="1">
        <v>0</v>
      </c>
      <c r="L4653" s="1" t="s">
        <v>21</v>
      </c>
      <c r="M4653" s="1" t="str">
        <f t="shared" si="73"/>
        <v>Consistent</v>
      </c>
      <c r="N4653" s="1" t="str">
        <f>_xlfn.XLOOKUP(H4653, risk_score!A:A, risk_score!B:B, 0)</f>
        <v>Low Risk</v>
      </c>
    </row>
    <row r="4654" spans="1:14">
      <c r="A4654" s="2">
        <v>0.56224537037037037</v>
      </c>
      <c r="B4654" s="3">
        <v>44841</v>
      </c>
      <c r="C4654" s="1">
        <v>7758268667</v>
      </c>
      <c r="D4654" s="1">
        <v>4389103342</v>
      </c>
      <c r="E4654" s="1">
        <v>9414.9699999999993</v>
      </c>
      <c r="F4654" s="1" t="s">
        <v>12</v>
      </c>
      <c r="G4654" s="1" t="s">
        <v>12</v>
      </c>
      <c r="H4654" s="1" t="s">
        <v>13</v>
      </c>
      <c r="I4654" s="1" t="s">
        <v>13</v>
      </c>
      <c r="J4654" s="1" t="s">
        <v>20</v>
      </c>
      <c r="K4654" s="1">
        <v>0</v>
      </c>
      <c r="L4654" s="1" t="s">
        <v>19</v>
      </c>
      <c r="M4654" s="1" t="str">
        <f t="shared" si="73"/>
        <v>Consistent</v>
      </c>
      <c r="N4654" s="1" t="str">
        <f>_xlfn.XLOOKUP(H4654, risk_score!A:A, risk_score!B:B, 0)</f>
        <v>Low Risk</v>
      </c>
    </row>
    <row r="4655" spans="1:14">
      <c r="A4655" s="2">
        <v>0.56230324074074078</v>
      </c>
      <c r="B4655" s="3">
        <v>44841</v>
      </c>
      <c r="C4655" s="1">
        <v>2548803528</v>
      </c>
      <c r="D4655" s="1">
        <v>4551471712</v>
      </c>
      <c r="E4655" s="1">
        <v>2079.7600000000002</v>
      </c>
      <c r="F4655" s="1" t="s">
        <v>12</v>
      </c>
      <c r="G4655" s="1" t="s">
        <v>12</v>
      </c>
      <c r="H4655" s="1" t="s">
        <v>13</v>
      </c>
      <c r="I4655" s="1" t="s">
        <v>13</v>
      </c>
      <c r="J4655" s="1" t="s">
        <v>20</v>
      </c>
      <c r="K4655" s="1">
        <v>0</v>
      </c>
      <c r="L4655" s="1" t="s">
        <v>21</v>
      </c>
      <c r="M4655" s="1" t="str">
        <f t="shared" si="73"/>
        <v>Consistent</v>
      </c>
      <c r="N4655" s="1" t="str">
        <f>_xlfn.XLOOKUP(H4655, risk_score!A:A, risk_score!B:B, 0)</f>
        <v>Low Risk</v>
      </c>
    </row>
    <row r="4656" spans="1:14">
      <c r="A4656" s="2">
        <v>0.56232638888888886</v>
      </c>
      <c r="B4656" s="3">
        <v>44841</v>
      </c>
      <c r="C4656" s="1">
        <v>7724710130</v>
      </c>
      <c r="D4656" s="1">
        <v>4270865741</v>
      </c>
      <c r="E4656" s="1">
        <v>11655.25</v>
      </c>
      <c r="F4656" s="1" t="s">
        <v>12</v>
      </c>
      <c r="G4656" s="1" t="s">
        <v>12</v>
      </c>
      <c r="H4656" s="1" t="s">
        <v>13</v>
      </c>
      <c r="I4656" s="1" t="s">
        <v>13</v>
      </c>
      <c r="J4656" s="1" t="s">
        <v>22</v>
      </c>
      <c r="K4656" s="1">
        <v>0</v>
      </c>
      <c r="L4656" s="1" t="s">
        <v>23</v>
      </c>
      <c r="M4656" s="1" t="str">
        <f t="shared" si="73"/>
        <v>Consistent</v>
      </c>
      <c r="N4656" s="1" t="str">
        <f>_xlfn.XLOOKUP(H4656, risk_score!A:A, risk_score!B:B, 0)</f>
        <v>Low Risk</v>
      </c>
    </row>
    <row r="4657" spans="1:14">
      <c r="A4657" s="2">
        <v>0.56232638888888886</v>
      </c>
      <c r="B4657" s="3">
        <v>44841</v>
      </c>
      <c r="C4657" s="1">
        <v>6086421020</v>
      </c>
      <c r="D4657" s="1">
        <v>8140432476</v>
      </c>
      <c r="E4657" s="1">
        <v>7933.79</v>
      </c>
      <c r="F4657" s="1" t="s">
        <v>12</v>
      </c>
      <c r="G4657" s="1" t="s">
        <v>12</v>
      </c>
      <c r="H4657" s="1" t="s">
        <v>13</v>
      </c>
      <c r="I4657" s="1" t="s">
        <v>13</v>
      </c>
      <c r="J4657" s="1" t="s">
        <v>22</v>
      </c>
      <c r="K4657" s="1">
        <v>0</v>
      </c>
      <c r="L4657" s="1" t="s">
        <v>19</v>
      </c>
      <c r="M4657" s="1" t="str">
        <f t="shared" si="73"/>
        <v>Consistent</v>
      </c>
      <c r="N4657" s="1" t="str">
        <f>_xlfn.XLOOKUP(H4657, risk_score!A:A, risk_score!B:B, 0)</f>
        <v>Low Risk</v>
      </c>
    </row>
    <row r="4658" spans="1:14">
      <c r="A4658" s="2">
        <v>0.56236111111111109</v>
      </c>
      <c r="B4658" s="3">
        <v>44841</v>
      </c>
      <c r="C4658" s="1">
        <v>3457073761</v>
      </c>
      <c r="D4658" s="1">
        <v>8235122290</v>
      </c>
      <c r="E4658" s="1">
        <v>110.39</v>
      </c>
      <c r="F4658" s="1" t="s">
        <v>12</v>
      </c>
      <c r="G4658" s="1" t="s">
        <v>12</v>
      </c>
      <c r="H4658" s="1" t="s">
        <v>13</v>
      </c>
      <c r="I4658" s="1" t="s">
        <v>13</v>
      </c>
      <c r="J4658" s="1" t="s">
        <v>36</v>
      </c>
      <c r="K4658" s="1">
        <v>0</v>
      </c>
      <c r="L4658" s="1" t="s">
        <v>37</v>
      </c>
      <c r="M4658" s="1" t="str">
        <f t="shared" si="73"/>
        <v>Consistent</v>
      </c>
      <c r="N4658" s="1" t="str">
        <f>_xlfn.XLOOKUP(H4658, risk_score!A:A, risk_score!B:B, 0)</f>
        <v>Low Risk</v>
      </c>
    </row>
    <row r="4659" spans="1:14">
      <c r="A4659" s="2">
        <v>0.56237268518518524</v>
      </c>
      <c r="B4659" s="3">
        <v>44841</v>
      </c>
      <c r="C4659" s="1">
        <v>1767299126</v>
      </c>
      <c r="D4659" s="1">
        <v>3231953623</v>
      </c>
      <c r="E4659" s="1">
        <v>223.53</v>
      </c>
      <c r="F4659" s="1" t="s">
        <v>12</v>
      </c>
      <c r="G4659" s="1" t="s">
        <v>12</v>
      </c>
      <c r="H4659" s="1" t="s">
        <v>13</v>
      </c>
      <c r="I4659" s="1" t="s">
        <v>13</v>
      </c>
      <c r="J4659" s="1" t="s">
        <v>22</v>
      </c>
      <c r="K4659" s="1">
        <v>0</v>
      </c>
      <c r="L4659" s="1" t="s">
        <v>21</v>
      </c>
      <c r="M4659" s="1" t="str">
        <f t="shared" si="73"/>
        <v>Consistent</v>
      </c>
      <c r="N4659" s="1" t="str">
        <f>_xlfn.XLOOKUP(H4659, risk_score!A:A, risk_score!B:B, 0)</f>
        <v>Low Risk</v>
      </c>
    </row>
    <row r="4660" spans="1:14">
      <c r="A4660" s="2">
        <v>0.56241898148148151</v>
      </c>
      <c r="B4660" s="3">
        <v>44841</v>
      </c>
      <c r="C4660" s="1">
        <v>1915450576</v>
      </c>
      <c r="D4660" s="1">
        <v>7468510228</v>
      </c>
      <c r="E4660" s="1">
        <v>5287.47</v>
      </c>
      <c r="F4660" s="1" t="s">
        <v>12</v>
      </c>
      <c r="G4660" s="1" t="s">
        <v>12</v>
      </c>
      <c r="H4660" s="1" t="s">
        <v>13</v>
      </c>
      <c r="I4660" s="1" t="s">
        <v>13</v>
      </c>
      <c r="J4660" s="1" t="s">
        <v>27</v>
      </c>
      <c r="K4660" s="1">
        <v>0</v>
      </c>
      <c r="L4660" s="1" t="s">
        <v>19</v>
      </c>
      <c r="M4660" s="1" t="str">
        <f t="shared" si="73"/>
        <v>Consistent</v>
      </c>
      <c r="N4660" s="1" t="str">
        <f>_xlfn.XLOOKUP(H4660, risk_score!A:A, risk_score!B:B, 0)</f>
        <v>Low Risk</v>
      </c>
    </row>
    <row r="4661" spans="1:14">
      <c r="A4661" s="2">
        <v>0.56241898148148151</v>
      </c>
      <c r="B4661" s="3">
        <v>44841</v>
      </c>
      <c r="C4661" s="1">
        <v>1378784400</v>
      </c>
      <c r="D4661" s="1">
        <v>7373473711</v>
      </c>
      <c r="E4661" s="1">
        <v>11033.02</v>
      </c>
      <c r="F4661" s="1" t="s">
        <v>12</v>
      </c>
      <c r="G4661" s="1" t="s">
        <v>12</v>
      </c>
      <c r="H4661" s="1" t="s">
        <v>13</v>
      </c>
      <c r="I4661" s="1" t="s">
        <v>13</v>
      </c>
      <c r="J4661" s="1" t="s">
        <v>27</v>
      </c>
      <c r="K4661" s="1">
        <v>0</v>
      </c>
      <c r="L4661" s="1" t="s">
        <v>19</v>
      </c>
      <c r="M4661" s="1" t="str">
        <f t="shared" si="73"/>
        <v>Consistent</v>
      </c>
      <c r="N4661" s="1" t="str">
        <f>_xlfn.XLOOKUP(H4661, risk_score!A:A, risk_score!B:B, 0)</f>
        <v>Low Risk</v>
      </c>
    </row>
    <row r="4662" spans="1:14">
      <c r="A4662" s="2">
        <v>0.56244212962962958</v>
      </c>
      <c r="B4662" s="3">
        <v>44841</v>
      </c>
      <c r="C4662" s="1">
        <v>9746384104</v>
      </c>
      <c r="D4662" s="1">
        <v>6440110871</v>
      </c>
      <c r="E4662" s="1">
        <v>15728.75</v>
      </c>
      <c r="F4662" s="1" t="s">
        <v>12</v>
      </c>
      <c r="G4662" s="1" t="s">
        <v>12</v>
      </c>
      <c r="H4662" s="1" t="s">
        <v>13</v>
      </c>
      <c r="I4662" s="1" t="s">
        <v>13</v>
      </c>
      <c r="J4662" s="1" t="s">
        <v>22</v>
      </c>
      <c r="K4662" s="1">
        <v>0</v>
      </c>
      <c r="L4662" s="1" t="s">
        <v>19</v>
      </c>
      <c r="M4662" s="1" t="str">
        <f t="shared" si="73"/>
        <v>Consistent</v>
      </c>
      <c r="N4662" s="1" t="str">
        <f>_xlfn.XLOOKUP(H4662, risk_score!A:A, risk_score!B:B, 0)</f>
        <v>Low Risk</v>
      </c>
    </row>
    <row r="4663" spans="1:14">
      <c r="A4663" s="2">
        <v>0.56251157407407404</v>
      </c>
      <c r="B4663" s="3">
        <v>44841</v>
      </c>
      <c r="C4663" s="1">
        <v>1491989064</v>
      </c>
      <c r="D4663" s="1">
        <v>123413463</v>
      </c>
      <c r="E4663" s="1">
        <v>10311.290000000001</v>
      </c>
      <c r="F4663" s="1" t="s">
        <v>12</v>
      </c>
      <c r="G4663" s="1" t="s">
        <v>12</v>
      </c>
      <c r="H4663" s="1" t="s">
        <v>13</v>
      </c>
      <c r="I4663" s="1" t="s">
        <v>13</v>
      </c>
      <c r="J4663" s="1" t="s">
        <v>25</v>
      </c>
      <c r="K4663" s="1">
        <v>0</v>
      </c>
      <c r="L4663" s="1" t="s">
        <v>19</v>
      </c>
      <c r="M4663" s="1" t="str">
        <f t="shared" si="73"/>
        <v>Consistent</v>
      </c>
      <c r="N4663" s="1" t="str">
        <f>_xlfn.XLOOKUP(H4663, risk_score!A:A, risk_score!B:B, 0)</f>
        <v>Low Risk</v>
      </c>
    </row>
    <row r="4664" spans="1:14">
      <c r="A4664" s="2">
        <v>0.56253472222222223</v>
      </c>
      <c r="B4664" s="3">
        <v>44841</v>
      </c>
      <c r="C4664" s="1">
        <v>3300785782</v>
      </c>
      <c r="D4664" s="1">
        <v>2176710365</v>
      </c>
      <c r="E4664" s="1">
        <v>1265.81</v>
      </c>
      <c r="F4664" s="1" t="s">
        <v>12</v>
      </c>
      <c r="G4664" s="1" t="s">
        <v>12</v>
      </c>
      <c r="H4664" s="1" t="s">
        <v>13</v>
      </c>
      <c r="I4664" s="1" t="s">
        <v>13</v>
      </c>
      <c r="J4664" s="1" t="s">
        <v>20</v>
      </c>
      <c r="K4664" s="1">
        <v>0</v>
      </c>
      <c r="L4664" s="1" t="s">
        <v>21</v>
      </c>
      <c r="M4664" s="1" t="str">
        <f t="shared" si="73"/>
        <v>Consistent</v>
      </c>
      <c r="N4664" s="1" t="str">
        <f>_xlfn.XLOOKUP(H4664, risk_score!A:A, risk_score!B:B, 0)</f>
        <v>Low Risk</v>
      </c>
    </row>
    <row r="4665" spans="1:14">
      <c r="A4665" s="2">
        <v>0.56253472222222223</v>
      </c>
      <c r="B4665" s="3">
        <v>44841</v>
      </c>
      <c r="C4665" s="1">
        <v>3306225869</v>
      </c>
      <c r="D4665" s="1">
        <v>3938282574</v>
      </c>
      <c r="E4665" s="1">
        <v>2419.42</v>
      </c>
      <c r="F4665" s="1" t="s">
        <v>12</v>
      </c>
      <c r="G4665" s="1" t="s">
        <v>12</v>
      </c>
      <c r="H4665" s="1" t="s">
        <v>13</v>
      </c>
      <c r="I4665" s="1" t="s">
        <v>13</v>
      </c>
      <c r="J4665" s="1" t="s">
        <v>20</v>
      </c>
      <c r="K4665" s="1">
        <v>0</v>
      </c>
      <c r="L4665" s="1" t="s">
        <v>38</v>
      </c>
      <c r="M4665" s="1" t="str">
        <f t="shared" si="73"/>
        <v>Consistent</v>
      </c>
      <c r="N4665" s="1" t="str">
        <f>_xlfn.XLOOKUP(H4665, risk_score!A:A, risk_score!B:B, 0)</f>
        <v>Low Risk</v>
      </c>
    </row>
    <row r="4666" spans="1:14">
      <c r="A4666" s="2">
        <v>0.56256944444444446</v>
      </c>
      <c r="B4666" s="3">
        <v>44841</v>
      </c>
      <c r="C4666" s="1">
        <v>4624222122</v>
      </c>
      <c r="D4666" s="1">
        <v>8683543845</v>
      </c>
      <c r="E4666" s="1">
        <v>13837.82</v>
      </c>
      <c r="F4666" s="1" t="s">
        <v>12</v>
      </c>
      <c r="G4666" s="1" t="s">
        <v>12</v>
      </c>
      <c r="H4666" s="1" t="s">
        <v>13</v>
      </c>
      <c r="I4666" s="1" t="s">
        <v>13</v>
      </c>
      <c r="J4666" s="1" t="s">
        <v>25</v>
      </c>
      <c r="K4666" s="4">
        <v>1</v>
      </c>
      <c r="L4666" s="1" t="s">
        <v>67</v>
      </c>
      <c r="M4666" s="1" t="str">
        <f t="shared" si="73"/>
        <v>Consistent</v>
      </c>
      <c r="N4666" s="1" t="str">
        <f>_xlfn.XLOOKUP(H4666, risk_score!A:A, risk_score!B:B, 0)</f>
        <v>Low Risk</v>
      </c>
    </row>
    <row r="4667" spans="1:14">
      <c r="A4667" s="2">
        <v>0.56259259259259264</v>
      </c>
      <c r="B4667" s="3">
        <v>44841</v>
      </c>
      <c r="C4667" s="1">
        <v>7216872717</v>
      </c>
      <c r="D4667" s="1">
        <v>9237877084</v>
      </c>
      <c r="E4667" s="1">
        <v>359.84</v>
      </c>
      <c r="F4667" s="1" t="s">
        <v>12</v>
      </c>
      <c r="G4667" s="1" t="s">
        <v>51</v>
      </c>
      <c r="H4667" s="1" t="s">
        <v>13</v>
      </c>
      <c r="I4667" s="1" t="s">
        <v>13</v>
      </c>
      <c r="J4667" s="1" t="s">
        <v>22</v>
      </c>
      <c r="K4667" s="1">
        <v>0</v>
      </c>
      <c r="L4667" s="1" t="s">
        <v>21</v>
      </c>
      <c r="M4667" s="1" t="str">
        <f t="shared" si="73"/>
        <v>Potential Layering</v>
      </c>
      <c r="N4667" s="1" t="str">
        <f>_xlfn.XLOOKUP(H4667, risk_score!A:A, risk_score!B:B, 0)</f>
        <v>Low Risk</v>
      </c>
    </row>
    <row r="4668" spans="1:14">
      <c r="A4668" s="2">
        <v>0.56261574074074072</v>
      </c>
      <c r="B4668" s="3">
        <v>44841</v>
      </c>
      <c r="C4668" s="1">
        <v>1144646660</v>
      </c>
      <c r="D4668" s="1">
        <v>1493436023</v>
      </c>
      <c r="E4668" s="1">
        <v>5116.88</v>
      </c>
      <c r="F4668" s="1" t="s">
        <v>12</v>
      </c>
      <c r="G4668" s="1" t="s">
        <v>12</v>
      </c>
      <c r="H4668" s="1" t="s">
        <v>13</v>
      </c>
      <c r="I4668" s="1" t="s">
        <v>13</v>
      </c>
      <c r="J4668" s="1" t="s">
        <v>27</v>
      </c>
      <c r="K4668" s="1">
        <v>0</v>
      </c>
      <c r="L4668" s="1" t="s">
        <v>23</v>
      </c>
      <c r="M4668" s="1" t="str">
        <f t="shared" si="73"/>
        <v>Consistent</v>
      </c>
      <c r="N4668" s="1" t="str">
        <f>_xlfn.XLOOKUP(H4668, risk_score!A:A, risk_score!B:B, 0)</f>
        <v>Low Risk</v>
      </c>
    </row>
    <row r="4669" spans="1:14">
      <c r="A4669" s="2">
        <v>0.56263888888888891</v>
      </c>
      <c r="B4669" s="3">
        <v>44841</v>
      </c>
      <c r="C4669" s="1">
        <v>4869510336</v>
      </c>
      <c r="D4669" s="1">
        <v>413046602</v>
      </c>
      <c r="E4669" s="1">
        <v>3063.75</v>
      </c>
      <c r="F4669" s="1" t="s">
        <v>12</v>
      </c>
      <c r="G4669" s="1" t="s">
        <v>12</v>
      </c>
      <c r="H4669" s="1" t="s">
        <v>13</v>
      </c>
      <c r="I4669" s="1" t="s">
        <v>13</v>
      </c>
      <c r="J4669" s="1" t="s">
        <v>14</v>
      </c>
      <c r="K4669" s="1">
        <v>0</v>
      </c>
      <c r="L4669" s="1" t="s">
        <v>15</v>
      </c>
      <c r="M4669" s="1" t="str">
        <f t="shared" si="73"/>
        <v>Consistent</v>
      </c>
      <c r="N4669" s="1" t="str">
        <f>_xlfn.XLOOKUP(H4669, risk_score!A:A, risk_score!B:B, 0)</f>
        <v>Low Risk</v>
      </c>
    </row>
    <row r="4670" spans="1:14">
      <c r="A4670" s="2">
        <v>0.56269675925925922</v>
      </c>
      <c r="B4670" s="3">
        <v>44841</v>
      </c>
      <c r="C4670" s="1">
        <v>5982914936</v>
      </c>
      <c r="D4670" s="1">
        <v>7927090992</v>
      </c>
      <c r="E4670" s="1">
        <v>9258.01</v>
      </c>
      <c r="F4670" s="1" t="s">
        <v>12</v>
      </c>
      <c r="G4670" s="1" t="s">
        <v>12</v>
      </c>
      <c r="H4670" s="1" t="s">
        <v>13</v>
      </c>
      <c r="I4670" s="1" t="s">
        <v>13</v>
      </c>
      <c r="J4670" s="1" t="s">
        <v>20</v>
      </c>
      <c r="K4670" s="1">
        <v>0</v>
      </c>
      <c r="L4670" s="1" t="s">
        <v>19</v>
      </c>
      <c r="M4670" s="1" t="str">
        <f t="shared" si="73"/>
        <v>Consistent</v>
      </c>
      <c r="N4670" s="1" t="str">
        <f>_xlfn.XLOOKUP(H4670, risk_score!A:A, risk_score!B:B, 0)</f>
        <v>Low Risk</v>
      </c>
    </row>
    <row r="4671" spans="1:14">
      <c r="A4671" s="2">
        <v>0.56270833333333337</v>
      </c>
      <c r="B4671" s="3">
        <v>44841</v>
      </c>
      <c r="C4671" s="1">
        <v>6658514844</v>
      </c>
      <c r="D4671" s="1">
        <v>3896145797</v>
      </c>
      <c r="E4671" s="1">
        <v>350.83</v>
      </c>
      <c r="F4671" s="1" t="s">
        <v>12</v>
      </c>
      <c r="G4671" s="1" t="s">
        <v>12</v>
      </c>
      <c r="H4671" s="1" t="s">
        <v>13</v>
      </c>
      <c r="I4671" s="1" t="s">
        <v>13</v>
      </c>
      <c r="J4671" s="1" t="s">
        <v>14</v>
      </c>
      <c r="K4671" s="1">
        <v>0</v>
      </c>
      <c r="L4671" s="1" t="s">
        <v>15</v>
      </c>
      <c r="M4671" s="1" t="str">
        <f t="shared" ref="M4671:M4734" si="74">IF(F4671=G4671, "Consistent", "Potential Layering")</f>
        <v>Consistent</v>
      </c>
      <c r="N4671" s="1" t="str">
        <f>_xlfn.XLOOKUP(H4671, risk_score!A:A, risk_score!B:B, 0)</f>
        <v>Low Risk</v>
      </c>
    </row>
    <row r="4672" spans="1:14">
      <c r="A4672" s="2">
        <v>0.56274305555555559</v>
      </c>
      <c r="B4672" s="3">
        <v>44841</v>
      </c>
      <c r="C4672" s="1">
        <v>4024921053</v>
      </c>
      <c r="D4672" s="1">
        <v>1431561040</v>
      </c>
      <c r="E4672" s="1">
        <v>7020.94</v>
      </c>
      <c r="F4672" s="1" t="s">
        <v>12</v>
      </c>
      <c r="G4672" s="1" t="s">
        <v>12</v>
      </c>
      <c r="H4672" s="1" t="s">
        <v>13</v>
      </c>
      <c r="I4672" s="1" t="s">
        <v>13</v>
      </c>
      <c r="J4672" s="1" t="s">
        <v>22</v>
      </c>
      <c r="K4672" s="1">
        <v>0</v>
      </c>
      <c r="L4672" s="1" t="s">
        <v>23</v>
      </c>
      <c r="M4672" s="1" t="str">
        <f t="shared" si="74"/>
        <v>Consistent</v>
      </c>
      <c r="N4672" s="1" t="str">
        <f>_xlfn.XLOOKUP(H4672, risk_score!A:A, risk_score!B:B, 0)</f>
        <v>Low Risk</v>
      </c>
    </row>
    <row r="4673" spans="1:14">
      <c r="A4673" s="2">
        <v>0.56275462962962963</v>
      </c>
      <c r="B4673" s="3">
        <v>44841</v>
      </c>
      <c r="C4673" s="1">
        <v>6479129314</v>
      </c>
      <c r="D4673" s="1">
        <v>779444026</v>
      </c>
      <c r="E4673" s="1">
        <v>281.2</v>
      </c>
      <c r="F4673" s="1" t="s">
        <v>12</v>
      </c>
      <c r="G4673" s="1" t="s">
        <v>12</v>
      </c>
      <c r="H4673" s="1" t="s">
        <v>13</v>
      </c>
      <c r="I4673" s="1" t="s">
        <v>13</v>
      </c>
      <c r="J4673" s="1" t="s">
        <v>20</v>
      </c>
      <c r="K4673" s="1">
        <v>0</v>
      </c>
      <c r="L4673" s="1" t="s">
        <v>21</v>
      </c>
      <c r="M4673" s="1" t="str">
        <f t="shared" si="74"/>
        <v>Consistent</v>
      </c>
      <c r="N4673" s="1" t="str">
        <f>_xlfn.XLOOKUP(H4673, risk_score!A:A, risk_score!B:B, 0)</f>
        <v>Low Risk</v>
      </c>
    </row>
    <row r="4674" spans="1:14">
      <c r="A4674" s="2">
        <v>0.56277777777777782</v>
      </c>
      <c r="B4674" s="3">
        <v>44841</v>
      </c>
      <c r="C4674" s="1">
        <v>8952177221</v>
      </c>
      <c r="D4674" s="1">
        <v>5585080337</v>
      </c>
      <c r="E4674" s="1">
        <v>10514.08</v>
      </c>
      <c r="F4674" s="1" t="s">
        <v>12</v>
      </c>
      <c r="G4674" s="1" t="s">
        <v>12</v>
      </c>
      <c r="H4674" s="1" t="s">
        <v>13</v>
      </c>
      <c r="I4674" s="1" t="s">
        <v>13</v>
      </c>
      <c r="J4674" s="1" t="s">
        <v>25</v>
      </c>
      <c r="K4674" s="1">
        <v>0</v>
      </c>
      <c r="L4674" s="1" t="s">
        <v>19</v>
      </c>
      <c r="M4674" s="1" t="str">
        <f t="shared" si="74"/>
        <v>Consistent</v>
      </c>
      <c r="N4674" s="1" t="str">
        <f>_xlfn.XLOOKUP(H4674, risk_score!A:A, risk_score!B:B, 0)</f>
        <v>Low Risk</v>
      </c>
    </row>
    <row r="4675" spans="1:14">
      <c r="A4675" s="2">
        <v>0.56277777777777782</v>
      </c>
      <c r="B4675" s="3">
        <v>44841</v>
      </c>
      <c r="C4675" s="1">
        <v>8626192211</v>
      </c>
      <c r="D4675" s="1">
        <v>4313032227</v>
      </c>
      <c r="E4675" s="1">
        <v>2198.81</v>
      </c>
      <c r="F4675" s="1" t="s">
        <v>12</v>
      </c>
      <c r="G4675" s="1" t="s">
        <v>12</v>
      </c>
      <c r="H4675" s="1" t="s">
        <v>13</v>
      </c>
      <c r="I4675" s="1" t="s">
        <v>13</v>
      </c>
      <c r="J4675" s="1" t="s">
        <v>27</v>
      </c>
      <c r="K4675" s="1">
        <v>0</v>
      </c>
      <c r="L4675" s="1" t="s">
        <v>24</v>
      </c>
      <c r="M4675" s="1" t="str">
        <f t="shared" si="74"/>
        <v>Consistent</v>
      </c>
      <c r="N4675" s="1" t="str">
        <f>_xlfn.XLOOKUP(H4675, risk_score!A:A, risk_score!B:B, 0)</f>
        <v>Low Risk</v>
      </c>
    </row>
    <row r="4676" spans="1:14">
      <c r="A4676" s="2">
        <v>0.5628009259259259</v>
      </c>
      <c r="B4676" s="3">
        <v>44841</v>
      </c>
      <c r="C4676" s="1">
        <v>3227343939</v>
      </c>
      <c r="D4676" s="1">
        <v>6091032343</v>
      </c>
      <c r="E4676" s="1">
        <v>6890.13</v>
      </c>
      <c r="F4676" s="1" t="s">
        <v>12</v>
      </c>
      <c r="G4676" s="1" t="s">
        <v>12</v>
      </c>
      <c r="H4676" s="1" t="s">
        <v>13</v>
      </c>
      <c r="I4676" s="1" t="s">
        <v>13</v>
      </c>
      <c r="J4676" s="1" t="s">
        <v>27</v>
      </c>
      <c r="K4676" s="1">
        <v>0</v>
      </c>
      <c r="L4676" s="1" t="s">
        <v>21</v>
      </c>
      <c r="M4676" s="1" t="str">
        <f t="shared" si="74"/>
        <v>Consistent</v>
      </c>
      <c r="N4676" s="1" t="str">
        <f>_xlfn.XLOOKUP(H4676, risk_score!A:A, risk_score!B:B, 0)</f>
        <v>Low Risk</v>
      </c>
    </row>
    <row r="4677" spans="1:14">
      <c r="A4677" s="2">
        <v>0.5628009259259259</v>
      </c>
      <c r="B4677" s="3">
        <v>44841</v>
      </c>
      <c r="C4677" s="1">
        <v>2976429509</v>
      </c>
      <c r="D4677" s="1">
        <v>9904190266</v>
      </c>
      <c r="E4677" s="1">
        <v>54296.31</v>
      </c>
      <c r="F4677" s="1" t="s">
        <v>12</v>
      </c>
      <c r="G4677" s="1" t="s">
        <v>12</v>
      </c>
      <c r="H4677" s="1" t="s">
        <v>13</v>
      </c>
      <c r="I4677" s="1" t="s">
        <v>13</v>
      </c>
      <c r="J4677" s="1" t="s">
        <v>27</v>
      </c>
      <c r="K4677" s="1">
        <v>0</v>
      </c>
      <c r="L4677" s="1" t="s">
        <v>49</v>
      </c>
      <c r="M4677" s="1" t="str">
        <f t="shared" si="74"/>
        <v>Consistent</v>
      </c>
      <c r="N4677" s="1" t="str">
        <f>_xlfn.XLOOKUP(H4677, risk_score!A:A, risk_score!B:B, 0)</f>
        <v>Low Risk</v>
      </c>
    </row>
    <row r="4678" spans="1:14">
      <c r="A4678" s="2">
        <v>0.56281250000000005</v>
      </c>
      <c r="B4678" s="3">
        <v>44841</v>
      </c>
      <c r="C4678" s="1">
        <v>1054153813</v>
      </c>
      <c r="D4678" s="1">
        <v>6334654077</v>
      </c>
      <c r="E4678" s="1">
        <v>614.46</v>
      </c>
      <c r="F4678" s="1" t="s">
        <v>12</v>
      </c>
      <c r="G4678" s="1" t="s">
        <v>12</v>
      </c>
      <c r="H4678" s="1" t="s">
        <v>13</v>
      </c>
      <c r="I4678" s="1" t="s">
        <v>13</v>
      </c>
      <c r="J4678" s="1" t="s">
        <v>14</v>
      </c>
      <c r="K4678" s="1">
        <v>0</v>
      </c>
      <c r="L4678" s="1" t="s">
        <v>15</v>
      </c>
      <c r="M4678" s="1" t="str">
        <f t="shared" si="74"/>
        <v>Consistent</v>
      </c>
      <c r="N4678" s="1" t="str">
        <f>_xlfn.XLOOKUP(H4678, risk_score!A:A, risk_score!B:B, 0)</f>
        <v>Low Risk</v>
      </c>
    </row>
    <row r="4679" spans="1:14">
      <c r="A4679" s="2">
        <v>0.56283564814814813</v>
      </c>
      <c r="B4679" s="3">
        <v>44841</v>
      </c>
      <c r="C4679" s="1">
        <v>3050015080</v>
      </c>
      <c r="D4679" s="1">
        <v>3706844167</v>
      </c>
      <c r="E4679" s="1">
        <v>316.2</v>
      </c>
      <c r="F4679" s="1" t="s">
        <v>12</v>
      </c>
      <c r="G4679" s="1" t="s">
        <v>12</v>
      </c>
      <c r="H4679" s="1" t="s">
        <v>13</v>
      </c>
      <c r="I4679" s="1" t="s">
        <v>13</v>
      </c>
      <c r="J4679" s="1" t="s">
        <v>36</v>
      </c>
      <c r="K4679" s="1">
        <v>0</v>
      </c>
      <c r="L4679" s="1" t="s">
        <v>37</v>
      </c>
      <c r="M4679" s="1" t="str">
        <f t="shared" si="74"/>
        <v>Consistent</v>
      </c>
      <c r="N4679" s="1" t="str">
        <f>_xlfn.XLOOKUP(H4679, risk_score!A:A, risk_score!B:B, 0)</f>
        <v>Low Risk</v>
      </c>
    </row>
    <row r="4680" spans="1:14">
      <c r="A4680" s="2">
        <v>0.56285879629629632</v>
      </c>
      <c r="B4680" s="3">
        <v>44841</v>
      </c>
      <c r="C4680" s="1">
        <v>5021785800</v>
      </c>
      <c r="D4680" s="1">
        <v>5672438828</v>
      </c>
      <c r="E4680" s="1">
        <v>13572.42</v>
      </c>
      <c r="F4680" s="1" t="s">
        <v>12</v>
      </c>
      <c r="G4680" s="1" t="s">
        <v>12</v>
      </c>
      <c r="H4680" s="1" t="s">
        <v>13</v>
      </c>
      <c r="I4680" s="1" t="s">
        <v>13</v>
      </c>
      <c r="J4680" s="1" t="s">
        <v>22</v>
      </c>
      <c r="K4680" s="1">
        <v>0</v>
      </c>
      <c r="L4680" s="1" t="s">
        <v>19</v>
      </c>
      <c r="M4680" s="1" t="str">
        <f t="shared" si="74"/>
        <v>Consistent</v>
      </c>
      <c r="N4680" s="1" t="str">
        <f>_xlfn.XLOOKUP(H4680, risk_score!A:A, risk_score!B:B, 0)</f>
        <v>Low Risk</v>
      </c>
    </row>
    <row r="4681" spans="1:14">
      <c r="A4681" s="2">
        <v>0.56287037037037035</v>
      </c>
      <c r="B4681" s="3">
        <v>44841</v>
      </c>
      <c r="C4681" s="1">
        <v>6674975782</v>
      </c>
      <c r="D4681" s="1">
        <v>5363117119</v>
      </c>
      <c r="E4681" s="1">
        <v>5872.71</v>
      </c>
      <c r="F4681" s="1" t="s">
        <v>12</v>
      </c>
      <c r="G4681" s="1" t="s">
        <v>12</v>
      </c>
      <c r="H4681" s="1" t="s">
        <v>13</v>
      </c>
      <c r="I4681" s="1" t="s">
        <v>13</v>
      </c>
      <c r="J4681" s="1" t="s">
        <v>22</v>
      </c>
      <c r="K4681" s="1">
        <v>0</v>
      </c>
      <c r="L4681" s="1" t="s">
        <v>23</v>
      </c>
      <c r="M4681" s="1" t="str">
        <f t="shared" si="74"/>
        <v>Consistent</v>
      </c>
      <c r="N4681" s="1" t="str">
        <f>_xlfn.XLOOKUP(H4681, risk_score!A:A, risk_score!B:B, 0)</f>
        <v>Low Risk</v>
      </c>
    </row>
    <row r="4682" spans="1:14">
      <c r="A4682" s="2">
        <v>0.56288194444444439</v>
      </c>
      <c r="B4682" s="3">
        <v>44841</v>
      </c>
      <c r="C4682" s="1">
        <v>5673834143</v>
      </c>
      <c r="D4682" s="1">
        <v>3445142371</v>
      </c>
      <c r="E4682" s="1">
        <v>39.43</v>
      </c>
      <c r="F4682" s="1" t="s">
        <v>12</v>
      </c>
      <c r="G4682" s="1" t="s">
        <v>12</v>
      </c>
      <c r="H4682" s="1" t="s">
        <v>13</v>
      </c>
      <c r="I4682" s="1" t="s">
        <v>13</v>
      </c>
      <c r="J4682" s="1" t="s">
        <v>36</v>
      </c>
      <c r="K4682" s="1">
        <v>0</v>
      </c>
      <c r="L4682" s="1" t="s">
        <v>37</v>
      </c>
      <c r="M4682" s="1" t="str">
        <f t="shared" si="74"/>
        <v>Consistent</v>
      </c>
      <c r="N4682" s="1" t="str">
        <f>_xlfn.XLOOKUP(H4682, risk_score!A:A, risk_score!B:B, 0)</f>
        <v>Low Risk</v>
      </c>
    </row>
    <row r="4683" spans="1:14">
      <c r="A4683" s="2">
        <v>0.56288194444444439</v>
      </c>
      <c r="B4683" s="3">
        <v>44841</v>
      </c>
      <c r="C4683" s="1">
        <v>244549331</v>
      </c>
      <c r="D4683" s="1">
        <v>8332417556</v>
      </c>
      <c r="E4683" s="1">
        <v>132.12</v>
      </c>
      <c r="F4683" s="1" t="s">
        <v>12</v>
      </c>
      <c r="G4683" s="1" t="s">
        <v>12</v>
      </c>
      <c r="H4683" s="1" t="s">
        <v>13</v>
      </c>
      <c r="I4683" s="1" t="s">
        <v>13</v>
      </c>
      <c r="J4683" s="1" t="s">
        <v>27</v>
      </c>
      <c r="K4683" s="1">
        <v>0</v>
      </c>
      <c r="L4683" s="1" t="s">
        <v>21</v>
      </c>
      <c r="M4683" s="1" t="str">
        <f t="shared" si="74"/>
        <v>Consistent</v>
      </c>
      <c r="N4683" s="1" t="str">
        <f>_xlfn.XLOOKUP(H4683, risk_score!A:A, risk_score!B:B, 0)</f>
        <v>Low Risk</v>
      </c>
    </row>
    <row r="4684" spans="1:14">
      <c r="A4684" s="2">
        <v>0.56293981481481481</v>
      </c>
      <c r="B4684" s="3">
        <v>44841</v>
      </c>
      <c r="C4684" s="1">
        <v>450395871</v>
      </c>
      <c r="D4684" s="1">
        <v>1912758407</v>
      </c>
      <c r="E4684" s="1">
        <v>7082.91</v>
      </c>
      <c r="F4684" s="1" t="s">
        <v>12</v>
      </c>
      <c r="G4684" s="1" t="s">
        <v>12</v>
      </c>
      <c r="H4684" s="1" t="s">
        <v>13</v>
      </c>
      <c r="I4684" s="1" t="s">
        <v>13</v>
      </c>
      <c r="J4684" s="1" t="s">
        <v>22</v>
      </c>
      <c r="K4684" s="1">
        <v>0</v>
      </c>
      <c r="L4684" s="1" t="s">
        <v>21</v>
      </c>
      <c r="M4684" s="1" t="str">
        <f t="shared" si="74"/>
        <v>Consistent</v>
      </c>
      <c r="N4684" s="1" t="str">
        <f>_xlfn.XLOOKUP(H4684, risk_score!A:A, risk_score!B:B, 0)</f>
        <v>Low Risk</v>
      </c>
    </row>
    <row r="4685" spans="1:14">
      <c r="A4685" s="2">
        <v>0.56297453703703704</v>
      </c>
      <c r="B4685" s="3">
        <v>44841</v>
      </c>
      <c r="C4685" s="1">
        <v>5185722813</v>
      </c>
      <c r="D4685" s="1">
        <v>9912730379</v>
      </c>
      <c r="E4685" s="1">
        <v>6509.69</v>
      </c>
      <c r="F4685" s="1" t="s">
        <v>12</v>
      </c>
      <c r="G4685" s="1" t="s">
        <v>12</v>
      </c>
      <c r="H4685" s="1" t="s">
        <v>13</v>
      </c>
      <c r="I4685" s="1" t="s">
        <v>13</v>
      </c>
      <c r="J4685" s="1" t="s">
        <v>27</v>
      </c>
      <c r="K4685" s="1">
        <v>0</v>
      </c>
      <c r="L4685" s="1" t="s">
        <v>21</v>
      </c>
      <c r="M4685" s="1" t="str">
        <f t="shared" si="74"/>
        <v>Consistent</v>
      </c>
      <c r="N4685" s="1" t="str">
        <f>_xlfn.XLOOKUP(H4685, risk_score!A:A, risk_score!B:B, 0)</f>
        <v>Low Risk</v>
      </c>
    </row>
    <row r="4686" spans="1:14">
      <c r="A4686" s="2">
        <v>0.56298611111111108</v>
      </c>
      <c r="B4686" s="3">
        <v>44841</v>
      </c>
      <c r="C4686" s="1">
        <v>4836321257</v>
      </c>
      <c r="D4686" s="1">
        <v>6855935396</v>
      </c>
      <c r="E4686" s="1">
        <v>9212.73</v>
      </c>
      <c r="F4686" s="1" t="s">
        <v>12</v>
      </c>
      <c r="G4686" s="1" t="s">
        <v>12</v>
      </c>
      <c r="H4686" s="1" t="s">
        <v>13</v>
      </c>
      <c r="I4686" s="1" t="s">
        <v>13</v>
      </c>
      <c r="J4686" s="1" t="s">
        <v>20</v>
      </c>
      <c r="K4686" s="1">
        <v>0</v>
      </c>
      <c r="L4686" s="1" t="s">
        <v>23</v>
      </c>
      <c r="M4686" s="1" t="str">
        <f t="shared" si="74"/>
        <v>Consistent</v>
      </c>
      <c r="N4686" s="1" t="str">
        <f>_xlfn.XLOOKUP(H4686, risk_score!A:A, risk_score!B:B, 0)</f>
        <v>Low Risk</v>
      </c>
    </row>
    <row r="4687" spans="1:14">
      <c r="A4687" s="2">
        <v>0.56300925925925926</v>
      </c>
      <c r="B4687" s="3">
        <v>44841</v>
      </c>
      <c r="C4687" s="1">
        <v>6134536417</v>
      </c>
      <c r="D4687" s="1">
        <v>6928675680</v>
      </c>
      <c r="E4687" s="1">
        <v>2177.0500000000002</v>
      </c>
      <c r="F4687" s="1" t="s">
        <v>12</v>
      </c>
      <c r="G4687" s="1" t="s">
        <v>59</v>
      </c>
      <c r="H4687" s="1" t="s">
        <v>13</v>
      </c>
      <c r="I4687" s="1" t="s">
        <v>60</v>
      </c>
      <c r="J4687" s="1" t="s">
        <v>18</v>
      </c>
      <c r="K4687" s="1">
        <v>0</v>
      </c>
      <c r="L4687" s="1" t="s">
        <v>21</v>
      </c>
      <c r="M4687" s="1" t="str">
        <f t="shared" si="74"/>
        <v>Potential Layering</v>
      </c>
      <c r="N4687" s="1" t="str">
        <f>_xlfn.XLOOKUP(H4687, risk_score!A:A, risk_score!B:B, 0)</f>
        <v>Low Risk</v>
      </c>
    </row>
    <row r="4688" spans="1:14">
      <c r="A4688" s="2">
        <v>0.56305555555555553</v>
      </c>
      <c r="B4688" s="3">
        <v>44841</v>
      </c>
      <c r="C4688" s="1">
        <v>2931562863</v>
      </c>
      <c r="D4688" s="1">
        <v>8039556217</v>
      </c>
      <c r="E4688" s="1">
        <v>888.87</v>
      </c>
      <c r="F4688" s="1" t="s">
        <v>12</v>
      </c>
      <c r="G4688" s="1" t="s">
        <v>12</v>
      </c>
      <c r="H4688" s="1" t="s">
        <v>13</v>
      </c>
      <c r="I4688" s="1" t="s">
        <v>13</v>
      </c>
      <c r="J4688" s="1" t="s">
        <v>27</v>
      </c>
      <c r="K4688" s="1">
        <v>0</v>
      </c>
      <c r="L4688" s="1" t="s">
        <v>24</v>
      </c>
      <c r="M4688" s="1" t="str">
        <f t="shared" si="74"/>
        <v>Consistent</v>
      </c>
      <c r="N4688" s="1" t="str">
        <f>_xlfn.XLOOKUP(H4688, risk_score!A:A, risk_score!B:B, 0)</f>
        <v>Low Risk</v>
      </c>
    </row>
    <row r="4689" spans="1:14">
      <c r="A4689" s="2">
        <v>0.5631018518518518</v>
      </c>
      <c r="B4689" s="3">
        <v>44841</v>
      </c>
      <c r="C4689" s="1">
        <v>5291333275</v>
      </c>
      <c r="D4689" s="1">
        <v>6953672776</v>
      </c>
      <c r="E4689" s="1">
        <v>12844.66</v>
      </c>
      <c r="F4689" s="1" t="s">
        <v>12</v>
      </c>
      <c r="G4689" s="1" t="s">
        <v>34</v>
      </c>
      <c r="H4689" s="1" t="s">
        <v>13</v>
      </c>
      <c r="I4689" s="1" t="s">
        <v>35</v>
      </c>
      <c r="J4689" s="1" t="s">
        <v>18</v>
      </c>
      <c r="K4689" s="1">
        <v>0</v>
      </c>
      <c r="L4689" s="1" t="s">
        <v>23</v>
      </c>
      <c r="M4689" s="1" t="str">
        <f t="shared" si="74"/>
        <v>Potential Layering</v>
      </c>
      <c r="N4689" s="1" t="str">
        <f>_xlfn.XLOOKUP(H4689, risk_score!A:A, risk_score!B:B, 0)</f>
        <v>Low Risk</v>
      </c>
    </row>
    <row r="4690" spans="1:14">
      <c r="A4690" s="2">
        <v>0.56315972222222221</v>
      </c>
      <c r="B4690" s="3">
        <v>44841</v>
      </c>
      <c r="C4690" s="1">
        <v>702212815</v>
      </c>
      <c r="D4690" s="1">
        <v>8765716767</v>
      </c>
      <c r="E4690" s="1">
        <v>71.540000000000006</v>
      </c>
      <c r="F4690" s="1" t="s">
        <v>12</v>
      </c>
      <c r="G4690" s="1" t="s">
        <v>12</v>
      </c>
      <c r="H4690" s="1" t="s">
        <v>13</v>
      </c>
      <c r="I4690" s="1" t="s">
        <v>13</v>
      </c>
      <c r="J4690" s="1" t="s">
        <v>14</v>
      </c>
      <c r="K4690" s="1">
        <v>0</v>
      </c>
      <c r="L4690" s="1" t="s">
        <v>15</v>
      </c>
      <c r="M4690" s="1" t="str">
        <f t="shared" si="74"/>
        <v>Consistent</v>
      </c>
      <c r="N4690" s="1" t="str">
        <f>_xlfn.XLOOKUP(H4690, risk_score!A:A, risk_score!B:B, 0)</f>
        <v>Low Risk</v>
      </c>
    </row>
    <row r="4691" spans="1:14">
      <c r="A4691" s="2">
        <v>0.56319444444444444</v>
      </c>
      <c r="B4691" s="3">
        <v>44841</v>
      </c>
      <c r="C4691" s="1">
        <v>4599310239</v>
      </c>
      <c r="D4691" s="1">
        <v>2412583330</v>
      </c>
      <c r="E4691" s="1">
        <v>11257.27</v>
      </c>
      <c r="F4691" s="1" t="s">
        <v>12</v>
      </c>
      <c r="G4691" s="1" t="s">
        <v>12</v>
      </c>
      <c r="H4691" s="1" t="s">
        <v>13</v>
      </c>
      <c r="I4691" s="1" t="s">
        <v>13</v>
      </c>
      <c r="J4691" s="1" t="s">
        <v>27</v>
      </c>
      <c r="K4691" s="1">
        <v>0</v>
      </c>
      <c r="L4691" s="1" t="s">
        <v>21</v>
      </c>
      <c r="M4691" s="1" t="str">
        <f t="shared" si="74"/>
        <v>Consistent</v>
      </c>
      <c r="N4691" s="1" t="str">
        <f>_xlfn.XLOOKUP(H4691, risk_score!A:A, risk_score!B:B, 0)</f>
        <v>Low Risk</v>
      </c>
    </row>
    <row r="4692" spans="1:14">
      <c r="A4692" s="2">
        <v>0.56324074074074071</v>
      </c>
      <c r="B4692" s="3">
        <v>44841</v>
      </c>
      <c r="C4692" s="1">
        <v>6116657264</v>
      </c>
      <c r="D4692" s="1">
        <v>7749320382</v>
      </c>
      <c r="E4692" s="1">
        <v>10619.53</v>
      </c>
      <c r="F4692" s="1" t="s">
        <v>12</v>
      </c>
      <c r="G4692" s="1" t="s">
        <v>12</v>
      </c>
      <c r="H4692" s="1" t="s">
        <v>13</v>
      </c>
      <c r="I4692" s="1" t="s">
        <v>13</v>
      </c>
      <c r="J4692" s="1" t="s">
        <v>22</v>
      </c>
      <c r="K4692" s="1">
        <v>0</v>
      </c>
      <c r="L4692" s="1" t="s">
        <v>19</v>
      </c>
      <c r="M4692" s="1" t="str">
        <f t="shared" si="74"/>
        <v>Consistent</v>
      </c>
      <c r="N4692" s="1" t="str">
        <f>_xlfn.XLOOKUP(H4692, risk_score!A:A, risk_score!B:B, 0)</f>
        <v>Low Risk</v>
      </c>
    </row>
    <row r="4693" spans="1:14">
      <c r="A4693" s="2">
        <v>0.56325231481481486</v>
      </c>
      <c r="B4693" s="3">
        <v>44841</v>
      </c>
      <c r="C4693" s="1">
        <v>3961959856</v>
      </c>
      <c r="D4693" s="1">
        <v>1431561040</v>
      </c>
      <c r="E4693" s="1">
        <v>8191.33</v>
      </c>
      <c r="F4693" s="1" t="s">
        <v>12</v>
      </c>
      <c r="G4693" s="1" t="s">
        <v>12</v>
      </c>
      <c r="H4693" s="1" t="s">
        <v>13</v>
      </c>
      <c r="I4693" s="1" t="s">
        <v>13</v>
      </c>
      <c r="J4693" s="1" t="s">
        <v>20</v>
      </c>
      <c r="K4693" s="1">
        <v>0</v>
      </c>
      <c r="L4693" s="1" t="s">
        <v>23</v>
      </c>
      <c r="M4693" s="1" t="str">
        <f t="shared" si="74"/>
        <v>Consistent</v>
      </c>
      <c r="N4693" s="1" t="str">
        <f>_xlfn.XLOOKUP(H4693, risk_score!A:A, risk_score!B:B, 0)</f>
        <v>Low Risk</v>
      </c>
    </row>
    <row r="4694" spans="1:14">
      <c r="A4694" s="2">
        <v>0.5632638888888889</v>
      </c>
      <c r="B4694" s="3">
        <v>44841</v>
      </c>
      <c r="C4694" s="1">
        <v>7085083620</v>
      </c>
      <c r="D4694" s="1">
        <v>1681424114</v>
      </c>
      <c r="E4694" s="1">
        <v>1944.77</v>
      </c>
      <c r="F4694" s="1" t="s">
        <v>12</v>
      </c>
      <c r="G4694" s="1" t="s">
        <v>12</v>
      </c>
      <c r="H4694" s="1" t="s">
        <v>13</v>
      </c>
      <c r="I4694" s="1" t="s">
        <v>13</v>
      </c>
      <c r="J4694" s="1" t="s">
        <v>27</v>
      </c>
      <c r="K4694" s="1">
        <v>0</v>
      </c>
      <c r="L4694" s="1" t="s">
        <v>21</v>
      </c>
      <c r="M4694" s="1" t="str">
        <f t="shared" si="74"/>
        <v>Consistent</v>
      </c>
      <c r="N4694" s="1" t="str">
        <f>_xlfn.XLOOKUP(H4694, risk_score!A:A, risk_score!B:B, 0)</f>
        <v>Low Risk</v>
      </c>
    </row>
    <row r="4695" spans="1:14">
      <c r="A4695" s="2">
        <v>0.5632638888888889</v>
      </c>
      <c r="B4695" s="3">
        <v>44841</v>
      </c>
      <c r="C4695" s="1">
        <v>8473871613</v>
      </c>
      <c r="D4695" s="1">
        <v>8359378095</v>
      </c>
      <c r="E4695" s="1">
        <v>2289.14</v>
      </c>
      <c r="F4695" s="1" t="s">
        <v>12</v>
      </c>
      <c r="G4695" s="1" t="s">
        <v>12</v>
      </c>
      <c r="H4695" s="1" t="s">
        <v>13</v>
      </c>
      <c r="I4695" s="1" t="s">
        <v>13</v>
      </c>
      <c r="J4695" s="1" t="s">
        <v>25</v>
      </c>
      <c r="K4695" s="1">
        <v>0</v>
      </c>
      <c r="L4695" s="1" t="s">
        <v>21</v>
      </c>
      <c r="M4695" s="1" t="str">
        <f t="shared" si="74"/>
        <v>Consistent</v>
      </c>
      <c r="N4695" s="1" t="str">
        <f>_xlfn.XLOOKUP(H4695, risk_score!A:A, risk_score!B:B, 0)</f>
        <v>Low Risk</v>
      </c>
    </row>
    <row r="4696" spans="1:14">
      <c r="A4696" s="2">
        <v>0.56335648148148143</v>
      </c>
      <c r="B4696" s="3">
        <v>44841</v>
      </c>
      <c r="C4696" s="1">
        <v>9348471518</v>
      </c>
      <c r="D4696" s="1">
        <v>5307549505</v>
      </c>
      <c r="E4696" s="1">
        <v>80.11</v>
      </c>
      <c r="F4696" s="1" t="s">
        <v>12</v>
      </c>
      <c r="G4696" s="1" t="s">
        <v>12</v>
      </c>
      <c r="H4696" s="1" t="s">
        <v>13</v>
      </c>
      <c r="I4696" s="1" t="s">
        <v>13</v>
      </c>
      <c r="J4696" s="1" t="s">
        <v>36</v>
      </c>
      <c r="K4696" s="1">
        <v>0</v>
      </c>
      <c r="L4696" s="1" t="s">
        <v>37</v>
      </c>
      <c r="M4696" s="1" t="str">
        <f t="shared" si="74"/>
        <v>Consistent</v>
      </c>
      <c r="N4696" s="1" t="str">
        <f>_xlfn.XLOOKUP(H4696, risk_score!A:A, risk_score!B:B, 0)</f>
        <v>Low Risk</v>
      </c>
    </row>
    <row r="4697" spans="1:14">
      <c r="A4697" s="2">
        <v>0.56336805555555558</v>
      </c>
      <c r="B4697" s="3">
        <v>44841</v>
      </c>
      <c r="C4697" s="1">
        <v>3565108277</v>
      </c>
      <c r="D4697" s="1">
        <v>6646502650</v>
      </c>
      <c r="E4697" s="1">
        <v>32609.07</v>
      </c>
      <c r="F4697" s="1" t="s">
        <v>12</v>
      </c>
      <c r="G4697" s="1" t="s">
        <v>29</v>
      </c>
      <c r="H4697" s="1" t="s">
        <v>13</v>
      </c>
      <c r="I4697" s="1" t="s">
        <v>31</v>
      </c>
      <c r="J4697" s="1" t="s">
        <v>18</v>
      </c>
      <c r="K4697" s="1">
        <v>0</v>
      </c>
      <c r="L4697" s="1" t="s">
        <v>23</v>
      </c>
      <c r="M4697" s="1" t="str">
        <f t="shared" si="74"/>
        <v>Potential Layering</v>
      </c>
      <c r="N4697" s="1" t="str">
        <f>_xlfn.XLOOKUP(H4697, risk_score!A:A, risk_score!B:B, 0)</f>
        <v>Low Risk</v>
      </c>
    </row>
    <row r="4698" spans="1:14">
      <c r="A4698" s="2">
        <v>0.56340277777777781</v>
      </c>
      <c r="B4698" s="3">
        <v>44841</v>
      </c>
      <c r="C4698" s="1">
        <v>8615470871</v>
      </c>
      <c r="D4698" s="1">
        <v>5896180453</v>
      </c>
      <c r="E4698" s="1">
        <v>6943.9</v>
      </c>
      <c r="F4698" s="1" t="s">
        <v>12</v>
      </c>
      <c r="G4698" s="1" t="s">
        <v>12</v>
      </c>
      <c r="H4698" s="1" t="s">
        <v>13</v>
      </c>
      <c r="I4698" s="1" t="s">
        <v>13</v>
      </c>
      <c r="J4698" s="1" t="s">
        <v>25</v>
      </c>
      <c r="K4698" s="1">
        <v>0</v>
      </c>
      <c r="L4698" s="1" t="s">
        <v>23</v>
      </c>
      <c r="M4698" s="1" t="str">
        <f t="shared" si="74"/>
        <v>Consistent</v>
      </c>
      <c r="N4698" s="1" t="str">
        <f>_xlfn.XLOOKUP(H4698, risk_score!A:A, risk_score!B:B, 0)</f>
        <v>Low Risk</v>
      </c>
    </row>
    <row r="4699" spans="1:14">
      <c r="A4699" s="2">
        <v>0.56341435185185185</v>
      </c>
      <c r="B4699" s="3">
        <v>44841</v>
      </c>
      <c r="C4699" s="1">
        <v>1139916404</v>
      </c>
      <c r="D4699" s="1">
        <v>6855935396</v>
      </c>
      <c r="E4699" s="1">
        <v>4543.4799999999996</v>
      </c>
      <c r="F4699" s="1" t="s">
        <v>12</v>
      </c>
      <c r="G4699" s="1" t="s">
        <v>12</v>
      </c>
      <c r="H4699" s="1" t="s">
        <v>13</v>
      </c>
      <c r="I4699" s="1" t="s">
        <v>13</v>
      </c>
      <c r="J4699" s="1" t="s">
        <v>20</v>
      </c>
      <c r="K4699" s="1">
        <v>0</v>
      </c>
      <c r="L4699" s="1" t="s">
        <v>23</v>
      </c>
      <c r="M4699" s="1" t="str">
        <f t="shared" si="74"/>
        <v>Consistent</v>
      </c>
      <c r="N4699" s="1" t="str">
        <f>_xlfn.XLOOKUP(H4699, risk_score!A:A, risk_score!B:B, 0)</f>
        <v>Low Risk</v>
      </c>
    </row>
    <row r="4700" spans="1:14">
      <c r="A4700" s="2">
        <v>0.56344907407407407</v>
      </c>
      <c r="B4700" s="3">
        <v>44841</v>
      </c>
      <c r="C4700" s="1">
        <v>9332455495</v>
      </c>
      <c r="D4700" s="1">
        <v>4211883521</v>
      </c>
      <c r="E4700" s="1">
        <v>1256.33</v>
      </c>
      <c r="F4700" s="1" t="s">
        <v>12</v>
      </c>
      <c r="G4700" s="1" t="s">
        <v>12</v>
      </c>
      <c r="H4700" s="1" t="s">
        <v>13</v>
      </c>
      <c r="I4700" s="1" t="s">
        <v>13</v>
      </c>
      <c r="J4700" s="1" t="s">
        <v>25</v>
      </c>
      <c r="K4700" s="1">
        <v>0</v>
      </c>
      <c r="L4700" s="1" t="s">
        <v>21</v>
      </c>
      <c r="M4700" s="1" t="str">
        <f t="shared" si="74"/>
        <v>Consistent</v>
      </c>
      <c r="N4700" s="1" t="str">
        <f>_xlfn.XLOOKUP(H4700, risk_score!A:A, risk_score!B:B, 0)</f>
        <v>Low Risk</v>
      </c>
    </row>
    <row r="4701" spans="1:14">
      <c r="A4701" s="2">
        <v>0.56346064814814811</v>
      </c>
      <c r="B4701" s="3">
        <v>44841</v>
      </c>
      <c r="C4701" s="1">
        <v>6596087141</v>
      </c>
      <c r="D4701" s="1">
        <v>2459692642</v>
      </c>
      <c r="E4701" s="1">
        <v>278.83999999999997</v>
      </c>
      <c r="F4701" s="1" t="s">
        <v>12</v>
      </c>
      <c r="G4701" s="1" t="s">
        <v>12</v>
      </c>
      <c r="H4701" s="1" t="s">
        <v>13</v>
      </c>
      <c r="I4701" s="1" t="s">
        <v>13</v>
      </c>
      <c r="J4701" s="1" t="s">
        <v>14</v>
      </c>
      <c r="K4701" s="1">
        <v>0</v>
      </c>
      <c r="L4701" s="1" t="s">
        <v>15</v>
      </c>
      <c r="M4701" s="1" t="str">
        <f t="shared" si="74"/>
        <v>Consistent</v>
      </c>
      <c r="N4701" s="1" t="str">
        <f>_xlfn.XLOOKUP(H4701, risk_score!A:A, risk_score!B:B, 0)</f>
        <v>Low Risk</v>
      </c>
    </row>
    <row r="4702" spans="1:14">
      <c r="A4702" s="2">
        <v>0.56347222222222226</v>
      </c>
      <c r="B4702" s="3">
        <v>44841</v>
      </c>
      <c r="C4702" s="1">
        <v>8304329579</v>
      </c>
      <c r="D4702" s="1">
        <v>1461956181</v>
      </c>
      <c r="E4702" s="1">
        <v>1366.86</v>
      </c>
      <c r="F4702" s="1" t="s">
        <v>12</v>
      </c>
      <c r="G4702" s="1" t="s">
        <v>12</v>
      </c>
      <c r="H4702" s="1" t="s">
        <v>13</v>
      </c>
      <c r="I4702" s="1" t="s">
        <v>13</v>
      </c>
      <c r="J4702" s="1" t="s">
        <v>22</v>
      </c>
      <c r="K4702" s="1">
        <v>0</v>
      </c>
      <c r="L4702" s="1" t="s">
        <v>21</v>
      </c>
      <c r="M4702" s="1" t="str">
        <f t="shared" si="74"/>
        <v>Consistent</v>
      </c>
      <c r="N4702" s="1" t="str">
        <f>_xlfn.XLOOKUP(H4702, risk_score!A:A, risk_score!B:B, 0)</f>
        <v>Low Risk</v>
      </c>
    </row>
    <row r="4703" spans="1:14">
      <c r="A4703" s="2">
        <v>0.56351851851851853</v>
      </c>
      <c r="B4703" s="3">
        <v>44841</v>
      </c>
      <c r="C4703" s="1">
        <v>6398587379</v>
      </c>
      <c r="D4703" s="1">
        <v>1602025773</v>
      </c>
      <c r="E4703" s="1">
        <v>1695.75</v>
      </c>
      <c r="F4703" s="1" t="s">
        <v>12</v>
      </c>
      <c r="G4703" s="1" t="s">
        <v>12</v>
      </c>
      <c r="H4703" s="1" t="s">
        <v>13</v>
      </c>
      <c r="I4703" s="1" t="s">
        <v>13</v>
      </c>
      <c r="J4703" s="1" t="s">
        <v>20</v>
      </c>
      <c r="K4703" s="1">
        <v>0</v>
      </c>
      <c r="L4703" s="1" t="s">
        <v>21</v>
      </c>
      <c r="M4703" s="1" t="str">
        <f t="shared" si="74"/>
        <v>Consistent</v>
      </c>
      <c r="N4703" s="1" t="str">
        <f>_xlfn.XLOOKUP(H4703, risk_score!A:A, risk_score!B:B, 0)</f>
        <v>Low Risk</v>
      </c>
    </row>
    <row r="4704" spans="1:14">
      <c r="A4704" s="2">
        <v>0.56353009259259257</v>
      </c>
      <c r="B4704" s="3">
        <v>44841</v>
      </c>
      <c r="C4704" s="1">
        <v>9991951705</v>
      </c>
      <c r="D4704" s="1">
        <v>7237603377</v>
      </c>
      <c r="E4704" s="1">
        <v>3245.84</v>
      </c>
      <c r="F4704" s="1" t="s">
        <v>12</v>
      </c>
      <c r="G4704" s="1" t="s">
        <v>12</v>
      </c>
      <c r="H4704" s="1" t="s">
        <v>13</v>
      </c>
      <c r="I4704" s="1" t="s">
        <v>13</v>
      </c>
      <c r="J4704" s="1" t="s">
        <v>20</v>
      </c>
      <c r="K4704" s="1">
        <v>0</v>
      </c>
      <c r="L4704" s="1" t="s">
        <v>21</v>
      </c>
      <c r="M4704" s="1" t="str">
        <f t="shared" si="74"/>
        <v>Consistent</v>
      </c>
      <c r="N4704" s="1" t="str">
        <f>_xlfn.XLOOKUP(H4704, risk_score!A:A, risk_score!B:B, 0)</f>
        <v>Low Risk</v>
      </c>
    </row>
    <row r="4705" spans="1:14">
      <c r="A4705" s="2">
        <v>0.56353009259259257</v>
      </c>
      <c r="B4705" s="3">
        <v>44841</v>
      </c>
      <c r="C4705" s="1">
        <v>5529226135</v>
      </c>
      <c r="D4705" s="1">
        <v>409707192</v>
      </c>
      <c r="E4705" s="1">
        <v>10693.33</v>
      </c>
      <c r="F4705" s="1" t="s">
        <v>12</v>
      </c>
      <c r="G4705" s="1" t="s">
        <v>12</v>
      </c>
      <c r="H4705" s="1" t="s">
        <v>13</v>
      </c>
      <c r="I4705" s="1" t="s">
        <v>13</v>
      </c>
      <c r="J4705" s="1" t="s">
        <v>20</v>
      </c>
      <c r="K4705" s="1">
        <v>0</v>
      </c>
      <c r="L4705" s="1" t="s">
        <v>23</v>
      </c>
      <c r="M4705" s="1" t="str">
        <f t="shared" si="74"/>
        <v>Consistent</v>
      </c>
      <c r="N4705" s="1" t="str">
        <f>_xlfn.XLOOKUP(H4705, risk_score!A:A, risk_score!B:B, 0)</f>
        <v>Low Risk</v>
      </c>
    </row>
    <row r="4706" spans="1:14">
      <c r="A4706" s="2">
        <v>0.56355324074074076</v>
      </c>
      <c r="B4706" s="3">
        <v>44841</v>
      </c>
      <c r="C4706" s="1">
        <v>31650294</v>
      </c>
      <c r="D4706" s="1">
        <v>9101257376</v>
      </c>
      <c r="E4706" s="1">
        <v>856.16</v>
      </c>
      <c r="F4706" s="1" t="s">
        <v>12</v>
      </c>
      <c r="G4706" s="1" t="s">
        <v>12</v>
      </c>
      <c r="H4706" s="1" t="s">
        <v>13</v>
      </c>
      <c r="I4706" s="1" t="s">
        <v>13</v>
      </c>
      <c r="J4706" s="1" t="s">
        <v>22</v>
      </c>
      <c r="K4706" s="1">
        <v>0</v>
      </c>
      <c r="L4706" s="1" t="s">
        <v>21</v>
      </c>
      <c r="M4706" s="1" t="str">
        <f t="shared" si="74"/>
        <v>Consistent</v>
      </c>
      <c r="N4706" s="1" t="str">
        <f>_xlfn.XLOOKUP(H4706, risk_score!A:A, risk_score!B:B, 0)</f>
        <v>Low Risk</v>
      </c>
    </row>
    <row r="4707" spans="1:14">
      <c r="A4707" s="2">
        <v>0.56359953703703702</v>
      </c>
      <c r="B4707" s="3">
        <v>44841</v>
      </c>
      <c r="C4707" s="1">
        <v>2365007895</v>
      </c>
      <c r="D4707" s="1">
        <v>9797294707</v>
      </c>
      <c r="E4707" s="1">
        <v>9105.0499999999993</v>
      </c>
      <c r="F4707" s="1" t="s">
        <v>12</v>
      </c>
      <c r="G4707" s="1" t="s">
        <v>12</v>
      </c>
      <c r="H4707" s="1" t="s">
        <v>13</v>
      </c>
      <c r="I4707" s="1" t="s">
        <v>13</v>
      </c>
      <c r="J4707" s="1" t="s">
        <v>27</v>
      </c>
      <c r="K4707" s="1">
        <v>0</v>
      </c>
      <c r="L4707" s="1" t="s">
        <v>19</v>
      </c>
      <c r="M4707" s="1" t="str">
        <f t="shared" si="74"/>
        <v>Consistent</v>
      </c>
      <c r="N4707" s="1" t="str">
        <f>_xlfn.XLOOKUP(H4707, risk_score!A:A, risk_score!B:B, 0)</f>
        <v>Low Risk</v>
      </c>
    </row>
    <row r="4708" spans="1:14">
      <c r="A4708" s="2">
        <v>0.56362268518518521</v>
      </c>
      <c r="B4708" s="3">
        <v>44841</v>
      </c>
      <c r="C4708" s="1">
        <v>9346100166</v>
      </c>
      <c r="D4708" s="1">
        <v>5708936901</v>
      </c>
      <c r="E4708" s="1">
        <v>12265.55</v>
      </c>
      <c r="F4708" s="1" t="s">
        <v>12</v>
      </c>
      <c r="G4708" s="1" t="s">
        <v>12</v>
      </c>
      <c r="H4708" s="1" t="s">
        <v>13</v>
      </c>
      <c r="I4708" s="1" t="s">
        <v>13</v>
      </c>
      <c r="J4708" s="1" t="s">
        <v>27</v>
      </c>
      <c r="K4708" s="1">
        <v>0</v>
      </c>
      <c r="L4708" s="1" t="s">
        <v>23</v>
      </c>
      <c r="M4708" s="1" t="str">
        <f t="shared" si="74"/>
        <v>Consistent</v>
      </c>
      <c r="N4708" s="1" t="str">
        <f>_xlfn.XLOOKUP(H4708, risk_score!A:A, risk_score!B:B, 0)</f>
        <v>Low Risk</v>
      </c>
    </row>
    <row r="4709" spans="1:14">
      <c r="A4709" s="2">
        <v>0.56366898148148148</v>
      </c>
      <c r="B4709" s="3">
        <v>44841</v>
      </c>
      <c r="C4709" s="1">
        <v>312107430</v>
      </c>
      <c r="D4709" s="1">
        <v>9093602755</v>
      </c>
      <c r="E4709" s="1">
        <v>10743.16</v>
      </c>
      <c r="F4709" s="1" t="s">
        <v>12</v>
      </c>
      <c r="G4709" s="1" t="s">
        <v>12</v>
      </c>
      <c r="H4709" s="1" t="s">
        <v>13</v>
      </c>
      <c r="I4709" s="1" t="s">
        <v>13</v>
      </c>
      <c r="J4709" s="1" t="s">
        <v>25</v>
      </c>
      <c r="K4709" s="1">
        <v>0</v>
      </c>
      <c r="L4709" s="1" t="s">
        <v>21</v>
      </c>
      <c r="M4709" s="1" t="str">
        <f t="shared" si="74"/>
        <v>Consistent</v>
      </c>
      <c r="N4709" s="1" t="str">
        <f>_xlfn.XLOOKUP(H4709, risk_score!A:A, risk_score!B:B, 0)</f>
        <v>Low Risk</v>
      </c>
    </row>
    <row r="4710" spans="1:14">
      <c r="A4710" s="2">
        <v>0.56376157407407412</v>
      </c>
      <c r="B4710" s="3">
        <v>44841</v>
      </c>
      <c r="C4710" s="1">
        <v>4446515574</v>
      </c>
      <c r="D4710" s="1">
        <v>2138505015</v>
      </c>
      <c r="E4710" s="1">
        <v>12500.27</v>
      </c>
      <c r="F4710" s="1" t="s">
        <v>12</v>
      </c>
      <c r="G4710" s="1" t="s">
        <v>16</v>
      </c>
      <c r="H4710" s="1" t="s">
        <v>13</v>
      </c>
      <c r="I4710" s="1" t="s">
        <v>17</v>
      </c>
      <c r="J4710" s="1" t="s">
        <v>18</v>
      </c>
      <c r="K4710" s="1">
        <v>0</v>
      </c>
      <c r="L4710" s="1" t="s">
        <v>23</v>
      </c>
      <c r="M4710" s="1" t="str">
        <f t="shared" si="74"/>
        <v>Potential Layering</v>
      </c>
      <c r="N4710" s="1" t="str">
        <f>_xlfn.XLOOKUP(H4710, risk_score!A:A, risk_score!B:B, 0)</f>
        <v>Low Risk</v>
      </c>
    </row>
    <row r="4711" spans="1:14">
      <c r="A4711" s="2">
        <v>0.56376157407407412</v>
      </c>
      <c r="B4711" s="3">
        <v>44841</v>
      </c>
      <c r="C4711" s="1">
        <v>808760764</v>
      </c>
      <c r="D4711" s="1">
        <v>1922373659</v>
      </c>
      <c r="E4711" s="1">
        <v>2146.17</v>
      </c>
      <c r="F4711" s="1" t="s">
        <v>12</v>
      </c>
      <c r="G4711" s="1" t="s">
        <v>12</v>
      </c>
      <c r="H4711" s="1" t="s">
        <v>13</v>
      </c>
      <c r="I4711" s="1" t="s">
        <v>13</v>
      </c>
      <c r="J4711" s="1" t="s">
        <v>25</v>
      </c>
      <c r="K4711" s="1">
        <v>0</v>
      </c>
      <c r="L4711" s="1" t="s">
        <v>21</v>
      </c>
      <c r="M4711" s="1" t="str">
        <f t="shared" si="74"/>
        <v>Consistent</v>
      </c>
      <c r="N4711" s="1" t="str">
        <f>_xlfn.XLOOKUP(H4711, risk_score!A:A, risk_score!B:B, 0)</f>
        <v>Low Risk</v>
      </c>
    </row>
    <row r="4712" spans="1:14">
      <c r="A4712" s="2">
        <v>0.5638657407407407</v>
      </c>
      <c r="B4712" s="3">
        <v>44841</v>
      </c>
      <c r="C4712" s="1">
        <v>1008340236</v>
      </c>
      <c r="D4712" s="1">
        <v>4908885093</v>
      </c>
      <c r="E4712" s="1">
        <v>2941.37</v>
      </c>
      <c r="F4712" s="1" t="s">
        <v>12</v>
      </c>
      <c r="G4712" s="1" t="s">
        <v>12</v>
      </c>
      <c r="H4712" s="1" t="s">
        <v>13</v>
      </c>
      <c r="I4712" s="1" t="s">
        <v>13</v>
      </c>
      <c r="J4712" s="1" t="s">
        <v>20</v>
      </c>
      <c r="K4712" s="1">
        <v>0</v>
      </c>
      <c r="L4712" s="1" t="s">
        <v>21</v>
      </c>
      <c r="M4712" s="1" t="str">
        <f t="shared" si="74"/>
        <v>Consistent</v>
      </c>
      <c r="N4712" s="1" t="str">
        <f>_xlfn.XLOOKUP(H4712, risk_score!A:A, risk_score!B:B, 0)</f>
        <v>Low Risk</v>
      </c>
    </row>
    <row r="4713" spans="1:14">
      <c r="A4713" s="2">
        <v>0.56392361111111111</v>
      </c>
      <c r="B4713" s="3">
        <v>44841</v>
      </c>
      <c r="C4713" s="1">
        <v>1915450576</v>
      </c>
      <c r="D4713" s="1">
        <v>2933259781</v>
      </c>
      <c r="E4713" s="1">
        <v>5875.59</v>
      </c>
      <c r="F4713" s="1" t="s">
        <v>12</v>
      </c>
      <c r="G4713" s="1" t="s">
        <v>12</v>
      </c>
      <c r="H4713" s="1" t="s">
        <v>13</v>
      </c>
      <c r="I4713" s="1" t="s">
        <v>13</v>
      </c>
      <c r="J4713" s="1" t="s">
        <v>25</v>
      </c>
      <c r="K4713" s="1">
        <v>0</v>
      </c>
      <c r="L4713" s="1" t="s">
        <v>19</v>
      </c>
      <c r="M4713" s="1" t="str">
        <f t="shared" si="74"/>
        <v>Consistent</v>
      </c>
      <c r="N4713" s="1" t="str">
        <f>_xlfn.XLOOKUP(H4713, risk_score!A:A, risk_score!B:B, 0)</f>
        <v>Low Risk</v>
      </c>
    </row>
    <row r="4714" spans="1:14">
      <c r="A4714" s="2">
        <v>0.5639467592592593</v>
      </c>
      <c r="B4714" s="3">
        <v>44841</v>
      </c>
      <c r="C4714" s="1">
        <v>1059085663</v>
      </c>
      <c r="D4714" s="1">
        <v>395432590</v>
      </c>
      <c r="E4714" s="1">
        <v>619.01</v>
      </c>
      <c r="F4714" s="1" t="s">
        <v>12</v>
      </c>
      <c r="G4714" s="1" t="s">
        <v>12</v>
      </c>
      <c r="H4714" s="1" t="s">
        <v>13</v>
      </c>
      <c r="I4714" s="1" t="s">
        <v>13</v>
      </c>
      <c r="J4714" s="1" t="s">
        <v>25</v>
      </c>
      <c r="K4714" s="1">
        <v>0</v>
      </c>
      <c r="L4714" s="1" t="s">
        <v>21</v>
      </c>
      <c r="M4714" s="1" t="str">
        <f t="shared" si="74"/>
        <v>Consistent</v>
      </c>
      <c r="N4714" s="1" t="str">
        <f>_xlfn.XLOOKUP(H4714, risk_score!A:A, risk_score!B:B, 0)</f>
        <v>Low Risk</v>
      </c>
    </row>
    <row r="4715" spans="1:14">
      <c r="A4715" s="2">
        <v>0.56402777777777779</v>
      </c>
      <c r="B4715" s="3">
        <v>44841</v>
      </c>
      <c r="C4715" s="1">
        <v>4957552805</v>
      </c>
      <c r="D4715" s="1">
        <v>1377603863</v>
      </c>
      <c r="E4715" s="1">
        <v>5255.16</v>
      </c>
      <c r="F4715" s="1" t="s">
        <v>12</v>
      </c>
      <c r="G4715" s="1" t="s">
        <v>12</v>
      </c>
      <c r="H4715" s="1" t="s">
        <v>13</v>
      </c>
      <c r="I4715" s="1" t="s">
        <v>13</v>
      </c>
      <c r="J4715" s="1" t="s">
        <v>20</v>
      </c>
      <c r="K4715" s="1">
        <v>0</v>
      </c>
      <c r="L4715" s="1" t="s">
        <v>23</v>
      </c>
      <c r="M4715" s="1" t="str">
        <f t="shared" si="74"/>
        <v>Consistent</v>
      </c>
      <c r="N4715" s="1" t="str">
        <f>_xlfn.XLOOKUP(H4715, risk_score!A:A, risk_score!B:B, 0)</f>
        <v>Low Risk</v>
      </c>
    </row>
    <row r="4716" spans="1:14">
      <c r="A4716" s="2">
        <v>0.56403935185185183</v>
      </c>
      <c r="B4716" s="3">
        <v>44841</v>
      </c>
      <c r="C4716" s="1">
        <v>7676861199</v>
      </c>
      <c r="D4716" s="1">
        <v>7252463628</v>
      </c>
      <c r="E4716" s="1">
        <v>928.22</v>
      </c>
      <c r="F4716" s="1" t="s">
        <v>34</v>
      </c>
      <c r="G4716" s="1" t="s">
        <v>12</v>
      </c>
      <c r="H4716" s="1" t="s">
        <v>35</v>
      </c>
      <c r="I4716" s="1" t="s">
        <v>13</v>
      </c>
      <c r="J4716" s="1" t="s">
        <v>18</v>
      </c>
      <c r="K4716" s="1">
        <v>0</v>
      </c>
      <c r="L4716" s="1" t="s">
        <v>24</v>
      </c>
      <c r="M4716" s="1" t="str">
        <f t="shared" si="74"/>
        <v>Potential Layering</v>
      </c>
      <c r="N4716" s="1" t="str">
        <f>_xlfn.XLOOKUP(H4716, risk_score!A:A, risk_score!B:B, 0)</f>
        <v>High Risk</v>
      </c>
    </row>
    <row r="4717" spans="1:14">
      <c r="A4717" s="2">
        <v>0.56405092592592587</v>
      </c>
      <c r="B4717" s="3">
        <v>44841</v>
      </c>
      <c r="C4717" s="1">
        <v>9520717225</v>
      </c>
      <c r="D4717" s="1">
        <v>2906571021</v>
      </c>
      <c r="E4717" s="1">
        <v>983.33</v>
      </c>
      <c r="F4717" s="1" t="s">
        <v>12</v>
      </c>
      <c r="G4717" s="1" t="s">
        <v>12</v>
      </c>
      <c r="H4717" s="1" t="s">
        <v>13</v>
      </c>
      <c r="I4717" s="1" t="s">
        <v>13</v>
      </c>
      <c r="J4717" s="1" t="s">
        <v>20</v>
      </c>
      <c r="K4717" s="1">
        <v>0</v>
      </c>
      <c r="L4717" s="1" t="s">
        <v>21</v>
      </c>
      <c r="M4717" s="1" t="str">
        <f t="shared" si="74"/>
        <v>Consistent</v>
      </c>
      <c r="N4717" s="1" t="str">
        <f>_xlfn.XLOOKUP(H4717, risk_score!A:A, risk_score!B:B, 0)</f>
        <v>Low Risk</v>
      </c>
    </row>
    <row r="4718" spans="1:14">
      <c r="A4718" s="2">
        <v>0.56414351851851852</v>
      </c>
      <c r="B4718" s="3">
        <v>44841</v>
      </c>
      <c r="C4718" s="1">
        <v>3614082527</v>
      </c>
      <c r="D4718" s="1">
        <v>3673994895</v>
      </c>
      <c r="E4718" s="1">
        <v>23334.59</v>
      </c>
      <c r="F4718" s="1" t="s">
        <v>12</v>
      </c>
      <c r="G4718" s="1" t="s">
        <v>12</v>
      </c>
      <c r="H4718" s="1" t="s">
        <v>13</v>
      </c>
      <c r="I4718" s="1" t="s">
        <v>13</v>
      </c>
      <c r="J4718" s="1" t="s">
        <v>22</v>
      </c>
      <c r="K4718" s="1">
        <v>0</v>
      </c>
      <c r="L4718" s="1" t="s">
        <v>19</v>
      </c>
      <c r="M4718" s="1" t="str">
        <f t="shared" si="74"/>
        <v>Consistent</v>
      </c>
      <c r="N4718" s="1" t="str">
        <f>_xlfn.XLOOKUP(H4718, risk_score!A:A, risk_score!B:B, 0)</f>
        <v>Low Risk</v>
      </c>
    </row>
    <row r="4719" spans="1:14">
      <c r="A4719" s="2">
        <v>0.56416666666666671</v>
      </c>
      <c r="B4719" s="3">
        <v>44841</v>
      </c>
      <c r="C4719" s="1">
        <v>6712711200</v>
      </c>
      <c r="D4719" s="1">
        <v>8518184956</v>
      </c>
      <c r="E4719" s="1">
        <v>14822.68</v>
      </c>
      <c r="F4719" s="1" t="s">
        <v>12</v>
      </c>
      <c r="G4719" s="1" t="s">
        <v>12</v>
      </c>
      <c r="H4719" s="1" t="s">
        <v>13</v>
      </c>
      <c r="I4719" s="1" t="s">
        <v>13</v>
      </c>
      <c r="J4719" s="1" t="s">
        <v>25</v>
      </c>
      <c r="K4719" s="1">
        <v>0</v>
      </c>
      <c r="L4719" s="1" t="s">
        <v>23</v>
      </c>
      <c r="M4719" s="1" t="str">
        <f t="shared" si="74"/>
        <v>Consistent</v>
      </c>
      <c r="N4719" s="1" t="str">
        <f>_xlfn.XLOOKUP(H4719, risk_score!A:A, risk_score!B:B, 0)</f>
        <v>Low Risk</v>
      </c>
    </row>
    <row r="4720" spans="1:14">
      <c r="A4720" s="2">
        <v>0.56417824074074074</v>
      </c>
      <c r="B4720" s="3">
        <v>44841</v>
      </c>
      <c r="C4720" s="1">
        <v>2608070620</v>
      </c>
      <c r="D4720" s="1">
        <v>1493436023</v>
      </c>
      <c r="E4720" s="1">
        <v>5219.75</v>
      </c>
      <c r="F4720" s="1" t="s">
        <v>12</v>
      </c>
      <c r="G4720" s="1" t="s">
        <v>12</v>
      </c>
      <c r="H4720" s="1" t="s">
        <v>13</v>
      </c>
      <c r="I4720" s="1" t="s">
        <v>13</v>
      </c>
      <c r="J4720" s="1" t="s">
        <v>25</v>
      </c>
      <c r="K4720" s="1">
        <v>0</v>
      </c>
      <c r="L4720" s="1" t="s">
        <v>23</v>
      </c>
      <c r="M4720" s="1" t="str">
        <f t="shared" si="74"/>
        <v>Consistent</v>
      </c>
      <c r="N4720" s="1" t="str">
        <f>_xlfn.XLOOKUP(H4720, risk_score!A:A, risk_score!B:B, 0)</f>
        <v>Low Risk</v>
      </c>
    </row>
    <row r="4721" spans="1:14">
      <c r="A4721" s="2">
        <v>0.56418981481481478</v>
      </c>
      <c r="B4721" s="3">
        <v>44841</v>
      </c>
      <c r="C4721" s="1">
        <v>8311921220</v>
      </c>
      <c r="D4721" s="1">
        <v>7510758999</v>
      </c>
      <c r="E4721" s="1">
        <v>18575.89</v>
      </c>
      <c r="F4721" s="1" t="s">
        <v>12</v>
      </c>
      <c r="G4721" s="1" t="s">
        <v>12</v>
      </c>
      <c r="H4721" s="1" t="s">
        <v>13</v>
      </c>
      <c r="I4721" s="1" t="s">
        <v>13</v>
      </c>
      <c r="J4721" s="1" t="s">
        <v>22</v>
      </c>
      <c r="K4721" s="1">
        <v>0</v>
      </c>
      <c r="L4721" s="1" t="s">
        <v>21</v>
      </c>
      <c r="M4721" s="1" t="str">
        <f t="shared" si="74"/>
        <v>Consistent</v>
      </c>
      <c r="N4721" s="1" t="str">
        <f>_xlfn.XLOOKUP(H4721, risk_score!A:A, risk_score!B:B, 0)</f>
        <v>Low Risk</v>
      </c>
    </row>
    <row r="4722" spans="1:14">
      <c r="A4722" s="2">
        <v>0.56421296296296297</v>
      </c>
      <c r="B4722" s="3">
        <v>44841</v>
      </c>
      <c r="C4722" s="1">
        <v>3864603006</v>
      </c>
      <c r="D4722" s="1">
        <v>5858369125</v>
      </c>
      <c r="E4722" s="1">
        <v>20212.21</v>
      </c>
      <c r="F4722" s="1" t="s">
        <v>12</v>
      </c>
      <c r="G4722" s="1" t="s">
        <v>12</v>
      </c>
      <c r="H4722" s="1" t="s">
        <v>13</v>
      </c>
      <c r="I4722" s="1" t="s">
        <v>13</v>
      </c>
      <c r="J4722" s="1" t="s">
        <v>20</v>
      </c>
      <c r="K4722" s="1">
        <v>0</v>
      </c>
      <c r="L4722" s="1" t="s">
        <v>23</v>
      </c>
      <c r="M4722" s="1" t="str">
        <f t="shared" si="74"/>
        <v>Consistent</v>
      </c>
      <c r="N4722" s="1" t="str">
        <f>_xlfn.XLOOKUP(H4722, risk_score!A:A, risk_score!B:B, 0)</f>
        <v>Low Risk</v>
      </c>
    </row>
    <row r="4723" spans="1:14">
      <c r="A4723" s="2">
        <v>0.56422453703703701</v>
      </c>
      <c r="B4723" s="3">
        <v>44841</v>
      </c>
      <c r="C4723" s="1">
        <v>3886212019</v>
      </c>
      <c r="D4723" s="1">
        <v>5492525400</v>
      </c>
      <c r="E4723" s="1">
        <v>16646.990000000002</v>
      </c>
      <c r="F4723" s="1" t="s">
        <v>12</v>
      </c>
      <c r="G4723" s="1" t="s">
        <v>12</v>
      </c>
      <c r="H4723" s="1" t="s">
        <v>13</v>
      </c>
      <c r="I4723" s="1" t="s">
        <v>13</v>
      </c>
      <c r="J4723" s="1" t="s">
        <v>22</v>
      </c>
      <c r="K4723" s="1">
        <v>0</v>
      </c>
      <c r="L4723" s="1" t="s">
        <v>24</v>
      </c>
      <c r="M4723" s="1" t="str">
        <f t="shared" si="74"/>
        <v>Consistent</v>
      </c>
      <c r="N4723" s="1" t="str">
        <f>_xlfn.XLOOKUP(H4723, risk_score!A:A, risk_score!B:B, 0)</f>
        <v>Low Risk</v>
      </c>
    </row>
    <row r="4724" spans="1:14">
      <c r="A4724" s="2">
        <v>0.56423611111111116</v>
      </c>
      <c r="B4724" s="3">
        <v>44841</v>
      </c>
      <c r="C4724" s="1">
        <v>1167745468</v>
      </c>
      <c r="D4724" s="1">
        <v>2064961882</v>
      </c>
      <c r="E4724" s="1">
        <v>11775.45</v>
      </c>
      <c r="F4724" s="1" t="s">
        <v>12</v>
      </c>
      <c r="G4724" s="1" t="s">
        <v>12</v>
      </c>
      <c r="H4724" s="1" t="s">
        <v>13</v>
      </c>
      <c r="I4724" s="1" t="s">
        <v>13</v>
      </c>
      <c r="J4724" s="1" t="s">
        <v>27</v>
      </c>
      <c r="K4724" s="1">
        <v>0</v>
      </c>
      <c r="L4724" s="1" t="s">
        <v>49</v>
      </c>
      <c r="M4724" s="1" t="str">
        <f t="shared" si="74"/>
        <v>Consistent</v>
      </c>
      <c r="N4724" s="1" t="str">
        <f>_xlfn.XLOOKUP(H4724, risk_score!A:A, risk_score!B:B, 0)</f>
        <v>Low Risk</v>
      </c>
    </row>
    <row r="4725" spans="1:14">
      <c r="A4725" s="2">
        <v>0.5642476851851852</v>
      </c>
      <c r="B4725" s="3">
        <v>44841</v>
      </c>
      <c r="C4725" s="1">
        <v>2772565837</v>
      </c>
      <c r="D4725" s="1">
        <v>3194413087</v>
      </c>
      <c r="E4725" s="1">
        <v>1530.51</v>
      </c>
      <c r="F4725" s="1" t="s">
        <v>12</v>
      </c>
      <c r="G4725" s="1" t="s">
        <v>12</v>
      </c>
      <c r="H4725" s="1" t="s">
        <v>13</v>
      </c>
      <c r="I4725" s="1" t="s">
        <v>13</v>
      </c>
      <c r="J4725" s="1" t="s">
        <v>22</v>
      </c>
      <c r="K4725" s="1">
        <v>0</v>
      </c>
      <c r="L4725" s="1" t="s">
        <v>21</v>
      </c>
      <c r="M4725" s="1" t="str">
        <f t="shared" si="74"/>
        <v>Consistent</v>
      </c>
      <c r="N4725" s="1" t="str">
        <f>_xlfn.XLOOKUP(H4725, risk_score!A:A, risk_score!B:B, 0)</f>
        <v>Low Risk</v>
      </c>
    </row>
    <row r="4726" spans="1:14">
      <c r="A4726" s="2">
        <v>0.56428240740740743</v>
      </c>
      <c r="B4726" s="3">
        <v>44841</v>
      </c>
      <c r="C4726" s="1">
        <v>1776918759</v>
      </c>
      <c r="D4726" s="1">
        <v>3458311359</v>
      </c>
      <c r="E4726" s="1">
        <v>1702.8</v>
      </c>
      <c r="F4726" s="1" t="s">
        <v>12</v>
      </c>
      <c r="G4726" s="1" t="s">
        <v>12</v>
      </c>
      <c r="H4726" s="1" t="s">
        <v>13</v>
      </c>
      <c r="I4726" s="1" t="s">
        <v>13</v>
      </c>
      <c r="J4726" s="1" t="s">
        <v>25</v>
      </c>
      <c r="K4726" s="1">
        <v>0</v>
      </c>
      <c r="L4726" s="1" t="s">
        <v>21</v>
      </c>
      <c r="M4726" s="1" t="str">
        <f t="shared" si="74"/>
        <v>Consistent</v>
      </c>
      <c r="N4726" s="1" t="str">
        <f>_xlfn.XLOOKUP(H4726, risk_score!A:A, risk_score!B:B, 0)</f>
        <v>Low Risk</v>
      </c>
    </row>
    <row r="4727" spans="1:14">
      <c r="A4727" s="2">
        <v>0.5643055555555555</v>
      </c>
      <c r="B4727" s="3">
        <v>44841</v>
      </c>
      <c r="C4727" s="1">
        <v>3934437890</v>
      </c>
      <c r="D4727" s="1">
        <v>2755638665</v>
      </c>
      <c r="E4727" s="1">
        <v>4313.87</v>
      </c>
      <c r="F4727" s="1" t="s">
        <v>12</v>
      </c>
      <c r="G4727" s="1" t="s">
        <v>12</v>
      </c>
      <c r="H4727" s="1" t="s">
        <v>13</v>
      </c>
      <c r="I4727" s="1" t="s">
        <v>13</v>
      </c>
      <c r="J4727" s="1" t="s">
        <v>27</v>
      </c>
      <c r="K4727" s="1">
        <v>0</v>
      </c>
      <c r="L4727" s="1" t="s">
        <v>21</v>
      </c>
      <c r="M4727" s="1" t="str">
        <f t="shared" si="74"/>
        <v>Consistent</v>
      </c>
      <c r="N4727" s="1" t="str">
        <f>_xlfn.XLOOKUP(H4727, risk_score!A:A, risk_score!B:B, 0)</f>
        <v>Low Risk</v>
      </c>
    </row>
    <row r="4728" spans="1:14">
      <c r="A4728" s="2">
        <v>0.56431712962962965</v>
      </c>
      <c r="B4728" s="3">
        <v>44841</v>
      </c>
      <c r="C4728" s="1">
        <v>7634512819</v>
      </c>
      <c r="D4728" s="1">
        <v>1431561040</v>
      </c>
      <c r="E4728" s="1">
        <v>16460.259999999998</v>
      </c>
      <c r="F4728" s="1" t="s">
        <v>12</v>
      </c>
      <c r="G4728" s="1" t="s">
        <v>12</v>
      </c>
      <c r="H4728" s="1" t="s">
        <v>13</v>
      </c>
      <c r="I4728" s="1" t="s">
        <v>13</v>
      </c>
      <c r="J4728" s="1" t="s">
        <v>20</v>
      </c>
      <c r="K4728" s="1">
        <v>0</v>
      </c>
      <c r="L4728" s="1" t="s">
        <v>23</v>
      </c>
      <c r="M4728" s="1" t="str">
        <f t="shared" si="74"/>
        <v>Consistent</v>
      </c>
      <c r="N4728" s="1" t="str">
        <f>_xlfn.XLOOKUP(H4728, risk_score!A:A, risk_score!B:B, 0)</f>
        <v>Low Risk</v>
      </c>
    </row>
    <row r="4729" spans="1:14">
      <c r="A4729" s="2">
        <v>0.56436342592592592</v>
      </c>
      <c r="B4729" s="3">
        <v>44841</v>
      </c>
      <c r="C4729" s="1">
        <v>7801695342</v>
      </c>
      <c r="D4729" s="1">
        <v>1869363391</v>
      </c>
      <c r="E4729" s="1">
        <v>1358.18</v>
      </c>
      <c r="F4729" s="1" t="s">
        <v>12</v>
      </c>
      <c r="G4729" s="1" t="s">
        <v>12</v>
      </c>
      <c r="H4729" s="1" t="s">
        <v>13</v>
      </c>
      <c r="I4729" s="1" t="s">
        <v>13</v>
      </c>
      <c r="J4729" s="1" t="s">
        <v>14</v>
      </c>
      <c r="K4729" s="1">
        <v>0</v>
      </c>
      <c r="L4729" s="1" t="s">
        <v>15</v>
      </c>
      <c r="M4729" s="1" t="str">
        <f t="shared" si="74"/>
        <v>Consistent</v>
      </c>
      <c r="N4729" s="1" t="str">
        <f>_xlfn.XLOOKUP(H4729, risk_score!A:A, risk_score!B:B, 0)</f>
        <v>Low Risk</v>
      </c>
    </row>
    <row r="4730" spans="1:14">
      <c r="A4730" s="2">
        <v>0.56439814814814815</v>
      </c>
      <c r="B4730" s="3">
        <v>44841</v>
      </c>
      <c r="C4730" s="1">
        <v>9744328675</v>
      </c>
      <c r="D4730" s="1">
        <v>8678802420</v>
      </c>
      <c r="E4730" s="1">
        <v>4419.9799999999996</v>
      </c>
      <c r="F4730" s="1" t="s">
        <v>12</v>
      </c>
      <c r="G4730" s="1" t="s">
        <v>46</v>
      </c>
      <c r="H4730" s="1" t="s">
        <v>13</v>
      </c>
      <c r="I4730" s="1" t="s">
        <v>13</v>
      </c>
      <c r="J4730" s="1" t="s">
        <v>22</v>
      </c>
      <c r="K4730" s="1">
        <v>0</v>
      </c>
      <c r="L4730" s="1" t="s">
        <v>23</v>
      </c>
      <c r="M4730" s="1" t="str">
        <f t="shared" si="74"/>
        <v>Potential Layering</v>
      </c>
      <c r="N4730" s="1" t="str">
        <f>_xlfn.XLOOKUP(H4730, risk_score!A:A, risk_score!B:B, 0)</f>
        <v>Low Risk</v>
      </c>
    </row>
    <row r="4731" spans="1:14">
      <c r="A4731" s="2">
        <v>0.56440972222222219</v>
      </c>
      <c r="B4731" s="3">
        <v>44841</v>
      </c>
      <c r="C4731" s="1">
        <v>6492395443</v>
      </c>
      <c r="D4731" s="1">
        <v>8701932731</v>
      </c>
      <c r="E4731" s="1">
        <v>3625.97</v>
      </c>
      <c r="F4731" s="1" t="s">
        <v>12</v>
      </c>
      <c r="G4731" s="1" t="s">
        <v>12</v>
      </c>
      <c r="H4731" s="1" t="s">
        <v>13</v>
      </c>
      <c r="I4731" s="1" t="s">
        <v>13</v>
      </c>
      <c r="J4731" s="1" t="s">
        <v>27</v>
      </c>
      <c r="K4731" s="1">
        <v>0</v>
      </c>
      <c r="L4731" s="1" t="s">
        <v>21</v>
      </c>
      <c r="M4731" s="1" t="str">
        <f t="shared" si="74"/>
        <v>Consistent</v>
      </c>
      <c r="N4731" s="1" t="str">
        <f>_xlfn.XLOOKUP(H4731, risk_score!A:A, risk_score!B:B, 0)</f>
        <v>Low Risk</v>
      </c>
    </row>
    <row r="4732" spans="1:14">
      <c r="A4732" s="2">
        <v>0.56442129629629634</v>
      </c>
      <c r="B4732" s="3">
        <v>44841</v>
      </c>
      <c r="C4732" s="1">
        <v>2488913972</v>
      </c>
      <c r="D4732" s="1">
        <v>8698580126</v>
      </c>
      <c r="E4732" s="1">
        <v>2562.94</v>
      </c>
      <c r="F4732" s="1" t="s">
        <v>12</v>
      </c>
      <c r="G4732" s="1" t="s">
        <v>12</v>
      </c>
      <c r="H4732" s="1" t="s">
        <v>13</v>
      </c>
      <c r="I4732" s="1" t="s">
        <v>13</v>
      </c>
      <c r="J4732" s="1" t="s">
        <v>20</v>
      </c>
      <c r="K4732" s="1">
        <v>0</v>
      </c>
      <c r="L4732" s="1" t="s">
        <v>21</v>
      </c>
      <c r="M4732" s="1" t="str">
        <f t="shared" si="74"/>
        <v>Consistent</v>
      </c>
      <c r="N4732" s="1" t="str">
        <f>_xlfn.XLOOKUP(H4732, risk_score!A:A, risk_score!B:B, 0)</f>
        <v>Low Risk</v>
      </c>
    </row>
    <row r="4733" spans="1:14">
      <c r="A4733" s="2">
        <v>0.56444444444444442</v>
      </c>
      <c r="B4733" s="3">
        <v>44841</v>
      </c>
      <c r="C4733" s="1">
        <v>7978584634</v>
      </c>
      <c r="D4733" s="1">
        <v>3232505622</v>
      </c>
      <c r="E4733" s="1">
        <v>1592.48</v>
      </c>
      <c r="F4733" s="1" t="s">
        <v>12</v>
      </c>
      <c r="G4733" s="1" t="s">
        <v>12</v>
      </c>
      <c r="H4733" s="1" t="s">
        <v>13</v>
      </c>
      <c r="I4733" s="1" t="s">
        <v>13</v>
      </c>
      <c r="J4733" s="1" t="s">
        <v>22</v>
      </c>
      <c r="K4733" s="1">
        <v>0</v>
      </c>
      <c r="L4733" s="1" t="s">
        <v>38</v>
      </c>
      <c r="M4733" s="1" t="str">
        <f t="shared" si="74"/>
        <v>Consistent</v>
      </c>
      <c r="N4733" s="1" t="str">
        <f>_xlfn.XLOOKUP(H4733, risk_score!A:A, risk_score!B:B, 0)</f>
        <v>Low Risk</v>
      </c>
    </row>
    <row r="4734" spans="1:14">
      <c r="A4734" s="2">
        <v>0.56445601851851857</v>
      </c>
      <c r="B4734" s="3">
        <v>44841</v>
      </c>
      <c r="C4734" s="1">
        <v>8456279067</v>
      </c>
      <c r="D4734" s="1">
        <v>1831928079</v>
      </c>
      <c r="E4734" s="1">
        <v>6974.41</v>
      </c>
      <c r="F4734" s="1" t="s">
        <v>12</v>
      </c>
      <c r="G4734" s="1" t="s">
        <v>12</v>
      </c>
      <c r="H4734" s="1" t="s">
        <v>13</v>
      </c>
      <c r="I4734" s="1" t="s">
        <v>13</v>
      </c>
      <c r="J4734" s="1" t="s">
        <v>27</v>
      </c>
      <c r="K4734" s="1">
        <v>0</v>
      </c>
      <c r="L4734" s="1" t="s">
        <v>19</v>
      </c>
      <c r="M4734" s="1" t="str">
        <f t="shared" si="74"/>
        <v>Consistent</v>
      </c>
      <c r="N4734" s="1" t="str">
        <f>_xlfn.XLOOKUP(H4734, risk_score!A:A, risk_score!B:B, 0)</f>
        <v>Low Risk</v>
      </c>
    </row>
    <row r="4735" spans="1:14">
      <c r="A4735" s="2">
        <v>0.5644675925925926</v>
      </c>
      <c r="B4735" s="3">
        <v>44841</v>
      </c>
      <c r="C4735" s="1">
        <v>6904668523</v>
      </c>
      <c r="D4735" s="1">
        <v>9440622206</v>
      </c>
      <c r="E4735" s="1">
        <v>7565.28</v>
      </c>
      <c r="F4735" s="1" t="s">
        <v>12</v>
      </c>
      <c r="G4735" s="1" t="s">
        <v>12</v>
      </c>
      <c r="H4735" s="1" t="s">
        <v>13</v>
      </c>
      <c r="I4735" s="1" t="s">
        <v>13</v>
      </c>
      <c r="J4735" s="1" t="s">
        <v>27</v>
      </c>
      <c r="K4735" s="1">
        <v>0</v>
      </c>
      <c r="L4735" s="1" t="s">
        <v>19</v>
      </c>
      <c r="M4735" s="1" t="str">
        <f t="shared" ref="M4735:M4798" si="75">IF(F4735=G4735, "Consistent", "Potential Layering")</f>
        <v>Consistent</v>
      </c>
      <c r="N4735" s="1" t="str">
        <f>_xlfn.XLOOKUP(H4735, risk_score!A:A, risk_score!B:B, 0)</f>
        <v>Low Risk</v>
      </c>
    </row>
    <row r="4736" spans="1:14">
      <c r="A4736" s="2">
        <v>0.56449074074074079</v>
      </c>
      <c r="B4736" s="3">
        <v>44841</v>
      </c>
      <c r="C4736" s="1">
        <v>6561906114</v>
      </c>
      <c r="D4736" s="1">
        <v>7942915175</v>
      </c>
      <c r="E4736" s="1">
        <v>2078.4699999999998</v>
      </c>
      <c r="F4736" s="1" t="s">
        <v>12</v>
      </c>
      <c r="G4736" s="1" t="s">
        <v>12</v>
      </c>
      <c r="H4736" s="1" t="s">
        <v>13</v>
      </c>
      <c r="I4736" s="1" t="s">
        <v>13</v>
      </c>
      <c r="J4736" s="1" t="s">
        <v>20</v>
      </c>
      <c r="K4736" s="1">
        <v>0</v>
      </c>
      <c r="L4736" s="1" t="s">
        <v>24</v>
      </c>
      <c r="M4736" s="1" t="str">
        <f t="shared" si="75"/>
        <v>Consistent</v>
      </c>
      <c r="N4736" s="1" t="str">
        <f>_xlfn.XLOOKUP(H4736, risk_score!A:A, risk_score!B:B, 0)</f>
        <v>Low Risk</v>
      </c>
    </row>
    <row r="4737" spans="1:14">
      <c r="A4737" s="2">
        <v>0.56453703703703706</v>
      </c>
      <c r="B4737" s="3">
        <v>44841</v>
      </c>
      <c r="C4737" s="1">
        <v>6086421020</v>
      </c>
      <c r="D4737" s="1">
        <v>3504466346</v>
      </c>
      <c r="E4737" s="1">
        <v>19101.77</v>
      </c>
      <c r="F4737" s="1" t="s">
        <v>12</v>
      </c>
      <c r="G4737" s="1" t="s">
        <v>12</v>
      </c>
      <c r="H4737" s="1" t="s">
        <v>13</v>
      </c>
      <c r="I4737" s="1" t="s">
        <v>13</v>
      </c>
      <c r="J4737" s="1" t="s">
        <v>27</v>
      </c>
      <c r="K4737" s="1">
        <v>0</v>
      </c>
      <c r="L4737" s="1" t="s">
        <v>19</v>
      </c>
      <c r="M4737" s="1" t="str">
        <f t="shared" si="75"/>
        <v>Consistent</v>
      </c>
      <c r="N4737" s="1" t="str">
        <f>_xlfn.XLOOKUP(H4737, risk_score!A:A, risk_score!B:B, 0)</f>
        <v>Low Risk</v>
      </c>
    </row>
    <row r="4738" spans="1:14">
      <c r="A4738" s="2">
        <v>0.56460648148148151</v>
      </c>
      <c r="B4738" s="3">
        <v>44841</v>
      </c>
      <c r="C4738" s="1">
        <v>8900120664</v>
      </c>
      <c r="D4738" s="1">
        <v>2153824393</v>
      </c>
      <c r="E4738" s="1">
        <v>3649.56</v>
      </c>
      <c r="F4738" s="1" t="s">
        <v>12</v>
      </c>
      <c r="G4738" s="1" t="s">
        <v>12</v>
      </c>
      <c r="H4738" s="1" t="s">
        <v>13</v>
      </c>
      <c r="I4738" s="1" t="s">
        <v>13</v>
      </c>
      <c r="J4738" s="1" t="s">
        <v>22</v>
      </c>
      <c r="K4738" s="1">
        <v>0</v>
      </c>
      <c r="L4738" s="1" t="s">
        <v>21</v>
      </c>
      <c r="M4738" s="1" t="str">
        <f t="shared" si="75"/>
        <v>Consistent</v>
      </c>
      <c r="N4738" s="1" t="str">
        <f>_xlfn.XLOOKUP(H4738, risk_score!A:A, risk_score!B:B, 0)</f>
        <v>Low Risk</v>
      </c>
    </row>
    <row r="4739" spans="1:14">
      <c r="A4739" s="2">
        <v>0.56462962962962959</v>
      </c>
      <c r="B4739" s="3">
        <v>44841</v>
      </c>
      <c r="C4739" s="1">
        <v>4826036471</v>
      </c>
      <c r="D4739" s="1">
        <v>234618181</v>
      </c>
      <c r="E4739" s="1">
        <v>7228.36</v>
      </c>
      <c r="F4739" s="1" t="s">
        <v>12</v>
      </c>
      <c r="G4739" s="1" t="s">
        <v>12</v>
      </c>
      <c r="H4739" s="1" t="s">
        <v>13</v>
      </c>
      <c r="I4739" s="1" t="s">
        <v>13</v>
      </c>
      <c r="J4739" s="1" t="s">
        <v>20</v>
      </c>
      <c r="K4739" s="1">
        <v>0</v>
      </c>
      <c r="L4739" s="1" t="s">
        <v>21</v>
      </c>
      <c r="M4739" s="1" t="str">
        <f t="shared" si="75"/>
        <v>Consistent</v>
      </c>
      <c r="N4739" s="1" t="str">
        <f>_xlfn.XLOOKUP(H4739, risk_score!A:A, risk_score!B:B, 0)</f>
        <v>Low Risk</v>
      </c>
    </row>
    <row r="4740" spans="1:14">
      <c r="A4740" s="2">
        <v>0.56467592592592597</v>
      </c>
      <c r="B4740" s="3">
        <v>44841</v>
      </c>
      <c r="C4740" s="1">
        <v>3452368468</v>
      </c>
      <c r="D4740" s="1">
        <v>3828135271</v>
      </c>
      <c r="E4740" s="1">
        <v>5613.04</v>
      </c>
      <c r="F4740" s="1" t="s">
        <v>12</v>
      </c>
      <c r="G4740" s="1" t="s">
        <v>12</v>
      </c>
      <c r="H4740" s="1" t="s">
        <v>13</v>
      </c>
      <c r="I4740" s="1" t="s">
        <v>13</v>
      </c>
      <c r="J4740" s="1" t="s">
        <v>25</v>
      </c>
      <c r="K4740" s="1">
        <v>0</v>
      </c>
      <c r="L4740" s="1" t="s">
        <v>19</v>
      </c>
      <c r="M4740" s="1" t="str">
        <f t="shared" si="75"/>
        <v>Consistent</v>
      </c>
      <c r="N4740" s="1" t="str">
        <f>_xlfn.XLOOKUP(H4740, risk_score!A:A, risk_score!B:B, 0)</f>
        <v>Low Risk</v>
      </c>
    </row>
    <row r="4741" spans="1:14">
      <c r="A4741" s="2">
        <v>0.56467592592592597</v>
      </c>
      <c r="B4741" s="3">
        <v>44841</v>
      </c>
      <c r="C4741" s="1">
        <v>8365969009</v>
      </c>
      <c r="D4741" s="1">
        <v>693522868</v>
      </c>
      <c r="E4741" s="1">
        <v>8839.11</v>
      </c>
      <c r="F4741" s="1" t="s">
        <v>12</v>
      </c>
      <c r="G4741" s="1" t="s">
        <v>12</v>
      </c>
      <c r="H4741" s="1" t="s">
        <v>13</v>
      </c>
      <c r="I4741" s="1" t="s">
        <v>13</v>
      </c>
      <c r="J4741" s="1" t="s">
        <v>25</v>
      </c>
      <c r="K4741" s="1">
        <v>0</v>
      </c>
      <c r="L4741" s="1" t="s">
        <v>38</v>
      </c>
      <c r="M4741" s="1" t="str">
        <f t="shared" si="75"/>
        <v>Consistent</v>
      </c>
      <c r="N4741" s="1" t="str">
        <f>_xlfn.XLOOKUP(H4741, risk_score!A:A, risk_score!B:B, 0)</f>
        <v>Low Risk</v>
      </c>
    </row>
    <row r="4742" spans="1:14">
      <c r="A4742" s="2">
        <v>0.56468750000000001</v>
      </c>
      <c r="B4742" s="3">
        <v>44841</v>
      </c>
      <c r="C4742" s="1">
        <v>3168051873</v>
      </c>
      <c r="D4742" s="1">
        <v>4856706287</v>
      </c>
      <c r="E4742" s="1">
        <v>13227.56</v>
      </c>
      <c r="F4742" s="1" t="s">
        <v>12</v>
      </c>
      <c r="G4742" s="1" t="s">
        <v>12</v>
      </c>
      <c r="H4742" s="1" t="s">
        <v>13</v>
      </c>
      <c r="I4742" s="1" t="s">
        <v>13</v>
      </c>
      <c r="J4742" s="1" t="s">
        <v>20</v>
      </c>
      <c r="K4742" s="1">
        <v>0</v>
      </c>
      <c r="L4742" s="1" t="s">
        <v>19</v>
      </c>
      <c r="M4742" s="1" t="str">
        <f t="shared" si="75"/>
        <v>Consistent</v>
      </c>
      <c r="N4742" s="1" t="str">
        <f>_xlfn.XLOOKUP(H4742, risk_score!A:A, risk_score!B:B, 0)</f>
        <v>Low Risk</v>
      </c>
    </row>
    <row r="4743" spans="1:14">
      <c r="A4743" s="2">
        <v>0.5647106481481482</v>
      </c>
      <c r="B4743" s="3">
        <v>44841</v>
      </c>
      <c r="C4743" s="1">
        <v>581151126</v>
      </c>
      <c r="D4743" s="1">
        <v>6855935396</v>
      </c>
      <c r="E4743" s="1">
        <v>5061.6000000000004</v>
      </c>
      <c r="F4743" s="1" t="s">
        <v>12</v>
      </c>
      <c r="G4743" s="1" t="s">
        <v>12</v>
      </c>
      <c r="H4743" s="1" t="s">
        <v>13</v>
      </c>
      <c r="I4743" s="1" t="s">
        <v>13</v>
      </c>
      <c r="J4743" s="1" t="s">
        <v>25</v>
      </c>
      <c r="K4743" s="1">
        <v>0</v>
      </c>
      <c r="L4743" s="1" t="s">
        <v>23</v>
      </c>
      <c r="M4743" s="1" t="str">
        <f t="shared" si="75"/>
        <v>Consistent</v>
      </c>
      <c r="N4743" s="1" t="str">
        <f>_xlfn.XLOOKUP(H4743, risk_score!A:A, risk_score!B:B, 0)</f>
        <v>Low Risk</v>
      </c>
    </row>
    <row r="4744" spans="1:14">
      <c r="A4744" s="2">
        <v>0.5647106481481482</v>
      </c>
      <c r="B4744" s="3">
        <v>44841</v>
      </c>
      <c r="C4744" s="1">
        <v>6541552727</v>
      </c>
      <c r="D4744" s="1">
        <v>7752965423</v>
      </c>
      <c r="E4744" s="1">
        <v>11184.21</v>
      </c>
      <c r="F4744" s="1" t="s">
        <v>12</v>
      </c>
      <c r="G4744" s="1" t="s">
        <v>12</v>
      </c>
      <c r="H4744" s="1" t="s">
        <v>13</v>
      </c>
      <c r="I4744" s="1" t="s">
        <v>13</v>
      </c>
      <c r="J4744" s="1" t="s">
        <v>25</v>
      </c>
      <c r="K4744" s="1">
        <v>0</v>
      </c>
      <c r="L4744" s="1" t="s">
        <v>19</v>
      </c>
      <c r="M4744" s="1" t="str">
        <f t="shared" si="75"/>
        <v>Consistent</v>
      </c>
      <c r="N4744" s="1" t="str">
        <f>_xlfn.XLOOKUP(H4744, risk_score!A:A, risk_score!B:B, 0)</f>
        <v>Low Risk</v>
      </c>
    </row>
    <row r="4745" spans="1:14">
      <c r="A4745" s="2">
        <v>0.56480324074074073</v>
      </c>
      <c r="B4745" s="3">
        <v>44841</v>
      </c>
      <c r="C4745" s="1">
        <v>8717247314</v>
      </c>
      <c r="D4745" s="1">
        <v>4661506996</v>
      </c>
      <c r="E4745" s="1">
        <v>5972.19</v>
      </c>
      <c r="F4745" s="1" t="s">
        <v>12</v>
      </c>
      <c r="G4745" s="1" t="s">
        <v>12</v>
      </c>
      <c r="H4745" s="1" t="s">
        <v>13</v>
      </c>
      <c r="I4745" s="1" t="s">
        <v>13</v>
      </c>
      <c r="J4745" s="1" t="s">
        <v>20</v>
      </c>
      <c r="K4745" s="1">
        <v>0</v>
      </c>
      <c r="L4745" s="1" t="s">
        <v>21</v>
      </c>
      <c r="M4745" s="1" t="str">
        <f t="shared" si="75"/>
        <v>Consistent</v>
      </c>
      <c r="N4745" s="1" t="str">
        <f>_xlfn.XLOOKUP(H4745, risk_score!A:A, risk_score!B:B, 0)</f>
        <v>Low Risk</v>
      </c>
    </row>
    <row r="4746" spans="1:14">
      <c r="A4746" s="2">
        <v>0.56480324074074073</v>
      </c>
      <c r="B4746" s="3">
        <v>44841</v>
      </c>
      <c r="C4746" s="1">
        <v>7501327339</v>
      </c>
      <c r="D4746" s="1">
        <v>8562263055</v>
      </c>
      <c r="E4746" s="1">
        <v>6231.84</v>
      </c>
      <c r="F4746" s="1" t="s">
        <v>12</v>
      </c>
      <c r="G4746" s="1" t="s">
        <v>12</v>
      </c>
      <c r="H4746" s="1" t="s">
        <v>13</v>
      </c>
      <c r="I4746" s="1" t="s">
        <v>13</v>
      </c>
      <c r="J4746" s="1" t="s">
        <v>22</v>
      </c>
      <c r="K4746" s="1">
        <v>0</v>
      </c>
      <c r="L4746" s="1" t="s">
        <v>19</v>
      </c>
      <c r="M4746" s="1" t="str">
        <f t="shared" si="75"/>
        <v>Consistent</v>
      </c>
      <c r="N4746" s="1" t="str">
        <f>_xlfn.XLOOKUP(H4746, risk_score!A:A, risk_score!B:B, 0)</f>
        <v>Low Risk</v>
      </c>
    </row>
    <row r="4747" spans="1:14">
      <c r="A4747" s="2">
        <v>0.56486111111111115</v>
      </c>
      <c r="B4747" s="3">
        <v>44841</v>
      </c>
      <c r="C4747" s="1">
        <v>6411476316</v>
      </c>
      <c r="D4747" s="1">
        <v>8352571580</v>
      </c>
      <c r="E4747" s="1">
        <v>9817.69</v>
      </c>
      <c r="F4747" s="1" t="s">
        <v>12</v>
      </c>
      <c r="G4747" s="1" t="s">
        <v>12</v>
      </c>
      <c r="H4747" s="1" t="s">
        <v>13</v>
      </c>
      <c r="I4747" s="1" t="s">
        <v>13</v>
      </c>
      <c r="J4747" s="1" t="s">
        <v>27</v>
      </c>
      <c r="K4747" s="1">
        <v>0</v>
      </c>
      <c r="L4747" s="1" t="s">
        <v>23</v>
      </c>
      <c r="M4747" s="1" t="str">
        <f t="shared" si="75"/>
        <v>Consistent</v>
      </c>
      <c r="N4747" s="1" t="str">
        <f>_xlfn.XLOOKUP(H4747, risk_score!A:A, risk_score!B:B, 0)</f>
        <v>Low Risk</v>
      </c>
    </row>
    <row r="4748" spans="1:14">
      <c r="A4748" s="2">
        <v>0.56495370370370368</v>
      </c>
      <c r="B4748" s="3">
        <v>44841</v>
      </c>
      <c r="C4748" s="1">
        <v>5001905323</v>
      </c>
      <c r="D4748" s="1">
        <v>8412036628</v>
      </c>
      <c r="E4748" s="1">
        <v>465.13</v>
      </c>
      <c r="F4748" s="1" t="s">
        <v>12</v>
      </c>
      <c r="G4748" s="1" t="s">
        <v>12</v>
      </c>
      <c r="H4748" s="1" t="s">
        <v>13</v>
      </c>
      <c r="I4748" s="1" t="s">
        <v>13</v>
      </c>
      <c r="J4748" s="1" t="s">
        <v>27</v>
      </c>
      <c r="K4748" s="1">
        <v>0</v>
      </c>
      <c r="L4748" s="1" t="s">
        <v>21</v>
      </c>
      <c r="M4748" s="1" t="str">
        <f t="shared" si="75"/>
        <v>Consistent</v>
      </c>
      <c r="N4748" s="1" t="str">
        <f>_xlfn.XLOOKUP(H4748, risk_score!A:A, risk_score!B:B, 0)</f>
        <v>Low Risk</v>
      </c>
    </row>
    <row r="4749" spans="1:14">
      <c r="A4749" s="2">
        <v>0.56502314814814814</v>
      </c>
      <c r="B4749" s="3">
        <v>44841</v>
      </c>
      <c r="C4749" s="1">
        <v>2780415755</v>
      </c>
      <c r="D4749" s="1">
        <v>5752717634</v>
      </c>
      <c r="E4749" s="1">
        <v>7592.17</v>
      </c>
      <c r="F4749" s="1" t="s">
        <v>12</v>
      </c>
      <c r="G4749" s="1" t="s">
        <v>12</v>
      </c>
      <c r="H4749" s="1" t="s">
        <v>13</v>
      </c>
      <c r="I4749" s="1" t="s">
        <v>13</v>
      </c>
      <c r="J4749" s="1" t="s">
        <v>20</v>
      </c>
      <c r="K4749" s="1">
        <v>0</v>
      </c>
      <c r="L4749" s="1" t="s">
        <v>49</v>
      </c>
      <c r="M4749" s="1" t="str">
        <f t="shared" si="75"/>
        <v>Consistent</v>
      </c>
      <c r="N4749" s="1" t="str">
        <f>_xlfn.XLOOKUP(H4749, risk_score!A:A, risk_score!B:B, 0)</f>
        <v>Low Risk</v>
      </c>
    </row>
    <row r="4750" spans="1:14">
      <c r="A4750" s="2">
        <v>0.56504629629629632</v>
      </c>
      <c r="B4750" s="3">
        <v>44841</v>
      </c>
      <c r="C4750" s="1">
        <v>9162887426</v>
      </c>
      <c r="D4750" s="1">
        <v>7160736915</v>
      </c>
      <c r="E4750" s="1">
        <v>5226.7700000000004</v>
      </c>
      <c r="F4750" s="1" t="s">
        <v>12</v>
      </c>
      <c r="G4750" s="1" t="s">
        <v>12</v>
      </c>
      <c r="H4750" s="1" t="s">
        <v>13</v>
      </c>
      <c r="I4750" s="1" t="s">
        <v>13</v>
      </c>
      <c r="J4750" s="1" t="s">
        <v>25</v>
      </c>
      <c r="K4750" s="1">
        <v>0</v>
      </c>
      <c r="L4750" s="1" t="s">
        <v>23</v>
      </c>
      <c r="M4750" s="1" t="str">
        <f t="shared" si="75"/>
        <v>Consistent</v>
      </c>
      <c r="N4750" s="1" t="str">
        <f>_xlfn.XLOOKUP(H4750, risk_score!A:A, risk_score!B:B, 0)</f>
        <v>Low Risk</v>
      </c>
    </row>
    <row r="4751" spans="1:14">
      <c r="A4751" s="2">
        <v>0.56504629629629632</v>
      </c>
      <c r="B4751" s="3">
        <v>44841</v>
      </c>
      <c r="C4751" s="1">
        <v>877135647</v>
      </c>
      <c r="D4751" s="1">
        <v>7842846612</v>
      </c>
      <c r="E4751" s="1">
        <v>275.83</v>
      </c>
      <c r="F4751" s="1" t="s">
        <v>12</v>
      </c>
      <c r="G4751" s="1" t="s">
        <v>12</v>
      </c>
      <c r="H4751" s="1" t="s">
        <v>13</v>
      </c>
      <c r="I4751" s="1" t="s">
        <v>13</v>
      </c>
      <c r="J4751" s="1" t="s">
        <v>25</v>
      </c>
      <c r="K4751" s="1">
        <v>0</v>
      </c>
      <c r="L4751" s="1" t="s">
        <v>21</v>
      </c>
      <c r="M4751" s="1" t="str">
        <f t="shared" si="75"/>
        <v>Consistent</v>
      </c>
      <c r="N4751" s="1" t="str">
        <f>_xlfn.XLOOKUP(H4751, risk_score!A:A, risk_score!B:B, 0)</f>
        <v>Low Risk</v>
      </c>
    </row>
    <row r="4752" spans="1:14">
      <c r="A4752" s="2">
        <v>0.56505787037037036</v>
      </c>
      <c r="B4752" s="3">
        <v>44841</v>
      </c>
      <c r="C4752" s="1">
        <v>3221380947</v>
      </c>
      <c r="D4752" s="1">
        <v>9505173357</v>
      </c>
      <c r="E4752" s="1">
        <v>7013.77</v>
      </c>
      <c r="F4752" s="1" t="s">
        <v>12</v>
      </c>
      <c r="G4752" s="1" t="s">
        <v>12</v>
      </c>
      <c r="H4752" s="1" t="s">
        <v>13</v>
      </c>
      <c r="I4752" s="1" t="s">
        <v>13</v>
      </c>
      <c r="J4752" s="1" t="s">
        <v>20</v>
      </c>
      <c r="K4752" s="1">
        <v>0</v>
      </c>
      <c r="L4752" s="1" t="s">
        <v>21</v>
      </c>
      <c r="M4752" s="1" t="str">
        <f t="shared" si="75"/>
        <v>Consistent</v>
      </c>
      <c r="N4752" s="1" t="str">
        <f>_xlfn.XLOOKUP(H4752, risk_score!A:A, risk_score!B:B, 0)</f>
        <v>Low Risk</v>
      </c>
    </row>
    <row r="4753" spans="1:14">
      <c r="A4753" s="2">
        <v>0.56512731481481482</v>
      </c>
      <c r="B4753" s="3">
        <v>44841</v>
      </c>
      <c r="C4753" s="1">
        <v>6904668523</v>
      </c>
      <c r="D4753" s="1">
        <v>4959470648</v>
      </c>
      <c r="E4753" s="1">
        <v>8135.61</v>
      </c>
      <c r="F4753" s="1" t="s">
        <v>12</v>
      </c>
      <c r="G4753" s="1" t="s">
        <v>12</v>
      </c>
      <c r="H4753" s="1" t="s">
        <v>13</v>
      </c>
      <c r="I4753" s="1" t="s">
        <v>13</v>
      </c>
      <c r="J4753" s="1" t="s">
        <v>27</v>
      </c>
      <c r="K4753" s="1">
        <v>0</v>
      </c>
      <c r="L4753" s="1" t="s">
        <v>19</v>
      </c>
      <c r="M4753" s="1" t="str">
        <f t="shared" si="75"/>
        <v>Consistent</v>
      </c>
      <c r="N4753" s="1" t="str">
        <f>_xlfn.XLOOKUP(H4753, risk_score!A:A, risk_score!B:B, 0)</f>
        <v>Low Risk</v>
      </c>
    </row>
    <row r="4754" spans="1:14">
      <c r="A4754" s="2">
        <v>0.56512731481481482</v>
      </c>
      <c r="B4754" s="3">
        <v>44841</v>
      </c>
      <c r="C4754" s="1">
        <v>8201605808</v>
      </c>
      <c r="D4754" s="1">
        <v>9600420220</v>
      </c>
      <c r="E4754" s="1">
        <v>7120.71</v>
      </c>
      <c r="F4754" s="1" t="s">
        <v>12</v>
      </c>
      <c r="G4754" s="1" t="s">
        <v>12</v>
      </c>
      <c r="H4754" s="1" t="s">
        <v>13</v>
      </c>
      <c r="I4754" s="1" t="s">
        <v>13</v>
      </c>
      <c r="J4754" s="1" t="s">
        <v>22</v>
      </c>
      <c r="K4754" s="1">
        <v>0</v>
      </c>
      <c r="L4754" s="1" t="s">
        <v>23</v>
      </c>
      <c r="M4754" s="1" t="str">
        <f t="shared" si="75"/>
        <v>Consistent</v>
      </c>
      <c r="N4754" s="1" t="str">
        <f>_xlfn.XLOOKUP(H4754, risk_score!A:A, risk_score!B:B, 0)</f>
        <v>Low Risk</v>
      </c>
    </row>
    <row r="4755" spans="1:14">
      <c r="A4755" s="2">
        <v>0.5652314814814815</v>
      </c>
      <c r="B4755" s="3">
        <v>44841</v>
      </c>
      <c r="C4755" s="1">
        <v>719384092</v>
      </c>
      <c r="D4755" s="1">
        <v>187827676</v>
      </c>
      <c r="E4755" s="1">
        <v>4486.5</v>
      </c>
      <c r="F4755" s="1" t="s">
        <v>12</v>
      </c>
      <c r="G4755" s="1" t="s">
        <v>51</v>
      </c>
      <c r="H4755" s="1" t="s">
        <v>13</v>
      </c>
      <c r="I4755" s="1" t="s">
        <v>52</v>
      </c>
      <c r="J4755" s="1" t="s">
        <v>18</v>
      </c>
      <c r="K4755" s="1">
        <v>0</v>
      </c>
      <c r="L4755" s="1" t="s">
        <v>21</v>
      </c>
      <c r="M4755" s="1" t="str">
        <f t="shared" si="75"/>
        <v>Potential Layering</v>
      </c>
      <c r="N4755" s="1" t="str">
        <f>_xlfn.XLOOKUP(H4755, risk_score!A:A, risk_score!B:B, 0)</f>
        <v>Low Risk</v>
      </c>
    </row>
    <row r="4756" spans="1:14">
      <c r="A4756" s="2">
        <v>0.56526620370370373</v>
      </c>
      <c r="B4756" s="3">
        <v>44841</v>
      </c>
      <c r="C4756" s="1">
        <v>5262095561</v>
      </c>
      <c r="D4756" s="1">
        <v>927895922</v>
      </c>
      <c r="E4756" s="1">
        <v>4194.0200000000004</v>
      </c>
      <c r="F4756" s="1" t="s">
        <v>12</v>
      </c>
      <c r="G4756" s="1" t="s">
        <v>12</v>
      </c>
      <c r="H4756" s="1" t="s">
        <v>13</v>
      </c>
      <c r="I4756" s="1" t="s">
        <v>13</v>
      </c>
      <c r="J4756" s="1" t="s">
        <v>14</v>
      </c>
      <c r="K4756" s="4">
        <v>1</v>
      </c>
      <c r="L4756" s="1" t="s">
        <v>53</v>
      </c>
      <c r="M4756" s="1" t="str">
        <f t="shared" si="75"/>
        <v>Consistent</v>
      </c>
      <c r="N4756" s="1" t="str">
        <f>_xlfn.XLOOKUP(H4756, risk_score!A:A, risk_score!B:B, 0)</f>
        <v>Low Risk</v>
      </c>
    </row>
    <row r="4757" spans="1:14">
      <c r="A4757" s="2">
        <v>0.56526620370370373</v>
      </c>
      <c r="B4757" s="3">
        <v>44841</v>
      </c>
      <c r="C4757" s="1">
        <v>6541552727</v>
      </c>
      <c r="D4757" s="1">
        <v>3844741692</v>
      </c>
      <c r="E4757" s="1">
        <v>11020.8</v>
      </c>
      <c r="F4757" s="1" t="s">
        <v>12</v>
      </c>
      <c r="G4757" s="1" t="s">
        <v>12</v>
      </c>
      <c r="H4757" s="1" t="s">
        <v>13</v>
      </c>
      <c r="I4757" s="1" t="s">
        <v>13</v>
      </c>
      <c r="J4757" s="1" t="s">
        <v>27</v>
      </c>
      <c r="K4757" s="1">
        <v>0</v>
      </c>
      <c r="L4757" s="1" t="s">
        <v>19</v>
      </c>
      <c r="M4757" s="1" t="str">
        <f t="shared" si="75"/>
        <v>Consistent</v>
      </c>
      <c r="N4757" s="1" t="str">
        <f>_xlfn.XLOOKUP(H4757, risk_score!A:A, risk_score!B:B, 0)</f>
        <v>Low Risk</v>
      </c>
    </row>
    <row r="4758" spans="1:14">
      <c r="A4758" s="2">
        <v>0.56527777777777777</v>
      </c>
      <c r="B4758" s="3">
        <v>44841</v>
      </c>
      <c r="C4758" s="1">
        <v>6280994711</v>
      </c>
      <c r="D4758" s="1">
        <v>9474443302</v>
      </c>
      <c r="E4758" s="1">
        <v>101.37</v>
      </c>
      <c r="F4758" s="1" t="s">
        <v>12</v>
      </c>
      <c r="G4758" s="1" t="s">
        <v>12</v>
      </c>
      <c r="H4758" s="1" t="s">
        <v>13</v>
      </c>
      <c r="I4758" s="1" t="s">
        <v>13</v>
      </c>
      <c r="J4758" s="1" t="s">
        <v>20</v>
      </c>
      <c r="K4758" s="1">
        <v>0</v>
      </c>
      <c r="L4758" s="1" t="s">
        <v>21</v>
      </c>
      <c r="M4758" s="1" t="str">
        <f t="shared" si="75"/>
        <v>Consistent</v>
      </c>
      <c r="N4758" s="1" t="str">
        <f>_xlfn.XLOOKUP(H4758, risk_score!A:A, risk_score!B:B, 0)</f>
        <v>Low Risk</v>
      </c>
    </row>
    <row r="4759" spans="1:14">
      <c r="A4759" s="2">
        <v>0.5653125</v>
      </c>
      <c r="B4759" s="3">
        <v>44841</v>
      </c>
      <c r="C4759" s="1">
        <v>5396748228</v>
      </c>
      <c r="D4759" s="1">
        <v>9105769228</v>
      </c>
      <c r="E4759" s="1">
        <v>24591.63</v>
      </c>
      <c r="F4759" s="1" t="s">
        <v>12</v>
      </c>
      <c r="G4759" s="1" t="s">
        <v>12</v>
      </c>
      <c r="H4759" s="1" t="s">
        <v>13</v>
      </c>
      <c r="I4759" s="1" t="s">
        <v>13</v>
      </c>
      <c r="J4759" s="1" t="s">
        <v>25</v>
      </c>
      <c r="K4759" s="1">
        <v>0</v>
      </c>
      <c r="L4759" s="1" t="s">
        <v>23</v>
      </c>
      <c r="M4759" s="1" t="str">
        <f t="shared" si="75"/>
        <v>Consistent</v>
      </c>
      <c r="N4759" s="1" t="str">
        <f>_xlfn.XLOOKUP(H4759, risk_score!A:A, risk_score!B:B, 0)</f>
        <v>Low Risk</v>
      </c>
    </row>
    <row r="4760" spans="1:14">
      <c r="A4760" s="2">
        <v>0.56535879629629626</v>
      </c>
      <c r="B4760" s="3">
        <v>44841</v>
      </c>
      <c r="C4760" s="1">
        <v>5982914936</v>
      </c>
      <c r="D4760" s="1">
        <v>7950918410</v>
      </c>
      <c r="E4760" s="1">
        <v>10064.25</v>
      </c>
      <c r="F4760" s="1" t="s">
        <v>12</v>
      </c>
      <c r="G4760" s="1" t="s">
        <v>12</v>
      </c>
      <c r="H4760" s="1" t="s">
        <v>13</v>
      </c>
      <c r="I4760" s="1" t="s">
        <v>13</v>
      </c>
      <c r="J4760" s="1" t="s">
        <v>27</v>
      </c>
      <c r="K4760" s="1">
        <v>0</v>
      </c>
      <c r="L4760" s="1" t="s">
        <v>19</v>
      </c>
      <c r="M4760" s="1" t="str">
        <f t="shared" si="75"/>
        <v>Consistent</v>
      </c>
      <c r="N4760" s="1" t="str">
        <f>_xlfn.XLOOKUP(H4760, risk_score!A:A, risk_score!B:B, 0)</f>
        <v>Low Risk</v>
      </c>
    </row>
    <row r="4761" spans="1:14">
      <c r="A4761" s="2">
        <v>0.56535879629629626</v>
      </c>
      <c r="B4761" s="3">
        <v>44841</v>
      </c>
      <c r="C4761" s="1">
        <v>1710329832</v>
      </c>
      <c r="D4761" s="1">
        <v>8172080174</v>
      </c>
      <c r="E4761" s="1">
        <v>5293.15</v>
      </c>
      <c r="F4761" s="1" t="s">
        <v>12</v>
      </c>
      <c r="G4761" s="1" t="s">
        <v>12</v>
      </c>
      <c r="H4761" s="1" t="s">
        <v>13</v>
      </c>
      <c r="I4761" s="1" t="s">
        <v>13</v>
      </c>
      <c r="J4761" s="1" t="s">
        <v>25</v>
      </c>
      <c r="K4761" s="1">
        <v>0</v>
      </c>
      <c r="L4761" s="1" t="s">
        <v>23</v>
      </c>
      <c r="M4761" s="1" t="str">
        <f t="shared" si="75"/>
        <v>Consistent</v>
      </c>
      <c r="N4761" s="1" t="str">
        <f>_xlfn.XLOOKUP(H4761, risk_score!A:A, risk_score!B:B, 0)</f>
        <v>Low Risk</v>
      </c>
    </row>
    <row r="4762" spans="1:14">
      <c r="A4762" s="2">
        <v>0.56539351851851849</v>
      </c>
      <c r="B4762" s="3">
        <v>44841</v>
      </c>
      <c r="C4762" s="1">
        <v>3965897231</v>
      </c>
      <c r="D4762" s="1">
        <v>4360016354</v>
      </c>
      <c r="E4762" s="1">
        <v>12718.58</v>
      </c>
      <c r="F4762" s="1" t="s">
        <v>12</v>
      </c>
      <c r="G4762" s="1" t="s">
        <v>12</v>
      </c>
      <c r="H4762" s="1" t="s">
        <v>13</v>
      </c>
      <c r="I4762" s="1" t="s">
        <v>13</v>
      </c>
      <c r="J4762" s="1" t="s">
        <v>20</v>
      </c>
      <c r="K4762" s="1">
        <v>0</v>
      </c>
      <c r="L4762" s="1" t="s">
        <v>21</v>
      </c>
      <c r="M4762" s="1" t="str">
        <f t="shared" si="75"/>
        <v>Consistent</v>
      </c>
      <c r="N4762" s="1" t="str">
        <f>_xlfn.XLOOKUP(H4762, risk_score!A:A, risk_score!B:B, 0)</f>
        <v>Low Risk</v>
      </c>
    </row>
    <row r="4763" spans="1:14">
      <c r="A4763" s="2">
        <v>0.56540509259259264</v>
      </c>
      <c r="B4763" s="3">
        <v>44841</v>
      </c>
      <c r="C4763" s="1">
        <v>5043009314</v>
      </c>
      <c r="D4763" s="1">
        <v>6219691940</v>
      </c>
      <c r="E4763" s="1">
        <v>3638.17</v>
      </c>
      <c r="F4763" s="1" t="s">
        <v>12</v>
      </c>
      <c r="G4763" s="1" t="s">
        <v>12</v>
      </c>
      <c r="H4763" s="1" t="s">
        <v>13</v>
      </c>
      <c r="I4763" s="1" t="s">
        <v>13</v>
      </c>
      <c r="J4763" s="1" t="s">
        <v>22</v>
      </c>
      <c r="K4763" s="1">
        <v>0</v>
      </c>
      <c r="L4763" s="1" t="s">
        <v>21</v>
      </c>
      <c r="M4763" s="1" t="str">
        <f t="shared" si="75"/>
        <v>Consistent</v>
      </c>
      <c r="N4763" s="1" t="str">
        <f>_xlfn.XLOOKUP(H4763, risk_score!A:A, risk_score!B:B, 0)</f>
        <v>Low Risk</v>
      </c>
    </row>
    <row r="4764" spans="1:14">
      <c r="A4764" s="2">
        <v>0.56541666666666668</v>
      </c>
      <c r="B4764" s="3">
        <v>44841</v>
      </c>
      <c r="C4764" s="1">
        <v>9395946307</v>
      </c>
      <c r="D4764" s="1">
        <v>2615971254</v>
      </c>
      <c r="E4764" s="1">
        <v>12943.48</v>
      </c>
      <c r="F4764" s="1" t="s">
        <v>12</v>
      </c>
      <c r="G4764" s="1" t="s">
        <v>12</v>
      </c>
      <c r="H4764" s="1" t="s">
        <v>13</v>
      </c>
      <c r="I4764" s="1" t="s">
        <v>13</v>
      </c>
      <c r="J4764" s="1" t="s">
        <v>22</v>
      </c>
      <c r="K4764" s="1">
        <v>0</v>
      </c>
      <c r="L4764" s="1" t="s">
        <v>21</v>
      </c>
      <c r="M4764" s="1" t="str">
        <f t="shared" si="75"/>
        <v>Consistent</v>
      </c>
      <c r="N4764" s="1" t="str">
        <f>_xlfn.XLOOKUP(H4764, risk_score!A:A, risk_score!B:B, 0)</f>
        <v>Low Risk</v>
      </c>
    </row>
    <row r="4765" spans="1:14">
      <c r="A4765" s="2">
        <v>0.56542824074074072</v>
      </c>
      <c r="B4765" s="3">
        <v>44841</v>
      </c>
      <c r="C4765" s="1">
        <v>7148856115</v>
      </c>
      <c r="D4765" s="1">
        <v>7993223725</v>
      </c>
      <c r="E4765" s="1">
        <v>265.86</v>
      </c>
      <c r="F4765" s="1" t="s">
        <v>12</v>
      </c>
      <c r="G4765" s="1" t="s">
        <v>12</v>
      </c>
      <c r="H4765" s="1" t="s">
        <v>13</v>
      </c>
      <c r="I4765" s="1" t="s">
        <v>13</v>
      </c>
      <c r="J4765" s="1" t="s">
        <v>36</v>
      </c>
      <c r="K4765" s="1">
        <v>0</v>
      </c>
      <c r="L4765" s="1" t="s">
        <v>37</v>
      </c>
      <c r="M4765" s="1" t="str">
        <f t="shared" si="75"/>
        <v>Consistent</v>
      </c>
      <c r="N4765" s="1" t="str">
        <f>_xlfn.XLOOKUP(H4765, risk_score!A:A, risk_score!B:B, 0)</f>
        <v>Low Risk</v>
      </c>
    </row>
    <row r="4766" spans="1:14">
      <c r="A4766" s="2">
        <v>0.56546296296296295</v>
      </c>
      <c r="B4766" s="3">
        <v>44841</v>
      </c>
      <c r="C4766" s="1">
        <v>3981260199</v>
      </c>
      <c r="D4766" s="1">
        <v>5363117119</v>
      </c>
      <c r="E4766" s="1">
        <v>18374.580000000002</v>
      </c>
      <c r="F4766" s="1" t="s">
        <v>12</v>
      </c>
      <c r="G4766" s="1" t="s">
        <v>12</v>
      </c>
      <c r="H4766" s="1" t="s">
        <v>13</v>
      </c>
      <c r="I4766" s="1" t="s">
        <v>13</v>
      </c>
      <c r="J4766" s="1" t="s">
        <v>20</v>
      </c>
      <c r="K4766" s="1">
        <v>0</v>
      </c>
      <c r="L4766" s="1" t="s">
        <v>23</v>
      </c>
      <c r="M4766" s="1" t="str">
        <f t="shared" si="75"/>
        <v>Consistent</v>
      </c>
      <c r="N4766" s="1" t="str">
        <f>_xlfn.XLOOKUP(H4766, risk_score!A:A, risk_score!B:B, 0)</f>
        <v>Low Risk</v>
      </c>
    </row>
    <row r="4767" spans="1:14">
      <c r="A4767" s="2">
        <v>0.56550925925925921</v>
      </c>
      <c r="B4767" s="3">
        <v>44841</v>
      </c>
      <c r="C4767" s="1">
        <v>9948105901</v>
      </c>
      <c r="D4767" s="1">
        <v>8117312471</v>
      </c>
      <c r="E4767" s="1">
        <v>275.44</v>
      </c>
      <c r="F4767" s="1" t="s">
        <v>12</v>
      </c>
      <c r="G4767" s="1" t="s">
        <v>12</v>
      </c>
      <c r="H4767" s="1" t="s">
        <v>13</v>
      </c>
      <c r="I4767" s="1" t="s">
        <v>13</v>
      </c>
      <c r="J4767" s="1" t="s">
        <v>36</v>
      </c>
      <c r="K4767" s="1">
        <v>0</v>
      </c>
      <c r="L4767" s="1" t="s">
        <v>37</v>
      </c>
      <c r="M4767" s="1" t="str">
        <f t="shared" si="75"/>
        <v>Consistent</v>
      </c>
      <c r="N4767" s="1" t="str">
        <f>_xlfn.XLOOKUP(H4767, risk_score!A:A, risk_score!B:B, 0)</f>
        <v>Low Risk</v>
      </c>
    </row>
    <row r="4768" spans="1:14">
      <c r="A4768" s="2">
        <v>0.56564814814814812</v>
      </c>
      <c r="B4768" s="3">
        <v>44841</v>
      </c>
      <c r="C4768" s="1">
        <v>6116657264</v>
      </c>
      <c r="D4768" s="1">
        <v>7541529999</v>
      </c>
      <c r="E4768" s="1">
        <v>5707.49</v>
      </c>
      <c r="F4768" s="1" t="s">
        <v>12</v>
      </c>
      <c r="G4768" s="1" t="s">
        <v>12</v>
      </c>
      <c r="H4768" s="1" t="s">
        <v>13</v>
      </c>
      <c r="I4768" s="1" t="s">
        <v>13</v>
      </c>
      <c r="J4768" s="1" t="s">
        <v>25</v>
      </c>
      <c r="K4768" s="1">
        <v>0</v>
      </c>
      <c r="L4768" s="1" t="s">
        <v>19</v>
      </c>
      <c r="M4768" s="1" t="str">
        <f t="shared" si="75"/>
        <v>Consistent</v>
      </c>
      <c r="N4768" s="1" t="str">
        <f>_xlfn.XLOOKUP(H4768, risk_score!A:A, risk_score!B:B, 0)</f>
        <v>Low Risk</v>
      </c>
    </row>
    <row r="4769" spans="1:14">
      <c r="A4769" s="2">
        <v>0.5656944444444445</v>
      </c>
      <c r="B4769" s="3">
        <v>44841</v>
      </c>
      <c r="C4769" s="1">
        <v>9099003546</v>
      </c>
      <c r="D4769" s="1">
        <v>3987276089</v>
      </c>
      <c r="E4769" s="1">
        <v>3927.79</v>
      </c>
      <c r="F4769" s="1" t="s">
        <v>12</v>
      </c>
      <c r="G4769" s="1" t="s">
        <v>12</v>
      </c>
      <c r="H4769" s="1" t="s">
        <v>13</v>
      </c>
      <c r="I4769" s="1" t="s">
        <v>13</v>
      </c>
      <c r="J4769" s="1" t="s">
        <v>20</v>
      </c>
      <c r="K4769" s="1">
        <v>0</v>
      </c>
      <c r="L4769" s="1" t="s">
        <v>21</v>
      </c>
      <c r="M4769" s="1" t="str">
        <f t="shared" si="75"/>
        <v>Consistent</v>
      </c>
      <c r="N4769" s="1" t="str">
        <f>_xlfn.XLOOKUP(H4769, risk_score!A:A, risk_score!B:B, 0)</f>
        <v>Low Risk</v>
      </c>
    </row>
    <row r="4770" spans="1:14">
      <c r="A4770" s="2">
        <v>0.56571759259259258</v>
      </c>
      <c r="B4770" s="3">
        <v>44841</v>
      </c>
      <c r="C4770" s="1">
        <v>858117066</v>
      </c>
      <c r="D4770" s="1">
        <v>2582035398</v>
      </c>
      <c r="E4770" s="1">
        <v>2409.0500000000002</v>
      </c>
      <c r="F4770" s="1" t="s">
        <v>12</v>
      </c>
      <c r="G4770" s="1" t="s">
        <v>12</v>
      </c>
      <c r="H4770" s="1" t="s">
        <v>13</v>
      </c>
      <c r="I4770" s="1" t="s">
        <v>13</v>
      </c>
      <c r="J4770" s="1" t="s">
        <v>25</v>
      </c>
      <c r="K4770" s="1">
        <v>0</v>
      </c>
      <c r="L4770" s="1" t="s">
        <v>21</v>
      </c>
      <c r="M4770" s="1" t="str">
        <f t="shared" si="75"/>
        <v>Consistent</v>
      </c>
      <c r="N4770" s="1" t="str">
        <f>_xlfn.XLOOKUP(H4770, risk_score!A:A, risk_score!B:B, 0)</f>
        <v>Low Risk</v>
      </c>
    </row>
    <row r="4771" spans="1:14">
      <c r="A4771" s="2">
        <v>0.56575231481481481</v>
      </c>
      <c r="B4771" s="3">
        <v>44841</v>
      </c>
      <c r="C4771" s="1">
        <v>3168051873</v>
      </c>
      <c r="D4771" s="1">
        <v>2602962590</v>
      </c>
      <c r="E4771" s="1">
        <v>8448.34</v>
      </c>
      <c r="F4771" s="1" t="s">
        <v>12</v>
      </c>
      <c r="G4771" s="1" t="s">
        <v>12</v>
      </c>
      <c r="H4771" s="1" t="s">
        <v>13</v>
      </c>
      <c r="I4771" s="1" t="s">
        <v>13</v>
      </c>
      <c r="J4771" s="1" t="s">
        <v>22</v>
      </c>
      <c r="K4771" s="1">
        <v>0</v>
      </c>
      <c r="L4771" s="1" t="s">
        <v>19</v>
      </c>
      <c r="M4771" s="1" t="str">
        <f t="shared" si="75"/>
        <v>Consistent</v>
      </c>
      <c r="N4771" s="1" t="str">
        <f>_xlfn.XLOOKUP(H4771, risk_score!A:A, risk_score!B:B, 0)</f>
        <v>Low Risk</v>
      </c>
    </row>
    <row r="4772" spans="1:14">
      <c r="A4772" s="2">
        <v>0.56576388888888884</v>
      </c>
      <c r="B4772" s="3">
        <v>44841</v>
      </c>
      <c r="C4772" s="1">
        <v>9834360373</v>
      </c>
      <c r="D4772" s="1">
        <v>2598995634</v>
      </c>
      <c r="E4772" s="1">
        <v>1333.13</v>
      </c>
      <c r="F4772" s="1" t="s">
        <v>12</v>
      </c>
      <c r="G4772" s="1" t="s">
        <v>12</v>
      </c>
      <c r="H4772" s="1" t="s">
        <v>13</v>
      </c>
      <c r="I4772" s="1" t="s">
        <v>13</v>
      </c>
      <c r="J4772" s="1" t="s">
        <v>14</v>
      </c>
      <c r="K4772" s="1">
        <v>0</v>
      </c>
      <c r="L4772" s="1" t="s">
        <v>15</v>
      </c>
      <c r="M4772" s="1" t="str">
        <f t="shared" si="75"/>
        <v>Consistent</v>
      </c>
      <c r="N4772" s="1" t="str">
        <f>_xlfn.XLOOKUP(H4772, risk_score!A:A, risk_score!B:B, 0)</f>
        <v>Low Risk</v>
      </c>
    </row>
    <row r="4773" spans="1:14">
      <c r="A4773" s="2">
        <v>0.56581018518518522</v>
      </c>
      <c r="B4773" s="3">
        <v>44841</v>
      </c>
      <c r="C4773" s="1">
        <v>8389148416</v>
      </c>
      <c r="D4773" s="1">
        <v>7489694854</v>
      </c>
      <c r="E4773" s="1">
        <v>23539.45</v>
      </c>
      <c r="F4773" s="1" t="s">
        <v>12</v>
      </c>
      <c r="G4773" s="1" t="s">
        <v>29</v>
      </c>
      <c r="H4773" s="1" t="s">
        <v>13</v>
      </c>
      <c r="I4773" s="1" t="s">
        <v>48</v>
      </c>
      <c r="J4773" s="1" t="s">
        <v>18</v>
      </c>
      <c r="K4773" s="1">
        <v>0</v>
      </c>
      <c r="L4773" s="1" t="s">
        <v>19</v>
      </c>
      <c r="M4773" s="1" t="str">
        <f t="shared" si="75"/>
        <v>Potential Layering</v>
      </c>
      <c r="N4773" s="1" t="str">
        <f>_xlfn.XLOOKUP(H4773, risk_score!A:A, risk_score!B:B, 0)</f>
        <v>Low Risk</v>
      </c>
    </row>
    <row r="4774" spans="1:14">
      <c r="A4774" s="2">
        <v>0.56584490740740745</v>
      </c>
      <c r="B4774" s="3">
        <v>44841</v>
      </c>
      <c r="C4774" s="1">
        <v>9021870555</v>
      </c>
      <c r="D4774" s="1">
        <v>3695545812</v>
      </c>
      <c r="E4774" s="1">
        <v>6193.05</v>
      </c>
      <c r="F4774" s="1" t="s">
        <v>12</v>
      </c>
      <c r="G4774" s="1" t="s">
        <v>12</v>
      </c>
      <c r="H4774" s="1" t="s">
        <v>13</v>
      </c>
      <c r="I4774" s="1" t="s">
        <v>13</v>
      </c>
      <c r="J4774" s="1" t="s">
        <v>25</v>
      </c>
      <c r="K4774" s="1">
        <v>0</v>
      </c>
      <c r="L4774" s="1" t="s">
        <v>23</v>
      </c>
      <c r="M4774" s="1" t="str">
        <f t="shared" si="75"/>
        <v>Consistent</v>
      </c>
      <c r="N4774" s="1" t="str">
        <f>_xlfn.XLOOKUP(H4774, risk_score!A:A, risk_score!B:B, 0)</f>
        <v>Low Risk</v>
      </c>
    </row>
    <row r="4775" spans="1:14">
      <c r="A4775" s="2">
        <v>0.56585648148148149</v>
      </c>
      <c r="B4775" s="3">
        <v>44841</v>
      </c>
      <c r="C4775" s="1">
        <v>6838081010</v>
      </c>
      <c r="D4775" s="1">
        <v>6953672776</v>
      </c>
      <c r="E4775" s="1">
        <v>10246.36</v>
      </c>
      <c r="F4775" s="1" t="s">
        <v>12</v>
      </c>
      <c r="G4775" s="1" t="s">
        <v>34</v>
      </c>
      <c r="H4775" s="1" t="s">
        <v>13</v>
      </c>
      <c r="I4775" s="1" t="s">
        <v>35</v>
      </c>
      <c r="J4775" s="1" t="s">
        <v>18</v>
      </c>
      <c r="K4775" s="1">
        <v>0</v>
      </c>
      <c r="L4775" s="1" t="s">
        <v>23</v>
      </c>
      <c r="M4775" s="1" t="str">
        <f t="shared" si="75"/>
        <v>Potential Layering</v>
      </c>
      <c r="N4775" s="1" t="str">
        <f>_xlfn.XLOOKUP(H4775, risk_score!A:A, risk_score!B:B, 0)</f>
        <v>Low Risk</v>
      </c>
    </row>
    <row r="4776" spans="1:14">
      <c r="A4776" s="2">
        <v>0.56589120370370372</v>
      </c>
      <c r="B4776" s="3">
        <v>44841</v>
      </c>
      <c r="C4776" s="1">
        <v>304952273</v>
      </c>
      <c r="D4776" s="1">
        <v>4422501495</v>
      </c>
      <c r="E4776" s="1">
        <v>6362.69</v>
      </c>
      <c r="F4776" s="1" t="s">
        <v>12</v>
      </c>
      <c r="G4776" s="1" t="s">
        <v>12</v>
      </c>
      <c r="H4776" s="1" t="s">
        <v>13</v>
      </c>
      <c r="I4776" s="1" t="s">
        <v>13</v>
      </c>
      <c r="J4776" s="1" t="s">
        <v>27</v>
      </c>
      <c r="K4776" s="1">
        <v>0</v>
      </c>
      <c r="L4776" s="1" t="s">
        <v>21</v>
      </c>
      <c r="M4776" s="1" t="str">
        <f t="shared" si="75"/>
        <v>Consistent</v>
      </c>
      <c r="N4776" s="1" t="str">
        <f>_xlfn.XLOOKUP(H4776, risk_score!A:A, risk_score!B:B, 0)</f>
        <v>Low Risk</v>
      </c>
    </row>
    <row r="4777" spans="1:14">
      <c r="A4777" s="2">
        <v>0.56593749999999998</v>
      </c>
      <c r="B4777" s="3">
        <v>44841</v>
      </c>
      <c r="C4777" s="1">
        <v>7543332622</v>
      </c>
      <c r="D4777" s="1">
        <v>8591560600</v>
      </c>
      <c r="E4777" s="1">
        <v>26912.14</v>
      </c>
      <c r="F4777" s="1" t="s">
        <v>12</v>
      </c>
      <c r="G4777" s="1" t="s">
        <v>12</v>
      </c>
      <c r="H4777" s="1" t="s">
        <v>13</v>
      </c>
      <c r="I4777" s="1" t="s">
        <v>13</v>
      </c>
      <c r="J4777" s="1" t="s">
        <v>20</v>
      </c>
      <c r="K4777" s="1">
        <v>0</v>
      </c>
      <c r="L4777" s="1" t="s">
        <v>21</v>
      </c>
      <c r="M4777" s="1" t="str">
        <f t="shared" si="75"/>
        <v>Consistent</v>
      </c>
      <c r="N4777" s="1" t="str">
        <f>_xlfn.XLOOKUP(H4777, risk_score!A:A, risk_score!B:B, 0)</f>
        <v>Low Risk</v>
      </c>
    </row>
    <row r="4778" spans="1:14">
      <c r="A4778" s="2">
        <v>0.56597222222222221</v>
      </c>
      <c r="B4778" s="3">
        <v>44841</v>
      </c>
      <c r="C4778" s="1">
        <v>6904668523</v>
      </c>
      <c r="D4778" s="1">
        <v>6643039893</v>
      </c>
      <c r="E4778" s="1">
        <v>7579.05</v>
      </c>
      <c r="F4778" s="1" t="s">
        <v>12</v>
      </c>
      <c r="G4778" s="1" t="s">
        <v>34</v>
      </c>
      <c r="H4778" s="1" t="s">
        <v>13</v>
      </c>
      <c r="I4778" s="1" t="s">
        <v>35</v>
      </c>
      <c r="J4778" s="1" t="s">
        <v>18</v>
      </c>
      <c r="K4778" s="1">
        <v>0</v>
      </c>
      <c r="L4778" s="1" t="s">
        <v>19</v>
      </c>
      <c r="M4778" s="1" t="str">
        <f t="shared" si="75"/>
        <v>Potential Layering</v>
      </c>
      <c r="N4778" s="1" t="str">
        <f>_xlfn.XLOOKUP(H4778, risk_score!A:A, risk_score!B:B, 0)</f>
        <v>Low Risk</v>
      </c>
    </row>
    <row r="4779" spans="1:14">
      <c r="A4779" s="2">
        <v>0.56598379629629625</v>
      </c>
      <c r="B4779" s="3">
        <v>44841</v>
      </c>
      <c r="C4779" s="1">
        <v>8952177221</v>
      </c>
      <c r="D4779" s="1">
        <v>4269977194</v>
      </c>
      <c r="E4779" s="1">
        <v>7348.74</v>
      </c>
      <c r="F4779" s="1" t="s">
        <v>12</v>
      </c>
      <c r="G4779" s="1" t="s">
        <v>12</v>
      </c>
      <c r="H4779" s="1" t="s">
        <v>13</v>
      </c>
      <c r="I4779" s="1" t="s">
        <v>13</v>
      </c>
      <c r="J4779" s="1" t="s">
        <v>20</v>
      </c>
      <c r="K4779" s="1">
        <v>0</v>
      </c>
      <c r="L4779" s="1" t="s">
        <v>19</v>
      </c>
      <c r="M4779" s="1" t="str">
        <f t="shared" si="75"/>
        <v>Consistent</v>
      </c>
      <c r="N4779" s="1" t="str">
        <f>_xlfn.XLOOKUP(H4779, risk_score!A:A, risk_score!B:B, 0)</f>
        <v>Low Risk</v>
      </c>
    </row>
    <row r="4780" spans="1:14">
      <c r="A4780" s="2">
        <v>0.56600694444444444</v>
      </c>
      <c r="B4780" s="3">
        <v>44841</v>
      </c>
      <c r="C4780" s="1">
        <v>3187928476</v>
      </c>
      <c r="D4780" s="1">
        <v>2415599111</v>
      </c>
      <c r="E4780" s="1">
        <v>1382.77</v>
      </c>
      <c r="F4780" s="1" t="s">
        <v>12</v>
      </c>
      <c r="G4780" s="1" t="s">
        <v>12</v>
      </c>
      <c r="H4780" s="1" t="s">
        <v>13</v>
      </c>
      <c r="I4780" s="1" t="s">
        <v>13</v>
      </c>
      <c r="J4780" s="1" t="s">
        <v>20</v>
      </c>
      <c r="K4780" s="1">
        <v>0</v>
      </c>
      <c r="L4780" s="1" t="s">
        <v>24</v>
      </c>
      <c r="M4780" s="1" t="str">
        <f t="shared" si="75"/>
        <v>Consistent</v>
      </c>
      <c r="N4780" s="1" t="str">
        <f>_xlfn.XLOOKUP(H4780, risk_score!A:A, risk_score!B:B, 0)</f>
        <v>Low Risk</v>
      </c>
    </row>
    <row r="4781" spans="1:14">
      <c r="A4781" s="2">
        <v>0.56601851851851848</v>
      </c>
      <c r="B4781" s="3">
        <v>44841</v>
      </c>
      <c r="C4781" s="1">
        <v>2972193348</v>
      </c>
      <c r="D4781" s="1">
        <v>5103043844</v>
      </c>
      <c r="E4781" s="1">
        <v>6494.69</v>
      </c>
      <c r="F4781" s="1" t="s">
        <v>12</v>
      </c>
      <c r="G4781" s="1" t="s">
        <v>44</v>
      </c>
      <c r="H4781" s="1" t="s">
        <v>13</v>
      </c>
      <c r="I4781" s="1" t="s">
        <v>45</v>
      </c>
      <c r="J4781" s="1" t="s">
        <v>18</v>
      </c>
      <c r="K4781" s="1">
        <v>0</v>
      </c>
      <c r="L4781" s="1" t="s">
        <v>23</v>
      </c>
      <c r="M4781" s="1" t="str">
        <f t="shared" si="75"/>
        <v>Potential Layering</v>
      </c>
      <c r="N4781" s="1" t="str">
        <f>_xlfn.XLOOKUP(H4781, risk_score!A:A, risk_score!B:B, 0)</f>
        <v>Low Risk</v>
      </c>
    </row>
    <row r="4782" spans="1:14">
      <c r="A4782" s="2">
        <v>0.56604166666666667</v>
      </c>
      <c r="B4782" s="3">
        <v>44841</v>
      </c>
      <c r="C4782" s="1">
        <v>6928681696</v>
      </c>
      <c r="D4782" s="1">
        <v>4070371284</v>
      </c>
      <c r="E4782" s="1">
        <v>3632</v>
      </c>
      <c r="F4782" s="1" t="s">
        <v>12</v>
      </c>
      <c r="G4782" s="1" t="s">
        <v>12</v>
      </c>
      <c r="H4782" s="1" t="s">
        <v>13</v>
      </c>
      <c r="I4782" s="1" t="s">
        <v>13</v>
      </c>
      <c r="J4782" s="1" t="s">
        <v>14</v>
      </c>
      <c r="K4782" s="1">
        <v>0</v>
      </c>
      <c r="L4782" s="1" t="s">
        <v>15</v>
      </c>
      <c r="M4782" s="1" t="str">
        <f t="shared" si="75"/>
        <v>Consistent</v>
      </c>
      <c r="N4782" s="1" t="str">
        <f>_xlfn.XLOOKUP(H4782, risk_score!A:A, risk_score!B:B, 0)</f>
        <v>Low Risk</v>
      </c>
    </row>
    <row r="4783" spans="1:14">
      <c r="A4783" s="2">
        <v>0.56604166666666667</v>
      </c>
      <c r="B4783" s="3">
        <v>44841</v>
      </c>
      <c r="C4783" s="1">
        <v>1493572076</v>
      </c>
      <c r="D4783" s="1">
        <v>2177044140</v>
      </c>
      <c r="E4783" s="1">
        <v>5357.98</v>
      </c>
      <c r="F4783" s="1" t="s">
        <v>12</v>
      </c>
      <c r="G4783" s="1" t="s">
        <v>12</v>
      </c>
      <c r="H4783" s="1" t="s">
        <v>13</v>
      </c>
      <c r="I4783" s="1" t="s">
        <v>13</v>
      </c>
      <c r="J4783" s="1" t="s">
        <v>27</v>
      </c>
      <c r="K4783" s="1">
        <v>0</v>
      </c>
      <c r="L4783" s="1" t="s">
        <v>24</v>
      </c>
      <c r="M4783" s="1" t="str">
        <f t="shared" si="75"/>
        <v>Consistent</v>
      </c>
      <c r="N4783" s="1" t="str">
        <f>_xlfn.XLOOKUP(H4783, risk_score!A:A, risk_score!B:B, 0)</f>
        <v>Low Risk</v>
      </c>
    </row>
    <row r="4784" spans="1:14">
      <c r="A4784" s="2">
        <v>0.56609953703703708</v>
      </c>
      <c r="B4784" s="3">
        <v>44841</v>
      </c>
      <c r="C4784" s="1">
        <v>8987848252</v>
      </c>
      <c r="D4784" s="1">
        <v>338940099</v>
      </c>
      <c r="E4784" s="1">
        <v>8407.56</v>
      </c>
      <c r="F4784" s="1" t="s">
        <v>12</v>
      </c>
      <c r="G4784" s="1" t="s">
        <v>12</v>
      </c>
      <c r="H4784" s="1" t="s">
        <v>13</v>
      </c>
      <c r="I4784" s="1" t="s">
        <v>13</v>
      </c>
      <c r="J4784" s="1" t="s">
        <v>25</v>
      </c>
      <c r="K4784" s="1">
        <v>0</v>
      </c>
      <c r="L4784" s="1" t="s">
        <v>19</v>
      </c>
      <c r="M4784" s="1" t="str">
        <f t="shared" si="75"/>
        <v>Consistent</v>
      </c>
      <c r="N4784" s="1" t="str">
        <f>_xlfn.XLOOKUP(H4784, risk_score!A:A, risk_score!B:B, 0)</f>
        <v>Low Risk</v>
      </c>
    </row>
    <row r="4785" spans="1:14">
      <c r="A4785" s="2">
        <v>0.56609953703703708</v>
      </c>
      <c r="B4785" s="3">
        <v>44841</v>
      </c>
      <c r="C4785" s="1">
        <v>6838081010</v>
      </c>
      <c r="D4785" s="1">
        <v>6953672776</v>
      </c>
      <c r="E4785" s="1">
        <v>10465.459999999999</v>
      </c>
      <c r="F4785" s="1" t="s">
        <v>12</v>
      </c>
      <c r="G4785" s="1" t="s">
        <v>34</v>
      </c>
      <c r="H4785" s="1" t="s">
        <v>13</v>
      </c>
      <c r="I4785" s="1" t="s">
        <v>35</v>
      </c>
      <c r="J4785" s="1" t="s">
        <v>18</v>
      </c>
      <c r="K4785" s="1">
        <v>0</v>
      </c>
      <c r="L4785" s="1" t="s">
        <v>23</v>
      </c>
      <c r="M4785" s="1" t="str">
        <f t="shared" si="75"/>
        <v>Potential Layering</v>
      </c>
      <c r="N4785" s="1" t="str">
        <f>_xlfn.XLOOKUP(H4785, risk_score!A:A, risk_score!B:B, 0)</f>
        <v>Low Risk</v>
      </c>
    </row>
    <row r="4786" spans="1:14">
      <c r="A4786" s="2">
        <v>0.56616898148148154</v>
      </c>
      <c r="B4786" s="3">
        <v>44841</v>
      </c>
      <c r="C4786" s="1">
        <v>1915450576</v>
      </c>
      <c r="D4786" s="1">
        <v>3772874052</v>
      </c>
      <c r="E4786" s="1">
        <v>11267.42</v>
      </c>
      <c r="F4786" s="1" t="s">
        <v>12</v>
      </c>
      <c r="G4786" s="1" t="s">
        <v>42</v>
      </c>
      <c r="H4786" s="1" t="s">
        <v>13</v>
      </c>
      <c r="I4786" s="1" t="s">
        <v>43</v>
      </c>
      <c r="J4786" s="1" t="s">
        <v>18</v>
      </c>
      <c r="K4786" s="1">
        <v>0</v>
      </c>
      <c r="L4786" s="1" t="s">
        <v>19</v>
      </c>
      <c r="M4786" s="1" t="str">
        <f t="shared" si="75"/>
        <v>Potential Layering</v>
      </c>
      <c r="N4786" s="1" t="str">
        <f>_xlfn.XLOOKUP(H4786, risk_score!A:A, risk_score!B:B, 0)</f>
        <v>Low Risk</v>
      </c>
    </row>
    <row r="4787" spans="1:14">
      <c r="A4787" s="2">
        <v>0.56616898148148154</v>
      </c>
      <c r="B4787" s="3">
        <v>44841</v>
      </c>
      <c r="C4787" s="1">
        <v>9346100166</v>
      </c>
      <c r="D4787" s="1">
        <v>5708936901</v>
      </c>
      <c r="E4787" s="1">
        <v>12211.65</v>
      </c>
      <c r="F4787" s="1" t="s">
        <v>12</v>
      </c>
      <c r="G4787" s="1" t="s">
        <v>12</v>
      </c>
      <c r="H4787" s="1" t="s">
        <v>13</v>
      </c>
      <c r="I4787" s="1" t="s">
        <v>13</v>
      </c>
      <c r="J4787" s="1" t="s">
        <v>20</v>
      </c>
      <c r="K4787" s="1">
        <v>0</v>
      </c>
      <c r="L4787" s="1" t="s">
        <v>23</v>
      </c>
      <c r="M4787" s="1" t="str">
        <f t="shared" si="75"/>
        <v>Consistent</v>
      </c>
      <c r="N4787" s="1" t="str">
        <f>_xlfn.XLOOKUP(H4787, risk_score!A:A, risk_score!B:B, 0)</f>
        <v>Low Risk</v>
      </c>
    </row>
    <row r="4788" spans="1:14">
      <c r="A4788" s="2">
        <v>0.56625000000000003</v>
      </c>
      <c r="B4788" s="3">
        <v>44841</v>
      </c>
      <c r="C4788" s="1">
        <v>1615142471</v>
      </c>
      <c r="D4788" s="1">
        <v>6034997194</v>
      </c>
      <c r="E4788" s="1">
        <v>5730.63</v>
      </c>
      <c r="F4788" s="1" t="s">
        <v>39</v>
      </c>
      <c r="G4788" s="1" t="s">
        <v>12</v>
      </c>
      <c r="H4788" s="1" t="s">
        <v>40</v>
      </c>
      <c r="I4788" s="1" t="s">
        <v>13</v>
      </c>
      <c r="J4788" s="1" t="s">
        <v>18</v>
      </c>
      <c r="K4788" s="1">
        <v>0</v>
      </c>
      <c r="L4788" s="1" t="s">
        <v>23</v>
      </c>
      <c r="M4788" s="1" t="str">
        <f t="shared" si="75"/>
        <v>Potential Layering</v>
      </c>
      <c r="N4788" s="1" t="str">
        <f>_xlfn.XLOOKUP(H4788, risk_score!A:A, risk_score!B:B, 0)</f>
        <v>High Risk</v>
      </c>
    </row>
    <row r="4789" spans="1:14">
      <c r="A4789" s="2">
        <v>0.56627314814814811</v>
      </c>
      <c r="B4789" s="3">
        <v>44841</v>
      </c>
      <c r="C4789" s="1">
        <v>9612811605</v>
      </c>
      <c r="D4789" s="1">
        <v>7531481878</v>
      </c>
      <c r="E4789" s="1">
        <v>785.37</v>
      </c>
      <c r="F4789" s="1" t="s">
        <v>12</v>
      </c>
      <c r="G4789" s="1" t="s">
        <v>12</v>
      </c>
      <c r="H4789" s="1" t="s">
        <v>13</v>
      </c>
      <c r="I4789" s="1" t="s">
        <v>13</v>
      </c>
      <c r="J4789" s="1" t="s">
        <v>25</v>
      </c>
      <c r="K4789" s="1">
        <v>0</v>
      </c>
      <c r="L4789" s="1" t="s">
        <v>21</v>
      </c>
      <c r="M4789" s="1" t="str">
        <f t="shared" si="75"/>
        <v>Consistent</v>
      </c>
      <c r="N4789" s="1" t="str">
        <f>_xlfn.XLOOKUP(H4789, risk_score!A:A, risk_score!B:B, 0)</f>
        <v>Low Risk</v>
      </c>
    </row>
    <row r="4790" spans="1:14">
      <c r="A4790" s="2">
        <v>0.56631944444444449</v>
      </c>
      <c r="B4790" s="3">
        <v>44841</v>
      </c>
      <c r="C4790" s="1">
        <v>6904668523</v>
      </c>
      <c r="D4790" s="1">
        <v>2361327503</v>
      </c>
      <c r="E4790" s="1">
        <v>7412.84</v>
      </c>
      <c r="F4790" s="1" t="s">
        <v>12</v>
      </c>
      <c r="G4790" s="1" t="s">
        <v>12</v>
      </c>
      <c r="H4790" s="1" t="s">
        <v>13</v>
      </c>
      <c r="I4790" s="1" t="s">
        <v>13</v>
      </c>
      <c r="J4790" s="1" t="s">
        <v>25</v>
      </c>
      <c r="K4790" s="1">
        <v>0</v>
      </c>
      <c r="L4790" s="1" t="s">
        <v>19</v>
      </c>
      <c r="M4790" s="1" t="str">
        <f t="shared" si="75"/>
        <v>Consistent</v>
      </c>
      <c r="N4790" s="1" t="str">
        <f>_xlfn.XLOOKUP(H4790, risk_score!A:A, risk_score!B:B, 0)</f>
        <v>Low Risk</v>
      </c>
    </row>
    <row r="4791" spans="1:14">
      <c r="A4791" s="2">
        <v>0.56637731481481479</v>
      </c>
      <c r="B4791" s="3">
        <v>44841</v>
      </c>
      <c r="C4791" s="1">
        <v>8635965515</v>
      </c>
      <c r="D4791" s="1">
        <v>5674706553</v>
      </c>
      <c r="E4791" s="1">
        <v>4160.5200000000004</v>
      </c>
      <c r="F4791" s="1" t="s">
        <v>12</v>
      </c>
      <c r="G4791" s="1" t="s">
        <v>12</v>
      </c>
      <c r="H4791" s="1" t="s">
        <v>13</v>
      </c>
      <c r="I4791" s="1" t="s">
        <v>13</v>
      </c>
      <c r="J4791" s="1" t="s">
        <v>22</v>
      </c>
      <c r="K4791" s="1">
        <v>0</v>
      </c>
      <c r="L4791" s="1" t="s">
        <v>21</v>
      </c>
      <c r="M4791" s="1" t="str">
        <f t="shared" si="75"/>
        <v>Consistent</v>
      </c>
      <c r="N4791" s="1" t="str">
        <f>_xlfn.XLOOKUP(H4791, risk_score!A:A, risk_score!B:B, 0)</f>
        <v>Low Risk</v>
      </c>
    </row>
    <row r="4792" spans="1:14">
      <c r="A4792" s="2">
        <v>0.56640046296296298</v>
      </c>
      <c r="B4792" s="3">
        <v>44841</v>
      </c>
      <c r="C4792" s="1">
        <v>8201605808</v>
      </c>
      <c r="D4792" s="1">
        <v>9600420220</v>
      </c>
      <c r="E4792" s="1">
        <v>7131.75</v>
      </c>
      <c r="F4792" s="1" t="s">
        <v>12</v>
      </c>
      <c r="G4792" s="1" t="s">
        <v>12</v>
      </c>
      <c r="H4792" s="1" t="s">
        <v>13</v>
      </c>
      <c r="I4792" s="1" t="s">
        <v>13</v>
      </c>
      <c r="J4792" s="1" t="s">
        <v>20</v>
      </c>
      <c r="K4792" s="1">
        <v>0</v>
      </c>
      <c r="L4792" s="1" t="s">
        <v>23</v>
      </c>
      <c r="M4792" s="1" t="str">
        <f t="shared" si="75"/>
        <v>Consistent</v>
      </c>
      <c r="N4792" s="1" t="str">
        <f>_xlfn.XLOOKUP(H4792, risk_score!A:A, risk_score!B:B, 0)</f>
        <v>Low Risk</v>
      </c>
    </row>
    <row r="4793" spans="1:14">
      <c r="A4793" s="2">
        <v>0.56641203703703702</v>
      </c>
      <c r="B4793" s="3">
        <v>44841</v>
      </c>
      <c r="C4793" s="1">
        <v>8987848252</v>
      </c>
      <c r="D4793" s="1">
        <v>7140265767</v>
      </c>
      <c r="E4793" s="1">
        <v>5288.96</v>
      </c>
      <c r="F4793" s="1" t="s">
        <v>12</v>
      </c>
      <c r="G4793" s="1" t="s">
        <v>12</v>
      </c>
      <c r="H4793" s="1" t="s">
        <v>13</v>
      </c>
      <c r="I4793" s="1" t="s">
        <v>13</v>
      </c>
      <c r="J4793" s="1" t="s">
        <v>20</v>
      </c>
      <c r="K4793" s="1">
        <v>0</v>
      </c>
      <c r="L4793" s="1" t="s">
        <v>19</v>
      </c>
      <c r="M4793" s="1" t="str">
        <f t="shared" si="75"/>
        <v>Consistent</v>
      </c>
      <c r="N4793" s="1" t="str">
        <f>_xlfn.XLOOKUP(H4793, risk_score!A:A, risk_score!B:B, 0)</f>
        <v>Low Risk</v>
      </c>
    </row>
    <row r="4794" spans="1:14">
      <c r="A4794" s="2">
        <v>0.56641203703703702</v>
      </c>
      <c r="B4794" s="3">
        <v>44841</v>
      </c>
      <c r="C4794" s="1">
        <v>6462347177</v>
      </c>
      <c r="D4794" s="1">
        <v>6444220418</v>
      </c>
      <c r="E4794" s="1">
        <v>15612.89</v>
      </c>
      <c r="F4794" s="1" t="s">
        <v>12</v>
      </c>
      <c r="G4794" s="1" t="s">
        <v>12</v>
      </c>
      <c r="H4794" s="1" t="s">
        <v>13</v>
      </c>
      <c r="I4794" s="1" t="s">
        <v>13</v>
      </c>
      <c r="J4794" s="1" t="s">
        <v>27</v>
      </c>
      <c r="K4794" s="1">
        <v>0</v>
      </c>
      <c r="L4794" s="1" t="s">
        <v>23</v>
      </c>
      <c r="M4794" s="1" t="str">
        <f t="shared" si="75"/>
        <v>Consistent</v>
      </c>
      <c r="N4794" s="1" t="str">
        <f>_xlfn.XLOOKUP(H4794, risk_score!A:A, risk_score!B:B, 0)</f>
        <v>Low Risk</v>
      </c>
    </row>
    <row r="4795" spans="1:14">
      <c r="A4795" s="2">
        <v>0.56643518518518521</v>
      </c>
      <c r="B4795" s="3">
        <v>44841</v>
      </c>
      <c r="C4795" s="1">
        <v>5469471854</v>
      </c>
      <c r="D4795" s="1">
        <v>8256996294</v>
      </c>
      <c r="E4795" s="1">
        <v>734.06</v>
      </c>
      <c r="F4795" s="1" t="s">
        <v>12</v>
      </c>
      <c r="G4795" s="1" t="s">
        <v>12</v>
      </c>
      <c r="H4795" s="1" t="s">
        <v>13</v>
      </c>
      <c r="I4795" s="1" t="s">
        <v>13</v>
      </c>
      <c r="J4795" s="1" t="s">
        <v>20</v>
      </c>
      <c r="K4795" s="1">
        <v>0</v>
      </c>
      <c r="L4795" s="1" t="s">
        <v>21</v>
      </c>
      <c r="M4795" s="1" t="str">
        <f t="shared" si="75"/>
        <v>Consistent</v>
      </c>
      <c r="N4795" s="1" t="str">
        <f>_xlfn.XLOOKUP(H4795, risk_score!A:A, risk_score!B:B, 0)</f>
        <v>Low Risk</v>
      </c>
    </row>
    <row r="4796" spans="1:14">
      <c r="A4796" s="2">
        <v>0.56643518518518521</v>
      </c>
      <c r="B4796" s="3">
        <v>44841</v>
      </c>
      <c r="C4796" s="1">
        <v>9757708508</v>
      </c>
      <c r="D4796" s="1">
        <v>8066079575</v>
      </c>
      <c r="E4796" s="1">
        <v>902.08</v>
      </c>
      <c r="F4796" s="1" t="s">
        <v>12</v>
      </c>
      <c r="G4796" s="1" t="s">
        <v>12</v>
      </c>
      <c r="H4796" s="1" t="s">
        <v>13</v>
      </c>
      <c r="I4796" s="1" t="s">
        <v>13</v>
      </c>
      <c r="J4796" s="1" t="s">
        <v>25</v>
      </c>
      <c r="K4796" s="1">
        <v>0</v>
      </c>
      <c r="L4796" s="1" t="s">
        <v>21</v>
      </c>
      <c r="M4796" s="1" t="str">
        <f t="shared" si="75"/>
        <v>Consistent</v>
      </c>
      <c r="N4796" s="1" t="str">
        <f>_xlfn.XLOOKUP(H4796, risk_score!A:A, risk_score!B:B, 0)</f>
        <v>Low Risk</v>
      </c>
    </row>
    <row r="4797" spans="1:14">
      <c r="A4797" s="2">
        <v>0.56645833333333329</v>
      </c>
      <c r="B4797" s="3">
        <v>44841</v>
      </c>
      <c r="C4797" s="1">
        <v>1505686023</v>
      </c>
      <c r="D4797" s="1">
        <v>8678802420</v>
      </c>
      <c r="E4797" s="1">
        <v>5583.23</v>
      </c>
      <c r="F4797" s="1" t="s">
        <v>12</v>
      </c>
      <c r="G4797" s="1" t="s">
        <v>12</v>
      </c>
      <c r="H4797" s="1" t="s">
        <v>13</v>
      </c>
      <c r="I4797" s="1" t="s">
        <v>13</v>
      </c>
      <c r="J4797" s="1" t="s">
        <v>25</v>
      </c>
      <c r="K4797" s="1">
        <v>0</v>
      </c>
      <c r="L4797" s="1" t="s">
        <v>23</v>
      </c>
      <c r="M4797" s="1" t="str">
        <f t="shared" si="75"/>
        <v>Consistent</v>
      </c>
      <c r="N4797" s="1" t="str">
        <f>_xlfn.XLOOKUP(H4797, risk_score!A:A, risk_score!B:B, 0)</f>
        <v>Low Risk</v>
      </c>
    </row>
    <row r="4798" spans="1:14">
      <c r="A4798" s="2">
        <v>0.56646990740740744</v>
      </c>
      <c r="B4798" s="3">
        <v>44841</v>
      </c>
      <c r="C4798" s="1">
        <v>1932023978</v>
      </c>
      <c r="D4798" s="1">
        <v>1788318949</v>
      </c>
      <c r="E4798" s="1">
        <v>2991.29</v>
      </c>
      <c r="F4798" s="1" t="s">
        <v>12</v>
      </c>
      <c r="G4798" s="1" t="s">
        <v>12</v>
      </c>
      <c r="H4798" s="1" t="s">
        <v>13</v>
      </c>
      <c r="I4798" s="1" t="s">
        <v>13</v>
      </c>
      <c r="J4798" s="1" t="s">
        <v>25</v>
      </c>
      <c r="K4798" s="1">
        <v>0</v>
      </c>
      <c r="L4798" s="1" t="s">
        <v>24</v>
      </c>
      <c r="M4798" s="1" t="str">
        <f t="shared" si="75"/>
        <v>Consistent</v>
      </c>
      <c r="N4798" s="1" t="str">
        <f>_xlfn.XLOOKUP(H4798, risk_score!A:A, risk_score!B:B, 0)</f>
        <v>Low Risk</v>
      </c>
    </row>
    <row r="4799" spans="1:14">
      <c r="A4799" s="2">
        <v>0.5665162037037037</v>
      </c>
      <c r="B4799" s="3">
        <v>44841</v>
      </c>
      <c r="C4799" s="1">
        <v>6213773032</v>
      </c>
      <c r="D4799" s="1">
        <v>5103043844</v>
      </c>
      <c r="E4799" s="1">
        <v>5439.07</v>
      </c>
      <c r="F4799" s="1" t="s">
        <v>12</v>
      </c>
      <c r="G4799" s="1" t="s">
        <v>44</v>
      </c>
      <c r="H4799" s="1" t="s">
        <v>13</v>
      </c>
      <c r="I4799" s="1" t="s">
        <v>45</v>
      </c>
      <c r="J4799" s="1" t="s">
        <v>18</v>
      </c>
      <c r="K4799" s="1">
        <v>0</v>
      </c>
      <c r="L4799" s="1" t="s">
        <v>23</v>
      </c>
      <c r="M4799" s="1" t="str">
        <f t="shared" ref="M4799:M4862" si="76">IF(F4799=G4799, "Consistent", "Potential Layering")</f>
        <v>Potential Layering</v>
      </c>
      <c r="N4799" s="1" t="str">
        <f>_xlfn.XLOOKUP(H4799, risk_score!A:A, risk_score!B:B, 0)</f>
        <v>Low Risk</v>
      </c>
    </row>
    <row r="4800" spans="1:14">
      <c r="A4800" s="2">
        <v>0.56658564814814816</v>
      </c>
      <c r="B4800" s="3">
        <v>44841</v>
      </c>
      <c r="C4800" s="1">
        <v>448328324</v>
      </c>
      <c r="D4800" s="1">
        <v>4668819603</v>
      </c>
      <c r="E4800" s="1">
        <v>2813.46</v>
      </c>
      <c r="F4800" s="1" t="s">
        <v>12</v>
      </c>
      <c r="G4800" s="1" t="s">
        <v>29</v>
      </c>
      <c r="H4800" s="1" t="s">
        <v>13</v>
      </c>
      <c r="I4800" s="1" t="s">
        <v>50</v>
      </c>
      <c r="J4800" s="1" t="s">
        <v>18</v>
      </c>
      <c r="K4800" s="1">
        <v>0</v>
      </c>
      <c r="L4800" s="1" t="s">
        <v>21</v>
      </c>
      <c r="M4800" s="1" t="str">
        <f t="shared" si="76"/>
        <v>Potential Layering</v>
      </c>
      <c r="N4800" s="1" t="str">
        <f>_xlfn.XLOOKUP(H4800, risk_score!A:A, risk_score!B:B, 0)</f>
        <v>Low Risk</v>
      </c>
    </row>
    <row r="4801" spans="1:14">
      <c r="A4801" s="2">
        <v>0.56662037037037039</v>
      </c>
      <c r="B4801" s="3">
        <v>44841</v>
      </c>
      <c r="C4801" s="1">
        <v>7669236826</v>
      </c>
      <c r="D4801" s="1">
        <v>5112224952</v>
      </c>
      <c r="E4801" s="1">
        <v>9688.5</v>
      </c>
      <c r="F4801" s="1" t="s">
        <v>12</v>
      </c>
      <c r="G4801" s="1" t="s">
        <v>12</v>
      </c>
      <c r="H4801" s="1" t="s">
        <v>13</v>
      </c>
      <c r="I4801" s="1" t="s">
        <v>13</v>
      </c>
      <c r="J4801" s="1" t="s">
        <v>25</v>
      </c>
      <c r="K4801" s="1">
        <v>0</v>
      </c>
      <c r="L4801" s="1" t="s">
        <v>19</v>
      </c>
      <c r="M4801" s="1" t="str">
        <f t="shared" si="76"/>
        <v>Consistent</v>
      </c>
      <c r="N4801" s="1" t="str">
        <f>_xlfn.XLOOKUP(H4801, risk_score!A:A, risk_score!B:B, 0)</f>
        <v>Low Risk</v>
      </c>
    </row>
    <row r="4802" spans="1:14">
      <c r="A4802" s="2">
        <v>0.56663194444444442</v>
      </c>
      <c r="B4802" s="3">
        <v>44841</v>
      </c>
      <c r="C4802" s="1">
        <v>9620686680</v>
      </c>
      <c r="D4802" s="1">
        <v>5181918200</v>
      </c>
      <c r="E4802" s="1">
        <v>1878.54</v>
      </c>
      <c r="F4802" s="1" t="s">
        <v>12</v>
      </c>
      <c r="G4802" s="1" t="s">
        <v>12</v>
      </c>
      <c r="H4802" s="1" t="s">
        <v>13</v>
      </c>
      <c r="I4802" s="1" t="s">
        <v>13</v>
      </c>
      <c r="J4802" s="1" t="s">
        <v>25</v>
      </c>
      <c r="K4802" s="1">
        <v>0</v>
      </c>
      <c r="L4802" s="1" t="s">
        <v>21</v>
      </c>
      <c r="M4802" s="1" t="str">
        <f t="shared" si="76"/>
        <v>Consistent</v>
      </c>
      <c r="N4802" s="1" t="str">
        <f>_xlfn.XLOOKUP(H4802, risk_score!A:A, risk_score!B:B, 0)</f>
        <v>Low Risk</v>
      </c>
    </row>
    <row r="4803" spans="1:14">
      <c r="A4803" s="2">
        <v>0.56664351851851846</v>
      </c>
      <c r="B4803" s="3">
        <v>44841</v>
      </c>
      <c r="C4803" s="1">
        <v>9658628699</v>
      </c>
      <c r="D4803" s="1">
        <v>3695545812</v>
      </c>
      <c r="E4803" s="1">
        <v>12207.91</v>
      </c>
      <c r="F4803" s="1" t="s">
        <v>12</v>
      </c>
      <c r="G4803" s="1" t="s">
        <v>12</v>
      </c>
      <c r="H4803" s="1" t="s">
        <v>13</v>
      </c>
      <c r="I4803" s="1" t="s">
        <v>13</v>
      </c>
      <c r="J4803" s="1" t="s">
        <v>25</v>
      </c>
      <c r="K4803" s="1">
        <v>0</v>
      </c>
      <c r="L4803" s="1" t="s">
        <v>23</v>
      </c>
      <c r="M4803" s="1" t="str">
        <f t="shared" si="76"/>
        <v>Consistent</v>
      </c>
      <c r="N4803" s="1" t="str">
        <f>_xlfn.XLOOKUP(H4803, risk_score!A:A, risk_score!B:B, 0)</f>
        <v>Low Risk</v>
      </c>
    </row>
    <row r="4804" spans="1:14">
      <c r="A4804" s="2">
        <v>0.56666666666666665</v>
      </c>
      <c r="B4804" s="3">
        <v>44841</v>
      </c>
      <c r="C4804" s="1">
        <v>9746384104</v>
      </c>
      <c r="D4804" s="1">
        <v>6440110871</v>
      </c>
      <c r="E4804" s="1">
        <v>15672.56</v>
      </c>
      <c r="F4804" s="1" t="s">
        <v>12</v>
      </c>
      <c r="G4804" s="1" t="s">
        <v>12</v>
      </c>
      <c r="H4804" s="1" t="s">
        <v>13</v>
      </c>
      <c r="I4804" s="1" t="s">
        <v>13</v>
      </c>
      <c r="J4804" s="1" t="s">
        <v>20</v>
      </c>
      <c r="K4804" s="1">
        <v>0</v>
      </c>
      <c r="L4804" s="1" t="s">
        <v>19</v>
      </c>
      <c r="M4804" s="1" t="str">
        <f t="shared" si="76"/>
        <v>Consistent</v>
      </c>
      <c r="N4804" s="1" t="str">
        <f>_xlfn.XLOOKUP(H4804, risk_score!A:A, risk_score!B:B, 0)</f>
        <v>Low Risk</v>
      </c>
    </row>
    <row r="4805" spans="1:14">
      <c r="A4805" s="2">
        <v>0.56666666666666665</v>
      </c>
      <c r="B4805" s="3">
        <v>44841</v>
      </c>
      <c r="C4805" s="1">
        <v>7060433286</v>
      </c>
      <c r="D4805" s="1">
        <v>7160736915</v>
      </c>
      <c r="E4805" s="1">
        <v>5034.83</v>
      </c>
      <c r="F4805" s="1" t="s">
        <v>12</v>
      </c>
      <c r="G4805" s="1" t="s">
        <v>12</v>
      </c>
      <c r="H4805" s="1" t="s">
        <v>13</v>
      </c>
      <c r="I4805" s="1" t="s">
        <v>13</v>
      </c>
      <c r="J4805" s="1" t="s">
        <v>20</v>
      </c>
      <c r="K4805" s="1">
        <v>0</v>
      </c>
      <c r="L4805" s="1" t="s">
        <v>23</v>
      </c>
      <c r="M4805" s="1" t="str">
        <f t="shared" si="76"/>
        <v>Consistent</v>
      </c>
      <c r="N4805" s="1" t="str">
        <f>_xlfn.XLOOKUP(H4805, risk_score!A:A, risk_score!B:B, 0)</f>
        <v>Low Risk</v>
      </c>
    </row>
    <row r="4806" spans="1:14">
      <c r="A4806" s="2">
        <v>0.56667824074074069</v>
      </c>
      <c r="B4806" s="3">
        <v>44841</v>
      </c>
      <c r="C4806" s="1">
        <v>1929242509</v>
      </c>
      <c r="D4806" s="1">
        <v>417605516</v>
      </c>
      <c r="E4806" s="1">
        <v>5362.33</v>
      </c>
      <c r="F4806" s="1" t="s">
        <v>12</v>
      </c>
      <c r="G4806" s="1" t="s">
        <v>12</v>
      </c>
      <c r="H4806" s="1" t="s">
        <v>13</v>
      </c>
      <c r="I4806" s="1" t="s">
        <v>13</v>
      </c>
      <c r="J4806" s="1" t="s">
        <v>27</v>
      </c>
      <c r="K4806" s="1">
        <v>0</v>
      </c>
      <c r="L4806" s="1" t="s">
        <v>21</v>
      </c>
      <c r="M4806" s="1" t="str">
        <f t="shared" si="76"/>
        <v>Consistent</v>
      </c>
      <c r="N4806" s="1" t="str">
        <f>_xlfn.XLOOKUP(H4806, risk_score!A:A, risk_score!B:B, 0)</f>
        <v>Low Risk</v>
      </c>
    </row>
    <row r="4807" spans="1:14">
      <c r="A4807" s="2">
        <v>0.56667824074074069</v>
      </c>
      <c r="B4807" s="3">
        <v>44841</v>
      </c>
      <c r="C4807" s="1">
        <v>9534729015</v>
      </c>
      <c r="D4807" s="1">
        <v>1948023764</v>
      </c>
      <c r="E4807" s="1">
        <v>21273.94</v>
      </c>
      <c r="F4807" s="1" t="s">
        <v>12</v>
      </c>
      <c r="G4807" s="1" t="s">
        <v>12</v>
      </c>
      <c r="H4807" s="1" t="s">
        <v>13</v>
      </c>
      <c r="I4807" s="1" t="s">
        <v>13</v>
      </c>
      <c r="J4807" s="1" t="s">
        <v>25</v>
      </c>
      <c r="K4807" s="1">
        <v>0</v>
      </c>
      <c r="L4807" s="1" t="s">
        <v>19</v>
      </c>
      <c r="M4807" s="1" t="str">
        <f t="shared" si="76"/>
        <v>Consistent</v>
      </c>
      <c r="N4807" s="1" t="str">
        <f>_xlfn.XLOOKUP(H4807, risk_score!A:A, risk_score!B:B, 0)</f>
        <v>Low Risk</v>
      </c>
    </row>
    <row r="4808" spans="1:14">
      <c r="A4808" s="2">
        <v>0.56670138888888888</v>
      </c>
      <c r="B4808" s="3">
        <v>44841</v>
      </c>
      <c r="C4808" s="1">
        <v>7561819419</v>
      </c>
      <c r="D4808" s="1">
        <v>8100579100</v>
      </c>
      <c r="E4808" s="1">
        <v>2126.5100000000002</v>
      </c>
      <c r="F4808" s="1" t="s">
        <v>12</v>
      </c>
      <c r="G4808" s="1" t="s">
        <v>12</v>
      </c>
      <c r="H4808" s="1" t="s">
        <v>13</v>
      </c>
      <c r="I4808" s="1" t="s">
        <v>13</v>
      </c>
      <c r="J4808" s="1" t="s">
        <v>14</v>
      </c>
      <c r="K4808" s="1">
        <v>0</v>
      </c>
      <c r="L4808" s="1" t="s">
        <v>15</v>
      </c>
      <c r="M4808" s="1" t="str">
        <f t="shared" si="76"/>
        <v>Consistent</v>
      </c>
      <c r="N4808" s="1" t="str">
        <f>_xlfn.XLOOKUP(H4808, risk_score!A:A, risk_score!B:B, 0)</f>
        <v>Low Risk</v>
      </c>
    </row>
    <row r="4809" spans="1:14">
      <c r="A4809" s="2">
        <v>0.56673611111111111</v>
      </c>
      <c r="B4809" s="3">
        <v>44841</v>
      </c>
      <c r="C4809" s="1">
        <v>675669049</v>
      </c>
      <c r="D4809" s="1">
        <v>3764741730</v>
      </c>
      <c r="E4809" s="1">
        <v>6174.92</v>
      </c>
      <c r="F4809" s="1" t="s">
        <v>12</v>
      </c>
      <c r="G4809" s="1" t="s">
        <v>12</v>
      </c>
      <c r="H4809" s="1" t="s">
        <v>13</v>
      </c>
      <c r="I4809" s="1" t="s">
        <v>13</v>
      </c>
      <c r="J4809" s="1" t="s">
        <v>20</v>
      </c>
      <c r="K4809" s="1">
        <v>0</v>
      </c>
      <c r="L4809" s="1" t="s">
        <v>19</v>
      </c>
      <c r="M4809" s="1" t="str">
        <f t="shared" si="76"/>
        <v>Consistent</v>
      </c>
      <c r="N4809" s="1" t="str">
        <f>_xlfn.XLOOKUP(H4809, risk_score!A:A, risk_score!B:B, 0)</f>
        <v>Low Risk</v>
      </c>
    </row>
    <row r="4810" spans="1:14">
      <c r="A4810" s="2">
        <v>0.56673611111111111</v>
      </c>
      <c r="B4810" s="3">
        <v>44841</v>
      </c>
      <c r="C4810" s="1">
        <v>6497018727</v>
      </c>
      <c r="D4810" s="1">
        <v>1900172921</v>
      </c>
      <c r="E4810" s="1">
        <v>40.909999999999997</v>
      </c>
      <c r="F4810" s="1" t="s">
        <v>12</v>
      </c>
      <c r="G4810" s="1" t="s">
        <v>12</v>
      </c>
      <c r="H4810" s="1" t="s">
        <v>13</v>
      </c>
      <c r="I4810" s="1" t="s">
        <v>13</v>
      </c>
      <c r="J4810" s="1" t="s">
        <v>36</v>
      </c>
      <c r="K4810" s="1">
        <v>0</v>
      </c>
      <c r="L4810" s="1" t="s">
        <v>37</v>
      </c>
      <c r="M4810" s="1" t="str">
        <f t="shared" si="76"/>
        <v>Consistent</v>
      </c>
      <c r="N4810" s="1" t="str">
        <f>_xlfn.XLOOKUP(H4810, risk_score!A:A, risk_score!B:B, 0)</f>
        <v>Low Risk</v>
      </c>
    </row>
    <row r="4811" spans="1:14">
      <c r="A4811" s="2">
        <v>0.56674768518518515</v>
      </c>
      <c r="B4811" s="3">
        <v>44841</v>
      </c>
      <c r="C4811" s="1">
        <v>2101877453</v>
      </c>
      <c r="D4811" s="1">
        <v>621060264</v>
      </c>
      <c r="E4811" s="1">
        <v>10473.48</v>
      </c>
      <c r="F4811" s="1" t="s">
        <v>12</v>
      </c>
      <c r="G4811" s="1" t="s">
        <v>26</v>
      </c>
      <c r="H4811" s="1" t="s">
        <v>13</v>
      </c>
      <c r="I4811" s="1" t="s">
        <v>13</v>
      </c>
      <c r="J4811" s="1" t="s">
        <v>27</v>
      </c>
      <c r="K4811" s="1">
        <v>0</v>
      </c>
      <c r="L4811" s="1" t="s">
        <v>23</v>
      </c>
      <c r="M4811" s="1" t="str">
        <f t="shared" si="76"/>
        <v>Potential Layering</v>
      </c>
      <c r="N4811" s="1" t="str">
        <f>_xlfn.XLOOKUP(H4811, risk_score!A:A, risk_score!B:B, 0)</f>
        <v>Low Risk</v>
      </c>
    </row>
    <row r="4812" spans="1:14">
      <c r="A4812" s="2">
        <v>0.5667592592592593</v>
      </c>
      <c r="B4812" s="3">
        <v>44841</v>
      </c>
      <c r="C4812" s="1">
        <v>9794412271</v>
      </c>
      <c r="D4812" s="1">
        <v>8600542721</v>
      </c>
      <c r="E4812" s="1">
        <v>9203.3799999999992</v>
      </c>
      <c r="F4812" s="1" t="s">
        <v>12</v>
      </c>
      <c r="G4812" s="1" t="s">
        <v>12</v>
      </c>
      <c r="H4812" s="1" t="s">
        <v>13</v>
      </c>
      <c r="I4812" s="1" t="s">
        <v>13</v>
      </c>
      <c r="J4812" s="1" t="s">
        <v>22</v>
      </c>
      <c r="K4812" s="1">
        <v>0</v>
      </c>
      <c r="L4812" s="1" t="s">
        <v>24</v>
      </c>
      <c r="M4812" s="1" t="str">
        <f t="shared" si="76"/>
        <v>Consistent</v>
      </c>
      <c r="N4812" s="1" t="str">
        <f>_xlfn.XLOOKUP(H4812, risk_score!A:A, risk_score!B:B, 0)</f>
        <v>Low Risk</v>
      </c>
    </row>
    <row r="4813" spans="1:14">
      <c r="A4813" s="2">
        <v>0.56677083333333333</v>
      </c>
      <c r="B4813" s="3">
        <v>44841</v>
      </c>
      <c r="C4813" s="1">
        <v>5304903633</v>
      </c>
      <c r="D4813" s="1">
        <v>5112594890</v>
      </c>
      <c r="E4813" s="1">
        <v>1199.0899999999999</v>
      </c>
      <c r="F4813" s="1" t="s">
        <v>12</v>
      </c>
      <c r="G4813" s="1" t="s">
        <v>12</v>
      </c>
      <c r="H4813" s="1" t="s">
        <v>13</v>
      </c>
      <c r="I4813" s="1" t="s">
        <v>13</v>
      </c>
      <c r="J4813" s="1" t="s">
        <v>20</v>
      </c>
      <c r="K4813" s="1">
        <v>0</v>
      </c>
      <c r="L4813" s="1" t="s">
        <v>21</v>
      </c>
      <c r="M4813" s="1" t="str">
        <f t="shared" si="76"/>
        <v>Consistent</v>
      </c>
      <c r="N4813" s="1" t="str">
        <f>_xlfn.XLOOKUP(H4813, risk_score!A:A, risk_score!B:B, 0)</f>
        <v>Low Risk</v>
      </c>
    </row>
    <row r="4814" spans="1:14">
      <c r="A4814" s="2">
        <v>0.56678240740740737</v>
      </c>
      <c r="B4814" s="3">
        <v>44841</v>
      </c>
      <c r="C4814" s="1">
        <v>423310235</v>
      </c>
      <c r="D4814" s="1">
        <v>9220280946</v>
      </c>
      <c r="E4814" s="1">
        <v>8282.2800000000007</v>
      </c>
      <c r="F4814" s="1" t="s">
        <v>12</v>
      </c>
      <c r="G4814" s="1" t="s">
        <v>16</v>
      </c>
      <c r="H4814" s="1" t="s">
        <v>13</v>
      </c>
      <c r="I4814" s="1" t="s">
        <v>17</v>
      </c>
      <c r="J4814" s="1" t="s">
        <v>18</v>
      </c>
      <c r="K4814" s="1">
        <v>0</v>
      </c>
      <c r="L4814" s="1" t="s">
        <v>21</v>
      </c>
      <c r="M4814" s="1" t="str">
        <f t="shared" si="76"/>
        <v>Potential Layering</v>
      </c>
      <c r="N4814" s="1" t="str">
        <f>_xlfn.XLOOKUP(H4814, risk_score!A:A, risk_score!B:B, 0)</f>
        <v>Low Risk</v>
      </c>
    </row>
    <row r="4815" spans="1:14">
      <c r="A4815" s="2">
        <v>0.56678240740740737</v>
      </c>
      <c r="B4815" s="3">
        <v>44841</v>
      </c>
      <c r="C4815" s="1">
        <v>6116657264</v>
      </c>
      <c r="D4815" s="1">
        <v>578267324</v>
      </c>
      <c r="E4815" s="1">
        <v>11275.03</v>
      </c>
      <c r="F4815" s="1" t="s">
        <v>12</v>
      </c>
      <c r="G4815" s="1" t="s">
        <v>12</v>
      </c>
      <c r="H4815" s="1" t="s">
        <v>13</v>
      </c>
      <c r="I4815" s="1" t="s">
        <v>13</v>
      </c>
      <c r="J4815" s="1" t="s">
        <v>27</v>
      </c>
      <c r="K4815" s="1">
        <v>0</v>
      </c>
      <c r="L4815" s="1" t="s">
        <v>19</v>
      </c>
      <c r="M4815" s="1" t="str">
        <f t="shared" si="76"/>
        <v>Consistent</v>
      </c>
      <c r="N4815" s="1" t="str">
        <f>_xlfn.XLOOKUP(H4815, risk_score!A:A, risk_score!B:B, 0)</f>
        <v>Low Risk</v>
      </c>
    </row>
    <row r="4816" spans="1:14">
      <c r="A4816" s="2">
        <v>0.56682870370370375</v>
      </c>
      <c r="B4816" s="3">
        <v>44841</v>
      </c>
      <c r="C4816" s="1">
        <v>9599905039</v>
      </c>
      <c r="D4816" s="1">
        <v>4726894043</v>
      </c>
      <c r="E4816" s="1">
        <v>995.51</v>
      </c>
      <c r="F4816" s="1" t="s">
        <v>12</v>
      </c>
      <c r="G4816" s="1" t="s">
        <v>12</v>
      </c>
      <c r="H4816" s="1" t="s">
        <v>13</v>
      </c>
      <c r="I4816" s="1" t="s">
        <v>13</v>
      </c>
      <c r="J4816" s="1" t="s">
        <v>22</v>
      </c>
      <c r="K4816" s="1">
        <v>0</v>
      </c>
      <c r="L4816" s="1" t="s">
        <v>21</v>
      </c>
      <c r="M4816" s="1" t="str">
        <f t="shared" si="76"/>
        <v>Consistent</v>
      </c>
      <c r="N4816" s="1" t="str">
        <f>_xlfn.XLOOKUP(H4816, risk_score!A:A, risk_score!B:B, 0)</f>
        <v>Low Risk</v>
      </c>
    </row>
    <row r="4817" spans="1:14">
      <c r="A4817" s="2">
        <v>0.56684027777777779</v>
      </c>
      <c r="B4817" s="3">
        <v>44841</v>
      </c>
      <c r="C4817" s="1">
        <v>4723297015</v>
      </c>
      <c r="D4817" s="1">
        <v>427988865</v>
      </c>
      <c r="E4817" s="1">
        <v>17224.43</v>
      </c>
      <c r="F4817" s="1" t="s">
        <v>12</v>
      </c>
      <c r="G4817" s="1" t="s">
        <v>12</v>
      </c>
      <c r="H4817" s="1" t="s">
        <v>13</v>
      </c>
      <c r="I4817" s="1" t="s">
        <v>13</v>
      </c>
      <c r="J4817" s="1" t="s">
        <v>20</v>
      </c>
      <c r="K4817" s="1">
        <v>0</v>
      </c>
      <c r="L4817" s="1" t="s">
        <v>38</v>
      </c>
      <c r="M4817" s="1" t="str">
        <f t="shared" si="76"/>
        <v>Consistent</v>
      </c>
      <c r="N4817" s="1" t="str">
        <f>_xlfn.XLOOKUP(H4817, risk_score!A:A, risk_score!B:B, 0)</f>
        <v>Low Risk</v>
      </c>
    </row>
    <row r="4818" spans="1:14">
      <c r="A4818" s="2">
        <v>0.56685185185185183</v>
      </c>
      <c r="B4818" s="3">
        <v>44841</v>
      </c>
      <c r="C4818" s="1">
        <v>3477240128</v>
      </c>
      <c r="D4818" s="1">
        <v>4721478443</v>
      </c>
      <c r="E4818" s="1">
        <v>11914.14</v>
      </c>
      <c r="F4818" s="1" t="s">
        <v>12</v>
      </c>
      <c r="G4818" s="1" t="s">
        <v>12</v>
      </c>
      <c r="H4818" s="1" t="s">
        <v>13</v>
      </c>
      <c r="I4818" s="1" t="s">
        <v>13</v>
      </c>
      <c r="J4818" s="1" t="s">
        <v>22</v>
      </c>
      <c r="K4818" s="1">
        <v>0</v>
      </c>
      <c r="L4818" s="1" t="s">
        <v>21</v>
      </c>
      <c r="M4818" s="1" t="str">
        <f t="shared" si="76"/>
        <v>Consistent</v>
      </c>
      <c r="N4818" s="1" t="str">
        <f>_xlfn.XLOOKUP(H4818, risk_score!A:A, risk_score!B:B, 0)</f>
        <v>Low Risk</v>
      </c>
    </row>
    <row r="4819" spans="1:14">
      <c r="A4819" s="2">
        <v>0.56685185185185183</v>
      </c>
      <c r="B4819" s="3">
        <v>44841</v>
      </c>
      <c r="C4819" s="1">
        <v>2512572296</v>
      </c>
      <c r="D4819" s="1">
        <v>5635568638</v>
      </c>
      <c r="E4819" s="1">
        <v>1100.2</v>
      </c>
      <c r="F4819" s="1" t="s">
        <v>12</v>
      </c>
      <c r="G4819" s="1" t="s">
        <v>12</v>
      </c>
      <c r="H4819" s="1" t="s">
        <v>13</v>
      </c>
      <c r="I4819" s="1" t="s">
        <v>13</v>
      </c>
      <c r="J4819" s="1" t="s">
        <v>25</v>
      </c>
      <c r="K4819" s="1">
        <v>0</v>
      </c>
      <c r="L4819" s="1" t="s">
        <v>21</v>
      </c>
      <c r="M4819" s="1" t="str">
        <f t="shared" si="76"/>
        <v>Consistent</v>
      </c>
      <c r="N4819" s="1" t="str">
        <f>_xlfn.XLOOKUP(H4819, risk_score!A:A, risk_score!B:B, 0)</f>
        <v>Low Risk</v>
      </c>
    </row>
    <row r="4820" spans="1:14">
      <c r="A4820" s="2">
        <v>0.5668981481481481</v>
      </c>
      <c r="B4820" s="3">
        <v>44841</v>
      </c>
      <c r="C4820" s="1">
        <v>2861177608</v>
      </c>
      <c r="D4820" s="1">
        <v>3732930791</v>
      </c>
      <c r="E4820" s="1">
        <v>3017.17</v>
      </c>
      <c r="F4820" s="1" t="s">
        <v>12</v>
      </c>
      <c r="G4820" s="1" t="s">
        <v>12</v>
      </c>
      <c r="H4820" s="1" t="s">
        <v>13</v>
      </c>
      <c r="I4820" s="1" t="s">
        <v>13</v>
      </c>
      <c r="J4820" s="1" t="s">
        <v>14</v>
      </c>
      <c r="K4820" s="1">
        <v>0</v>
      </c>
      <c r="L4820" s="1" t="s">
        <v>15</v>
      </c>
      <c r="M4820" s="1" t="str">
        <f t="shared" si="76"/>
        <v>Consistent</v>
      </c>
      <c r="N4820" s="1" t="str">
        <f>_xlfn.XLOOKUP(H4820, risk_score!A:A, risk_score!B:B, 0)</f>
        <v>Low Risk</v>
      </c>
    </row>
    <row r="4821" spans="1:14">
      <c r="A4821" s="2">
        <v>0.56690972222222225</v>
      </c>
      <c r="B4821" s="3">
        <v>44841</v>
      </c>
      <c r="C4821" s="1">
        <v>3009397443</v>
      </c>
      <c r="D4821" s="1">
        <v>5708936901</v>
      </c>
      <c r="E4821" s="1">
        <v>11301.4</v>
      </c>
      <c r="F4821" s="1" t="s">
        <v>12</v>
      </c>
      <c r="G4821" s="1" t="s">
        <v>12</v>
      </c>
      <c r="H4821" s="1" t="s">
        <v>13</v>
      </c>
      <c r="I4821" s="1" t="s">
        <v>13</v>
      </c>
      <c r="J4821" s="1" t="s">
        <v>20</v>
      </c>
      <c r="K4821" s="1">
        <v>0</v>
      </c>
      <c r="L4821" s="1" t="s">
        <v>23</v>
      </c>
      <c r="M4821" s="1" t="str">
        <f t="shared" si="76"/>
        <v>Consistent</v>
      </c>
      <c r="N4821" s="1" t="str">
        <f>_xlfn.XLOOKUP(H4821, risk_score!A:A, risk_score!B:B, 0)</f>
        <v>Low Risk</v>
      </c>
    </row>
    <row r="4822" spans="1:14">
      <c r="A4822" s="2">
        <v>0.56693287037037032</v>
      </c>
      <c r="B4822" s="3">
        <v>44841</v>
      </c>
      <c r="C4822" s="1">
        <v>3614082527</v>
      </c>
      <c r="D4822" s="1">
        <v>3833545196</v>
      </c>
      <c r="E4822" s="1">
        <v>15143.42</v>
      </c>
      <c r="F4822" s="1" t="s">
        <v>12</v>
      </c>
      <c r="G4822" s="1" t="s">
        <v>12</v>
      </c>
      <c r="H4822" s="1" t="s">
        <v>13</v>
      </c>
      <c r="I4822" s="1" t="s">
        <v>13</v>
      </c>
      <c r="J4822" s="1" t="s">
        <v>25</v>
      </c>
      <c r="K4822" s="1">
        <v>0</v>
      </c>
      <c r="L4822" s="1" t="s">
        <v>19</v>
      </c>
      <c r="M4822" s="1" t="str">
        <f t="shared" si="76"/>
        <v>Consistent</v>
      </c>
      <c r="N4822" s="1" t="str">
        <f>_xlfn.XLOOKUP(H4822, risk_score!A:A, risk_score!B:B, 0)</f>
        <v>Low Risk</v>
      </c>
    </row>
    <row r="4823" spans="1:14">
      <c r="A4823" s="2">
        <v>0.56694444444444447</v>
      </c>
      <c r="B4823" s="3">
        <v>44841</v>
      </c>
      <c r="C4823" s="1">
        <v>3614082527</v>
      </c>
      <c r="D4823" s="1">
        <v>6066458462</v>
      </c>
      <c r="E4823" s="1">
        <v>5868.12</v>
      </c>
      <c r="F4823" s="1" t="s">
        <v>12</v>
      </c>
      <c r="G4823" s="1" t="s">
        <v>12</v>
      </c>
      <c r="H4823" s="1" t="s">
        <v>13</v>
      </c>
      <c r="I4823" s="1" t="s">
        <v>13</v>
      </c>
      <c r="J4823" s="1" t="s">
        <v>22</v>
      </c>
      <c r="K4823" s="1">
        <v>0</v>
      </c>
      <c r="L4823" s="1" t="s">
        <v>19</v>
      </c>
      <c r="M4823" s="1" t="str">
        <f t="shared" si="76"/>
        <v>Consistent</v>
      </c>
      <c r="N4823" s="1" t="str">
        <f>_xlfn.XLOOKUP(H4823, risk_score!A:A, risk_score!B:B, 0)</f>
        <v>Low Risk</v>
      </c>
    </row>
    <row r="4824" spans="1:14">
      <c r="A4824" s="2">
        <v>0.56695601851851851</v>
      </c>
      <c r="B4824" s="3">
        <v>44841</v>
      </c>
      <c r="C4824" s="1">
        <v>2101877453</v>
      </c>
      <c r="D4824" s="1">
        <v>621060264</v>
      </c>
      <c r="E4824" s="1">
        <v>10451.969999999999</v>
      </c>
      <c r="F4824" s="1" t="s">
        <v>12</v>
      </c>
      <c r="G4824" s="1" t="s">
        <v>12</v>
      </c>
      <c r="H4824" s="1" t="s">
        <v>13</v>
      </c>
      <c r="I4824" s="1" t="s">
        <v>13</v>
      </c>
      <c r="J4824" s="1" t="s">
        <v>27</v>
      </c>
      <c r="K4824" s="1">
        <v>0</v>
      </c>
      <c r="L4824" s="1" t="s">
        <v>23</v>
      </c>
      <c r="M4824" s="1" t="str">
        <f t="shared" si="76"/>
        <v>Consistent</v>
      </c>
      <c r="N4824" s="1" t="str">
        <f>_xlfn.XLOOKUP(H4824, risk_score!A:A, risk_score!B:B, 0)</f>
        <v>Low Risk</v>
      </c>
    </row>
    <row r="4825" spans="1:14">
      <c r="A4825" s="2">
        <v>0.56695601851851851</v>
      </c>
      <c r="B4825" s="3">
        <v>44841</v>
      </c>
      <c r="C4825" s="1">
        <v>9629713976</v>
      </c>
      <c r="D4825" s="1">
        <v>8172080174</v>
      </c>
      <c r="E4825" s="1">
        <v>4901.1499999999996</v>
      </c>
      <c r="F4825" s="1" t="s">
        <v>12</v>
      </c>
      <c r="G4825" s="1" t="s">
        <v>12</v>
      </c>
      <c r="H4825" s="1" t="s">
        <v>13</v>
      </c>
      <c r="I4825" s="1" t="s">
        <v>13</v>
      </c>
      <c r="J4825" s="1" t="s">
        <v>22</v>
      </c>
      <c r="K4825" s="1">
        <v>0</v>
      </c>
      <c r="L4825" s="1" t="s">
        <v>23</v>
      </c>
      <c r="M4825" s="1" t="str">
        <f t="shared" si="76"/>
        <v>Consistent</v>
      </c>
      <c r="N4825" s="1" t="str">
        <f>_xlfn.XLOOKUP(H4825, risk_score!A:A, risk_score!B:B, 0)</f>
        <v>Low Risk</v>
      </c>
    </row>
    <row r="4826" spans="1:14">
      <c r="A4826" s="2">
        <v>0.56696759259259255</v>
      </c>
      <c r="B4826" s="3">
        <v>44841</v>
      </c>
      <c r="C4826" s="1">
        <v>3894781714</v>
      </c>
      <c r="D4826" s="1">
        <v>8172080174</v>
      </c>
      <c r="E4826" s="1">
        <v>5516.69</v>
      </c>
      <c r="F4826" s="1" t="s">
        <v>12</v>
      </c>
      <c r="G4826" s="1" t="s">
        <v>12</v>
      </c>
      <c r="H4826" s="1" t="s">
        <v>13</v>
      </c>
      <c r="I4826" s="1" t="s">
        <v>13</v>
      </c>
      <c r="J4826" s="1" t="s">
        <v>27</v>
      </c>
      <c r="K4826" s="1">
        <v>0</v>
      </c>
      <c r="L4826" s="1" t="s">
        <v>23</v>
      </c>
      <c r="M4826" s="1" t="str">
        <f t="shared" si="76"/>
        <v>Consistent</v>
      </c>
      <c r="N4826" s="1" t="str">
        <f>_xlfn.XLOOKUP(H4826, risk_score!A:A, risk_score!B:B, 0)</f>
        <v>Low Risk</v>
      </c>
    </row>
    <row r="4827" spans="1:14">
      <c r="A4827" s="2">
        <v>0.56701388888888893</v>
      </c>
      <c r="B4827" s="3">
        <v>44841</v>
      </c>
      <c r="C4827" s="1">
        <v>6216316627</v>
      </c>
      <c r="D4827" s="1">
        <v>5466123934</v>
      </c>
      <c r="E4827" s="1">
        <v>7911.89</v>
      </c>
      <c r="F4827" s="1" t="s">
        <v>12</v>
      </c>
      <c r="G4827" s="1" t="s">
        <v>12</v>
      </c>
      <c r="H4827" s="1" t="s">
        <v>13</v>
      </c>
      <c r="I4827" s="1" t="s">
        <v>13</v>
      </c>
      <c r="J4827" s="1" t="s">
        <v>22</v>
      </c>
      <c r="K4827" s="1">
        <v>0</v>
      </c>
      <c r="L4827" s="1" t="s">
        <v>23</v>
      </c>
      <c r="M4827" s="1" t="str">
        <f t="shared" si="76"/>
        <v>Consistent</v>
      </c>
      <c r="N4827" s="1" t="str">
        <f>_xlfn.XLOOKUP(H4827, risk_score!A:A, risk_score!B:B, 0)</f>
        <v>Low Risk</v>
      </c>
    </row>
    <row r="4828" spans="1:14">
      <c r="A4828" s="2">
        <v>0.56703703703703701</v>
      </c>
      <c r="B4828" s="3">
        <v>44841</v>
      </c>
      <c r="C4828" s="1">
        <v>2312945016</v>
      </c>
      <c r="D4828" s="1">
        <v>3438932057</v>
      </c>
      <c r="E4828" s="1">
        <v>4479.2299999999996</v>
      </c>
      <c r="F4828" s="1" t="s">
        <v>12</v>
      </c>
      <c r="G4828" s="1" t="s">
        <v>12</v>
      </c>
      <c r="H4828" s="1" t="s">
        <v>13</v>
      </c>
      <c r="I4828" s="1" t="s">
        <v>13</v>
      </c>
      <c r="J4828" s="1" t="s">
        <v>20</v>
      </c>
      <c r="K4828" s="1">
        <v>0</v>
      </c>
      <c r="L4828" s="1" t="s">
        <v>41</v>
      </c>
      <c r="M4828" s="1" t="str">
        <f t="shared" si="76"/>
        <v>Consistent</v>
      </c>
      <c r="N4828" s="1" t="str">
        <f>_xlfn.XLOOKUP(H4828, risk_score!A:A, risk_score!B:B, 0)</f>
        <v>Low Risk</v>
      </c>
    </row>
    <row r="4829" spans="1:14">
      <c r="A4829" s="2">
        <v>0.56704861111111116</v>
      </c>
      <c r="B4829" s="3">
        <v>44841</v>
      </c>
      <c r="C4829" s="1">
        <v>9051006413</v>
      </c>
      <c r="D4829" s="1">
        <v>8352571580</v>
      </c>
      <c r="E4829" s="1">
        <v>9704.66</v>
      </c>
      <c r="F4829" s="1" t="s">
        <v>12</v>
      </c>
      <c r="G4829" s="1" t="s">
        <v>12</v>
      </c>
      <c r="H4829" s="1" t="s">
        <v>13</v>
      </c>
      <c r="I4829" s="1" t="s">
        <v>13</v>
      </c>
      <c r="J4829" s="1" t="s">
        <v>22</v>
      </c>
      <c r="K4829" s="1">
        <v>0</v>
      </c>
      <c r="L4829" s="1" t="s">
        <v>23</v>
      </c>
      <c r="M4829" s="1" t="str">
        <f t="shared" si="76"/>
        <v>Consistent</v>
      </c>
      <c r="N4829" s="1" t="str">
        <f>_xlfn.XLOOKUP(H4829, risk_score!A:A, risk_score!B:B, 0)</f>
        <v>Low Risk</v>
      </c>
    </row>
    <row r="4830" spans="1:14">
      <c r="A4830" s="2">
        <v>0.56706018518518519</v>
      </c>
      <c r="B4830" s="3">
        <v>44841</v>
      </c>
      <c r="C4830" s="1">
        <v>7421451752</v>
      </c>
      <c r="D4830" s="1">
        <v>1160338470</v>
      </c>
      <c r="E4830" s="1">
        <v>4460.01</v>
      </c>
      <c r="F4830" s="1" t="s">
        <v>12</v>
      </c>
      <c r="G4830" s="1" t="s">
        <v>12</v>
      </c>
      <c r="H4830" s="1" t="s">
        <v>13</v>
      </c>
      <c r="I4830" s="1" t="s">
        <v>13</v>
      </c>
      <c r="J4830" s="1" t="s">
        <v>22</v>
      </c>
      <c r="K4830" s="1">
        <v>0</v>
      </c>
      <c r="L4830" s="1" t="s">
        <v>19</v>
      </c>
      <c r="M4830" s="1" t="str">
        <f t="shared" si="76"/>
        <v>Consistent</v>
      </c>
      <c r="N4830" s="1" t="str">
        <f>_xlfn.XLOOKUP(H4830, risk_score!A:A, risk_score!B:B, 0)</f>
        <v>Low Risk</v>
      </c>
    </row>
    <row r="4831" spans="1:14">
      <c r="A4831" s="2">
        <v>0.56707175925925923</v>
      </c>
      <c r="B4831" s="3">
        <v>44841</v>
      </c>
      <c r="C4831" s="1">
        <v>8227696500</v>
      </c>
      <c r="D4831" s="1">
        <v>6648904622</v>
      </c>
      <c r="E4831" s="1">
        <v>514.91999999999996</v>
      </c>
      <c r="F4831" s="1" t="s">
        <v>12</v>
      </c>
      <c r="G4831" s="1" t="s">
        <v>12</v>
      </c>
      <c r="H4831" s="1" t="s">
        <v>13</v>
      </c>
      <c r="I4831" s="1" t="s">
        <v>13</v>
      </c>
      <c r="J4831" s="1" t="s">
        <v>14</v>
      </c>
      <c r="K4831" s="1">
        <v>0</v>
      </c>
      <c r="L4831" s="1" t="s">
        <v>15</v>
      </c>
      <c r="M4831" s="1" t="str">
        <f t="shared" si="76"/>
        <v>Consistent</v>
      </c>
      <c r="N4831" s="1" t="str">
        <f>_xlfn.XLOOKUP(H4831, risk_score!A:A, risk_score!B:B, 0)</f>
        <v>Low Risk</v>
      </c>
    </row>
    <row r="4832" spans="1:14">
      <c r="A4832" s="2">
        <v>0.56707175925925923</v>
      </c>
      <c r="B4832" s="3">
        <v>44841</v>
      </c>
      <c r="C4832" s="1">
        <v>1465487567</v>
      </c>
      <c r="D4832" s="1">
        <v>6016247694</v>
      </c>
      <c r="E4832" s="1">
        <v>5256.24</v>
      </c>
      <c r="F4832" s="1" t="s">
        <v>12</v>
      </c>
      <c r="G4832" s="1" t="s">
        <v>12</v>
      </c>
      <c r="H4832" s="1" t="s">
        <v>13</v>
      </c>
      <c r="I4832" s="1" t="s">
        <v>13</v>
      </c>
      <c r="J4832" s="1" t="s">
        <v>27</v>
      </c>
      <c r="K4832" s="1">
        <v>0</v>
      </c>
      <c r="L4832" s="1" t="s">
        <v>21</v>
      </c>
      <c r="M4832" s="1" t="str">
        <f t="shared" si="76"/>
        <v>Consistent</v>
      </c>
      <c r="N4832" s="1" t="str">
        <f>_xlfn.XLOOKUP(H4832, risk_score!A:A, risk_score!B:B, 0)</f>
        <v>Low Risk</v>
      </c>
    </row>
    <row r="4833" spans="1:14">
      <c r="A4833" s="2">
        <v>0.56709490740740742</v>
      </c>
      <c r="B4833" s="3">
        <v>44841</v>
      </c>
      <c r="C4833" s="1">
        <v>3510078932</v>
      </c>
      <c r="D4833" s="1">
        <v>2749487707</v>
      </c>
      <c r="E4833" s="1">
        <v>8206.83</v>
      </c>
      <c r="F4833" s="1" t="s">
        <v>12</v>
      </c>
      <c r="G4833" s="1" t="s">
        <v>29</v>
      </c>
      <c r="H4833" s="1" t="s">
        <v>13</v>
      </c>
      <c r="I4833" s="1" t="s">
        <v>31</v>
      </c>
      <c r="J4833" s="1" t="s">
        <v>18</v>
      </c>
      <c r="K4833" s="1">
        <v>0</v>
      </c>
      <c r="L4833" s="1" t="s">
        <v>19</v>
      </c>
      <c r="M4833" s="1" t="str">
        <f t="shared" si="76"/>
        <v>Potential Layering</v>
      </c>
      <c r="N4833" s="1" t="str">
        <f>_xlfn.XLOOKUP(H4833, risk_score!A:A, risk_score!B:B, 0)</f>
        <v>Low Risk</v>
      </c>
    </row>
    <row r="4834" spans="1:14">
      <c r="A4834" s="2">
        <v>0.56710648148148146</v>
      </c>
      <c r="B4834" s="3">
        <v>44841</v>
      </c>
      <c r="C4834" s="1">
        <v>1738940565</v>
      </c>
      <c r="D4834" s="1">
        <v>409707192</v>
      </c>
      <c r="E4834" s="1">
        <v>21064.560000000001</v>
      </c>
      <c r="F4834" s="1" t="s">
        <v>12</v>
      </c>
      <c r="G4834" s="1" t="s">
        <v>12</v>
      </c>
      <c r="H4834" s="1" t="s">
        <v>13</v>
      </c>
      <c r="I4834" s="1" t="s">
        <v>13</v>
      </c>
      <c r="J4834" s="1" t="s">
        <v>20</v>
      </c>
      <c r="K4834" s="1">
        <v>0</v>
      </c>
      <c r="L4834" s="1" t="s">
        <v>23</v>
      </c>
      <c r="M4834" s="1" t="str">
        <f t="shared" si="76"/>
        <v>Consistent</v>
      </c>
      <c r="N4834" s="1" t="str">
        <f>_xlfn.XLOOKUP(H4834, risk_score!A:A, risk_score!B:B, 0)</f>
        <v>Low Risk</v>
      </c>
    </row>
    <row r="4835" spans="1:14">
      <c r="A4835" s="2">
        <v>0.56712962962962965</v>
      </c>
      <c r="B4835" s="3">
        <v>44841</v>
      </c>
      <c r="C4835" s="1">
        <v>3281884494</v>
      </c>
      <c r="D4835" s="1">
        <v>4863940969</v>
      </c>
      <c r="E4835" s="1">
        <v>196.06</v>
      </c>
      <c r="F4835" s="1" t="s">
        <v>12</v>
      </c>
      <c r="G4835" s="1" t="s">
        <v>29</v>
      </c>
      <c r="H4835" s="1" t="s">
        <v>13</v>
      </c>
      <c r="I4835" s="1" t="s">
        <v>50</v>
      </c>
      <c r="J4835" s="1" t="s">
        <v>18</v>
      </c>
      <c r="K4835" s="1">
        <v>0</v>
      </c>
      <c r="L4835" s="1" t="s">
        <v>21</v>
      </c>
      <c r="M4835" s="1" t="str">
        <f t="shared" si="76"/>
        <v>Potential Layering</v>
      </c>
      <c r="N4835" s="1" t="str">
        <f>_xlfn.XLOOKUP(H4835, risk_score!A:A, risk_score!B:B, 0)</f>
        <v>Low Risk</v>
      </c>
    </row>
    <row r="4836" spans="1:14">
      <c r="A4836" s="2">
        <v>0.56714120370370369</v>
      </c>
      <c r="B4836" s="3">
        <v>44841</v>
      </c>
      <c r="C4836" s="1">
        <v>8465013530</v>
      </c>
      <c r="D4836" s="1">
        <v>2534644942</v>
      </c>
      <c r="E4836" s="1">
        <v>16799.47</v>
      </c>
      <c r="F4836" s="1" t="s">
        <v>12</v>
      </c>
      <c r="G4836" s="1" t="s">
        <v>29</v>
      </c>
      <c r="H4836" s="1" t="s">
        <v>13</v>
      </c>
      <c r="I4836" s="1" t="s">
        <v>31</v>
      </c>
      <c r="J4836" s="1" t="s">
        <v>18</v>
      </c>
      <c r="K4836" s="1">
        <v>0</v>
      </c>
      <c r="L4836" s="1" t="s">
        <v>23</v>
      </c>
      <c r="M4836" s="1" t="str">
        <f t="shared" si="76"/>
        <v>Potential Layering</v>
      </c>
      <c r="N4836" s="1" t="str">
        <f>_xlfn.XLOOKUP(H4836, risk_score!A:A, risk_score!B:B, 0)</f>
        <v>Low Risk</v>
      </c>
    </row>
    <row r="4837" spans="1:14">
      <c r="A4837" s="2">
        <v>0.56715277777777773</v>
      </c>
      <c r="B4837" s="3">
        <v>44841</v>
      </c>
      <c r="C4837" s="1">
        <v>9945389037</v>
      </c>
      <c r="D4837" s="1">
        <v>1816475063</v>
      </c>
      <c r="E4837" s="1">
        <v>10546.35</v>
      </c>
      <c r="F4837" s="1" t="s">
        <v>12</v>
      </c>
      <c r="G4837" s="1" t="s">
        <v>12</v>
      </c>
      <c r="H4837" s="1" t="s">
        <v>13</v>
      </c>
      <c r="I4837" s="1" t="s">
        <v>13</v>
      </c>
      <c r="J4837" s="1" t="s">
        <v>25</v>
      </c>
      <c r="K4837" s="1">
        <v>0</v>
      </c>
      <c r="L4837" s="1" t="s">
        <v>21</v>
      </c>
      <c r="M4837" s="1" t="str">
        <f t="shared" si="76"/>
        <v>Consistent</v>
      </c>
      <c r="N4837" s="1" t="str">
        <f>_xlfn.XLOOKUP(H4837, risk_score!A:A, risk_score!B:B, 0)</f>
        <v>Low Risk</v>
      </c>
    </row>
    <row r="4838" spans="1:14">
      <c r="A4838" s="2">
        <v>0.56717592592592592</v>
      </c>
      <c r="B4838" s="3">
        <v>44841</v>
      </c>
      <c r="C4838" s="1">
        <v>8456279067</v>
      </c>
      <c r="D4838" s="1">
        <v>1831928079</v>
      </c>
      <c r="E4838" s="1">
        <v>6875.64</v>
      </c>
      <c r="F4838" s="1" t="s">
        <v>12</v>
      </c>
      <c r="G4838" s="1" t="s">
        <v>12</v>
      </c>
      <c r="H4838" s="1" t="s">
        <v>13</v>
      </c>
      <c r="I4838" s="1" t="s">
        <v>13</v>
      </c>
      <c r="J4838" s="1" t="s">
        <v>25</v>
      </c>
      <c r="K4838" s="1">
        <v>0</v>
      </c>
      <c r="L4838" s="1" t="s">
        <v>19</v>
      </c>
      <c r="M4838" s="1" t="str">
        <f t="shared" si="76"/>
        <v>Consistent</v>
      </c>
      <c r="N4838" s="1" t="str">
        <f>_xlfn.XLOOKUP(H4838, risk_score!A:A, risk_score!B:B, 0)</f>
        <v>Low Risk</v>
      </c>
    </row>
    <row r="4839" spans="1:14">
      <c r="A4839" s="2">
        <v>0.56722222222222218</v>
      </c>
      <c r="B4839" s="3">
        <v>44841</v>
      </c>
      <c r="C4839" s="1">
        <v>4009687829</v>
      </c>
      <c r="D4839" s="1">
        <v>8326891432</v>
      </c>
      <c r="E4839" s="1">
        <v>2025.45</v>
      </c>
      <c r="F4839" s="1" t="s">
        <v>12</v>
      </c>
      <c r="G4839" s="1" t="s">
        <v>12</v>
      </c>
      <c r="H4839" s="1" t="s">
        <v>13</v>
      </c>
      <c r="I4839" s="1" t="s">
        <v>13</v>
      </c>
      <c r="J4839" s="1" t="s">
        <v>20</v>
      </c>
      <c r="K4839" s="1">
        <v>0</v>
      </c>
      <c r="L4839" s="1" t="s">
        <v>21</v>
      </c>
      <c r="M4839" s="1" t="str">
        <f t="shared" si="76"/>
        <v>Consistent</v>
      </c>
      <c r="N4839" s="1" t="str">
        <f>_xlfn.XLOOKUP(H4839, risk_score!A:A, risk_score!B:B, 0)</f>
        <v>Low Risk</v>
      </c>
    </row>
    <row r="4840" spans="1:14">
      <c r="A4840" s="2">
        <v>0.56722222222222218</v>
      </c>
      <c r="B4840" s="3">
        <v>44841</v>
      </c>
      <c r="C4840" s="1">
        <v>3847138032</v>
      </c>
      <c r="D4840" s="1">
        <v>983424230</v>
      </c>
      <c r="E4840" s="1">
        <v>14285.29</v>
      </c>
      <c r="F4840" s="1" t="s">
        <v>12</v>
      </c>
      <c r="G4840" s="1" t="s">
        <v>12</v>
      </c>
      <c r="H4840" s="1" t="s">
        <v>13</v>
      </c>
      <c r="I4840" s="1" t="s">
        <v>13</v>
      </c>
      <c r="J4840" s="1" t="s">
        <v>25</v>
      </c>
      <c r="K4840" s="1">
        <v>0</v>
      </c>
      <c r="L4840" s="1" t="s">
        <v>21</v>
      </c>
      <c r="M4840" s="1" t="str">
        <f t="shared" si="76"/>
        <v>Consistent</v>
      </c>
      <c r="N4840" s="1" t="str">
        <f>_xlfn.XLOOKUP(H4840, risk_score!A:A, risk_score!B:B, 0)</f>
        <v>Low Risk</v>
      </c>
    </row>
    <row r="4841" spans="1:14">
      <c r="A4841" s="2">
        <v>0.56724537037037037</v>
      </c>
      <c r="B4841" s="3">
        <v>44841</v>
      </c>
      <c r="C4841" s="1">
        <v>3864603006</v>
      </c>
      <c r="D4841" s="1">
        <v>5858369125</v>
      </c>
      <c r="E4841" s="1">
        <v>20252.46</v>
      </c>
      <c r="F4841" s="1" t="s">
        <v>12</v>
      </c>
      <c r="G4841" s="1" t="s">
        <v>12</v>
      </c>
      <c r="H4841" s="1" t="s">
        <v>13</v>
      </c>
      <c r="I4841" s="1" t="s">
        <v>13</v>
      </c>
      <c r="J4841" s="1" t="s">
        <v>20</v>
      </c>
      <c r="K4841" s="1">
        <v>0</v>
      </c>
      <c r="L4841" s="1" t="s">
        <v>23</v>
      </c>
      <c r="M4841" s="1" t="str">
        <f t="shared" si="76"/>
        <v>Consistent</v>
      </c>
      <c r="N4841" s="1" t="str">
        <f>_xlfn.XLOOKUP(H4841, risk_score!A:A, risk_score!B:B, 0)</f>
        <v>Low Risk</v>
      </c>
    </row>
    <row r="4842" spans="1:14">
      <c r="A4842" s="2">
        <v>0.5672800925925926</v>
      </c>
      <c r="B4842" s="3">
        <v>44841</v>
      </c>
      <c r="C4842" s="1">
        <v>3709430533</v>
      </c>
      <c r="D4842" s="1">
        <v>7534701000</v>
      </c>
      <c r="E4842" s="1">
        <v>9216.42</v>
      </c>
      <c r="F4842" s="1" t="s">
        <v>12</v>
      </c>
      <c r="G4842" s="1" t="s">
        <v>12</v>
      </c>
      <c r="H4842" s="1" t="s">
        <v>13</v>
      </c>
      <c r="I4842" s="1" t="s">
        <v>13</v>
      </c>
      <c r="J4842" s="1" t="s">
        <v>20</v>
      </c>
      <c r="K4842" s="1">
        <v>0</v>
      </c>
      <c r="L4842" s="1" t="s">
        <v>19</v>
      </c>
      <c r="M4842" s="1" t="str">
        <f t="shared" si="76"/>
        <v>Consistent</v>
      </c>
      <c r="N4842" s="1" t="str">
        <f>_xlfn.XLOOKUP(H4842, risk_score!A:A, risk_score!B:B, 0)</f>
        <v>Low Risk</v>
      </c>
    </row>
    <row r="4843" spans="1:14">
      <c r="A4843" s="2">
        <v>0.56729166666666664</v>
      </c>
      <c r="B4843" s="3">
        <v>44841</v>
      </c>
      <c r="C4843" s="1">
        <v>3860436187</v>
      </c>
      <c r="D4843" s="1">
        <v>2266691079</v>
      </c>
      <c r="E4843" s="1">
        <v>976.69</v>
      </c>
      <c r="F4843" s="1" t="s">
        <v>12</v>
      </c>
      <c r="G4843" s="1" t="s">
        <v>29</v>
      </c>
      <c r="H4843" s="1" t="s">
        <v>13</v>
      </c>
      <c r="I4843" s="1" t="s">
        <v>48</v>
      </c>
      <c r="J4843" s="1" t="s">
        <v>18</v>
      </c>
      <c r="K4843" s="1">
        <v>0</v>
      </c>
      <c r="L4843" s="1" t="s">
        <v>21</v>
      </c>
      <c r="M4843" s="1" t="str">
        <f t="shared" si="76"/>
        <v>Potential Layering</v>
      </c>
      <c r="N4843" s="1" t="str">
        <f>_xlfn.XLOOKUP(H4843, risk_score!A:A, risk_score!B:B, 0)</f>
        <v>Low Risk</v>
      </c>
    </row>
    <row r="4844" spans="1:14">
      <c r="A4844" s="2">
        <v>0.56729166666666664</v>
      </c>
      <c r="B4844" s="3">
        <v>44841</v>
      </c>
      <c r="C4844" s="1">
        <v>1376796548</v>
      </c>
      <c r="D4844" s="1">
        <v>6444220418</v>
      </c>
      <c r="E4844" s="1">
        <v>8112.29</v>
      </c>
      <c r="F4844" s="1" t="s">
        <v>12</v>
      </c>
      <c r="G4844" s="1" t="s">
        <v>12</v>
      </c>
      <c r="H4844" s="1" t="s">
        <v>13</v>
      </c>
      <c r="I4844" s="1" t="s">
        <v>13</v>
      </c>
      <c r="J4844" s="1" t="s">
        <v>20</v>
      </c>
      <c r="K4844" s="1">
        <v>0</v>
      </c>
      <c r="L4844" s="1" t="s">
        <v>23</v>
      </c>
      <c r="M4844" s="1" t="str">
        <f t="shared" si="76"/>
        <v>Consistent</v>
      </c>
      <c r="N4844" s="1" t="str">
        <f>_xlfn.XLOOKUP(H4844, risk_score!A:A, risk_score!B:B, 0)</f>
        <v>Low Risk</v>
      </c>
    </row>
    <row r="4845" spans="1:14">
      <c r="A4845" s="2">
        <v>0.56729166666666664</v>
      </c>
      <c r="B4845" s="3">
        <v>44841</v>
      </c>
      <c r="C4845" s="1">
        <v>6660614645</v>
      </c>
      <c r="D4845" s="1">
        <v>8487135934</v>
      </c>
      <c r="E4845" s="1">
        <v>2666.32</v>
      </c>
      <c r="F4845" s="1" t="s">
        <v>12</v>
      </c>
      <c r="G4845" s="1" t="s">
        <v>12</v>
      </c>
      <c r="H4845" s="1" t="s">
        <v>13</v>
      </c>
      <c r="I4845" s="1" t="s">
        <v>13</v>
      </c>
      <c r="J4845" s="1" t="s">
        <v>25</v>
      </c>
      <c r="K4845" s="1">
        <v>0</v>
      </c>
      <c r="L4845" s="1" t="s">
        <v>24</v>
      </c>
      <c r="M4845" s="1" t="str">
        <f t="shared" si="76"/>
        <v>Consistent</v>
      </c>
      <c r="N4845" s="1" t="str">
        <f>_xlfn.XLOOKUP(H4845, risk_score!A:A, risk_score!B:B, 0)</f>
        <v>Low Risk</v>
      </c>
    </row>
    <row r="4846" spans="1:14">
      <c r="A4846" s="2">
        <v>0.56730324074074079</v>
      </c>
      <c r="B4846" s="3">
        <v>44841</v>
      </c>
      <c r="C4846" s="1">
        <v>740774885</v>
      </c>
      <c r="D4846" s="1">
        <v>413433379</v>
      </c>
      <c r="E4846" s="1">
        <v>879.27</v>
      </c>
      <c r="F4846" s="1" t="s">
        <v>12</v>
      </c>
      <c r="G4846" s="1" t="s">
        <v>12</v>
      </c>
      <c r="H4846" s="1" t="s">
        <v>13</v>
      </c>
      <c r="I4846" s="1" t="s">
        <v>13</v>
      </c>
      <c r="J4846" s="1" t="s">
        <v>27</v>
      </c>
      <c r="K4846" s="1">
        <v>0</v>
      </c>
      <c r="L4846" s="1" t="s">
        <v>21</v>
      </c>
      <c r="M4846" s="1" t="str">
        <f t="shared" si="76"/>
        <v>Consistent</v>
      </c>
      <c r="N4846" s="1" t="str">
        <f>_xlfn.XLOOKUP(H4846, risk_score!A:A, risk_score!B:B, 0)</f>
        <v>Low Risk</v>
      </c>
    </row>
    <row r="4847" spans="1:14">
      <c r="A4847" s="2">
        <v>0.56731481481481483</v>
      </c>
      <c r="B4847" s="3">
        <v>44841</v>
      </c>
      <c r="C4847" s="1">
        <v>4723534222</v>
      </c>
      <c r="D4847" s="1">
        <v>976844058</v>
      </c>
      <c r="E4847" s="1">
        <v>53557.38</v>
      </c>
      <c r="F4847" s="1" t="s">
        <v>12</v>
      </c>
      <c r="G4847" s="1" t="s">
        <v>12</v>
      </c>
      <c r="H4847" s="1" t="s">
        <v>13</v>
      </c>
      <c r="I4847" s="1" t="s">
        <v>13</v>
      </c>
      <c r="J4847" s="1" t="s">
        <v>27</v>
      </c>
      <c r="K4847" s="1">
        <v>0</v>
      </c>
      <c r="L4847" s="1" t="s">
        <v>49</v>
      </c>
      <c r="M4847" s="1" t="str">
        <f t="shared" si="76"/>
        <v>Consistent</v>
      </c>
      <c r="N4847" s="1" t="str">
        <f>_xlfn.XLOOKUP(H4847, risk_score!A:A, risk_score!B:B, 0)</f>
        <v>Low Risk</v>
      </c>
    </row>
    <row r="4848" spans="1:14">
      <c r="A4848" s="2">
        <v>0.56732638888888887</v>
      </c>
      <c r="B4848" s="3">
        <v>44841</v>
      </c>
      <c r="C4848" s="1">
        <v>7091914387</v>
      </c>
      <c r="D4848" s="1">
        <v>8810645384</v>
      </c>
      <c r="E4848" s="1">
        <v>14333.92</v>
      </c>
      <c r="F4848" s="1" t="s">
        <v>12</v>
      </c>
      <c r="G4848" s="1" t="s">
        <v>12</v>
      </c>
      <c r="H4848" s="1" t="s">
        <v>13</v>
      </c>
      <c r="I4848" s="1" t="s">
        <v>13</v>
      </c>
      <c r="J4848" s="1" t="s">
        <v>20</v>
      </c>
      <c r="K4848" s="1">
        <v>0</v>
      </c>
      <c r="L4848" s="1" t="s">
        <v>21</v>
      </c>
      <c r="M4848" s="1" t="str">
        <f t="shared" si="76"/>
        <v>Consistent</v>
      </c>
      <c r="N4848" s="1" t="str">
        <f>_xlfn.XLOOKUP(H4848, risk_score!A:A, risk_score!B:B, 0)</f>
        <v>Low Risk</v>
      </c>
    </row>
    <row r="4849" spans="1:14">
      <c r="A4849" s="2">
        <v>0.56736111111111109</v>
      </c>
      <c r="B4849" s="3">
        <v>44841</v>
      </c>
      <c r="C4849" s="1">
        <v>5245682182</v>
      </c>
      <c r="D4849" s="1">
        <v>6709419099</v>
      </c>
      <c r="E4849" s="1">
        <v>493</v>
      </c>
      <c r="F4849" s="1" t="s">
        <v>12</v>
      </c>
      <c r="G4849" s="1" t="s">
        <v>12</v>
      </c>
      <c r="H4849" s="1" t="s">
        <v>13</v>
      </c>
      <c r="I4849" s="1" t="s">
        <v>13</v>
      </c>
      <c r="J4849" s="1" t="s">
        <v>20</v>
      </c>
      <c r="K4849" s="1">
        <v>0</v>
      </c>
      <c r="L4849" s="1" t="s">
        <v>21</v>
      </c>
      <c r="M4849" s="1" t="str">
        <f t="shared" si="76"/>
        <v>Consistent</v>
      </c>
      <c r="N4849" s="1" t="str">
        <f>_xlfn.XLOOKUP(H4849, risk_score!A:A, risk_score!B:B, 0)</f>
        <v>Low Risk</v>
      </c>
    </row>
    <row r="4850" spans="1:14">
      <c r="A4850" s="2">
        <v>0.56744212962962959</v>
      </c>
      <c r="B4850" s="3">
        <v>44841</v>
      </c>
      <c r="C4850" s="1">
        <v>8919600998</v>
      </c>
      <c r="D4850" s="1">
        <v>8055543956</v>
      </c>
      <c r="E4850" s="1">
        <v>4686.8100000000004</v>
      </c>
      <c r="F4850" s="1" t="s">
        <v>12</v>
      </c>
      <c r="G4850" s="1" t="s">
        <v>12</v>
      </c>
      <c r="H4850" s="1" t="s">
        <v>13</v>
      </c>
      <c r="I4850" s="1" t="s">
        <v>13</v>
      </c>
      <c r="J4850" s="1" t="s">
        <v>25</v>
      </c>
      <c r="K4850" s="1">
        <v>0</v>
      </c>
      <c r="L4850" s="1" t="s">
        <v>21</v>
      </c>
      <c r="M4850" s="1" t="str">
        <f t="shared" si="76"/>
        <v>Consistent</v>
      </c>
      <c r="N4850" s="1" t="str">
        <f>_xlfn.XLOOKUP(H4850, risk_score!A:A, risk_score!B:B, 0)</f>
        <v>Low Risk</v>
      </c>
    </row>
    <row r="4851" spans="1:14">
      <c r="A4851" s="2">
        <v>0.56746527777777778</v>
      </c>
      <c r="B4851" s="3">
        <v>44841</v>
      </c>
      <c r="C4851" s="1">
        <v>5004753700</v>
      </c>
      <c r="D4851" s="1">
        <v>9042187661</v>
      </c>
      <c r="E4851" s="1">
        <v>11006.2</v>
      </c>
      <c r="F4851" s="1" t="s">
        <v>12</v>
      </c>
      <c r="G4851" s="1" t="s">
        <v>12</v>
      </c>
      <c r="H4851" s="1" t="s">
        <v>13</v>
      </c>
      <c r="I4851" s="1" t="s">
        <v>13</v>
      </c>
      <c r="J4851" s="1" t="s">
        <v>22</v>
      </c>
      <c r="K4851" s="1">
        <v>0</v>
      </c>
      <c r="L4851" s="1" t="s">
        <v>49</v>
      </c>
      <c r="M4851" s="1" t="str">
        <f t="shared" si="76"/>
        <v>Consistent</v>
      </c>
      <c r="N4851" s="1" t="str">
        <f>_xlfn.XLOOKUP(H4851, risk_score!A:A, risk_score!B:B, 0)</f>
        <v>Low Risk</v>
      </c>
    </row>
    <row r="4852" spans="1:14">
      <c r="A4852" s="2">
        <v>0.5675</v>
      </c>
      <c r="B4852" s="3">
        <v>44841</v>
      </c>
      <c r="C4852" s="1">
        <v>4998261578</v>
      </c>
      <c r="D4852" s="1">
        <v>5817244243</v>
      </c>
      <c r="E4852" s="1">
        <v>2286.48</v>
      </c>
      <c r="F4852" s="1" t="s">
        <v>12</v>
      </c>
      <c r="G4852" s="1" t="s">
        <v>12</v>
      </c>
      <c r="H4852" s="1" t="s">
        <v>13</v>
      </c>
      <c r="I4852" s="1" t="s">
        <v>13</v>
      </c>
      <c r="J4852" s="1" t="s">
        <v>14</v>
      </c>
      <c r="K4852" s="1">
        <v>0</v>
      </c>
      <c r="L4852" s="1" t="s">
        <v>15</v>
      </c>
      <c r="M4852" s="1" t="str">
        <f t="shared" si="76"/>
        <v>Consistent</v>
      </c>
      <c r="N4852" s="1" t="str">
        <f>_xlfn.XLOOKUP(H4852, risk_score!A:A, risk_score!B:B, 0)</f>
        <v>Low Risk</v>
      </c>
    </row>
    <row r="4853" spans="1:14">
      <c r="A4853" s="2">
        <v>0.56751157407407404</v>
      </c>
      <c r="B4853" s="3">
        <v>44841</v>
      </c>
      <c r="C4853" s="1">
        <v>9734083970</v>
      </c>
      <c r="D4853" s="1">
        <v>1812525358</v>
      </c>
      <c r="E4853" s="1">
        <v>5778.77</v>
      </c>
      <c r="F4853" s="1" t="s">
        <v>12</v>
      </c>
      <c r="G4853" s="1" t="s">
        <v>12</v>
      </c>
      <c r="H4853" s="1" t="s">
        <v>13</v>
      </c>
      <c r="I4853" s="1" t="s">
        <v>13</v>
      </c>
      <c r="J4853" s="1" t="s">
        <v>27</v>
      </c>
      <c r="K4853" s="1">
        <v>0</v>
      </c>
      <c r="L4853" s="1" t="s">
        <v>19</v>
      </c>
      <c r="M4853" s="1" t="str">
        <f t="shared" si="76"/>
        <v>Consistent</v>
      </c>
      <c r="N4853" s="1" t="str">
        <f>_xlfn.XLOOKUP(H4853, risk_score!A:A, risk_score!B:B, 0)</f>
        <v>Low Risk</v>
      </c>
    </row>
    <row r="4854" spans="1:14">
      <c r="A4854" s="2">
        <v>0.56752314814814819</v>
      </c>
      <c r="B4854" s="3">
        <v>44841</v>
      </c>
      <c r="C4854" s="1">
        <v>9490679180</v>
      </c>
      <c r="D4854" s="1">
        <v>5103043844</v>
      </c>
      <c r="E4854" s="1">
        <v>6644.3</v>
      </c>
      <c r="F4854" s="1" t="s">
        <v>12</v>
      </c>
      <c r="G4854" s="1" t="s">
        <v>44</v>
      </c>
      <c r="H4854" s="1" t="s">
        <v>13</v>
      </c>
      <c r="I4854" s="1" t="s">
        <v>45</v>
      </c>
      <c r="J4854" s="1" t="s">
        <v>18</v>
      </c>
      <c r="K4854" s="1">
        <v>0</v>
      </c>
      <c r="L4854" s="1" t="s">
        <v>23</v>
      </c>
      <c r="M4854" s="1" t="str">
        <f t="shared" si="76"/>
        <v>Potential Layering</v>
      </c>
      <c r="N4854" s="1" t="str">
        <f>_xlfn.XLOOKUP(H4854, risk_score!A:A, risk_score!B:B, 0)</f>
        <v>Low Risk</v>
      </c>
    </row>
    <row r="4855" spans="1:14">
      <c r="A4855" s="2">
        <v>0.56753472222222223</v>
      </c>
      <c r="B4855" s="3">
        <v>44841</v>
      </c>
      <c r="C4855" s="1">
        <v>4989799808</v>
      </c>
      <c r="D4855" s="1">
        <v>5942970514</v>
      </c>
      <c r="E4855" s="1">
        <v>7103.28</v>
      </c>
      <c r="F4855" s="1" t="s">
        <v>12</v>
      </c>
      <c r="G4855" s="1" t="s">
        <v>12</v>
      </c>
      <c r="H4855" s="1" t="s">
        <v>13</v>
      </c>
      <c r="I4855" s="1" t="s">
        <v>13</v>
      </c>
      <c r="J4855" s="1" t="s">
        <v>22</v>
      </c>
      <c r="K4855" s="1">
        <v>0</v>
      </c>
      <c r="L4855" s="1" t="s">
        <v>21</v>
      </c>
      <c r="M4855" s="1" t="str">
        <f t="shared" si="76"/>
        <v>Consistent</v>
      </c>
      <c r="N4855" s="1" t="str">
        <f>_xlfn.XLOOKUP(H4855, risk_score!A:A, risk_score!B:B, 0)</f>
        <v>Low Risk</v>
      </c>
    </row>
    <row r="4856" spans="1:14">
      <c r="A4856" s="2">
        <v>0.56755787037037042</v>
      </c>
      <c r="B4856" s="3">
        <v>44841</v>
      </c>
      <c r="C4856" s="1">
        <v>3510078932</v>
      </c>
      <c r="D4856" s="1">
        <v>1861324833</v>
      </c>
      <c r="E4856" s="1">
        <v>4451.3900000000003</v>
      </c>
      <c r="F4856" s="1" t="s">
        <v>12</v>
      </c>
      <c r="G4856" s="1" t="s">
        <v>12</v>
      </c>
      <c r="H4856" s="1" t="s">
        <v>13</v>
      </c>
      <c r="I4856" s="1" t="s">
        <v>13</v>
      </c>
      <c r="J4856" s="1" t="s">
        <v>25</v>
      </c>
      <c r="K4856" s="1">
        <v>0</v>
      </c>
      <c r="L4856" s="1" t="s">
        <v>19</v>
      </c>
      <c r="M4856" s="1" t="str">
        <f t="shared" si="76"/>
        <v>Consistent</v>
      </c>
      <c r="N4856" s="1" t="str">
        <f>_xlfn.XLOOKUP(H4856, risk_score!A:A, risk_score!B:B, 0)</f>
        <v>Low Risk</v>
      </c>
    </row>
    <row r="4857" spans="1:14">
      <c r="A4857" s="2">
        <v>0.56755787037037042</v>
      </c>
      <c r="B4857" s="3">
        <v>44841</v>
      </c>
      <c r="C4857" s="1">
        <v>3894781714</v>
      </c>
      <c r="D4857" s="1">
        <v>8172080174</v>
      </c>
      <c r="E4857" s="1">
        <v>5426.95</v>
      </c>
      <c r="F4857" s="1" t="s">
        <v>12</v>
      </c>
      <c r="G4857" s="1" t="s">
        <v>12</v>
      </c>
      <c r="H4857" s="1" t="s">
        <v>13</v>
      </c>
      <c r="I4857" s="1" t="s">
        <v>13</v>
      </c>
      <c r="J4857" s="1" t="s">
        <v>25</v>
      </c>
      <c r="K4857" s="1">
        <v>0</v>
      </c>
      <c r="L4857" s="1" t="s">
        <v>23</v>
      </c>
      <c r="M4857" s="1" t="str">
        <f t="shared" si="76"/>
        <v>Consistent</v>
      </c>
      <c r="N4857" s="1" t="str">
        <f>_xlfn.XLOOKUP(H4857, risk_score!A:A, risk_score!B:B, 0)</f>
        <v>Low Risk</v>
      </c>
    </row>
    <row r="4858" spans="1:14">
      <c r="A4858" s="2">
        <v>0.56759259259259254</v>
      </c>
      <c r="B4858" s="3">
        <v>44841</v>
      </c>
      <c r="C4858" s="1">
        <v>3238526156</v>
      </c>
      <c r="D4858" s="1">
        <v>1465487567</v>
      </c>
      <c r="E4858" s="1">
        <v>21334.53</v>
      </c>
      <c r="F4858" s="1" t="s">
        <v>12</v>
      </c>
      <c r="G4858" s="1" t="s">
        <v>12</v>
      </c>
      <c r="H4858" s="1" t="s">
        <v>13</v>
      </c>
      <c r="I4858" s="1" t="s">
        <v>13</v>
      </c>
      <c r="J4858" s="1" t="s">
        <v>25</v>
      </c>
      <c r="K4858" s="1">
        <v>0</v>
      </c>
      <c r="L4858" s="1" t="s">
        <v>23</v>
      </c>
      <c r="M4858" s="1" t="str">
        <f t="shared" si="76"/>
        <v>Consistent</v>
      </c>
      <c r="N4858" s="1" t="str">
        <f>_xlfn.XLOOKUP(H4858, risk_score!A:A, risk_score!B:B, 0)</f>
        <v>Low Risk</v>
      </c>
    </row>
    <row r="4859" spans="1:14">
      <c r="A4859" s="2">
        <v>0.56760416666666669</v>
      </c>
      <c r="B4859" s="3">
        <v>44841</v>
      </c>
      <c r="C4859" s="1">
        <v>9150557588</v>
      </c>
      <c r="D4859" s="1">
        <v>3575556808</v>
      </c>
      <c r="E4859" s="1">
        <v>4469.71</v>
      </c>
      <c r="F4859" s="1" t="s">
        <v>12</v>
      </c>
      <c r="G4859" s="1" t="s">
        <v>12</v>
      </c>
      <c r="H4859" s="1" t="s">
        <v>13</v>
      </c>
      <c r="I4859" s="1" t="s">
        <v>13</v>
      </c>
      <c r="J4859" s="1" t="s">
        <v>27</v>
      </c>
      <c r="K4859" s="1">
        <v>0</v>
      </c>
      <c r="L4859" s="1" t="s">
        <v>21</v>
      </c>
      <c r="M4859" s="1" t="str">
        <f t="shared" si="76"/>
        <v>Consistent</v>
      </c>
      <c r="N4859" s="1" t="str">
        <f>_xlfn.XLOOKUP(H4859, risk_score!A:A, risk_score!B:B, 0)</f>
        <v>Low Risk</v>
      </c>
    </row>
    <row r="4860" spans="1:14">
      <c r="A4860" s="2">
        <v>0.56762731481481477</v>
      </c>
      <c r="B4860" s="3">
        <v>44841</v>
      </c>
      <c r="C4860" s="1">
        <v>4117755003</v>
      </c>
      <c r="D4860" s="1">
        <v>6646502650</v>
      </c>
      <c r="E4860" s="1">
        <v>8452.94</v>
      </c>
      <c r="F4860" s="1" t="s">
        <v>12</v>
      </c>
      <c r="G4860" s="1" t="s">
        <v>29</v>
      </c>
      <c r="H4860" s="1" t="s">
        <v>13</v>
      </c>
      <c r="I4860" s="1" t="s">
        <v>31</v>
      </c>
      <c r="J4860" s="1" t="s">
        <v>18</v>
      </c>
      <c r="K4860" s="1">
        <v>0</v>
      </c>
      <c r="L4860" s="1" t="s">
        <v>23</v>
      </c>
      <c r="M4860" s="1" t="str">
        <f t="shared" si="76"/>
        <v>Potential Layering</v>
      </c>
      <c r="N4860" s="1" t="str">
        <f>_xlfn.XLOOKUP(H4860, risk_score!A:A, risk_score!B:B, 0)</f>
        <v>Low Risk</v>
      </c>
    </row>
    <row r="4861" spans="1:14">
      <c r="A4861" s="2">
        <v>0.56765046296296295</v>
      </c>
      <c r="B4861" s="3">
        <v>44841</v>
      </c>
      <c r="C4861" s="1">
        <v>8926735331</v>
      </c>
      <c r="D4861" s="1">
        <v>5388503676</v>
      </c>
      <c r="E4861" s="1">
        <v>15494.56</v>
      </c>
      <c r="F4861" s="1" t="s">
        <v>12</v>
      </c>
      <c r="G4861" s="1" t="s">
        <v>12</v>
      </c>
      <c r="H4861" s="1" t="s">
        <v>13</v>
      </c>
      <c r="I4861" s="1" t="s">
        <v>13</v>
      </c>
      <c r="J4861" s="1" t="s">
        <v>20</v>
      </c>
      <c r="K4861" s="1">
        <v>0</v>
      </c>
      <c r="L4861" s="1" t="s">
        <v>21</v>
      </c>
      <c r="M4861" s="1" t="str">
        <f t="shared" si="76"/>
        <v>Consistent</v>
      </c>
      <c r="N4861" s="1" t="str">
        <f>_xlfn.XLOOKUP(H4861, risk_score!A:A, risk_score!B:B, 0)</f>
        <v>Low Risk</v>
      </c>
    </row>
    <row r="4862" spans="1:14">
      <c r="A4862" s="2">
        <v>0.56769675925925922</v>
      </c>
      <c r="B4862" s="3">
        <v>44841</v>
      </c>
      <c r="C4862" s="1">
        <v>5982914936</v>
      </c>
      <c r="D4862" s="1">
        <v>7950918410</v>
      </c>
      <c r="E4862" s="1">
        <v>10135.64</v>
      </c>
      <c r="F4862" s="1" t="s">
        <v>12</v>
      </c>
      <c r="G4862" s="1" t="s">
        <v>12</v>
      </c>
      <c r="H4862" s="1" t="s">
        <v>13</v>
      </c>
      <c r="I4862" s="1" t="s">
        <v>13</v>
      </c>
      <c r="J4862" s="1" t="s">
        <v>20</v>
      </c>
      <c r="K4862" s="1">
        <v>0</v>
      </c>
      <c r="L4862" s="1" t="s">
        <v>19</v>
      </c>
      <c r="M4862" s="1" t="str">
        <f t="shared" si="76"/>
        <v>Consistent</v>
      </c>
      <c r="N4862" s="1" t="str">
        <f>_xlfn.XLOOKUP(H4862, risk_score!A:A, risk_score!B:B, 0)</f>
        <v>Low Risk</v>
      </c>
    </row>
    <row r="4863" spans="1:14">
      <c r="A4863" s="2">
        <v>0.56770833333333337</v>
      </c>
      <c r="B4863" s="3">
        <v>44841</v>
      </c>
      <c r="C4863" s="1">
        <v>675669049</v>
      </c>
      <c r="D4863" s="1">
        <v>3559090340</v>
      </c>
      <c r="E4863" s="1">
        <v>11076.58</v>
      </c>
      <c r="F4863" s="1" t="s">
        <v>12</v>
      </c>
      <c r="G4863" s="1" t="s">
        <v>12</v>
      </c>
      <c r="H4863" s="1" t="s">
        <v>13</v>
      </c>
      <c r="I4863" s="1" t="s">
        <v>13</v>
      </c>
      <c r="J4863" s="1" t="s">
        <v>27</v>
      </c>
      <c r="K4863" s="1">
        <v>0</v>
      </c>
      <c r="L4863" s="1" t="s">
        <v>19</v>
      </c>
      <c r="M4863" s="1" t="str">
        <f t="shared" ref="M4863:M4926" si="77">IF(F4863=G4863, "Consistent", "Potential Layering")</f>
        <v>Consistent</v>
      </c>
      <c r="N4863" s="1" t="str">
        <f>_xlfn.XLOOKUP(H4863, risk_score!A:A, risk_score!B:B, 0)</f>
        <v>Low Risk</v>
      </c>
    </row>
    <row r="4864" spans="1:14">
      <c r="A4864" s="2">
        <v>0.56770833333333337</v>
      </c>
      <c r="B4864" s="3">
        <v>44841</v>
      </c>
      <c r="C4864" s="1">
        <v>4924839218</v>
      </c>
      <c r="D4864" s="1">
        <v>8660976387</v>
      </c>
      <c r="E4864" s="1">
        <v>685.97</v>
      </c>
      <c r="F4864" s="1" t="s">
        <v>12</v>
      </c>
      <c r="G4864" s="1" t="s">
        <v>12</v>
      </c>
      <c r="H4864" s="1" t="s">
        <v>13</v>
      </c>
      <c r="I4864" s="1" t="s">
        <v>13</v>
      </c>
      <c r="J4864" s="1" t="s">
        <v>22</v>
      </c>
      <c r="K4864" s="1">
        <v>0</v>
      </c>
      <c r="L4864" s="1" t="s">
        <v>21</v>
      </c>
      <c r="M4864" s="1" t="str">
        <f t="shared" si="77"/>
        <v>Consistent</v>
      </c>
      <c r="N4864" s="1" t="str">
        <f>_xlfn.XLOOKUP(H4864, risk_score!A:A, risk_score!B:B, 0)</f>
        <v>Low Risk</v>
      </c>
    </row>
    <row r="4865" spans="1:14">
      <c r="A4865" s="2">
        <v>0.5677430555555556</v>
      </c>
      <c r="B4865" s="3">
        <v>44841</v>
      </c>
      <c r="C4865" s="1">
        <v>9165074186</v>
      </c>
      <c r="D4865" s="1">
        <v>3695545812</v>
      </c>
      <c r="E4865" s="1">
        <v>7323.98</v>
      </c>
      <c r="F4865" s="1" t="s">
        <v>12</v>
      </c>
      <c r="G4865" s="1" t="s">
        <v>12</v>
      </c>
      <c r="H4865" s="1" t="s">
        <v>13</v>
      </c>
      <c r="I4865" s="1" t="s">
        <v>13</v>
      </c>
      <c r="J4865" s="1" t="s">
        <v>27</v>
      </c>
      <c r="K4865" s="1">
        <v>0</v>
      </c>
      <c r="L4865" s="1" t="s">
        <v>23</v>
      </c>
      <c r="M4865" s="1" t="str">
        <f t="shared" si="77"/>
        <v>Consistent</v>
      </c>
      <c r="N4865" s="1" t="str">
        <f>_xlfn.XLOOKUP(H4865, risk_score!A:A, risk_score!B:B, 0)</f>
        <v>Low Risk</v>
      </c>
    </row>
    <row r="4866" spans="1:14">
      <c r="A4866" s="2">
        <v>0.56781250000000005</v>
      </c>
      <c r="B4866" s="3">
        <v>44841</v>
      </c>
      <c r="C4866" s="1">
        <v>1226944129</v>
      </c>
      <c r="D4866" s="1">
        <v>2534644942</v>
      </c>
      <c r="E4866" s="1">
        <v>13142.19</v>
      </c>
      <c r="F4866" s="1" t="s">
        <v>12</v>
      </c>
      <c r="G4866" s="1" t="s">
        <v>29</v>
      </c>
      <c r="H4866" s="1" t="s">
        <v>13</v>
      </c>
      <c r="I4866" s="1" t="s">
        <v>31</v>
      </c>
      <c r="J4866" s="1" t="s">
        <v>18</v>
      </c>
      <c r="K4866" s="1">
        <v>0</v>
      </c>
      <c r="L4866" s="1" t="s">
        <v>23</v>
      </c>
      <c r="M4866" s="1" t="str">
        <f t="shared" si="77"/>
        <v>Potential Layering</v>
      </c>
      <c r="N4866" s="1" t="str">
        <f>_xlfn.XLOOKUP(H4866, risk_score!A:A, risk_score!B:B, 0)</f>
        <v>Low Risk</v>
      </c>
    </row>
    <row r="4867" spans="1:14">
      <c r="A4867" s="2">
        <v>0.56783564814814813</v>
      </c>
      <c r="B4867" s="3">
        <v>44841</v>
      </c>
      <c r="C4867" s="1">
        <v>4148629162</v>
      </c>
      <c r="D4867" s="1">
        <v>1269866409</v>
      </c>
      <c r="E4867" s="1">
        <v>5845.44</v>
      </c>
      <c r="F4867" s="1" t="s">
        <v>12</v>
      </c>
      <c r="G4867" s="1" t="s">
        <v>39</v>
      </c>
      <c r="H4867" s="1" t="s">
        <v>13</v>
      </c>
      <c r="I4867" s="1" t="s">
        <v>40</v>
      </c>
      <c r="J4867" s="1" t="s">
        <v>18</v>
      </c>
      <c r="K4867" s="1">
        <v>0</v>
      </c>
      <c r="L4867" s="1" t="s">
        <v>21</v>
      </c>
      <c r="M4867" s="1" t="str">
        <f t="shared" si="77"/>
        <v>Potential Layering</v>
      </c>
      <c r="N4867" s="1" t="str">
        <f>_xlfn.XLOOKUP(H4867, risk_score!A:A, risk_score!B:B, 0)</f>
        <v>Low Risk</v>
      </c>
    </row>
    <row r="4868" spans="1:14">
      <c r="A4868" s="2">
        <v>0.56784722222222217</v>
      </c>
      <c r="B4868" s="3">
        <v>44841</v>
      </c>
      <c r="C4868" s="1">
        <v>675669049</v>
      </c>
      <c r="D4868" s="1">
        <v>6705037126</v>
      </c>
      <c r="E4868" s="1">
        <v>10814.32</v>
      </c>
      <c r="F4868" s="1" t="s">
        <v>12</v>
      </c>
      <c r="G4868" s="1" t="s">
        <v>12</v>
      </c>
      <c r="H4868" s="1" t="s">
        <v>13</v>
      </c>
      <c r="I4868" s="1" t="s">
        <v>13</v>
      </c>
      <c r="J4868" s="1" t="s">
        <v>22</v>
      </c>
      <c r="K4868" s="1">
        <v>0</v>
      </c>
      <c r="L4868" s="1" t="s">
        <v>19</v>
      </c>
      <c r="M4868" s="1" t="str">
        <f t="shared" si="77"/>
        <v>Consistent</v>
      </c>
      <c r="N4868" s="1" t="str">
        <f>_xlfn.XLOOKUP(H4868, risk_score!A:A, risk_score!B:B, 0)</f>
        <v>Low Risk</v>
      </c>
    </row>
    <row r="4869" spans="1:14">
      <c r="A4869" s="2">
        <v>0.56791666666666663</v>
      </c>
      <c r="B4869" s="3">
        <v>44841</v>
      </c>
      <c r="C4869" s="1">
        <v>6086421020</v>
      </c>
      <c r="D4869" s="1">
        <v>5888689265</v>
      </c>
      <c r="E4869" s="1">
        <v>9050.51</v>
      </c>
      <c r="F4869" s="1" t="s">
        <v>12</v>
      </c>
      <c r="G4869" s="1" t="s">
        <v>12</v>
      </c>
      <c r="H4869" s="1" t="s">
        <v>13</v>
      </c>
      <c r="I4869" s="1" t="s">
        <v>13</v>
      </c>
      <c r="J4869" s="1" t="s">
        <v>25</v>
      </c>
      <c r="K4869" s="1">
        <v>0</v>
      </c>
      <c r="L4869" s="1" t="s">
        <v>19</v>
      </c>
      <c r="M4869" s="1" t="str">
        <f t="shared" si="77"/>
        <v>Consistent</v>
      </c>
      <c r="N4869" s="1" t="str">
        <f>_xlfn.XLOOKUP(H4869, risk_score!A:A, risk_score!B:B, 0)</f>
        <v>Low Risk</v>
      </c>
    </row>
    <row r="4870" spans="1:14">
      <c r="A4870" s="2">
        <v>0.56793981481481481</v>
      </c>
      <c r="B4870" s="3">
        <v>44841</v>
      </c>
      <c r="C4870" s="1">
        <v>2921862078</v>
      </c>
      <c r="D4870" s="1">
        <v>5708936901</v>
      </c>
      <c r="E4870" s="1">
        <v>9698.01</v>
      </c>
      <c r="F4870" s="1" t="s">
        <v>12</v>
      </c>
      <c r="G4870" s="1" t="s">
        <v>12</v>
      </c>
      <c r="H4870" s="1" t="s">
        <v>13</v>
      </c>
      <c r="I4870" s="1" t="s">
        <v>13</v>
      </c>
      <c r="J4870" s="1" t="s">
        <v>27</v>
      </c>
      <c r="K4870" s="1">
        <v>0</v>
      </c>
      <c r="L4870" s="1" t="s">
        <v>23</v>
      </c>
      <c r="M4870" s="1" t="str">
        <f t="shared" si="77"/>
        <v>Consistent</v>
      </c>
      <c r="N4870" s="1" t="str">
        <f>_xlfn.XLOOKUP(H4870, risk_score!A:A, risk_score!B:B, 0)</f>
        <v>Low Risk</v>
      </c>
    </row>
    <row r="4871" spans="1:14">
      <c r="A4871" s="2">
        <v>0.56798611111111108</v>
      </c>
      <c r="B4871" s="3">
        <v>44841</v>
      </c>
      <c r="C4871" s="1">
        <v>6465569488</v>
      </c>
      <c r="D4871" s="1">
        <v>9110195020</v>
      </c>
      <c r="E4871" s="1">
        <v>895.31</v>
      </c>
      <c r="F4871" s="1" t="s">
        <v>12</v>
      </c>
      <c r="G4871" s="1" t="s">
        <v>32</v>
      </c>
      <c r="H4871" s="1" t="s">
        <v>13</v>
      </c>
      <c r="I4871" s="1" t="s">
        <v>33</v>
      </c>
      <c r="J4871" s="1" t="s">
        <v>18</v>
      </c>
      <c r="K4871" s="1">
        <v>0</v>
      </c>
      <c r="L4871" s="1" t="s">
        <v>21</v>
      </c>
      <c r="M4871" s="1" t="str">
        <f t="shared" si="77"/>
        <v>Potential Layering</v>
      </c>
      <c r="N4871" s="1" t="str">
        <f>_xlfn.XLOOKUP(H4871, risk_score!A:A, risk_score!B:B, 0)</f>
        <v>Low Risk</v>
      </c>
    </row>
    <row r="4872" spans="1:14">
      <c r="A4872" s="2">
        <v>0.56805555555555554</v>
      </c>
      <c r="B4872" s="3">
        <v>44841</v>
      </c>
      <c r="C4872" s="1">
        <v>9534729015</v>
      </c>
      <c r="D4872" s="1">
        <v>7689295746</v>
      </c>
      <c r="E4872" s="1">
        <v>5402.64</v>
      </c>
      <c r="F4872" s="1" t="s">
        <v>12</v>
      </c>
      <c r="G4872" s="1" t="s">
        <v>12</v>
      </c>
      <c r="H4872" s="1" t="s">
        <v>13</v>
      </c>
      <c r="I4872" s="1" t="s">
        <v>13</v>
      </c>
      <c r="J4872" s="1" t="s">
        <v>27</v>
      </c>
      <c r="K4872" s="1">
        <v>0</v>
      </c>
      <c r="L4872" s="1" t="s">
        <v>19</v>
      </c>
      <c r="M4872" s="1" t="str">
        <f t="shared" si="77"/>
        <v>Consistent</v>
      </c>
      <c r="N4872" s="1" t="str">
        <f>_xlfn.XLOOKUP(H4872, risk_score!A:A, risk_score!B:B, 0)</f>
        <v>Low Risk</v>
      </c>
    </row>
    <row r="4873" spans="1:14">
      <c r="A4873" s="2">
        <v>0.56807870370370372</v>
      </c>
      <c r="B4873" s="3">
        <v>44841</v>
      </c>
      <c r="C4873" s="1">
        <v>5982914936</v>
      </c>
      <c r="D4873" s="1">
        <v>7950918410</v>
      </c>
      <c r="E4873" s="1">
        <v>10102.09</v>
      </c>
      <c r="F4873" s="1" t="s">
        <v>12</v>
      </c>
      <c r="G4873" s="1" t="s">
        <v>12</v>
      </c>
      <c r="H4873" s="1" t="s">
        <v>13</v>
      </c>
      <c r="I4873" s="1" t="s">
        <v>13</v>
      </c>
      <c r="J4873" s="1" t="s">
        <v>25</v>
      </c>
      <c r="K4873" s="1">
        <v>0</v>
      </c>
      <c r="L4873" s="1" t="s">
        <v>19</v>
      </c>
      <c r="M4873" s="1" t="str">
        <f t="shared" si="77"/>
        <v>Consistent</v>
      </c>
      <c r="N4873" s="1" t="str">
        <f>_xlfn.XLOOKUP(H4873, risk_score!A:A, risk_score!B:B, 0)</f>
        <v>Low Risk</v>
      </c>
    </row>
    <row r="4874" spans="1:14">
      <c r="A4874" s="2">
        <v>0.56809027777777776</v>
      </c>
      <c r="B4874" s="3">
        <v>44841</v>
      </c>
      <c r="C4874" s="1">
        <v>7157996321</v>
      </c>
      <c r="D4874" s="1">
        <v>7248207165</v>
      </c>
      <c r="E4874" s="1">
        <v>1314.76</v>
      </c>
      <c r="F4874" s="1" t="s">
        <v>12</v>
      </c>
      <c r="G4874" s="1" t="s">
        <v>16</v>
      </c>
      <c r="H4874" s="1" t="s">
        <v>13</v>
      </c>
      <c r="I4874" s="1" t="s">
        <v>17</v>
      </c>
      <c r="J4874" s="1" t="s">
        <v>18</v>
      </c>
      <c r="K4874" s="1">
        <v>0</v>
      </c>
      <c r="L4874" s="1" t="s">
        <v>21</v>
      </c>
      <c r="M4874" s="1" t="str">
        <f t="shared" si="77"/>
        <v>Potential Layering</v>
      </c>
      <c r="N4874" s="1" t="str">
        <f>_xlfn.XLOOKUP(H4874, risk_score!A:A, risk_score!B:B, 0)</f>
        <v>Low Risk</v>
      </c>
    </row>
    <row r="4875" spans="1:14">
      <c r="A4875" s="2">
        <v>0.5681018518518518</v>
      </c>
      <c r="B4875" s="3">
        <v>44841</v>
      </c>
      <c r="C4875" s="1">
        <v>5336971793</v>
      </c>
      <c r="D4875" s="1">
        <v>109860175</v>
      </c>
      <c r="E4875" s="1">
        <v>335.97</v>
      </c>
      <c r="F4875" s="1" t="s">
        <v>12</v>
      </c>
      <c r="G4875" s="1" t="s">
        <v>12</v>
      </c>
      <c r="H4875" s="1" t="s">
        <v>13</v>
      </c>
      <c r="I4875" s="1" t="s">
        <v>13</v>
      </c>
      <c r="J4875" s="1" t="s">
        <v>36</v>
      </c>
      <c r="K4875" s="1">
        <v>0</v>
      </c>
      <c r="L4875" s="1" t="s">
        <v>37</v>
      </c>
      <c r="M4875" s="1" t="str">
        <f t="shared" si="77"/>
        <v>Consistent</v>
      </c>
      <c r="N4875" s="1" t="str">
        <f>_xlfn.XLOOKUP(H4875, risk_score!A:A, risk_score!B:B, 0)</f>
        <v>Low Risk</v>
      </c>
    </row>
    <row r="4876" spans="1:14">
      <c r="A4876" s="2">
        <v>0.5681018518518518</v>
      </c>
      <c r="B4876" s="3">
        <v>44841</v>
      </c>
      <c r="C4876" s="1">
        <v>8686333670</v>
      </c>
      <c r="D4876" s="1">
        <v>7006170604</v>
      </c>
      <c r="E4876" s="1">
        <v>1123.31</v>
      </c>
      <c r="F4876" s="1" t="s">
        <v>12</v>
      </c>
      <c r="G4876" s="1" t="s">
        <v>12</v>
      </c>
      <c r="H4876" s="1" t="s">
        <v>13</v>
      </c>
      <c r="I4876" s="1" t="s">
        <v>13</v>
      </c>
      <c r="J4876" s="1" t="s">
        <v>22</v>
      </c>
      <c r="K4876" s="1">
        <v>0</v>
      </c>
      <c r="L4876" s="1" t="s">
        <v>24</v>
      </c>
      <c r="M4876" s="1" t="str">
        <f t="shared" si="77"/>
        <v>Consistent</v>
      </c>
      <c r="N4876" s="1" t="str">
        <f>_xlfn.XLOOKUP(H4876, risk_score!A:A, risk_score!B:B, 0)</f>
        <v>Low Risk</v>
      </c>
    </row>
    <row r="4877" spans="1:14">
      <c r="A4877" s="2">
        <v>0.56812499999999999</v>
      </c>
      <c r="B4877" s="3">
        <v>44841</v>
      </c>
      <c r="C4877" s="1">
        <v>4875006777</v>
      </c>
      <c r="D4877" s="1">
        <v>5806354845</v>
      </c>
      <c r="E4877" s="1">
        <v>2276.9</v>
      </c>
      <c r="F4877" s="1" t="s">
        <v>12</v>
      </c>
      <c r="G4877" s="1" t="s">
        <v>12</v>
      </c>
      <c r="H4877" s="1" t="s">
        <v>13</v>
      </c>
      <c r="I4877" s="1" t="s">
        <v>13</v>
      </c>
      <c r="J4877" s="1" t="s">
        <v>22</v>
      </c>
      <c r="K4877" s="1">
        <v>0</v>
      </c>
      <c r="L4877" s="1" t="s">
        <v>21</v>
      </c>
      <c r="M4877" s="1" t="str">
        <f t="shared" si="77"/>
        <v>Consistent</v>
      </c>
      <c r="N4877" s="1" t="str">
        <f>_xlfn.XLOOKUP(H4877, risk_score!A:A, risk_score!B:B, 0)</f>
        <v>Low Risk</v>
      </c>
    </row>
    <row r="4878" spans="1:14">
      <c r="A4878" s="2">
        <v>0.56812499999999999</v>
      </c>
      <c r="B4878" s="3">
        <v>44841</v>
      </c>
      <c r="C4878" s="1">
        <v>841171611</v>
      </c>
      <c r="D4878" s="1">
        <v>8172080174</v>
      </c>
      <c r="E4878" s="1">
        <v>9294.5</v>
      </c>
      <c r="F4878" s="1" t="s">
        <v>12</v>
      </c>
      <c r="G4878" s="1" t="s">
        <v>12</v>
      </c>
      <c r="H4878" s="1" t="s">
        <v>13</v>
      </c>
      <c r="I4878" s="1" t="s">
        <v>13</v>
      </c>
      <c r="J4878" s="1" t="s">
        <v>25</v>
      </c>
      <c r="K4878" s="1">
        <v>0</v>
      </c>
      <c r="L4878" s="1" t="s">
        <v>23</v>
      </c>
      <c r="M4878" s="1" t="str">
        <f t="shared" si="77"/>
        <v>Consistent</v>
      </c>
      <c r="N4878" s="1" t="str">
        <f>_xlfn.XLOOKUP(H4878, risk_score!A:A, risk_score!B:B, 0)</f>
        <v>Low Risk</v>
      </c>
    </row>
    <row r="4879" spans="1:14">
      <c r="A4879" s="2">
        <v>0.56817129629629626</v>
      </c>
      <c r="B4879" s="3">
        <v>44841</v>
      </c>
      <c r="C4879" s="1">
        <v>8957544287</v>
      </c>
      <c r="D4879" s="1">
        <v>5858369125</v>
      </c>
      <c r="E4879" s="1">
        <v>13166.3</v>
      </c>
      <c r="F4879" s="1" t="s">
        <v>12</v>
      </c>
      <c r="G4879" s="1" t="s">
        <v>12</v>
      </c>
      <c r="H4879" s="1" t="s">
        <v>13</v>
      </c>
      <c r="I4879" s="1" t="s">
        <v>13</v>
      </c>
      <c r="J4879" s="1" t="s">
        <v>27</v>
      </c>
      <c r="K4879" s="1">
        <v>0</v>
      </c>
      <c r="L4879" s="1" t="s">
        <v>23</v>
      </c>
      <c r="M4879" s="1" t="str">
        <f t="shared" si="77"/>
        <v>Consistent</v>
      </c>
      <c r="N4879" s="1" t="str">
        <f>_xlfn.XLOOKUP(H4879, risk_score!A:A, risk_score!B:B, 0)</f>
        <v>Low Risk</v>
      </c>
    </row>
    <row r="4880" spans="1:14">
      <c r="A4880" s="2">
        <v>0.56818287037037041</v>
      </c>
      <c r="B4880" s="3">
        <v>44841</v>
      </c>
      <c r="C4880" s="1">
        <v>9408251254</v>
      </c>
      <c r="D4880" s="1">
        <v>5812509123</v>
      </c>
      <c r="E4880" s="1">
        <v>3949.53</v>
      </c>
      <c r="F4880" s="1" t="s">
        <v>12</v>
      </c>
      <c r="G4880" s="1" t="s">
        <v>12</v>
      </c>
      <c r="H4880" s="1" t="s">
        <v>13</v>
      </c>
      <c r="I4880" s="1" t="s">
        <v>13</v>
      </c>
      <c r="J4880" s="1" t="s">
        <v>27</v>
      </c>
      <c r="K4880" s="1">
        <v>0</v>
      </c>
      <c r="L4880" s="1" t="s">
        <v>21</v>
      </c>
      <c r="M4880" s="1" t="str">
        <f t="shared" si="77"/>
        <v>Consistent</v>
      </c>
      <c r="N4880" s="1" t="str">
        <f>_xlfn.XLOOKUP(H4880, risk_score!A:A, risk_score!B:B, 0)</f>
        <v>Low Risk</v>
      </c>
    </row>
    <row r="4881" spans="1:14">
      <c r="A4881" s="2">
        <v>0.56818287037037041</v>
      </c>
      <c r="B4881" s="3">
        <v>44841</v>
      </c>
      <c r="C4881" s="1">
        <v>4940640194</v>
      </c>
      <c r="D4881" s="1">
        <v>351184098</v>
      </c>
      <c r="E4881" s="1">
        <v>1933.97</v>
      </c>
      <c r="F4881" s="1" t="s">
        <v>12</v>
      </c>
      <c r="G4881" s="1" t="s">
        <v>12</v>
      </c>
      <c r="H4881" s="1" t="s">
        <v>13</v>
      </c>
      <c r="I4881" s="1" t="s">
        <v>13</v>
      </c>
      <c r="J4881" s="1" t="s">
        <v>27</v>
      </c>
      <c r="K4881" s="1">
        <v>0</v>
      </c>
      <c r="L4881" s="1" t="s">
        <v>24</v>
      </c>
      <c r="M4881" s="1" t="str">
        <f t="shared" si="77"/>
        <v>Consistent</v>
      </c>
      <c r="N4881" s="1" t="str">
        <f>_xlfn.XLOOKUP(H4881, risk_score!A:A, risk_score!B:B, 0)</f>
        <v>Low Risk</v>
      </c>
    </row>
    <row r="4882" spans="1:14">
      <c r="A4882" s="2">
        <v>0.56824074074074071</v>
      </c>
      <c r="B4882" s="3">
        <v>44841</v>
      </c>
      <c r="C4882" s="1">
        <v>3510078932</v>
      </c>
      <c r="D4882" s="1">
        <v>360722730</v>
      </c>
      <c r="E4882" s="1">
        <v>10389.27</v>
      </c>
      <c r="F4882" s="1" t="s">
        <v>12</v>
      </c>
      <c r="G4882" s="1" t="s">
        <v>12</v>
      </c>
      <c r="H4882" s="1" t="s">
        <v>13</v>
      </c>
      <c r="I4882" s="1" t="s">
        <v>13</v>
      </c>
      <c r="J4882" s="1" t="s">
        <v>20</v>
      </c>
      <c r="K4882" s="1">
        <v>0</v>
      </c>
      <c r="L4882" s="1" t="s">
        <v>19</v>
      </c>
      <c r="M4882" s="1" t="str">
        <f t="shared" si="77"/>
        <v>Consistent</v>
      </c>
      <c r="N4882" s="1" t="str">
        <f>_xlfn.XLOOKUP(H4882, risk_score!A:A, risk_score!B:B, 0)</f>
        <v>Low Risk</v>
      </c>
    </row>
    <row r="4883" spans="1:14">
      <c r="A4883" s="2">
        <v>0.56824074074074071</v>
      </c>
      <c r="B4883" s="3">
        <v>44841</v>
      </c>
      <c r="C4883" s="1">
        <v>1505686023</v>
      </c>
      <c r="D4883" s="1">
        <v>8678802420</v>
      </c>
      <c r="E4883" s="1">
        <v>5490.89</v>
      </c>
      <c r="F4883" s="1" t="s">
        <v>12</v>
      </c>
      <c r="G4883" s="1" t="s">
        <v>12</v>
      </c>
      <c r="H4883" s="1" t="s">
        <v>13</v>
      </c>
      <c r="I4883" s="1" t="s">
        <v>13</v>
      </c>
      <c r="J4883" s="1" t="s">
        <v>22</v>
      </c>
      <c r="K4883" s="1">
        <v>0</v>
      </c>
      <c r="L4883" s="1" t="s">
        <v>23</v>
      </c>
      <c r="M4883" s="1" t="str">
        <f t="shared" si="77"/>
        <v>Consistent</v>
      </c>
      <c r="N4883" s="1" t="str">
        <f>_xlfn.XLOOKUP(H4883, risk_score!A:A, risk_score!B:B, 0)</f>
        <v>Low Risk</v>
      </c>
    </row>
    <row r="4884" spans="1:14">
      <c r="A4884" s="2">
        <v>0.56825231481481486</v>
      </c>
      <c r="B4884" s="3">
        <v>44841</v>
      </c>
      <c r="C4884" s="1">
        <v>675669049</v>
      </c>
      <c r="D4884" s="1">
        <v>8956282059</v>
      </c>
      <c r="E4884" s="1">
        <v>4592.1099999999997</v>
      </c>
      <c r="F4884" s="1" t="s">
        <v>12</v>
      </c>
      <c r="G4884" s="1" t="s">
        <v>12</v>
      </c>
      <c r="H4884" s="1" t="s">
        <v>13</v>
      </c>
      <c r="I4884" s="1" t="s">
        <v>13</v>
      </c>
      <c r="J4884" s="1" t="s">
        <v>25</v>
      </c>
      <c r="K4884" s="1">
        <v>0</v>
      </c>
      <c r="L4884" s="1" t="s">
        <v>19</v>
      </c>
      <c r="M4884" s="1" t="str">
        <f t="shared" si="77"/>
        <v>Consistent</v>
      </c>
      <c r="N4884" s="1" t="str">
        <f>_xlfn.XLOOKUP(H4884, risk_score!A:A, risk_score!B:B, 0)</f>
        <v>Low Risk</v>
      </c>
    </row>
    <row r="4885" spans="1:14">
      <c r="A4885" s="2">
        <v>0.56831018518518517</v>
      </c>
      <c r="B4885" s="3">
        <v>44841</v>
      </c>
      <c r="C4885" s="1">
        <v>2450448709</v>
      </c>
      <c r="D4885" s="1">
        <v>129220260</v>
      </c>
      <c r="E4885" s="1">
        <v>3648.26</v>
      </c>
      <c r="F4885" s="1" t="s">
        <v>12</v>
      </c>
      <c r="G4885" s="1" t="s">
        <v>12</v>
      </c>
      <c r="H4885" s="1" t="s">
        <v>13</v>
      </c>
      <c r="I4885" s="1" t="s">
        <v>13</v>
      </c>
      <c r="J4885" s="1" t="s">
        <v>27</v>
      </c>
      <c r="K4885" s="1">
        <v>0</v>
      </c>
      <c r="L4885" s="1" t="s">
        <v>21</v>
      </c>
      <c r="M4885" s="1" t="str">
        <f t="shared" si="77"/>
        <v>Consistent</v>
      </c>
      <c r="N4885" s="1" t="str">
        <f>_xlfn.XLOOKUP(H4885, risk_score!A:A, risk_score!B:B, 0)</f>
        <v>Low Risk</v>
      </c>
    </row>
    <row r="4886" spans="1:14">
      <c r="A4886" s="2">
        <v>0.56831018518518517</v>
      </c>
      <c r="B4886" s="3">
        <v>44841</v>
      </c>
      <c r="C4886" s="1">
        <v>7096762618</v>
      </c>
      <c r="D4886" s="1">
        <v>5628674969</v>
      </c>
      <c r="E4886" s="1">
        <v>5109.04</v>
      </c>
      <c r="F4886" s="1" t="s">
        <v>12</v>
      </c>
      <c r="G4886" s="1" t="s">
        <v>12</v>
      </c>
      <c r="H4886" s="1" t="s">
        <v>13</v>
      </c>
      <c r="I4886" s="1" t="s">
        <v>13</v>
      </c>
      <c r="J4886" s="1" t="s">
        <v>22</v>
      </c>
      <c r="K4886" s="1">
        <v>0</v>
      </c>
      <c r="L4886" s="1" t="s">
        <v>23</v>
      </c>
      <c r="M4886" s="1" t="str">
        <f t="shared" si="77"/>
        <v>Consistent</v>
      </c>
      <c r="N4886" s="1" t="str">
        <f>_xlfn.XLOOKUP(H4886, risk_score!A:A, risk_score!B:B, 0)</f>
        <v>Low Risk</v>
      </c>
    </row>
    <row r="4887" spans="1:14">
      <c r="A4887" s="2">
        <v>0.5683449074074074</v>
      </c>
      <c r="B4887" s="3">
        <v>44841</v>
      </c>
      <c r="C4887" s="1">
        <v>4670225407</v>
      </c>
      <c r="D4887" s="1">
        <v>302893104</v>
      </c>
      <c r="E4887" s="1">
        <v>2647.87</v>
      </c>
      <c r="F4887" s="1" t="s">
        <v>12</v>
      </c>
      <c r="G4887" s="1" t="s">
        <v>12</v>
      </c>
      <c r="H4887" s="1" t="s">
        <v>13</v>
      </c>
      <c r="I4887" s="1" t="s">
        <v>13</v>
      </c>
      <c r="J4887" s="1" t="s">
        <v>27</v>
      </c>
      <c r="K4887" s="1">
        <v>0</v>
      </c>
      <c r="L4887" s="1" t="s">
        <v>21</v>
      </c>
      <c r="M4887" s="1" t="str">
        <f t="shared" si="77"/>
        <v>Consistent</v>
      </c>
      <c r="N4887" s="1" t="str">
        <f>_xlfn.XLOOKUP(H4887, risk_score!A:A, risk_score!B:B, 0)</f>
        <v>Low Risk</v>
      </c>
    </row>
    <row r="4888" spans="1:14">
      <c r="A4888" s="2">
        <v>0.56840277777777781</v>
      </c>
      <c r="B4888" s="3">
        <v>44841</v>
      </c>
      <c r="C4888" s="1">
        <v>6580463029</v>
      </c>
      <c r="D4888" s="1">
        <v>3415080390</v>
      </c>
      <c r="E4888" s="1">
        <v>20877.080000000002</v>
      </c>
      <c r="F4888" s="1" t="s">
        <v>12</v>
      </c>
      <c r="G4888" s="1" t="s">
        <v>12</v>
      </c>
      <c r="H4888" s="1" t="s">
        <v>13</v>
      </c>
      <c r="I4888" s="1" t="s">
        <v>13</v>
      </c>
      <c r="J4888" s="1" t="s">
        <v>27</v>
      </c>
      <c r="K4888" s="1">
        <v>0</v>
      </c>
      <c r="L4888" s="1" t="s">
        <v>21</v>
      </c>
      <c r="M4888" s="1" t="str">
        <f t="shared" si="77"/>
        <v>Consistent</v>
      </c>
      <c r="N4888" s="1" t="str">
        <f>_xlfn.XLOOKUP(H4888, risk_score!A:A, risk_score!B:B, 0)</f>
        <v>Low Risk</v>
      </c>
    </row>
    <row r="4889" spans="1:14">
      <c r="A4889" s="2">
        <v>0.56851851851851853</v>
      </c>
      <c r="B4889" s="3">
        <v>44841</v>
      </c>
      <c r="C4889" s="1">
        <v>7669236826</v>
      </c>
      <c r="D4889" s="1">
        <v>5112224952</v>
      </c>
      <c r="E4889" s="1">
        <v>9476.44</v>
      </c>
      <c r="F4889" s="1" t="s">
        <v>12</v>
      </c>
      <c r="G4889" s="1" t="s">
        <v>12</v>
      </c>
      <c r="H4889" s="1" t="s">
        <v>13</v>
      </c>
      <c r="I4889" s="1" t="s">
        <v>13</v>
      </c>
      <c r="J4889" s="1" t="s">
        <v>22</v>
      </c>
      <c r="K4889" s="1">
        <v>0</v>
      </c>
      <c r="L4889" s="1" t="s">
        <v>19</v>
      </c>
      <c r="M4889" s="1" t="str">
        <f t="shared" si="77"/>
        <v>Consistent</v>
      </c>
      <c r="N4889" s="1" t="str">
        <f>_xlfn.XLOOKUP(H4889, risk_score!A:A, risk_score!B:B, 0)</f>
        <v>Low Risk</v>
      </c>
    </row>
    <row r="4890" spans="1:14">
      <c r="A4890" s="2">
        <v>0.56853009259259257</v>
      </c>
      <c r="B4890" s="3">
        <v>44841</v>
      </c>
      <c r="C4890" s="1">
        <v>1819824199</v>
      </c>
      <c r="D4890" s="1">
        <v>7951686177</v>
      </c>
      <c r="E4890" s="1">
        <v>2552.71</v>
      </c>
      <c r="F4890" s="1" t="s">
        <v>46</v>
      </c>
      <c r="G4890" s="1" t="s">
        <v>12</v>
      </c>
      <c r="H4890" s="1" t="s">
        <v>47</v>
      </c>
      <c r="I4890" s="1" t="s">
        <v>13</v>
      </c>
      <c r="J4890" s="1" t="s">
        <v>18</v>
      </c>
      <c r="K4890" s="1">
        <v>0</v>
      </c>
      <c r="L4890" s="1" t="s">
        <v>21</v>
      </c>
      <c r="M4890" s="1" t="str">
        <f t="shared" si="77"/>
        <v>Potential Layering</v>
      </c>
      <c r="N4890" s="1" t="str">
        <f>_xlfn.XLOOKUP(H4890, risk_score!A:A, risk_score!B:B, 0)</f>
        <v>Low Risk</v>
      </c>
    </row>
    <row r="4891" spans="1:14">
      <c r="A4891" s="2">
        <v>0.56854166666666661</v>
      </c>
      <c r="B4891" s="3">
        <v>44841</v>
      </c>
      <c r="C4891" s="1">
        <v>1830300701</v>
      </c>
      <c r="D4891" s="1">
        <v>1740103909</v>
      </c>
      <c r="E4891" s="1">
        <v>11131</v>
      </c>
      <c r="F4891" s="1" t="s">
        <v>12</v>
      </c>
      <c r="G4891" s="1" t="s">
        <v>12</v>
      </c>
      <c r="H4891" s="1" t="s">
        <v>13</v>
      </c>
      <c r="I4891" s="1" t="s">
        <v>13</v>
      </c>
      <c r="J4891" s="1" t="s">
        <v>27</v>
      </c>
      <c r="K4891" s="1">
        <v>0</v>
      </c>
      <c r="L4891" s="1" t="s">
        <v>38</v>
      </c>
      <c r="M4891" s="1" t="str">
        <f t="shared" si="77"/>
        <v>Consistent</v>
      </c>
      <c r="N4891" s="1" t="str">
        <f>_xlfn.XLOOKUP(H4891, risk_score!A:A, risk_score!B:B, 0)</f>
        <v>Low Risk</v>
      </c>
    </row>
    <row r="4892" spans="1:14">
      <c r="A4892" s="2">
        <v>0.56855324074074076</v>
      </c>
      <c r="B4892" s="3">
        <v>44841</v>
      </c>
      <c r="C4892" s="1">
        <v>6086421020</v>
      </c>
      <c r="D4892" s="1">
        <v>1253036863</v>
      </c>
      <c r="E4892" s="1">
        <v>23801.49</v>
      </c>
      <c r="F4892" s="1" t="s">
        <v>12</v>
      </c>
      <c r="G4892" s="1" t="s">
        <v>34</v>
      </c>
      <c r="H4892" s="1" t="s">
        <v>13</v>
      </c>
      <c r="I4892" s="1" t="s">
        <v>35</v>
      </c>
      <c r="J4892" s="1" t="s">
        <v>18</v>
      </c>
      <c r="K4892" s="1">
        <v>0</v>
      </c>
      <c r="L4892" s="1" t="s">
        <v>19</v>
      </c>
      <c r="M4892" s="1" t="str">
        <f t="shared" si="77"/>
        <v>Potential Layering</v>
      </c>
      <c r="N4892" s="1" t="str">
        <f>_xlfn.XLOOKUP(H4892, risk_score!A:A, risk_score!B:B, 0)</f>
        <v>Low Risk</v>
      </c>
    </row>
    <row r="4893" spans="1:14">
      <c r="A4893" s="2">
        <v>0.56862268518518522</v>
      </c>
      <c r="B4893" s="3">
        <v>44841</v>
      </c>
      <c r="C4893" s="1">
        <v>8248826949</v>
      </c>
      <c r="D4893" s="1">
        <v>6855935396</v>
      </c>
      <c r="E4893" s="1">
        <v>7057.13</v>
      </c>
      <c r="F4893" s="1" t="s">
        <v>12</v>
      </c>
      <c r="G4893" s="1" t="s">
        <v>12</v>
      </c>
      <c r="H4893" s="1" t="s">
        <v>13</v>
      </c>
      <c r="I4893" s="1" t="s">
        <v>13</v>
      </c>
      <c r="J4893" s="1" t="s">
        <v>25</v>
      </c>
      <c r="K4893" s="1">
        <v>0</v>
      </c>
      <c r="L4893" s="1" t="s">
        <v>23</v>
      </c>
      <c r="M4893" s="1" t="str">
        <f t="shared" si="77"/>
        <v>Consistent</v>
      </c>
      <c r="N4893" s="1" t="str">
        <f>_xlfn.XLOOKUP(H4893, risk_score!A:A, risk_score!B:B, 0)</f>
        <v>Low Risk</v>
      </c>
    </row>
    <row r="4894" spans="1:14">
      <c r="A4894" s="2">
        <v>0.56866898148148148</v>
      </c>
      <c r="B4894" s="3">
        <v>44841</v>
      </c>
      <c r="C4894" s="1">
        <v>7508313997</v>
      </c>
      <c r="D4894" s="1">
        <v>5388224493</v>
      </c>
      <c r="E4894" s="1">
        <v>389.92</v>
      </c>
      <c r="F4894" s="1" t="s">
        <v>12</v>
      </c>
      <c r="G4894" s="1" t="s">
        <v>12</v>
      </c>
      <c r="H4894" s="1" t="s">
        <v>13</v>
      </c>
      <c r="I4894" s="1" t="s">
        <v>13</v>
      </c>
      <c r="J4894" s="1" t="s">
        <v>22</v>
      </c>
      <c r="K4894" s="1">
        <v>0</v>
      </c>
      <c r="L4894" s="1" t="s">
        <v>21</v>
      </c>
      <c r="M4894" s="1" t="str">
        <f t="shared" si="77"/>
        <v>Consistent</v>
      </c>
      <c r="N4894" s="1" t="str">
        <f>_xlfn.XLOOKUP(H4894, risk_score!A:A, risk_score!B:B, 0)</f>
        <v>Low Risk</v>
      </c>
    </row>
    <row r="4895" spans="1:14">
      <c r="A4895" s="2">
        <v>0.56871527777777775</v>
      </c>
      <c r="B4895" s="3">
        <v>44841</v>
      </c>
      <c r="C4895" s="1">
        <v>1203252958</v>
      </c>
      <c r="D4895" s="1">
        <v>2230367419</v>
      </c>
      <c r="E4895" s="1">
        <v>9726.39</v>
      </c>
      <c r="F4895" s="1" t="s">
        <v>12</v>
      </c>
      <c r="G4895" s="1" t="s">
        <v>12</v>
      </c>
      <c r="H4895" s="1" t="s">
        <v>13</v>
      </c>
      <c r="I4895" s="1" t="s">
        <v>13</v>
      </c>
      <c r="J4895" s="1" t="s">
        <v>25</v>
      </c>
      <c r="K4895" s="1">
        <v>0</v>
      </c>
      <c r="L4895" s="1" t="s">
        <v>24</v>
      </c>
      <c r="M4895" s="1" t="str">
        <f t="shared" si="77"/>
        <v>Consistent</v>
      </c>
      <c r="N4895" s="1" t="str">
        <f>_xlfn.XLOOKUP(H4895, risk_score!A:A, risk_score!B:B, 0)</f>
        <v>Low Risk</v>
      </c>
    </row>
    <row r="4896" spans="1:14">
      <c r="A4896" s="2">
        <v>0.56873842592592594</v>
      </c>
      <c r="B4896" s="3">
        <v>44841</v>
      </c>
      <c r="C4896" s="1">
        <v>8184612956</v>
      </c>
      <c r="D4896" s="1">
        <v>5628674969</v>
      </c>
      <c r="E4896" s="1">
        <v>10666.28</v>
      </c>
      <c r="F4896" s="1" t="s">
        <v>12</v>
      </c>
      <c r="G4896" s="1" t="s">
        <v>12</v>
      </c>
      <c r="H4896" s="1" t="s">
        <v>13</v>
      </c>
      <c r="I4896" s="1" t="s">
        <v>13</v>
      </c>
      <c r="J4896" s="1" t="s">
        <v>22</v>
      </c>
      <c r="K4896" s="1">
        <v>0</v>
      </c>
      <c r="L4896" s="1" t="s">
        <v>23</v>
      </c>
      <c r="M4896" s="1" t="str">
        <f t="shared" si="77"/>
        <v>Consistent</v>
      </c>
      <c r="N4896" s="1" t="str">
        <f>_xlfn.XLOOKUP(H4896, risk_score!A:A, risk_score!B:B, 0)</f>
        <v>Low Risk</v>
      </c>
    </row>
    <row r="4897" spans="1:14">
      <c r="A4897" s="2">
        <v>0.56874999999999998</v>
      </c>
      <c r="B4897" s="3">
        <v>44841</v>
      </c>
      <c r="C4897" s="1">
        <v>2309213364</v>
      </c>
      <c r="D4897" s="1">
        <v>5109623450</v>
      </c>
      <c r="E4897" s="1">
        <v>7606.61</v>
      </c>
      <c r="F4897" s="1" t="s">
        <v>12</v>
      </c>
      <c r="G4897" s="1" t="s">
        <v>12</v>
      </c>
      <c r="H4897" s="1" t="s">
        <v>13</v>
      </c>
      <c r="I4897" s="1" t="s">
        <v>13</v>
      </c>
      <c r="J4897" s="1" t="s">
        <v>25</v>
      </c>
      <c r="K4897" s="1">
        <v>0</v>
      </c>
      <c r="L4897" s="1" t="s">
        <v>23</v>
      </c>
      <c r="M4897" s="1" t="str">
        <f t="shared" si="77"/>
        <v>Consistent</v>
      </c>
      <c r="N4897" s="1" t="str">
        <f>_xlfn.XLOOKUP(H4897, risk_score!A:A, risk_score!B:B, 0)</f>
        <v>Low Risk</v>
      </c>
    </row>
    <row r="4898" spans="1:14">
      <c r="A4898" s="2">
        <v>0.56878472222222221</v>
      </c>
      <c r="B4898" s="3">
        <v>44841</v>
      </c>
      <c r="C4898" s="1">
        <v>3287543980</v>
      </c>
      <c r="D4898" s="1">
        <v>1616460662</v>
      </c>
      <c r="E4898" s="1">
        <v>24234.68</v>
      </c>
      <c r="F4898" s="1" t="s">
        <v>12</v>
      </c>
      <c r="G4898" s="1" t="s">
        <v>12</v>
      </c>
      <c r="H4898" s="1" t="s">
        <v>13</v>
      </c>
      <c r="I4898" s="1" t="s">
        <v>13</v>
      </c>
      <c r="J4898" s="1" t="s">
        <v>25</v>
      </c>
      <c r="K4898" s="1">
        <v>0</v>
      </c>
      <c r="L4898" s="1" t="s">
        <v>21</v>
      </c>
      <c r="M4898" s="1" t="str">
        <f t="shared" si="77"/>
        <v>Consistent</v>
      </c>
      <c r="N4898" s="1" t="str">
        <f>_xlfn.XLOOKUP(H4898, risk_score!A:A, risk_score!B:B, 0)</f>
        <v>Low Risk</v>
      </c>
    </row>
    <row r="4899" spans="1:14">
      <c r="A4899" s="2">
        <v>0.56878472222222221</v>
      </c>
      <c r="B4899" s="3">
        <v>44841</v>
      </c>
      <c r="C4899" s="1">
        <v>6386318592</v>
      </c>
      <c r="D4899" s="1">
        <v>9170810780</v>
      </c>
      <c r="E4899" s="1">
        <v>1798.77</v>
      </c>
      <c r="F4899" s="1" t="s">
        <v>12</v>
      </c>
      <c r="G4899" s="1" t="s">
        <v>12</v>
      </c>
      <c r="H4899" s="1" t="s">
        <v>13</v>
      </c>
      <c r="I4899" s="1" t="s">
        <v>13</v>
      </c>
      <c r="J4899" s="1" t="s">
        <v>20</v>
      </c>
      <c r="K4899" s="1">
        <v>0</v>
      </c>
      <c r="L4899" s="1" t="s">
        <v>21</v>
      </c>
      <c r="M4899" s="1" t="str">
        <f t="shared" si="77"/>
        <v>Consistent</v>
      </c>
      <c r="N4899" s="1" t="str">
        <f>_xlfn.XLOOKUP(H4899, risk_score!A:A, risk_score!B:B, 0)</f>
        <v>Low Risk</v>
      </c>
    </row>
    <row r="4900" spans="1:14">
      <c r="A4900" s="2">
        <v>0.56879629629629624</v>
      </c>
      <c r="B4900" s="3">
        <v>44841</v>
      </c>
      <c r="C4900" s="1">
        <v>7209921331</v>
      </c>
      <c r="D4900" s="1">
        <v>2184688282</v>
      </c>
      <c r="E4900" s="1">
        <v>1508.2</v>
      </c>
      <c r="F4900" s="1" t="s">
        <v>12</v>
      </c>
      <c r="G4900" s="1" t="s">
        <v>12</v>
      </c>
      <c r="H4900" s="1" t="s">
        <v>13</v>
      </c>
      <c r="I4900" s="1" t="s">
        <v>13</v>
      </c>
      <c r="J4900" s="1" t="s">
        <v>20</v>
      </c>
      <c r="K4900" s="1">
        <v>0</v>
      </c>
      <c r="L4900" s="1" t="s">
        <v>21</v>
      </c>
      <c r="M4900" s="1" t="str">
        <f t="shared" si="77"/>
        <v>Consistent</v>
      </c>
      <c r="N4900" s="1" t="str">
        <f>_xlfn.XLOOKUP(H4900, risk_score!A:A, risk_score!B:B, 0)</f>
        <v>Low Risk</v>
      </c>
    </row>
    <row r="4901" spans="1:14">
      <c r="A4901" s="2">
        <v>0.56881944444444443</v>
      </c>
      <c r="B4901" s="3">
        <v>44841</v>
      </c>
      <c r="C4901" s="1">
        <v>5253146909</v>
      </c>
      <c r="D4901" s="1">
        <v>7697535323</v>
      </c>
      <c r="E4901" s="1">
        <v>13460.04</v>
      </c>
      <c r="F4901" s="1" t="s">
        <v>12</v>
      </c>
      <c r="G4901" s="1" t="s">
        <v>12</v>
      </c>
      <c r="H4901" s="1" t="s">
        <v>13</v>
      </c>
      <c r="I4901" s="1" t="s">
        <v>13</v>
      </c>
      <c r="J4901" s="1" t="s">
        <v>25</v>
      </c>
      <c r="K4901" s="1">
        <v>0</v>
      </c>
      <c r="L4901" s="1" t="s">
        <v>21</v>
      </c>
      <c r="M4901" s="1" t="str">
        <f t="shared" si="77"/>
        <v>Consistent</v>
      </c>
      <c r="N4901" s="1" t="str">
        <f>_xlfn.XLOOKUP(H4901, risk_score!A:A, risk_score!B:B, 0)</f>
        <v>Low Risk</v>
      </c>
    </row>
    <row r="4902" spans="1:14">
      <c r="A4902" s="2">
        <v>0.56888888888888889</v>
      </c>
      <c r="B4902" s="3">
        <v>44841</v>
      </c>
      <c r="C4902" s="1">
        <v>9599009457</v>
      </c>
      <c r="D4902" s="1">
        <v>835931677</v>
      </c>
      <c r="E4902" s="1">
        <v>15572.47</v>
      </c>
      <c r="F4902" s="1" t="s">
        <v>12</v>
      </c>
      <c r="G4902" s="1" t="s">
        <v>12</v>
      </c>
      <c r="H4902" s="1" t="s">
        <v>13</v>
      </c>
      <c r="I4902" s="1" t="s">
        <v>13</v>
      </c>
      <c r="J4902" s="1" t="s">
        <v>22</v>
      </c>
      <c r="K4902" s="1">
        <v>0</v>
      </c>
      <c r="L4902" s="1" t="s">
        <v>19</v>
      </c>
      <c r="M4902" s="1" t="str">
        <f t="shared" si="77"/>
        <v>Consistent</v>
      </c>
      <c r="N4902" s="1" t="str">
        <f>_xlfn.XLOOKUP(H4902, risk_score!A:A, risk_score!B:B, 0)</f>
        <v>Low Risk</v>
      </c>
    </row>
    <row r="4903" spans="1:14">
      <c r="A4903" s="2">
        <v>0.56888888888888889</v>
      </c>
      <c r="B4903" s="3">
        <v>44841</v>
      </c>
      <c r="C4903" s="1">
        <v>3709430533</v>
      </c>
      <c r="D4903" s="1">
        <v>8716511495</v>
      </c>
      <c r="E4903" s="1">
        <v>9718.1299999999992</v>
      </c>
      <c r="F4903" s="1" t="s">
        <v>12</v>
      </c>
      <c r="G4903" s="1" t="s">
        <v>12</v>
      </c>
      <c r="H4903" s="1" t="s">
        <v>13</v>
      </c>
      <c r="I4903" s="1" t="s">
        <v>13</v>
      </c>
      <c r="J4903" s="1" t="s">
        <v>25</v>
      </c>
      <c r="K4903" s="1">
        <v>0</v>
      </c>
      <c r="L4903" s="1" t="s">
        <v>19</v>
      </c>
      <c r="M4903" s="1" t="str">
        <f t="shared" si="77"/>
        <v>Consistent</v>
      </c>
      <c r="N4903" s="1" t="str">
        <f>_xlfn.XLOOKUP(H4903, risk_score!A:A, risk_score!B:B, 0)</f>
        <v>Low Risk</v>
      </c>
    </row>
    <row r="4904" spans="1:14">
      <c r="A4904" s="2">
        <v>0.56892361111111112</v>
      </c>
      <c r="B4904" s="3">
        <v>44841</v>
      </c>
      <c r="C4904" s="1">
        <v>8314602510</v>
      </c>
      <c r="D4904" s="1">
        <v>1156639340</v>
      </c>
      <c r="E4904" s="1">
        <v>7145.77</v>
      </c>
      <c r="F4904" s="1" t="s">
        <v>12</v>
      </c>
      <c r="G4904" s="1" t="s">
        <v>12</v>
      </c>
      <c r="H4904" s="1" t="s">
        <v>13</v>
      </c>
      <c r="I4904" s="1" t="s">
        <v>13</v>
      </c>
      <c r="J4904" s="1" t="s">
        <v>20</v>
      </c>
      <c r="K4904" s="1">
        <v>0</v>
      </c>
      <c r="L4904" s="1" t="s">
        <v>21</v>
      </c>
      <c r="M4904" s="1" t="str">
        <f t="shared" si="77"/>
        <v>Consistent</v>
      </c>
      <c r="N4904" s="1" t="str">
        <f>_xlfn.XLOOKUP(H4904, risk_score!A:A, risk_score!B:B, 0)</f>
        <v>Low Risk</v>
      </c>
    </row>
    <row r="4905" spans="1:14">
      <c r="A4905" s="2">
        <v>0.5689467592592593</v>
      </c>
      <c r="B4905" s="3">
        <v>44841</v>
      </c>
      <c r="C4905" s="1">
        <v>6697419125</v>
      </c>
      <c r="D4905" s="1">
        <v>5466123934</v>
      </c>
      <c r="E4905" s="1">
        <v>7732.52</v>
      </c>
      <c r="F4905" s="1" t="s">
        <v>12</v>
      </c>
      <c r="G4905" s="1" t="s">
        <v>12</v>
      </c>
      <c r="H4905" s="1" t="s">
        <v>13</v>
      </c>
      <c r="I4905" s="1" t="s">
        <v>13</v>
      </c>
      <c r="J4905" s="1" t="s">
        <v>22</v>
      </c>
      <c r="K4905" s="1">
        <v>0</v>
      </c>
      <c r="L4905" s="1" t="s">
        <v>23</v>
      </c>
      <c r="M4905" s="1" t="str">
        <f t="shared" si="77"/>
        <v>Consistent</v>
      </c>
      <c r="N4905" s="1" t="str">
        <f>_xlfn.XLOOKUP(H4905, risk_score!A:A, risk_score!B:B, 0)</f>
        <v>Low Risk</v>
      </c>
    </row>
    <row r="4906" spans="1:14">
      <c r="A4906" s="2">
        <v>0.56896990740740738</v>
      </c>
      <c r="B4906" s="3">
        <v>44841</v>
      </c>
      <c r="C4906" s="1">
        <v>9719585962</v>
      </c>
      <c r="D4906" s="1">
        <v>6815874979</v>
      </c>
      <c r="E4906" s="1">
        <v>21679.8</v>
      </c>
      <c r="F4906" s="1" t="s">
        <v>12</v>
      </c>
      <c r="G4906" s="1" t="s">
        <v>12</v>
      </c>
      <c r="H4906" s="1" t="s">
        <v>13</v>
      </c>
      <c r="I4906" s="1" t="s">
        <v>13</v>
      </c>
      <c r="J4906" s="1" t="s">
        <v>20</v>
      </c>
      <c r="K4906" s="1">
        <v>0</v>
      </c>
      <c r="L4906" s="1" t="s">
        <v>49</v>
      </c>
      <c r="M4906" s="1" t="str">
        <f t="shared" si="77"/>
        <v>Consistent</v>
      </c>
      <c r="N4906" s="1" t="str">
        <f>_xlfn.XLOOKUP(H4906, risk_score!A:A, risk_score!B:B, 0)</f>
        <v>Low Risk</v>
      </c>
    </row>
    <row r="4907" spans="1:14">
      <c r="A4907" s="2">
        <v>0.56899305555555557</v>
      </c>
      <c r="B4907" s="3">
        <v>44841</v>
      </c>
      <c r="C4907" s="1">
        <v>371736072</v>
      </c>
      <c r="D4907" s="1">
        <v>3677707508</v>
      </c>
      <c r="E4907" s="1">
        <v>508.74</v>
      </c>
      <c r="F4907" s="1" t="s">
        <v>12</v>
      </c>
      <c r="G4907" s="1" t="s">
        <v>12</v>
      </c>
      <c r="H4907" s="1" t="s">
        <v>13</v>
      </c>
      <c r="I4907" s="1" t="s">
        <v>13</v>
      </c>
      <c r="J4907" s="1" t="s">
        <v>14</v>
      </c>
      <c r="K4907" s="1">
        <v>0</v>
      </c>
      <c r="L4907" s="1" t="s">
        <v>15</v>
      </c>
      <c r="M4907" s="1" t="str">
        <f t="shared" si="77"/>
        <v>Consistent</v>
      </c>
      <c r="N4907" s="1" t="str">
        <f>_xlfn.XLOOKUP(H4907, risk_score!A:A, risk_score!B:B, 0)</f>
        <v>Low Risk</v>
      </c>
    </row>
    <row r="4908" spans="1:14">
      <c r="A4908" s="2">
        <v>0.56901620370370365</v>
      </c>
      <c r="B4908" s="3">
        <v>44841</v>
      </c>
      <c r="C4908" s="1">
        <v>1141075854</v>
      </c>
      <c r="D4908" s="1">
        <v>7662743578</v>
      </c>
      <c r="E4908" s="1">
        <v>11876.28</v>
      </c>
      <c r="F4908" s="1" t="s">
        <v>29</v>
      </c>
      <c r="G4908" s="1" t="s">
        <v>29</v>
      </c>
      <c r="H4908" s="1" t="s">
        <v>31</v>
      </c>
      <c r="I4908" s="1" t="s">
        <v>50</v>
      </c>
      <c r="J4908" s="1" t="s">
        <v>18</v>
      </c>
      <c r="K4908" s="1">
        <v>0</v>
      </c>
      <c r="L4908" s="1" t="s">
        <v>21</v>
      </c>
      <c r="M4908" s="1" t="str">
        <f t="shared" si="77"/>
        <v>Consistent</v>
      </c>
      <c r="N4908" s="1" t="str">
        <f>_xlfn.XLOOKUP(H4908, risk_score!A:A, risk_score!B:B, 0)</f>
        <v>Low Risk</v>
      </c>
    </row>
    <row r="4909" spans="1:14">
      <c r="A4909" s="2">
        <v>0.56901620370370365</v>
      </c>
      <c r="B4909" s="3">
        <v>44841</v>
      </c>
      <c r="C4909" s="1">
        <v>7422985683</v>
      </c>
      <c r="D4909" s="1">
        <v>2628250116</v>
      </c>
      <c r="E4909" s="1">
        <v>25465.45</v>
      </c>
      <c r="F4909" s="1" t="s">
        <v>12</v>
      </c>
      <c r="G4909" s="1" t="s">
        <v>12</v>
      </c>
      <c r="H4909" s="1" t="s">
        <v>13</v>
      </c>
      <c r="I4909" s="1" t="s">
        <v>13</v>
      </c>
      <c r="J4909" s="1" t="s">
        <v>20</v>
      </c>
      <c r="K4909" s="1">
        <v>0</v>
      </c>
      <c r="L4909" s="1" t="s">
        <v>21</v>
      </c>
      <c r="M4909" s="1" t="str">
        <f t="shared" si="77"/>
        <v>Consistent</v>
      </c>
      <c r="N4909" s="1" t="str">
        <f>_xlfn.XLOOKUP(H4909, risk_score!A:A, risk_score!B:B, 0)</f>
        <v>Low Risk</v>
      </c>
    </row>
    <row r="4910" spans="1:14">
      <c r="A4910" s="2">
        <v>0.56903935185185184</v>
      </c>
      <c r="B4910" s="3">
        <v>44841</v>
      </c>
      <c r="C4910" s="1">
        <v>5637214862</v>
      </c>
      <c r="D4910" s="1">
        <v>7500256845</v>
      </c>
      <c r="E4910" s="1">
        <v>5187.8599999999997</v>
      </c>
      <c r="F4910" s="1" t="s">
        <v>12</v>
      </c>
      <c r="G4910" s="1" t="s">
        <v>12</v>
      </c>
      <c r="H4910" s="1" t="s">
        <v>13</v>
      </c>
      <c r="I4910" s="1" t="s">
        <v>13</v>
      </c>
      <c r="J4910" s="1" t="s">
        <v>20</v>
      </c>
      <c r="K4910" s="1">
        <v>0</v>
      </c>
      <c r="L4910" s="1" t="s">
        <v>38</v>
      </c>
      <c r="M4910" s="1" t="str">
        <f t="shared" si="77"/>
        <v>Consistent</v>
      </c>
      <c r="N4910" s="1" t="str">
        <f>_xlfn.XLOOKUP(H4910, risk_score!A:A, risk_score!B:B, 0)</f>
        <v>Low Risk</v>
      </c>
    </row>
    <row r="4911" spans="1:14">
      <c r="A4911" s="2">
        <v>0.5690856481481481</v>
      </c>
      <c r="B4911" s="3">
        <v>44841</v>
      </c>
      <c r="C4911" s="1">
        <v>9880098011</v>
      </c>
      <c r="D4911" s="1">
        <v>7892884492</v>
      </c>
      <c r="E4911" s="1">
        <v>16670.53</v>
      </c>
      <c r="F4911" s="1" t="s">
        <v>12</v>
      </c>
      <c r="G4911" s="1" t="s">
        <v>32</v>
      </c>
      <c r="H4911" s="1" t="s">
        <v>13</v>
      </c>
      <c r="I4911" s="1" t="s">
        <v>33</v>
      </c>
      <c r="J4911" s="1" t="s">
        <v>18</v>
      </c>
      <c r="K4911" s="1">
        <v>0</v>
      </c>
      <c r="L4911" s="1" t="s">
        <v>23</v>
      </c>
      <c r="M4911" s="1" t="str">
        <f t="shared" si="77"/>
        <v>Potential Layering</v>
      </c>
      <c r="N4911" s="1" t="str">
        <f>_xlfn.XLOOKUP(H4911, risk_score!A:A, risk_score!B:B, 0)</f>
        <v>Low Risk</v>
      </c>
    </row>
    <row r="4912" spans="1:14">
      <c r="A4912" s="2">
        <v>0.5690856481481481</v>
      </c>
      <c r="B4912" s="3">
        <v>44841</v>
      </c>
      <c r="C4912" s="1">
        <v>3375198105</v>
      </c>
      <c r="D4912" s="1">
        <v>1227332321</v>
      </c>
      <c r="E4912" s="1">
        <v>1976.89</v>
      </c>
      <c r="F4912" s="1" t="s">
        <v>12</v>
      </c>
      <c r="G4912" s="1" t="s">
        <v>12</v>
      </c>
      <c r="H4912" s="1" t="s">
        <v>13</v>
      </c>
      <c r="I4912" s="1" t="s">
        <v>13</v>
      </c>
      <c r="J4912" s="1" t="s">
        <v>22</v>
      </c>
      <c r="K4912" s="1">
        <v>0</v>
      </c>
      <c r="L4912" s="1" t="s">
        <v>21</v>
      </c>
      <c r="M4912" s="1" t="str">
        <f t="shared" si="77"/>
        <v>Consistent</v>
      </c>
      <c r="N4912" s="1" t="str">
        <f>_xlfn.XLOOKUP(H4912, risk_score!A:A, risk_score!B:B, 0)</f>
        <v>Low Risk</v>
      </c>
    </row>
    <row r="4913" spans="1:14">
      <c r="A4913" s="2">
        <v>0.56912037037037033</v>
      </c>
      <c r="B4913" s="3">
        <v>44841</v>
      </c>
      <c r="C4913" s="1">
        <v>2031714620</v>
      </c>
      <c r="D4913" s="1">
        <v>6199103267</v>
      </c>
      <c r="E4913" s="1">
        <v>6953.13</v>
      </c>
      <c r="F4913" s="1" t="s">
        <v>12</v>
      </c>
      <c r="G4913" s="1" t="s">
        <v>12</v>
      </c>
      <c r="H4913" s="1" t="s">
        <v>13</v>
      </c>
      <c r="I4913" s="1" t="s">
        <v>13</v>
      </c>
      <c r="J4913" s="1" t="s">
        <v>27</v>
      </c>
      <c r="K4913" s="1">
        <v>0</v>
      </c>
      <c r="L4913" s="1" t="s">
        <v>21</v>
      </c>
      <c r="M4913" s="1" t="str">
        <f t="shared" si="77"/>
        <v>Consistent</v>
      </c>
      <c r="N4913" s="1" t="str">
        <f>_xlfn.XLOOKUP(H4913, risk_score!A:A, risk_score!B:B, 0)</f>
        <v>Low Risk</v>
      </c>
    </row>
    <row r="4914" spans="1:14">
      <c r="A4914" s="2">
        <v>0.56921296296296298</v>
      </c>
      <c r="B4914" s="3">
        <v>44841</v>
      </c>
      <c r="C4914" s="1">
        <v>6301647599</v>
      </c>
      <c r="D4914" s="1">
        <v>7957718941</v>
      </c>
      <c r="E4914" s="1">
        <v>10059.51</v>
      </c>
      <c r="F4914" s="1" t="s">
        <v>12</v>
      </c>
      <c r="G4914" s="1" t="s">
        <v>12</v>
      </c>
      <c r="H4914" s="1" t="s">
        <v>13</v>
      </c>
      <c r="I4914" s="1" t="s">
        <v>13</v>
      </c>
      <c r="J4914" s="1" t="s">
        <v>27</v>
      </c>
      <c r="K4914" s="1">
        <v>0</v>
      </c>
      <c r="L4914" s="1" t="s">
        <v>21</v>
      </c>
      <c r="M4914" s="1" t="str">
        <f t="shared" si="77"/>
        <v>Consistent</v>
      </c>
      <c r="N4914" s="1" t="str">
        <f>_xlfn.XLOOKUP(H4914, risk_score!A:A, risk_score!B:B, 0)</f>
        <v>Low Risk</v>
      </c>
    </row>
    <row r="4915" spans="1:14">
      <c r="A4915" s="2">
        <v>0.5692476851851852</v>
      </c>
      <c r="B4915" s="3">
        <v>44841</v>
      </c>
      <c r="C4915" s="1">
        <v>3827521772</v>
      </c>
      <c r="D4915" s="1">
        <v>1425703750</v>
      </c>
      <c r="E4915" s="1">
        <v>472.8</v>
      </c>
      <c r="F4915" s="1" t="s">
        <v>12</v>
      </c>
      <c r="G4915" s="1" t="s">
        <v>12</v>
      </c>
      <c r="H4915" s="1" t="s">
        <v>13</v>
      </c>
      <c r="I4915" s="1" t="s">
        <v>13</v>
      </c>
      <c r="J4915" s="1" t="s">
        <v>14</v>
      </c>
      <c r="K4915" s="1">
        <v>0</v>
      </c>
      <c r="L4915" s="1" t="s">
        <v>15</v>
      </c>
      <c r="M4915" s="1" t="str">
        <f t="shared" si="77"/>
        <v>Consistent</v>
      </c>
      <c r="N4915" s="1" t="str">
        <f>_xlfn.XLOOKUP(H4915, risk_score!A:A, risk_score!B:B, 0)</f>
        <v>Low Risk</v>
      </c>
    </row>
    <row r="4916" spans="1:14">
      <c r="A4916" s="2">
        <v>0.56925925925925924</v>
      </c>
      <c r="B4916" s="3">
        <v>44841</v>
      </c>
      <c r="C4916" s="1">
        <v>8620560994</v>
      </c>
      <c r="D4916" s="1">
        <v>4246861735</v>
      </c>
      <c r="E4916" s="1">
        <v>1354.79</v>
      </c>
      <c r="F4916" s="1" t="s">
        <v>12</v>
      </c>
      <c r="G4916" s="1" t="s">
        <v>12</v>
      </c>
      <c r="H4916" s="1" t="s">
        <v>13</v>
      </c>
      <c r="I4916" s="1" t="s">
        <v>13</v>
      </c>
      <c r="J4916" s="1" t="s">
        <v>27</v>
      </c>
      <c r="K4916" s="1">
        <v>0</v>
      </c>
      <c r="L4916" s="1" t="s">
        <v>21</v>
      </c>
      <c r="M4916" s="1" t="str">
        <f t="shared" si="77"/>
        <v>Consistent</v>
      </c>
      <c r="N4916" s="1" t="str">
        <f>_xlfn.XLOOKUP(H4916, risk_score!A:A, risk_score!B:B, 0)</f>
        <v>Low Risk</v>
      </c>
    </row>
    <row r="4917" spans="1:14">
      <c r="A4917" s="2">
        <v>0.56925925925925924</v>
      </c>
      <c r="B4917" s="3">
        <v>44841</v>
      </c>
      <c r="C4917" s="1">
        <v>2584559390</v>
      </c>
      <c r="D4917" s="1">
        <v>3066321263</v>
      </c>
      <c r="E4917" s="1">
        <v>18302.61</v>
      </c>
      <c r="F4917" s="1" t="s">
        <v>12</v>
      </c>
      <c r="G4917" s="1" t="s">
        <v>12</v>
      </c>
      <c r="H4917" s="1" t="s">
        <v>13</v>
      </c>
      <c r="I4917" s="1" t="s">
        <v>13</v>
      </c>
      <c r="J4917" s="1" t="s">
        <v>25</v>
      </c>
      <c r="K4917" s="1">
        <v>0</v>
      </c>
      <c r="L4917" s="1" t="s">
        <v>23</v>
      </c>
      <c r="M4917" s="1" t="str">
        <f t="shared" si="77"/>
        <v>Consistent</v>
      </c>
      <c r="N4917" s="1" t="str">
        <f>_xlfn.XLOOKUP(H4917, risk_score!A:A, risk_score!B:B, 0)</f>
        <v>Low Risk</v>
      </c>
    </row>
    <row r="4918" spans="1:14">
      <c r="A4918" s="2">
        <v>0.56927083333333328</v>
      </c>
      <c r="B4918" s="3">
        <v>44841</v>
      </c>
      <c r="C4918" s="1">
        <v>4365228257</v>
      </c>
      <c r="D4918" s="1">
        <v>176638936</v>
      </c>
      <c r="E4918" s="1">
        <v>2376.4499999999998</v>
      </c>
      <c r="F4918" s="1" t="s">
        <v>12</v>
      </c>
      <c r="G4918" s="1" t="s">
        <v>12</v>
      </c>
      <c r="H4918" s="1" t="s">
        <v>13</v>
      </c>
      <c r="I4918" s="1" t="s">
        <v>13</v>
      </c>
      <c r="J4918" s="1" t="s">
        <v>20</v>
      </c>
      <c r="K4918" s="1">
        <v>0</v>
      </c>
      <c r="L4918" s="1" t="s">
        <v>21</v>
      </c>
      <c r="M4918" s="1" t="str">
        <f t="shared" si="77"/>
        <v>Consistent</v>
      </c>
      <c r="N4918" s="1" t="str">
        <f>_xlfn.XLOOKUP(H4918, risk_score!A:A, risk_score!B:B, 0)</f>
        <v>Low Risk</v>
      </c>
    </row>
    <row r="4919" spans="1:14">
      <c r="A4919" s="2">
        <v>0.5693287037037037</v>
      </c>
      <c r="B4919" s="3">
        <v>44841</v>
      </c>
      <c r="C4919" s="1">
        <v>6116657264</v>
      </c>
      <c r="D4919" s="1">
        <v>578267324</v>
      </c>
      <c r="E4919" s="1">
        <v>11423.71</v>
      </c>
      <c r="F4919" s="1" t="s">
        <v>12</v>
      </c>
      <c r="G4919" s="1" t="s">
        <v>12</v>
      </c>
      <c r="H4919" s="1" t="s">
        <v>13</v>
      </c>
      <c r="I4919" s="1" t="s">
        <v>13</v>
      </c>
      <c r="J4919" s="1" t="s">
        <v>22</v>
      </c>
      <c r="K4919" s="1">
        <v>0</v>
      </c>
      <c r="L4919" s="1" t="s">
        <v>19</v>
      </c>
      <c r="M4919" s="1" t="str">
        <f t="shared" si="77"/>
        <v>Consistent</v>
      </c>
      <c r="N4919" s="1" t="str">
        <f>_xlfn.XLOOKUP(H4919, risk_score!A:A, risk_score!B:B, 0)</f>
        <v>Low Risk</v>
      </c>
    </row>
    <row r="4920" spans="1:14">
      <c r="A4920" s="2">
        <v>0.56934027777777774</v>
      </c>
      <c r="B4920" s="3">
        <v>44841</v>
      </c>
      <c r="C4920" s="1">
        <v>182676947</v>
      </c>
      <c r="D4920" s="1">
        <v>2076831887</v>
      </c>
      <c r="E4920" s="1">
        <v>5567.63</v>
      </c>
      <c r="F4920" s="1" t="s">
        <v>12</v>
      </c>
      <c r="G4920" s="1" t="s">
        <v>12</v>
      </c>
      <c r="H4920" s="1" t="s">
        <v>13</v>
      </c>
      <c r="I4920" s="1" t="s">
        <v>13</v>
      </c>
      <c r="J4920" s="1" t="s">
        <v>25</v>
      </c>
      <c r="K4920" s="1">
        <v>0</v>
      </c>
      <c r="L4920" s="1" t="s">
        <v>21</v>
      </c>
      <c r="M4920" s="1" t="str">
        <f t="shared" si="77"/>
        <v>Consistent</v>
      </c>
      <c r="N4920" s="1" t="str">
        <f>_xlfn.XLOOKUP(H4920, risk_score!A:A, risk_score!B:B, 0)</f>
        <v>Low Risk</v>
      </c>
    </row>
    <row r="4921" spans="1:14">
      <c r="A4921" s="2">
        <v>0.56942129629629634</v>
      </c>
      <c r="B4921" s="3">
        <v>44841</v>
      </c>
      <c r="C4921" s="1">
        <v>7674756610</v>
      </c>
      <c r="D4921" s="1">
        <v>4336977506</v>
      </c>
      <c r="E4921" s="1">
        <v>13275.28</v>
      </c>
      <c r="F4921" s="1" t="s">
        <v>12</v>
      </c>
      <c r="G4921" s="1" t="s">
        <v>12</v>
      </c>
      <c r="H4921" s="1" t="s">
        <v>13</v>
      </c>
      <c r="I4921" s="1" t="s">
        <v>13</v>
      </c>
      <c r="J4921" s="1" t="s">
        <v>25</v>
      </c>
      <c r="K4921" s="1">
        <v>0</v>
      </c>
      <c r="L4921" s="1" t="s">
        <v>23</v>
      </c>
      <c r="M4921" s="1" t="str">
        <f t="shared" si="77"/>
        <v>Consistent</v>
      </c>
      <c r="N4921" s="1" t="str">
        <f>_xlfn.XLOOKUP(H4921, risk_score!A:A, risk_score!B:B, 0)</f>
        <v>Low Risk</v>
      </c>
    </row>
    <row r="4922" spans="1:14">
      <c r="A4922" s="2">
        <v>0.56942129629629634</v>
      </c>
      <c r="B4922" s="3">
        <v>44841</v>
      </c>
      <c r="C4922" s="1">
        <v>2616388803</v>
      </c>
      <c r="D4922" s="1">
        <v>2534644942</v>
      </c>
      <c r="E4922" s="1">
        <v>11130.83</v>
      </c>
      <c r="F4922" s="1" t="s">
        <v>12</v>
      </c>
      <c r="G4922" s="1" t="s">
        <v>29</v>
      </c>
      <c r="H4922" s="1" t="s">
        <v>13</v>
      </c>
      <c r="I4922" s="1" t="s">
        <v>31</v>
      </c>
      <c r="J4922" s="1" t="s">
        <v>18</v>
      </c>
      <c r="K4922" s="1">
        <v>0</v>
      </c>
      <c r="L4922" s="1" t="s">
        <v>23</v>
      </c>
      <c r="M4922" s="1" t="str">
        <f t="shared" si="77"/>
        <v>Potential Layering</v>
      </c>
      <c r="N4922" s="1" t="str">
        <f>_xlfn.XLOOKUP(H4922, risk_score!A:A, risk_score!B:B, 0)</f>
        <v>Low Risk</v>
      </c>
    </row>
    <row r="4923" spans="1:14">
      <c r="A4923" s="2">
        <v>0.56951388888888888</v>
      </c>
      <c r="B4923" s="3">
        <v>44841</v>
      </c>
      <c r="C4923" s="1">
        <v>5979365359</v>
      </c>
      <c r="D4923" s="1">
        <v>409707192</v>
      </c>
      <c r="E4923" s="1">
        <v>9632.42</v>
      </c>
      <c r="F4923" s="1" t="s">
        <v>12</v>
      </c>
      <c r="G4923" s="1" t="s">
        <v>12</v>
      </c>
      <c r="H4923" s="1" t="s">
        <v>13</v>
      </c>
      <c r="I4923" s="1" t="s">
        <v>13</v>
      </c>
      <c r="J4923" s="1" t="s">
        <v>22</v>
      </c>
      <c r="K4923" s="1">
        <v>0</v>
      </c>
      <c r="L4923" s="1" t="s">
        <v>23</v>
      </c>
      <c r="M4923" s="1" t="str">
        <f t="shared" si="77"/>
        <v>Consistent</v>
      </c>
      <c r="N4923" s="1" t="str">
        <f>_xlfn.XLOOKUP(H4923, risk_score!A:A, risk_score!B:B, 0)</f>
        <v>Low Risk</v>
      </c>
    </row>
    <row r="4924" spans="1:14">
      <c r="A4924" s="2">
        <v>0.56957175925925929</v>
      </c>
      <c r="B4924" s="3">
        <v>44841</v>
      </c>
      <c r="C4924" s="1">
        <v>7657581112</v>
      </c>
      <c r="D4924" s="1">
        <v>876106783</v>
      </c>
      <c r="E4924" s="1">
        <v>2563.1</v>
      </c>
      <c r="F4924" s="1" t="s">
        <v>12</v>
      </c>
      <c r="G4924" s="1" t="s">
        <v>12</v>
      </c>
      <c r="H4924" s="1" t="s">
        <v>13</v>
      </c>
      <c r="I4924" s="1" t="s">
        <v>13</v>
      </c>
      <c r="J4924" s="1" t="s">
        <v>25</v>
      </c>
      <c r="K4924" s="1">
        <v>0</v>
      </c>
      <c r="L4924" s="1" t="s">
        <v>21</v>
      </c>
      <c r="M4924" s="1" t="str">
        <f t="shared" si="77"/>
        <v>Consistent</v>
      </c>
      <c r="N4924" s="1" t="str">
        <f>_xlfn.XLOOKUP(H4924, risk_score!A:A, risk_score!B:B, 0)</f>
        <v>Low Risk</v>
      </c>
    </row>
    <row r="4925" spans="1:14">
      <c r="A4925" s="2">
        <v>0.56959490740740737</v>
      </c>
      <c r="B4925" s="3">
        <v>44841</v>
      </c>
      <c r="C4925" s="1">
        <v>6834477393</v>
      </c>
      <c r="D4925" s="1">
        <v>6444220418</v>
      </c>
      <c r="E4925" s="1">
        <v>8188.74</v>
      </c>
      <c r="F4925" s="1" t="s">
        <v>12</v>
      </c>
      <c r="G4925" s="1" t="s">
        <v>12</v>
      </c>
      <c r="H4925" s="1" t="s">
        <v>13</v>
      </c>
      <c r="I4925" s="1" t="s">
        <v>13</v>
      </c>
      <c r="J4925" s="1" t="s">
        <v>27</v>
      </c>
      <c r="K4925" s="1">
        <v>0</v>
      </c>
      <c r="L4925" s="1" t="s">
        <v>23</v>
      </c>
      <c r="M4925" s="1" t="str">
        <f t="shared" si="77"/>
        <v>Consistent</v>
      </c>
      <c r="N4925" s="1" t="str">
        <f>_xlfn.XLOOKUP(H4925, risk_score!A:A, risk_score!B:B, 0)</f>
        <v>Low Risk</v>
      </c>
    </row>
    <row r="4926" spans="1:14">
      <c r="A4926" s="2">
        <v>0.56959490740740737</v>
      </c>
      <c r="B4926" s="3">
        <v>44841</v>
      </c>
      <c r="C4926" s="1">
        <v>9432180260</v>
      </c>
      <c r="D4926" s="1">
        <v>3424878395</v>
      </c>
      <c r="E4926" s="1">
        <v>7060.69</v>
      </c>
      <c r="F4926" s="1" t="s">
        <v>12</v>
      </c>
      <c r="G4926" s="1" t="s">
        <v>12</v>
      </c>
      <c r="H4926" s="1" t="s">
        <v>13</v>
      </c>
      <c r="I4926" s="1" t="s">
        <v>13</v>
      </c>
      <c r="J4926" s="1" t="s">
        <v>27</v>
      </c>
      <c r="K4926" s="1">
        <v>0</v>
      </c>
      <c r="L4926" s="1" t="s">
        <v>24</v>
      </c>
      <c r="M4926" s="1" t="str">
        <f t="shared" si="77"/>
        <v>Consistent</v>
      </c>
      <c r="N4926" s="1" t="str">
        <f>_xlfn.XLOOKUP(H4926, risk_score!A:A, risk_score!B:B, 0)</f>
        <v>Low Risk</v>
      </c>
    </row>
    <row r="4927" spans="1:14">
      <c r="A4927" s="2">
        <v>0.56966435185185182</v>
      </c>
      <c r="B4927" s="3">
        <v>44841</v>
      </c>
      <c r="C4927" s="1">
        <v>3614082527</v>
      </c>
      <c r="D4927" s="1">
        <v>219930770</v>
      </c>
      <c r="E4927" s="1">
        <v>13201.83</v>
      </c>
      <c r="F4927" s="1" t="s">
        <v>12</v>
      </c>
      <c r="G4927" s="1" t="s">
        <v>12</v>
      </c>
      <c r="H4927" s="1" t="s">
        <v>13</v>
      </c>
      <c r="I4927" s="1" t="s">
        <v>13</v>
      </c>
      <c r="J4927" s="1" t="s">
        <v>25</v>
      </c>
      <c r="K4927" s="1">
        <v>0</v>
      </c>
      <c r="L4927" s="1" t="s">
        <v>19</v>
      </c>
      <c r="M4927" s="1" t="str">
        <f t="shared" ref="M4927:M4990" si="78">IF(F4927=G4927, "Consistent", "Potential Layering")</f>
        <v>Consistent</v>
      </c>
      <c r="N4927" s="1" t="str">
        <f>_xlfn.XLOOKUP(H4927, risk_score!A:A, risk_score!B:B, 0)</f>
        <v>Low Risk</v>
      </c>
    </row>
    <row r="4928" spans="1:14">
      <c r="A4928" s="2">
        <v>0.56966435185185182</v>
      </c>
      <c r="B4928" s="3">
        <v>44841</v>
      </c>
      <c r="C4928" s="1">
        <v>7239180502</v>
      </c>
      <c r="D4928" s="1">
        <v>8673917867</v>
      </c>
      <c r="E4928" s="1">
        <v>6949.16</v>
      </c>
      <c r="F4928" s="1" t="s">
        <v>12</v>
      </c>
      <c r="G4928" s="1" t="s">
        <v>12</v>
      </c>
      <c r="H4928" s="1" t="s">
        <v>13</v>
      </c>
      <c r="I4928" s="1" t="s">
        <v>13</v>
      </c>
      <c r="J4928" s="1" t="s">
        <v>25</v>
      </c>
      <c r="K4928" s="1">
        <v>0</v>
      </c>
      <c r="L4928" s="1" t="s">
        <v>23</v>
      </c>
      <c r="M4928" s="1" t="str">
        <f t="shared" si="78"/>
        <v>Consistent</v>
      </c>
      <c r="N4928" s="1" t="str">
        <f>_xlfn.XLOOKUP(H4928, risk_score!A:A, risk_score!B:B, 0)</f>
        <v>Low Risk</v>
      </c>
    </row>
    <row r="4929" spans="1:14">
      <c r="A4929" s="2">
        <v>0.56966435185185182</v>
      </c>
      <c r="B4929" s="3">
        <v>44841</v>
      </c>
      <c r="C4929" s="1">
        <v>5172850121</v>
      </c>
      <c r="D4929" s="1">
        <v>3695545812</v>
      </c>
      <c r="E4929" s="1">
        <v>24304.63</v>
      </c>
      <c r="F4929" s="1" t="s">
        <v>12</v>
      </c>
      <c r="G4929" s="1" t="s">
        <v>12</v>
      </c>
      <c r="H4929" s="1" t="s">
        <v>13</v>
      </c>
      <c r="I4929" s="1" t="s">
        <v>13</v>
      </c>
      <c r="J4929" s="1" t="s">
        <v>20</v>
      </c>
      <c r="K4929" s="1">
        <v>0</v>
      </c>
      <c r="L4929" s="1" t="s">
        <v>23</v>
      </c>
      <c r="M4929" s="1" t="str">
        <f t="shared" si="78"/>
        <v>Consistent</v>
      </c>
      <c r="N4929" s="1" t="str">
        <f>_xlfn.XLOOKUP(H4929, risk_score!A:A, risk_score!B:B, 0)</f>
        <v>Low Risk</v>
      </c>
    </row>
    <row r="4930" spans="1:14">
      <c r="A4930" s="2">
        <v>0.56968750000000001</v>
      </c>
      <c r="B4930" s="3">
        <v>44841</v>
      </c>
      <c r="C4930" s="1">
        <v>5195441820</v>
      </c>
      <c r="D4930" s="1">
        <v>9600420220</v>
      </c>
      <c r="E4930" s="1">
        <v>8192.68</v>
      </c>
      <c r="F4930" s="1" t="s">
        <v>12</v>
      </c>
      <c r="G4930" s="1" t="s">
        <v>12</v>
      </c>
      <c r="H4930" s="1" t="s">
        <v>13</v>
      </c>
      <c r="I4930" s="1" t="s">
        <v>13</v>
      </c>
      <c r="J4930" s="1" t="s">
        <v>22</v>
      </c>
      <c r="K4930" s="1">
        <v>0</v>
      </c>
      <c r="L4930" s="1" t="s">
        <v>23</v>
      </c>
      <c r="M4930" s="1" t="str">
        <f t="shared" si="78"/>
        <v>Consistent</v>
      </c>
      <c r="N4930" s="1" t="str">
        <f>_xlfn.XLOOKUP(H4930, risk_score!A:A, risk_score!B:B, 0)</f>
        <v>Low Risk</v>
      </c>
    </row>
    <row r="4931" spans="1:14">
      <c r="A4931" s="2">
        <v>0.56973379629629628</v>
      </c>
      <c r="B4931" s="3">
        <v>44841</v>
      </c>
      <c r="C4931" s="1">
        <v>4003877995</v>
      </c>
      <c r="D4931" s="1">
        <v>3458884468</v>
      </c>
      <c r="E4931" s="1">
        <v>658.21</v>
      </c>
      <c r="F4931" s="1" t="s">
        <v>12</v>
      </c>
      <c r="G4931" s="1" t="s">
        <v>12</v>
      </c>
      <c r="H4931" s="1" t="s">
        <v>13</v>
      </c>
      <c r="I4931" s="1" t="s">
        <v>13</v>
      </c>
      <c r="J4931" s="1" t="s">
        <v>20</v>
      </c>
      <c r="K4931" s="1">
        <v>0</v>
      </c>
      <c r="L4931" s="1" t="s">
        <v>21</v>
      </c>
      <c r="M4931" s="1" t="str">
        <f t="shared" si="78"/>
        <v>Consistent</v>
      </c>
      <c r="N4931" s="1" t="str">
        <f>_xlfn.XLOOKUP(H4931, risk_score!A:A, risk_score!B:B, 0)</f>
        <v>Low Risk</v>
      </c>
    </row>
    <row r="4932" spans="1:14">
      <c r="A4932" s="2">
        <v>0.56974537037037032</v>
      </c>
      <c r="B4932" s="3">
        <v>44841</v>
      </c>
      <c r="C4932" s="1">
        <v>1398369114</v>
      </c>
      <c r="D4932" s="1">
        <v>8971076375</v>
      </c>
      <c r="E4932" s="1">
        <v>11975.57</v>
      </c>
      <c r="F4932" s="1" t="s">
        <v>12</v>
      </c>
      <c r="G4932" s="1" t="s">
        <v>12</v>
      </c>
      <c r="H4932" s="1" t="s">
        <v>13</v>
      </c>
      <c r="I4932" s="1" t="s">
        <v>13</v>
      </c>
      <c r="J4932" s="1" t="s">
        <v>25</v>
      </c>
      <c r="K4932" s="1">
        <v>0</v>
      </c>
      <c r="L4932" s="1" t="s">
        <v>21</v>
      </c>
      <c r="M4932" s="1" t="str">
        <f t="shared" si="78"/>
        <v>Consistent</v>
      </c>
      <c r="N4932" s="1" t="str">
        <f>_xlfn.XLOOKUP(H4932, risk_score!A:A, risk_score!B:B, 0)</f>
        <v>Low Risk</v>
      </c>
    </row>
    <row r="4933" spans="1:14">
      <c r="A4933" s="2">
        <v>0.56974537037037032</v>
      </c>
      <c r="B4933" s="3">
        <v>44841</v>
      </c>
      <c r="C4933" s="1">
        <v>6760427237</v>
      </c>
      <c r="D4933" s="1">
        <v>7080357663</v>
      </c>
      <c r="E4933" s="1">
        <v>6902</v>
      </c>
      <c r="F4933" s="1" t="s">
        <v>12</v>
      </c>
      <c r="G4933" s="1" t="s">
        <v>12</v>
      </c>
      <c r="H4933" s="1" t="s">
        <v>13</v>
      </c>
      <c r="I4933" s="1" t="s">
        <v>13</v>
      </c>
      <c r="J4933" s="1" t="s">
        <v>22</v>
      </c>
      <c r="K4933" s="1">
        <v>0</v>
      </c>
      <c r="L4933" s="1" t="s">
        <v>23</v>
      </c>
      <c r="M4933" s="1" t="str">
        <f t="shared" si="78"/>
        <v>Consistent</v>
      </c>
      <c r="N4933" s="1" t="str">
        <f>_xlfn.XLOOKUP(H4933, risk_score!A:A, risk_score!B:B, 0)</f>
        <v>Low Risk</v>
      </c>
    </row>
    <row r="4934" spans="1:14">
      <c r="A4934" s="2">
        <v>0.56974537037037032</v>
      </c>
      <c r="B4934" s="3">
        <v>44841</v>
      </c>
      <c r="C4934" s="1">
        <v>1814149102</v>
      </c>
      <c r="D4934" s="1">
        <v>189762376</v>
      </c>
      <c r="E4934" s="1">
        <v>12918.12</v>
      </c>
      <c r="F4934" s="1" t="s">
        <v>12</v>
      </c>
      <c r="G4934" s="1" t="s">
        <v>12</v>
      </c>
      <c r="H4934" s="1" t="s">
        <v>13</v>
      </c>
      <c r="I4934" s="1" t="s">
        <v>13</v>
      </c>
      <c r="J4934" s="1" t="s">
        <v>22</v>
      </c>
      <c r="K4934" s="1">
        <v>0</v>
      </c>
      <c r="L4934" s="1" t="s">
        <v>21</v>
      </c>
      <c r="M4934" s="1" t="str">
        <f t="shared" si="78"/>
        <v>Consistent</v>
      </c>
      <c r="N4934" s="1" t="str">
        <f>_xlfn.XLOOKUP(H4934, risk_score!A:A, risk_score!B:B, 0)</f>
        <v>Low Risk</v>
      </c>
    </row>
    <row r="4935" spans="1:14">
      <c r="A4935" s="2">
        <v>0.56975694444444447</v>
      </c>
      <c r="B4935" s="3">
        <v>44841</v>
      </c>
      <c r="C4935" s="1">
        <v>7584000699</v>
      </c>
      <c r="D4935" s="1">
        <v>2042062597</v>
      </c>
      <c r="E4935" s="1">
        <v>3529.08</v>
      </c>
      <c r="F4935" s="1" t="s">
        <v>12</v>
      </c>
      <c r="G4935" s="1" t="s">
        <v>12</v>
      </c>
      <c r="H4935" s="1" t="s">
        <v>13</v>
      </c>
      <c r="I4935" s="1" t="s">
        <v>13</v>
      </c>
      <c r="J4935" s="1" t="s">
        <v>25</v>
      </c>
      <c r="K4935" s="1">
        <v>0</v>
      </c>
      <c r="L4935" s="1" t="s">
        <v>38</v>
      </c>
      <c r="M4935" s="1" t="str">
        <f t="shared" si="78"/>
        <v>Consistent</v>
      </c>
      <c r="N4935" s="1" t="str">
        <f>_xlfn.XLOOKUP(H4935, risk_score!A:A, risk_score!B:B, 0)</f>
        <v>Low Risk</v>
      </c>
    </row>
    <row r="4936" spans="1:14">
      <c r="A4936" s="2">
        <v>0.56975694444444447</v>
      </c>
      <c r="B4936" s="3">
        <v>44841</v>
      </c>
      <c r="C4936" s="1">
        <v>3039993322</v>
      </c>
      <c r="D4936" s="1">
        <v>424146908</v>
      </c>
      <c r="E4936" s="1">
        <v>223.8</v>
      </c>
      <c r="F4936" s="1" t="s">
        <v>12</v>
      </c>
      <c r="G4936" s="1" t="s">
        <v>12</v>
      </c>
      <c r="H4936" s="1" t="s">
        <v>13</v>
      </c>
      <c r="I4936" s="1" t="s">
        <v>13</v>
      </c>
      <c r="J4936" s="1" t="s">
        <v>36</v>
      </c>
      <c r="K4936" s="1">
        <v>0</v>
      </c>
      <c r="L4936" s="1" t="s">
        <v>37</v>
      </c>
      <c r="M4936" s="1" t="str">
        <f t="shared" si="78"/>
        <v>Consistent</v>
      </c>
      <c r="N4936" s="1" t="str">
        <f>_xlfn.XLOOKUP(H4936, risk_score!A:A, risk_score!B:B, 0)</f>
        <v>Low Risk</v>
      </c>
    </row>
    <row r="4937" spans="1:14">
      <c r="A4937" s="2">
        <v>0.56978009259259255</v>
      </c>
      <c r="B4937" s="3">
        <v>44841</v>
      </c>
      <c r="C4937" s="1">
        <v>5529226135</v>
      </c>
      <c r="D4937" s="1">
        <v>409707192</v>
      </c>
      <c r="E4937" s="1">
        <v>10902.37</v>
      </c>
      <c r="F4937" s="1" t="s">
        <v>12</v>
      </c>
      <c r="G4937" s="1" t="s">
        <v>12</v>
      </c>
      <c r="H4937" s="1" t="s">
        <v>13</v>
      </c>
      <c r="I4937" s="1" t="s">
        <v>13</v>
      </c>
      <c r="J4937" s="1" t="s">
        <v>25</v>
      </c>
      <c r="K4937" s="1">
        <v>0</v>
      </c>
      <c r="L4937" s="1" t="s">
        <v>23</v>
      </c>
      <c r="M4937" s="1" t="str">
        <f t="shared" si="78"/>
        <v>Consistent</v>
      </c>
      <c r="N4937" s="1" t="str">
        <f>_xlfn.XLOOKUP(H4937, risk_score!A:A, risk_score!B:B, 0)</f>
        <v>Low Risk</v>
      </c>
    </row>
    <row r="4938" spans="1:14">
      <c r="A4938" s="2">
        <v>0.56981481481481477</v>
      </c>
      <c r="B4938" s="3">
        <v>44841</v>
      </c>
      <c r="C4938" s="1">
        <v>7758268667</v>
      </c>
      <c r="D4938" s="1">
        <v>1709703404</v>
      </c>
      <c r="E4938" s="1">
        <v>5491.26</v>
      </c>
      <c r="F4938" s="1" t="s">
        <v>12</v>
      </c>
      <c r="G4938" s="1" t="s">
        <v>12</v>
      </c>
      <c r="H4938" s="1" t="s">
        <v>13</v>
      </c>
      <c r="I4938" s="1" t="s">
        <v>13</v>
      </c>
      <c r="J4938" s="1" t="s">
        <v>27</v>
      </c>
      <c r="K4938" s="1">
        <v>0</v>
      </c>
      <c r="L4938" s="1" t="s">
        <v>19</v>
      </c>
      <c r="M4938" s="1" t="str">
        <f t="shared" si="78"/>
        <v>Consistent</v>
      </c>
      <c r="N4938" s="1" t="str">
        <f>_xlfn.XLOOKUP(H4938, risk_score!A:A, risk_score!B:B, 0)</f>
        <v>Low Risk</v>
      </c>
    </row>
    <row r="4939" spans="1:14">
      <c r="A4939" s="2">
        <v>0.56983796296296296</v>
      </c>
      <c r="B4939" s="3">
        <v>44841</v>
      </c>
      <c r="C4939" s="1">
        <v>8242256009</v>
      </c>
      <c r="D4939" s="1">
        <v>1871672911</v>
      </c>
      <c r="E4939" s="1">
        <v>17289.73</v>
      </c>
      <c r="F4939" s="1" t="s">
        <v>12</v>
      </c>
      <c r="G4939" s="1" t="s">
        <v>12</v>
      </c>
      <c r="H4939" s="1" t="s">
        <v>13</v>
      </c>
      <c r="I4939" s="1" t="s">
        <v>13</v>
      </c>
      <c r="J4939" s="1" t="s">
        <v>25</v>
      </c>
      <c r="K4939" s="1">
        <v>0</v>
      </c>
      <c r="L4939" s="1" t="s">
        <v>21</v>
      </c>
      <c r="M4939" s="1" t="str">
        <f t="shared" si="78"/>
        <v>Consistent</v>
      </c>
      <c r="N4939" s="1" t="str">
        <f>_xlfn.XLOOKUP(H4939, risk_score!A:A, risk_score!B:B, 0)</f>
        <v>Low Risk</v>
      </c>
    </row>
    <row r="4940" spans="1:14">
      <c r="A4940" s="2">
        <v>0.56990740740740742</v>
      </c>
      <c r="B4940" s="3">
        <v>44841</v>
      </c>
      <c r="C4940" s="1">
        <v>7501327339</v>
      </c>
      <c r="D4940" s="1">
        <v>3546968911</v>
      </c>
      <c r="E4940" s="1">
        <v>5068.16</v>
      </c>
      <c r="F4940" s="1" t="s">
        <v>12</v>
      </c>
      <c r="G4940" s="1" t="s">
        <v>29</v>
      </c>
      <c r="H4940" s="1" t="s">
        <v>13</v>
      </c>
      <c r="I4940" s="1" t="s">
        <v>50</v>
      </c>
      <c r="J4940" s="1" t="s">
        <v>18</v>
      </c>
      <c r="K4940" s="1">
        <v>0</v>
      </c>
      <c r="L4940" s="1" t="s">
        <v>19</v>
      </c>
      <c r="M4940" s="1" t="str">
        <f t="shared" si="78"/>
        <v>Potential Layering</v>
      </c>
      <c r="N4940" s="1" t="str">
        <f>_xlfn.XLOOKUP(H4940, risk_score!A:A, risk_score!B:B, 0)</f>
        <v>Low Risk</v>
      </c>
    </row>
    <row r="4941" spans="1:14">
      <c r="A4941" s="2">
        <v>0.56993055555555561</v>
      </c>
      <c r="B4941" s="3">
        <v>44841</v>
      </c>
      <c r="C4941" s="1">
        <v>3838073186</v>
      </c>
      <c r="D4941" s="1">
        <v>493212103</v>
      </c>
      <c r="E4941" s="1">
        <v>3090.36</v>
      </c>
      <c r="F4941" s="1" t="s">
        <v>12</v>
      </c>
      <c r="G4941" s="1" t="s">
        <v>12</v>
      </c>
      <c r="H4941" s="1" t="s">
        <v>13</v>
      </c>
      <c r="I4941" s="1" t="s">
        <v>13</v>
      </c>
      <c r="J4941" s="1" t="s">
        <v>20</v>
      </c>
      <c r="K4941" s="1">
        <v>0</v>
      </c>
      <c r="L4941" s="1" t="s">
        <v>21</v>
      </c>
      <c r="M4941" s="1" t="str">
        <f t="shared" si="78"/>
        <v>Consistent</v>
      </c>
      <c r="N4941" s="1" t="str">
        <f>_xlfn.XLOOKUP(H4941, risk_score!A:A, risk_score!B:B, 0)</f>
        <v>Low Risk</v>
      </c>
    </row>
    <row r="4942" spans="1:14">
      <c r="A4942" s="2">
        <v>0.56995370370370368</v>
      </c>
      <c r="B4942" s="3">
        <v>44841</v>
      </c>
      <c r="C4942" s="1">
        <v>8116300178</v>
      </c>
      <c r="D4942" s="1">
        <v>5348527635</v>
      </c>
      <c r="E4942" s="1">
        <v>2183.35</v>
      </c>
      <c r="F4942" s="1" t="s">
        <v>12</v>
      </c>
      <c r="G4942" s="1" t="s">
        <v>12</v>
      </c>
      <c r="H4942" s="1" t="s">
        <v>13</v>
      </c>
      <c r="I4942" s="1" t="s">
        <v>13</v>
      </c>
      <c r="J4942" s="1" t="s">
        <v>25</v>
      </c>
      <c r="K4942" s="1">
        <v>0</v>
      </c>
      <c r="L4942" s="1" t="s">
        <v>21</v>
      </c>
      <c r="M4942" s="1" t="str">
        <f t="shared" si="78"/>
        <v>Consistent</v>
      </c>
      <c r="N4942" s="1" t="str">
        <f>_xlfn.XLOOKUP(H4942, risk_score!A:A, risk_score!B:B, 0)</f>
        <v>Low Risk</v>
      </c>
    </row>
    <row r="4943" spans="1:14">
      <c r="A4943" s="2">
        <v>0.56998842592592591</v>
      </c>
      <c r="B4943" s="3">
        <v>44841</v>
      </c>
      <c r="C4943" s="1">
        <v>8434217584</v>
      </c>
      <c r="D4943" s="1">
        <v>8744671811</v>
      </c>
      <c r="E4943" s="1">
        <v>241136.25</v>
      </c>
      <c r="F4943" s="1" t="s">
        <v>12</v>
      </c>
      <c r="G4943" s="1" t="s">
        <v>12</v>
      </c>
      <c r="H4943" s="1" t="s">
        <v>13</v>
      </c>
      <c r="I4943" s="1" t="s">
        <v>13</v>
      </c>
      <c r="J4943" s="1" t="s">
        <v>20</v>
      </c>
      <c r="K4943" s="1">
        <v>0</v>
      </c>
      <c r="L4943" s="1" t="s">
        <v>58</v>
      </c>
      <c r="M4943" s="1" t="str">
        <f t="shared" si="78"/>
        <v>Consistent</v>
      </c>
      <c r="N4943" s="1" t="str">
        <f>_xlfn.XLOOKUP(H4943, risk_score!A:A, risk_score!B:B, 0)</f>
        <v>Low Risk</v>
      </c>
    </row>
    <row r="4944" spans="1:14">
      <c r="A4944" s="2">
        <v>0.56999999999999995</v>
      </c>
      <c r="B4944" s="3">
        <v>44841</v>
      </c>
      <c r="C4944" s="1">
        <v>3452368468</v>
      </c>
      <c r="D4944" s="1">
        <v>5517479211</v>
      </c>
      <c r="E4944" s="1">
        <v>13516.04</v>
      </c>
      <c r="F4944" s="1" t="s">
        <v>12</v>
      </c>
      <c r="G4944" s="1" t="s">
        <v>12</v>
      </c>
      <c r="H4944" s="1" t="s">
        <v>13</v>
      </c>
      <c r="I4944" s="1" t="s">
        <v>13</v>
      </c>
      <c r="J4944" s="1" t="s">
        <v>27</v>
      </c>
      <c r="K4944" s="1">
        <v>0</v>
      </c>
      <c r="L4944" s="1" t="s">
        <v>19</v>
      </c>
      <c r="M4944" s="1" t="str">
        <f t="shared" si="78"/>
        <v>Consistent</v>
      </c>
      <c r="N4944" s="1" t="str">
        <f>_xlfn.XLOOKUP(H4944, risk_score!A:A, risk_score!B:B, 0)</f>
        <v>Low Risk</v>
      </c>
    </row>
    <row r="4945" spans="1:14">
      <c r="A4945" s="2">
        <v>0.5700115740740741</v>
      </c>
      <c r="B4945" s="3">
        <v>44841</v>
      </c>
      <c r="C4945" s="1">
        <v>1435757820</v>
      </c>
      <c r="D4945" s="1">
        <v>5365565420</v>
      </c>
      <c r="E4945" s="1">
        <v>7201.31</v>
      </c>
      <c r="F4945" s="1" t="s">
        <v>12</v>
      </c>
      <c r="G4945" s="1" t="s">
        <v>46</v>
      </c>
      <c r="H4945" s="1" t="s">
        <v>13</v>
      </c>
      <c r="I4945" s="1" t="s">
        <v>13</v>
      </c>
      <c r="J4945" s="1" t="s">
        <v>20</v>
      </c>
      <c r="K4945" s="1">
        <v>0</v>
      </c>
      <c r="L4945" s="1" t="s">
        <v>21</v>
      </c>
      <c r="M4945" s="1" t="str">
        <f t="shared" si="78"/>
        <v>Potential Layering</v>
      </c>
      <c r="N4945" s="1" t="str">
        <f>_xlfn.XLOOKUP(H4945, risk_score!A:A, risk_score!B:B, 0)</f>
        <v>Low Risk</v>
      </c>
    </row>
    <row r="4946" spans="1:14">
      <c r="A4946" s="2">
        <v>0.57002314814814814</v>
      </c>
      <c r="B4946" s="3">
        <v>44841</v>
      </c>
      <c r="C4946" s="1">
        <v>1293033026</v>
      </c>
      <c r="D4946" s="1">
        <v>4401714175</v>
      </c>
      <c r="E4946" s="1">
        <v>5896.14</v>
      </c>
      <c r="F4946" s="1" t="s">
        <v>12</v>
      </c>
      <c r="G4946" s="1" t="s">
        <v>12</v>
      </c>
      <c r="H4946" s="1" t="s">
        <v>13</v>
      </c>
      <c r="I4946" s="1" t="s">
        <v>13</v>
      </c>
      <c r="J4946" s="1" t="s">
        <v>25</v>
      </c>
      <c r="K4946" s="1">
        <v>0</v>
      </c>
      <c r="L4946" s="1" t="s">
        <v>21</v>
      </c>
      <c r="M4946" s="1" t="str">
        <f t="shared" si="78"/>
        <v>Consistent</v>
      </c>
      <c r="N4946" s="1" t="str">
        <f>_xlfn.XLOOKUP(H4946, risk_score!A:A, risk_score!B:B, 0)</f>
        <v>Low Risk</v>
      </c>
    </row>
    <row r="4947" spans="1:14">
      <c r="A4947" s="2">
        <v>0.57006944444444441</v>
      </c>
      <c r="B4947" s="3">
        <v>44841</v>
      </c>
      <c r="C4947" s="1">
        <v>8132617827</v>
      </c>
      <c r="D4947" s="1">
        <v>5466123934</v>
      </c>
      <c r="E4947" s="1">
        <v>10315.58</v>
      </c>
      <c r="F4947" s="1" t="s">
        <v>12</v>
      </c>
      <c r="G4947" s="1" t="s">
        <v>12</v>
      </c>
      <c r="H4947" s="1" t="s">
        <v>13</v>
      </c>
      <c r="I4947" s="1" t="s">
        <v>13</v>
      </c>
      <c r="J4947" s="1" t="s">
        <v>25</v>
      </c>
      <c r="K4947" s="1">
        <v>0</v>
      </c>
      <c r="L4947" s="1" t="s">
        <v>23</v>
      </c>
      <c r="M4947" s="1" t="str">
        <f t="shared" si="78"/>
        <v>Consistent</v>
      </c>
      <c r="N4947" s="1" t="str">
        <f>_xlfn.XLOOKUP(H4947, risk_score!A:A, risk_score!B:B, 0)</f>
        <v>Low Risk</v>
      </c>
    </row>
    <row r="4948" spans="1:14">
      <c r="A4948" s="2">
        <v>0.57011574074074078</v>
      </c>
      <c r="B4948" s="3">
        <v>44841</v>
      </c>
      <c r="C4948" s="1">
        <v>6990532062</v>
      </c>
      <c r="D4948" s="1">
        <v>3471663552</v>
      </c>
      <c r="E4948" s="1">
        <v>2706.96</v>
      </c>
      <c r="F4948" s="1" t="s">
        <v>12</v>
      </c>
      <c r="G4948" s="1" t="s">
        <v>12</v>
      </c>
      <c r="H4948" s="1" t="s">
        <v>13</v>
      </c>
      <c r="I4948" s="1" t="s">
        <v>13</v>
      </c>
      <c r="J4948" s="1" t="s">
        <v>22</v>
      </c>
      <c r="K4948" s="1">
        <v>0</v>
      </c>
      <c r="L4948" s="1" t="s">
        <v>21</v>
      </c>
      <c r="M4948" s="1" t="str">
        <f t="shared" si="78"/>
        <v>Consistent</v>
      </c>
      <c r="N4948" s="1" t="str">
        <f>_xlfn.XLOOKUP(H4948, risk_score!A:A, risk_score!B:B, 0)</f>
        <v>Low Risk</v>
      </c>
    </row>
    <row r="4949" spans="1:14">
      <c r="A4949" s="2">
        <v>0.57012731481481482</v>
      </c>
      <c r="B4949" s="3">
        <v>44841</v>
      </c>
      <c r="C4949" s="1">
        <v>5315940031</v>
      </c>
      <c r="D4949" s="1">
        <v>3758959228</v>
      </c>
      <c r="E4949" s="1">
        <v>2386.6</v>
      </c>
      <c r="F4949" s="1" t="s">
        <v>12</v>
      </c>
      <c r="G4949" s="1" t="s">
        <v>12</v>
      </c>
      <c r="H4949" s="1" t="s">
        <v>13</v>
      </c>
      <c r="I4949" s="1" t="s">
        <v>13</v>
      </c>
      <c r="J4949" s="1" t="s">
        <v>20</v>
      </c>
      <c r="K4949" s="1">
        <v>0</v>
      </c>
      <c r="L4949" s="1" t="s">
        <v>21</v>
      </c>
      <c r="M4949" s="1" t="str">
        <f t="shared" si="78"/>
        <v>Consistent</v>
      </c>
      <c r="N4949" s="1" t="str">
        <f>_xlfn.XLOOKUP(H4949, risk_score!A:A, risk_score!B:B, 0)</f>
        <v>Low Risk</v>
      </c>
    </row>
    <row r="4950" spans="1:14">
      <c r="A4950" s="2">
        <v>0.57016203703703705</v>
      </c>
      <c r="B4950" s="3">
        <v>44841</v>
      </c>
      <c r="C4950" s="1">
        <v>9848316613</v>
      </c>
      <c r="D4950" s="1">
        <v>7080357663</v>
      </c>
      <c r="E4950" s="1">
        <v>7527.46</v>
      </c>
      <c r="F4950" s="1" t="s">
        <v>12</v>
      </c>
      <c r="G4950" s="1" t="s">
        <v>12</v>
      </c>
      <c r="H4950" s="1" t="s">
        <v>13</v>
      </c>
      <c r="I4950" s="1" t="s">
        <v>13</v>
      </c>
      <c r="J4950" s="1" t="s">
        <v>22</v>
      </c>
      <c r="K4950" s="1">
        <v>0</v>
      </c>
      <c r="L4950" s="1" t="s">
        <v>23</v>
      </c>
      <c r="M4950" s="1" t="str">
        <f t="shared" si="78"/>
        <v>Consistent</v>
      </c>
      <c r="N4950" s="1" t="str">
        <f>_xlfn.XLOOKUP(H4950, risk_score!A:A, risk_score!B:B, 0)</f>
        <v>Low Risk</v>
      </c>
    </row>
    <row r="4951" spans="1:14">
      <c r="A4951" s="2">
        <v>0.57019675925925928</v>
      </c>
      <c r="B4951" s="3">
        <v>44841</v>
      </c>
      <c r="C4951" s="1">
        <v>9649321106</v>
      </c>
      <c r="D4951" s="1">
        <v>5109623450</v>
      </c>
      <c r="E4951" s="1">
        <v>7915.52</v>
      </c>
      <c r="F4951" s="1" t="s">
        <v>12</v>
      </c>
      <c r="G4951" s="1" t="s">
        <v>12</v>
      </c>
      <c r="H4951" s="1" t="s">
        <v>13</v>
      </c>
      <c r="I4951" s="1" t="s">
        <v>13</v>
      </c>
      <c r="J4951" s="1" t="s">
        <v>27</v>
      </c>
      <c r="K4951" s="1">
        <v>0</v>
      </c>
      <c r="L4951" s="1" t="s">
        <v>23</v>
      </c>
      <c r="M4951" s="1" t="str">
        <f t="shared" si="78"/>
        <v>Consistent</v>
      </c>
      <c r="N4951" s="1" t="str">
        <f>_xlfn.XLOOKUP(H4951, risk_score!A:A, risk_score!B:B, 0)</f>
        <v>Low Risk</v>
      </c>
    </row>
    <row r="4952" spans="1:14">
      <c r="A4952" s="2">
        <v>0.57024305555555554</v>
      </c>
      <c r="B4952" s="3">
        <v>44841</v>
      </c>
      <c r="C4952" s="1">
        <v>2294032396</v>
      </c>
      <c r="D4952" s="1">
        <v>2107425248</v>
      </c>
      <c r="E4952" s="1">
        <v>5606.83</v>
      </c>
      <c r="F4952" s="1" t="s">
        <v>12</v>
      </c>
      <c r="G4952" s="1" t="s">
        <v>12</v>
      </c>
      <c r="H4952" s="1" t="s">
        <v>13</v>
      </c>
      <c r="I4952" s="1" t="s">
        <v>13</v>
      </c>
      <c r="J4952" s="1" t="s">
        <v>27</v>
      </c>
      <c r="K4952" s="1">
        <v>0</v>
      </c>
      <c r="L4952" s="1" t="s">
        <v>21</v>
      </c>
      <c r="M4952" s="1" t="str">
        <f t="shared" si="78"/>
        <v>Consistent</v>
      </c>
      <c r="N4952" s="1" t="str">
        <f>_xlfn.XLOOKUP(H4952, risk_score!A:A, risk_score!B:B, 0)</f>
        <v>Low Risk</v>
      </c>
    </row>
    <row r="4953" spans="1:14">
      <c r="A4953" s="2">
        <v>0.57027777777777777</v>
      </c>
      <c r="B4953" s="3">
        <v>44841</v>
      </c>
      <c r="C4953" s="1">
        <v>312396354</v>
      </c>
      <c r="D4953" s="1">
        <v>2138505015</v>
      </c>
      <c r="E4953" s="1">
        <v>12632.15</v>
      </c>
      <c r="F4953" s="1" t="s">
        <v>12</v>
      </c>
      <c r="G4953" s="1" t="s">
        <v>16</v>
      </c>
      <c r="H4953" s="1" t="s">
        <v>13</v>
      </c>
      <c r="I4953" s="1" t="s">
        <v>17</v>
      </c>
      <c r="J4953" s="1" t="s">
        <v>18</v>
      </c>
      <c r="K4953" s="1">
        <v>0</v>
      </c>
      <c r="L4953" s="1" t="s">
        <v>23</v>
      </c>
      <c r="M4953" s="1" t="str">
        <f t="shared" si="78"/>
        <v>Potential Layering</v>
      </c>
      <c r="N4953" s="1" t="str">
        <f>_xlfn.XLOOKUP(H4953, risk_score!A:A, risk_score!B:B, 0)</f>
        <v>Low Risk</v>
      </c>
    </row>
    <row r="4954" spans="1:14">
      <c r="A4954" s="2">
        <v>0.57027777777777777</v>
      </c>
      <c r="B4954" s="3">
        <v>44841</v>
      </c>
      <c r="C4954" s="1">
        <v>4611712500</v>
      </c>
      <c r="D4954" s="1">
        <v>4802678511</v>
      </c>
      <c r="E4954" s="1">
        <v>1043.1500000000001</v>
      </c>
      <c r="F4954" s="1" t="s">
        <v>12</v>
      </c>
      <c r="G4954" s="1" t="s">
        <v>12</v>
      </c>
      <c r="H4954" s="1" t="s">
        <v>13</v>
      </c>
      <c r="I4954" s="1" t="s">
        <v>13</v>
      </c>
      <c r="J4954" s="1" t="s">
        <v>25</v>
      </c>
      <c r="K4954" s="1">
        <v>0</v>
      </c>
      <c r="L4954" s="1" t="s">
        <v>21</v>
      </c>
      <c r="M4954" s="1" t="str">
        <f t="shared" si="78"/>
        <v>Consistent</v>
      </c>
      <c r="N4954" s="1" t="str">
        <f>_xlfn.XLOOKUP(H4954, risk_score!A:A, risk_score!B:B, 0)</f>
        <v>Low Risk</v>
      </c>
    </row>
    <row r="4955" spans="1:14">
      <c r="A4955" s="2">
        <v>0.57028935185185181</v>
      </c>
      <c r="B4955" s="3">
        <v>44841</v>
      </c>
      <c r="C4955" s="1">
        <v>9180934204</v>
      </c>
      <c r="D4955" s="1">
        <v>6855935396</v>
      </c>
      <c r="E4955" s="1">
        <v>8700.5499999999993</v>
      </c>
      <c r="F4955" s="1" t="s">
        <v>12</v>
      </c>
      <c r="G4955" s="1" t="s">
        <v>12</v>
      </c>
      <c r="H4955" s="1" t="s">
        <v>13</v>
      </c>
      <c r="I4955" s="1" t="s">
        <v>13</v>
      </c>
      <c r="J4955" s="1" t="s">
        <v>27</v>
      </c>
      <c r="K4955" s="1">
        <v>0</v>
      </c>
      <c r="L4955" s="1" t="s">
        <v>23</v>
      </c>
      <c r="M4955" s="1" t="str">
        <f t="shared" si="78"/>
        <v>Consistent</v>
      </c>
      <c r="N4955" s="1" t="str">
        <f>_xlfn.XLOOKUP(H4955, risk_score!A:A, risk_score!B:B, 0)</f>
        <v>Low Risk</v>
      </c>
    </row>
    <row r="4956" spans="1:14">
      <c r="A4956" s="2">
        <v>0.57028935185185181</v>
      </c>
      <c r="B4956" s="3">
        <v>44841</v>
      </c>
      <c r="C4956" s="1">
        <v>5195441820</v>
      </c>
      <c r="D4956" s="1">
        <v>9600420220</v>
      </c>
      <c r="E4956" s="1">
        <v>8230.85</v>
      </c>
      <c r="F4956" s="1" t="s">
        <v>12</v>
      </c>
      <c r="G4956" s="1" t="s">
        <v>12</v>
      </c>
      <c r="H4956" s="1" t="s">
        <v>13</v>
      </c>
      <c r="I4956" s="1" t="s">
        <v>13</v>
      </c>
      <c r="J4956" s="1" t="s">
        <v>20</v>
      </c>
      <c r="K4956" s="1">
        <v>0</v>
      </c>
      <c r="L4956" s="1" t="s">
        <v>23</v>
      </c>
      <c r="M4956" s="1" t="str">
        <f t="shared" si="78"/>
        <v>Consistent</v>
      </c>
      <c r="N4956" s="1" t="str">
        <f>_xlfn.XLOOKUP(H4956, risk_score!A:A, risk_score!B:B, 0)</f>
        <v>Low Risk</v>
      </c>
    </row>
    <row r="4957" spans="1:14">
      <c r="A4957" s="2">
        <v>0.57030092592592596</v>
      </c>
      <c r="B4957" s="3">
        <v>44841</v>
      </c>
      <c r="C4957" s="1">
        <v>1526266472</v>
      </c>
      <c r="D4957" s="1">
        <v>4821876453</v>
      </c>
      <c r="E4957" s="1">
        <v>844.85</v>
      </c>
      <c r="F4957" s="1" t="s">
        <v>12</v>
      </c>
      <c r="G4957" s="1" t="s">
        <v>59</v>
      </c>
      <c r="H4957" s="1" t="s">
        <v>13</v>
      </c>
      <c r="I4957" s="1" t="s">
        <v>60</v>
      </c>
      <c r="J4957" s="1" t="s">
        <v>18</v>
      </c>
      <c r="K4957" s="1">
        <v>0</v>
      </c>
      <c r="L4957" s="1" t="s">
        <v>21</v>
      </c>
      <c r="M4957" s="1" t="str">
        <f t="shared" si="78"/>
        <v>Potential Layering</v>
      </c>
      <c r="N4957" s="1" t="str">
        <f>_xlfn.XLOOKUP(H4957, risk_score!A:A, risk_score!B:B, 0)</f>
        <v>Low Risk</v>
      </c>
    </row>
    <row r="4958" spans="1:14">
      <c r="A4958" s="2">
        <v>0.57033564814814819</v>
      </c>
      <c r="B4958" s="3">
        <v>44841</v>
      </c>
      <c r="C4958" s="1">
        <v>3682462176</v>
      </c>
      <c r="D4958" s="1">
        <v>927702890</v>
      </c>
      <c r="E4958" s="1">
        <v>2144.3200000000002</v>
      </c>
      <c r="F4958" s="1" t="s">
        <v>12</v>
      </c>
      <c r="G4958" s="1" t="s">
        <v>12</v>
      </c>
      <c r="H4958" s="1" t="s">
        <v>13</v>
      </c>
      <c r="I4958" s="1" t="s">
        <v>13</v>
      </c>
      <c r="J4958" s="1" t="s">
        <v>27</v>
      </c>
      <c r="K4958" s="1">
        <v>0</v>
      </c>
      <c r="L4958" s="1" t="s">
        <v>21</v>
      </c>
      <c r="M4958" s="1" t="str">
        <f t="shared" si="78"/>
        <v>Consistent</v>
      </c>
      <c r="N4958" s="1" t="str">
        <f>_xlfn.XLOOKUP(H4958, risk_score!A:A, risk_score!B:B, 0)</f>
        <v>Low Risk</v>
      </c>
    </row>
    <row r="4959" spans="1:14">
      <c r="A4959" s="2">
        <v>0.57033564814814819</v>
      </c>
      <c r="B4959" s="3">
        <v>44841</v>
      </c>
      <c r="C4959" s="1">
        <v>5509781847</v>
      </c>
      <c r="D4959" s="1">
        <v>894978947</v>
      </c>
      <c r="E4959" s="1">
        <v>210.71</v>
      </c>
      <c r="F4959" s="1" t="s">
        <v>12</v>
      </c>
      <c r="G4959" s="1" t="s">
        <v>12</v>
      </c>
      <c r="H4959" s="1" t="s">
        <v>13</v>
      </c>
      <c r="I4959" s="1" t="s">
        <v>13</v>
      </c>
      <c r="J4959" s="1" t="s">
        <v>22</v>
      </c>
      <c r="K4959" s="1">
        <v>0</v>
      </c>
      <c r="L4959" s="1" t="s">
        <v>21</v>
      </c>
      <c r="M4959" s="1" t="str">
        <f t="shared" si="78"/>
        <v>Consistent</v>
      </c>
      <c r="N4959" s="1" t="str">
        <f>_xlfn.XLOOKUP(H4959, risk_score!A:A, risk_score!B:B, 0)</f>
        <v>Low Risk</v>
      </c>
    </row>
    <row r="4960" spans="1:14">
      <c r="A4960" s="2">
        <v>0.57034722222222223</v>
      </c>
      <c r="B4960" s="3">
        <v>44841</v>
      </c>
      <c r="C4960" s="1">
        <v>3168051873</v>
      </c>
      <c r="D4960" s="1">
        <v>6138274964</v>
      </c>
      <c r="E4960" s="1">
        <v>5175.8900000000003</v>
      </c>
      <c r="F4960" s="1" t="s">
        <v>12</v>
      </c>
      <c r="G4960" s="1" t="s">
        <v>12</v>
      </c>
      <c r="H4960" s="1" t="s">
        <v>13</v>
      </c>
      <c r="I4960" s="1" t="s">
        <v>13</v>
      </c>
      <c r="J4960" s="1" t="s">
        <v>27</v>
      </c>
      <c r="K4960" s="1">
        <v>0</v>
      </c>
      <c r="L4960" s="1" t="s">
        <v>19</v>
      </c>
      <c r="M4960" s="1" t="str">
        <f t="shared" si="78"/>
        <v>Consistent</v>
      </c>
      <c r="N4960" s="1" t="str">
        <f>_xlfn.XLOOKUP(H4960, risk_score!A:A, risk_score!B:B, 0)</f>
        <v>Low Risk</v>
      </c>
    </row>
    <row r="4961" spans="1:14">
      <c r="A4961" s="2">
        <v>0.57034722222222223</v>
      </c>
      <c r="B4961" s="3">
        <v>44841</v>
      </c>
      <c r="C4961" s="1">
        <v>3864603006</v>
      </c>
      <c r="D4961" s="1">
        <v>5858369125</v>
      </c>
      <c r="E4961" s="1">
        <v>20100.84</v>
      </c>
      <c r="F4961" s="1" t="s">
        <v>12</v>
      </c>
      <c r="G4961" s="1" t="s">
        <v>12</v>
      </c>
      <c r="H4961" s="1" t="s">
        <v>13</v>
      </c>
      <c r="I4961" s="1" t="s">
        <v>13</v>
      </c>
      <c r="J4961" s="1" t="s">
        <v>27</v>
      </c>
      <c r="K4961" s="1">
        <v>0</v>
      </c>
      <c r="L4961" s="1" t="s">
        <v>23</v>
      </c>
      <c r="M4961" s="1" t="str">
        <f t="shared" si="78"/>
        <v>Consistent</v>
      </c>
      <c r="N4961" s="1" t="str">
        <f>_xlfn.XLOOKUP(H4961, risk_score!A:A, risk_score!B:B, 0)</f>
        <v>Low Risk</v>
      </c>
    </row>
    <row r="4962" spans="1:14">
      <c r="A4962" s="2">
        <v>0.57039351851851849</v>
      </c>
      <c r="B4962" s="3">
        <v>44841</v>
      </c>
      <c r="C4962" s="1">
        <v>5813296620</v>
      </c>
      <c r="D4962" s="1">
        <v>1590072487</v>
      </c>
      <c r="E4962" s="1">
        <v>17.61</v>
      </c>
      <c r="F4962" s="1" t="s">
        <v>12</v>
      </c>
      <c r="G4962" s="1" t="s">
        <v>12</v>
      </c>
      <c r="H4962" s="1" t="s">
        <v>13</v>
      </c>
      <c r="I4962" s="1" t="s">
        <v>13</v>
      </c>
      <c r="J4962" s="1" t="s">
        <v>36</v>
      </c>
      <c r="K4962" s="1">
        <v>0</v>
      </c>
      <c r="L4962" s="1" t="s">
        <v>37</v>
      </c>
      <c r="M4962" s="1" t="str">
        <f t="shared" si="78"/>
        <v>Consistent</v>
      </c>
      <c r="N4962" s="1" t="str">
        <f>_xlfn.XLOOKUP(H4962, risk_score!A:A, risk_score!B:B, 0)</f>
        <v>Low Risk</v>
      </c>
    </row>
    <row r="4963" spans="1:14">
      <c r="A4963" s="2">
        <v>0.57041666666666668</v>
      </c>
      <c r="B4963" s="3">
        <v>44841</v>
      </c>
      <c r="C4963" s="1">
        <v>5708403349</v>
      </c>
      <c r="D4963" s="1">
        <v>5793658246</v>
      </c>
      <c r="E4963" s="1">
        <v>22380.74</v>
      </c>
      <c r="F4963" s="1" t="s">
        <v>12</v>
      </c>
      <c r="G4963" s="1" t="s">
        <v>12</v>
      </c>
      <c r="H4963" s="1" t="s">
        <v>13</v>
      </c>
      <c r="I4963" s="1" t="s">
        <v>13</v>
      </c>
      <c r="J4963" s="1" t="s">
        <v>20</v>
      </c>
      <c r="K4963" s="1">
        <v>0</v>
      </c>
      <c r="L4963" s="1" t="s">
        <v>21</v>
      </c>
      <c r="M4963" s="1" t="str">
        <f t="shared" si="78"/>
        <v>Consistent</v>
      </c>
      <c r="N4963" s="1" t="str">
        <f>_xlfn.XLOOKUP(H4963, risk_score!A:A, risk_score!B:B, 0)</f>
        <v>Low Risk</v>
      </c>
    </row>
    <row r="4964" spans="1:14">
      <c r="A4964" s="2">
        <v>0.57043981481481476</v>
      </c>
      <c r="B4964" s="3">
        <v>44841</v>
      </c>
      <c r="C4964" s="1">
        <v>3465671884</v>
      </c>
      <c r="D4964" s="1">
        <v>6034997194</v>
      </c>
      <c r="E4964" s="1">
        <v>5823.92</v>
      </c>
      <c r="F4964" s="1" t="s">
        <v>12</v>
      </c>
      <c r="G4964" s="1" t="s">
        <v>12</v>
      </c>
      <c r="H4964" s="1" t="s">
        <v>13</v>
      </c>
      <c r="I4964" s="1" t="s">
        <v>13</v>
      </c>
      <c r="J4964" s="1" t="s">
        <v>27</v>
      </c>
      <c r="K4964" s="1">
        <v>0</v>
      </c>
      <c r="L4964" s="1" t="s">
        <v>23</v>
      </c>
      <c r="M4964" s="1" t="str">
        <f t="shared" si="78"/>
        <v>Consistent</v>
      </c>
      <c r="N4964" s="1" t="str">
        <f>_xlfn.XLOOKUP(H4964, risk_score!A:A, risk_score!B:B, 0)</f>
        <v>Low Risk</v>
      </c>
    </row>
    <row r="4965" spans="1:14">
      <c r="A4965" s="2">
        <v>0.57046296296296295</v>
      </c>
      <c r="B4965" s="3">
        <v>44841</v>
      </c>
      <c r="C4965" s="1">
        <v>9228204227</v>
      </c>
      <c r="D4965" s="1">
        <v>79724850</v>
      </c>
      <c r="E4965" s="1">
        <v>65.16</v>
      </c>
      <c r="F4965" s="1" t="s">
        <v>12</v>
      </c>
      <c r="G4965" s="1" t="s">
        <v>12</v>
      </c>
      <c r="H4965" s="1" t="s">
        <v>13</v>
      </c>
      <c r="I4965" s="1" t="s">
        <v>13</v>
      </c>
      <c r="J4965" s="1" t="s">
        <v>20</v>
      </c>
      <c r="K4965" s="1">
        <v>0</v>
      </c>
      <c r="L4965" s="1" t="s">
        <v>21</v>
      </c>
      <c r="M4965" s="1" t="str">
        <f t="shared" si="78"/>
        <v>Consistent</v>
      </c>
      <c r="N4965" s="1" t="str">
        <f>_xlfn.XLOOKUP(H4965, risk_score!A:A, risk_score!B:B, 0)</f>
        <v>Low Risk</v>
      </c>
    </row>
    <row r="4966" spans="1:14">
      <c r="A4966" s="2">
        <v>0.57046296296296295</v>
      </c>
      <c r="B4966" s="3">
        <v>44841</v>
      </c>
      <c r="C4966" s="1">
        <v>287305149</v>
      </c>
      <c r="D4966" s="1">
        <v>872570034</v>
      </c>
      <c r="E4966" s="1">
        <v>21609.67</v>
      </c>
      <c r="F4966" s="1" t="s">
        <v>12</v>
      </c>
      <c r="G4966" s="1" t="s">
        <v>51</v>
      </c>
      <c r="H4966" s="1" t="s">
        <v>13</v>
      </c>
      <c r="I4966" s="1" t="s">
        <v>13</v>
      </c>
      <c r="J4966" s="1" t="s">
        <v>22</v>
      </c>
      <c r="K4966" s="1">
        <v>0</v>
      </c>
      <c r="L4966" s="1" t="s">
        <v>21</v>
      </c>
      <c r="M4966" s="1" t="str">
        <f t="shared" si="78"/>
        <v>Potential Layering</v>
      </c>
      <c r="N4966" s="1" t="str">
        <f>_xlfn.XLOOKUP(H4966, risk_score!A:A, risk_score!B:B, 0)</f>
        <v>Low Risk</v>
      </c>
    </row>
    <row r="4967" spans="1:14">
      <c r="A4967" s="2">
        <v>0.57049768518518518</v>
      </c>
      <c r="B4967" s="3">
        <v>44841</v>
      </c>
      <c r="C4967" s="1">
        <v>5508873659</v>
      </c>
      <c r="D4967" s="1">
        <v>6514419498</v>
      </c>
      <c r="E4967" s="1">
        <v>140.54</v>
      </c>
      <c r="F4967" s="1" t="s">
        <v>12</v>
      </c>
      <c r="G4967" s="1" t="s">
        <v>12</v>
      </c>
      <c r="H4967" s="1" t="s">
        <v>13</v>
      </c>
      <c r="I4967" s="1" t="s">
        <v>13</v>
      </c>
      <c r="J4967" s="1" t="s">
        <v>27</v>
      </c>
      <c r="K4967" s="1">
        <v>0</v>
      </c>
      <c r="L4967" s="1" t="s">
        <v>21</v>
      </c>
      <c r="M4967" s="1" t="str">
        <f t="shared" si="78"/>
        <v>Consistent</v>
      </c>
      <c r="N4967" s="1" t="str">
        <f>_xlfn.XLOOKUP(H4967, risk_score!A:A, risk_score!B:B, 0)</f>
        <v>Low Risk</v>
      </c>
    </row>
    <row r="4968" spans="1:14">
      <c r="A4968" s="2">
        <v>0.57050925925925922</v>
      </c>
      <c r="B4968" s="3">
        <v>44841</v>
      </c>
      <c r="C4968" s="1">
        <v>1491989064</v>
      </c>
      <c r="D4968" s="1">
        <v>7160767531</v>
      </c>
      <c r="E4968" s="1">
        <v>8311.61</v>
      </c>
      <c r="F4968" s="1" t="s">
        <v>12</v>
      </c>
      <c r="G4968" s="1" t="s">
        <v>12</v>
      </c>
      <c r="H4968" s="1" t="s">
        <v>13</v>
      </c>
      <c r="I4968" s="1" t="s">
        <v>13</v>
      </c>
      <c r="J4968" s="1" t="s">
        <v>22</v>
      </c>
      <c r="K4968" s="1">
        <v>0</v>
      </c>
      <c r="L4968" s="1" t="s">
        <v>19</v>
      </c>
      <c r="M4968" s="1" t="str">
        <f t="shared" si="78"/>
        <v>Consistent</v>
      </c>
      <c r="N4968" s="1" t="str">
        <f>_xlfn.XLOOKUP(H4968, risk_score!A:A, risk_score!B:B, 0)</f>
        <v>Low Risk</v>
      </c>
    </row>
    <row r="4969" spans="1:14">
      <c r="A4969" s="2">
        <v>0.5705324074074074</v>
      </c>
      <c r="B4969" s="3">
        <v>44841</v>
      </c>
      <c r="C4969" s="1">
        <v>7952565397</v>
      </c>
      <c r="D4969" s="1">
        <v>8518296641</v>
      </c>
      <c r="E4969" s="1">
        <v>1411.93</v>
      </c>
      <c r="F4969" s="1" t="s">
        <v>12</v>
      </c>
      <c r="G4969" s="1" t="s">
        <v>12</v>
      </c>
      <c r="H4969" s="1" t="s">
        <v>13</v>
      </c>
      <c r="I4969" s="1" t="s">
        <v>13</v>
      </c>
      <c r="J4969" s="1" t="s">
        <v>27</v>
      </c>
      <c r="K4969" s="1">
        <v>0</v>
      </c>
      <c r="L4969" s="1" t="s">
        <v>21</v>
      </c>
      <c r="M4969" s="1" t="str">
        <f t="shared" si="78"/>
        <v>Consistent</v>
      </c>
      <c r="N4969" s="1" t="str">
        <f>_xlfn.XLOOKUP(H4969, risk_score!A:A, risk_score!B:B, 0)</f>
        <v>Low Risk</v>
      </c>
    </row>
    <row r="4970" spans="1:14">
      <c r="A4970" s="2">
        <v>0.57060185185185186</v>
      </c>
      <c r="B4970" s="3">
        <v>44841</v>
      </c>
      <c r="C4970" s="1">
        <v>7444330665</v>
      </c>
      <c r="D4970" s="1">
        <v>5780213783</v>
      </c>
      <c r="E4970" s="1">
        <v>14632.87</v>
      </c>
      <c r="F4970" s="1" t="s">
        <v>12</v>
      </c>
      <c r="G4970" s="1" t="s">
        <v>12</v>
      </c>
      <c r="H4970" s="1" t="s">
        <v>13</v>
      </c>
      <c r="I4970" s="1" t="s">
        <v>13</v>
      </c>
      <c r="J4970" s="1" t="s">
        <v>27</v>
      </c>
      <c r="K4970" s="1">
        <v>0</v>
      </c>
      <c r="L4970" s="1" t="s">
        <v>24</v>
      </c>
      <c r="M4970" s="1" t="str">
        <f t="shared" si="78"/>
        <v>Consistent</v>
      </c>
      <c r="N4970" s="1" t="str">
        <f>_xlfn.XLOOKUP(H4970, risk_score!A:A, risk_score!B:B, 0)</f>
        <v>Low Risk</v>
      </c>
    </row>
    <row r="4971" spans="1:14">
      <c r="A4971" s="2">
        <v>0.5706134259259259</v>
      </c>
      <c r="B4971" s="3">
        <v>44841</v>
      </c>
      <c r="C4971" s="1">
        <v>3510078932</v>
      </c>
      <c r="D4971" s="1">
        <v>2759163705</v>
      </c>
      <c r="E4971" s="1">
        <v>5112.8500000000004</v>
      </c>
      <c r="F4971" s="1" t="s">
        <v>12</v>
      </c>
      <c r="G4971" s="1" t="s">
        <v>12</v>
      </c>
      <c r="H4971" s="1" t="s">
        <v>13</v>
      </c>
      <c r="I4971" s="1" t="s">
        <v>13</v>
      </c>
      <c r="J4971" s="1" t="s">
        <v>22</v>
      </c>
      <c r="K4971" s="1">
        <v>0</v>
      </c>
      <c r="L4971" s="1" t="s">
        <v>19</v>
      </c>
      <c r="M4971" s="1" t="str">
        <f t="shared" si="78"/>
        <v>Consistent</v>
      </c>
      <c r="N4971" s="1" t="str">
        <f>_xlfn.XLOOKUP(H4971, risk_score!A:A, risk_score!B:B, 0)</f>
        <v>Low Risk</v>
      </c>
    </row>
    <row r="4972" spans="1:14">
      <c r="A4972" s="2">
        <v>0.57062500000000005</v>
      </c>
      <c r="B4972" s="3">
        <v>44841</v>
      </c>
      <c r="C4972" s="1">
        <v>8854146908</v>
      </c>
      <c r="D4972" s="1">
        <v>9600420220</v>
      </c>
      <c r="E4972" s="1">
        <v>5056.79</v>
      </c>
      <c r="F4972" s="1" t="s">
        <v>12</v>
      </c>
      <c r="G4972" s="1" t="s">
        <v>12</v>
      </c>
      <c r="H4972" s="1" t="s">
        <v>13</v>
      </c>
      <c r="I4972" s="1" t="s">
        <v>13</v>
      </c>
      <c r="J4972" s="1" t="s">
        <v>20</v>
      </c>
      <c r="K4972" s="1">
        <v>0</v>
      </c>
      <c r="L4972" s="1" t="s">
        <v>23</v>
      </c>
      <c r="M4972" s="1" t="str">
        <f t="shared" si="78"/>
        <v>Consistent</v>
      </c>
      <c r="N4972" s="1" t="str">
        <f>_xlfn.XLOOKUP(H4972, risk_score!A:A, risk_score!B:B, 0)</f>
        <v>Low Risk</v>
      </c>
    </row>
    <row r="4973" spans="1:14">
      <c r="A4973" s="2">
        <v>0.57065972222222228</v>
      </c>
      <c r="B4973" s="3">
        <v>44841</v>
      </c>
      <c r="C4973" s="1">
        <v>8536900653</v>
      </c>
      <c r="D4973" s="1">
        <v>9429865743</v>
      </c>
      <c r="E4973" s="1">
        <v>6367.8</v>
      </c>
      <c r="F4973" s="1" t="s">
        <v>12</v>
      </c>
      <c r="G4973" s="1" t="s">
        <v>12</v>
      </c>
      <c r="H4973" s="1" t="s">
        <v>13</v>
      </c>
      <c r="I4973" s="1" t="s">
        <v>13</v>
      </c>
      <c r="J4973" s="1" t="s">
        <v>22</v>
      </c>
      <c r="K4973" s="1">
        <v>0</v>
      </c>
      <c r="L4973" s="1" t="s">
        <v>21</v>
      </c>
      <c r="M4973" s="1" t="str">
        <f t="shared" si="78"/>
        <v>Consistent</v>
      </c>
      <c r="N4973" s="1" t="str">
        <f>_xlfn.XLOOKUP(H4973, risk_score!A:A, risk_score!B:B, 0)</f>
        <v>Low Risk</v>
      </c>
    </row>
    <row r="4974" spans="1:14">
      <c r="A4974" s="2">
        <v>0.57069444444444439</v>
      </c>
      <c r="B4974" s="3">
        <v>44841</v>
      </c>
      <c r="C4974" s="1">
        <v>7584000699</v>
      </c>
      <c r="D4974" s="1">
        <v>1402610857</v>
      </c>
      <c r="E4974" s="1">
        <v>4285.9399999999996</v>
      </c>
      <c r="F4974" s="1" t="s">
        <v>12</v>
      </c>
      <c r="G4974" s="1" t="s">
        <v>12</v>
      </c>
      <c r="H4974" s="1" t="s">
        <v>13</v>
      </c>
      <c r="I4974" s="1" t="s">
        <v>13</v>
      </c>
      <c r="J4974" s="1" t="s">
        <v>25</v>
      </c>
      <c r="K4974" s="1">
        <v>0</v>
      </c>
      <c r="L4974" s="1" t="s">
        <v>21</v>
      </c>
      <c r="M4974" s="1" t="str">
        <f t="shared" si="78"/>
        <v>Consistent</v>
      </c>
      <c r="N4974" s="1" t="str">
        <f>_xlfn.XLOOKUP(H4974, risk_score!A:A, risk_score!B:B, 0)</f>
        <v>Low Risk</v>
      </c>
    </row>
    <row r="4975" spans="1:14">
      <c r="A4975" s="2">
        <v>0.57074074074074077</v>
      </c>
      <c r="B4975" s="3">
        <v>44841</v>
      </c>
      <c r="C4975" s="1">
        <v>7669236826</v>
      </c>
      <c r="D4975" s="1">
        <v>6127165731</v>
      </c>
      <c r="E4975" s="1">
        <v>10987.89</v>
      </c>
      <c r="F4975" s="1" t="s">
        <v>12</v>
      </c>
      <c r="G4975" s="1" t="s">
        <v>12</v>
      </c>
      <c r="H4975" s="1" t="s">
        <v>13</v>
      </c>
      <c r="I4975" s="1" t="s">
        <v>13</v>
      </c>
      <c r="J4975" s="1" t="s">
        <v>20</v>
      </c>
      <c r="K4975" s="1">
        <v>0</v>
      </c>
      <c r="L4975" s="1" t="s">
        <v>19</v>
      </c>
      <c r="M4975" s="1" t="str">
        <f t="shared" si="78"/>
        <v>Consistent</v>
      </c>
      <c r="N4975" s="1" t="str">
        <f>_xlfn.XLOOKUP(H4975, risk_score!A:A, risk_score!B:B, 0)</f>
        <v>Low Risk</v>
      </c>
    </row>
    <row r="4976" spans="1:14">
      <c r="A4976" s="2">
        <v>0.57075231481481481</v>
      </c>
      <c r="B4976" s="3">
        <v>44841</v>
      </c>
      <c r="C4976" s="1">
        <v>2797271466</v>
      </c>
      <c r="D4976" s="1">
        <v>1492744665</v>
      </c>
      <c r="E4976" s="1">
        <v>5836.45</v>
      </c>
      <c r="F4976" s="1" t="s">
        <v>12</v>
      </c>
      <c r="G4976" s="1" t="s">
        <v>12</v>
      </c>
      <c r="H4976" s="1" t="s">
        <v>13</v>
      </c>
      <c r="I4976" s="1" t="s">
        <v>13</v>
      </c>
      <c r="J4976" s="1" t="s">
        <v>27</v>
      </c>
      <c r="K4976" s="1">
        <v>0</v>
      </c>
      <c r="L4976" s="1" t="s">
        <v>19</v>
      </c>
      <c r="M4976" s="1" t="str">
        <f t="shared" si="78"/>
        <v>Consistent</v>
      </c>
      <c r="N4976" s="1" t="str">
        <f>_xlfn.XLOOKUP(H4976, risk_score!A:A, risk_score!B:B, 0)</f>
        <v>Low Risk</v>
      </c>
    </row>
    <row r="4977" spans="1:14">
      <c r="A4977" s="2">
        <v>0.57079861111111108</v>
      </c>
      <c r="B4977" s="3">
        <v>44841</v>
      </c>
      <c r="C4977" s="1">
        <v>2218016419</v>
      </c>
      <c r="D4977" s="1">
        <v>5276792960</v>
      </c>
      <c r="E4977" s="1">
        <v>2520.14</v>
      </c>
      <c r="F4977" s="1" t="s">
        <v>12</v>
      </c>
      <c r="G4977" s="1" t="s">
        <v>12</v>
      </c>
      <c r="H4977" s="1" t="s">
        <v>13</v>
      </c>
      <c r="I4977" s="1" t="s">
        <v>13</v>
      </c>
      <c r="J4977" s="1" t="s">
        <v>20</v>
      </c>
      <c r="K4977" s="1">
        <v>0</v>
      </c>
      <c r="L4977" s="1" t="s">
        <v>21</v>
      </c>
      <c r="M4977" s="1" t="str">
        <f t="shared" si="78"/>
        <v>Consistent</v>
      </c>
      <c r="N4977" s="1" t="str">
        <f>_xlfn.XLOOKUP(H4977, risk_score!A:A, risk_score!B:B, 0)</f>
        <v>Low Risk</v>
      </c>
    </row>
    <row r="4978" spans="1:14">
      <c r="A4978" s="2">
        <v>0.57082175925925926</v>
      </c>
      <c r="B4978" s="3">
        <v>44841</v>
      </c>
      <c r="C4978" s="1">
        <v>4121324384</v>
      </c>
      <c r="D4978" s="1">
        <v>2476331065</v>
      </c>
      <c r="E4978" s="1">
        <v>6612.07</v>
      </c>
      <c r="F4978" s="1" t="s">
        <v>29</v>
      </c>
      <c r="G4978" s="1" t="s">
        <v>12</v>
      </c>
      <c r="H4978" s="1" t="s">
        <v>30</v>
      </c>
      <c r="I4978" s="1" t="s">
        <v>13</v>
      </c>
      <c r="J4978" s="1" t="s">
        <v>18</v>
      </c>
      <c r="K4978" s="1">
        <v>0</v>
      </c>
      <c r="L4978" s="1" t="s">
        <v>19</v>
      </c>
      <c r="M4978" s="1" t="str">
        <f t="shared" si="78"/>
        <v>Potential Layering</v>
      </c>
      <c r="N4978" s="1" t="str">
        <f>_xlfn.XLOOKUP(H4978, risk_score!A:A, risk_score!B:B, 0)</f>
        <v>Low Risk</v>
      </c>
    </row>
    <row r="4979" spans="1:14">
      <c r="A4979" s="2">
        <v>0.57082175925925926</v>
      </c>
      <c r="B4979" s="3">
        <v>44841</v>
      </c>
      <c r="C4979" s="1">
        <v>8916668286</v>
      </c>
      <c r="D4979" s="1">
        <v>2255008785</v>
      </c>
      <c r="E4979" s="1">
        <v>61896.53</v>
      </c>
      <c r="F4979" s="1" t="s">
        <v>12</v>
      </c>
      <c r="G4979" s="1" t="s">
        <v>12</v>
      </c>
      <c r="H4979" s="1" t="s">
        <v>13</v>
      </c>
      <c r="I4979" s="1" t="s">
        <v>13</v>
      </c>
      <c r="J4979" s="1" t="s">
        <v>27</v>
      </c>
      <c r="K4979" s="1">
        <v>0</v>
      </c>
      <c r="L4979" s="1" t="s">
        <v>49</v>
      </c>
      <c r="M4979" s="1" t="str">
        <f t="shared" si="78"/>
        <v>Consistent</v>
      </c>
      <c r="N4979" s="1" t="str">
        <f>_xlfn.XLOOKUP(H4979, risk_score!A:A, risk_score!B:B, 0)</f>
        <v>Low Risk</v>
      </c>
    </row>
    <row r="4980" spans="1:14">
      <c r="A4980" s="2">
        <v>0.57082175925925926</v>
      </c>
      <c r="B4980" s="3">
        <v>44841</v>
      </c>
      <c r="C4980" s="1">
        <v>9286364118</v>
      </c>
      <c r="D4980" s="1">
        <v>4806198052</v>
      </c>
      <c r="E4980" s="1">
        <v>5942.66</v>
      </c>
      <c r="F4980" s="1" t="s">
        <v>12</v>
      </c>
      <c r="G4980" s="1" t="s">
        <v>12</v>
      </c>
      <c r="H4980" s="1" t="s">
        <v>13</v>
      </c>
      <c r="I4980" s="1" t="s">
        <v>13</v>
      </c>
      <c r="J4980" s="1" t="s">
        <v>22</v>
      </c>
      <c r="K4980" s="1">
        <v>0</v>
      </c>
      <c r="L4980" s="1" t="s">
        <v>21</v>
      </c>
      <c r="M4980" s="1" t="str">
        <f t="shared" si="78"/>
        <v>Consistent</v>
      </c>
      <c r="N4980" s="1" t="str">
        <f>_xlfn.XLOOKUP(H4980, risk_score!A:A, risk_score!B:B, 0)</f>
        <v>Low Risk</v>
      </c>
    </row>
    <row r="4981" spans="1:14">
      <c r="A4981" s="2">
        <v>0.57082175925925926</v>
      </c>
      <c r="B4981" s="3">
        <v>44841</v>
      </c>
      <c r="C4981" s="1">
        <v>7501327339</v>
      </c>
      <c r="D4981" s="1">
        <v>8061984977</v>
      </c>
      <c r="E4981" s="1">
        <v>9518.99</v>
      </c>
      <c r="F4981" s="1" t="s">
        <v>12</v>
      </c>
      <c r="G4981" s="1" t="s">
        <v>12</v>
      </c>
      <c r="H4981" s="1" t="s">
        <v>13</v>
      </c>
      <c r="I4981" s="1" t="s">
        <v>13</v>
      </c>
      <c r="J4981" s="1" t="s">
        <v>22</v>
      </c>
      <c r="K4981" s="1">
        <v>0</v>
      </c>
      <c r="L4981" s="1" t="s">
        <v>19</v>
      </c>
      <c r="M4981" s="1" t="str">
        <f t="shared" si="78"/>
        <v>Consistent</v>
      </c>
      <c r="N4981" s="1" t="str">
        <f>_xlfn.XLOOKUP(H4981, risk_score!A:A, risk_score!B:B, 0)</f>
        <v>Low Risk</v>
      </c>
    </row>
    <row r="4982" spans="1:14">
      <c r="A4982" s="2">
        <v>0.57084490740740745</v>
      </c>
      <c r="B4982" s="3">
        <v>44841</v>
      </c>
      <c r="C4982" s="1">
        <v>4600894500</v>
      </c>
      <c r="D4982" s="1">
        <v>6034997194</v>
      </c>
      <c r="E4982" s="1">
        <v>5363.49</v>
      </c>
      <c r="F4982" s="1" t="s">
        <v>12</v>
      </c>
      <c r="G4982" s="1" t="s">
        <v>12</v>
      </c>
      <c r="H4982" s="1" t="s">
        <v>13</v>
      </c>
      <c r="I4982" s="1" t="s">
        <v>13</v>
      </c>
      <c r="J4982" s="1" t="s">
        <v>27</v>
      </c>
      <c r="K4982" s="1">
        <v>0</v>
      </c>
      <c r="L4982" s="1" t="s">
        <v>23</v>
      </c>
      <c r="M4982" s="1" t="str">
        <f t="shared" si="78"/>
        <v>Consistent</v>
      </c>
      <c r="N4982" s="1" t="str">
        <f>_xlfn.XLOOKUP(H4982, risk_score!A:A, risk_score!B:B, 0)</f>
        <v>Low Risk</v>
      </c>
    </row>
    <row r="4983" spans="1:14">
      <c r="A4983" s="2">
        <v>0.57086805555555553</v>
      </c>
      <c r="B4983" s="3">
        <v>44841</v>
      </c>
      <c r="C4983" s="1">
        <v>5426486896</v>
      </c>
      <c r="D4983" s="1">
        <v>6034997194</v>
      </c>
      <c r="E4983" s="1">
        <v>8377.34</v>
      </c>
      <c r="F4983" s="1" t="s">
        <v>12</v>
      </c>
      <c r="G4983" s="1" t="s">
        <v>12</v>
      </c>
      <c r="H4983" s="1" t="s">
        <v>13</v>
      </c>
      <c r="I4983" s="1" t="s">
        <v>13</v>
      </c>
      <c r="J4983" s="1" t="s">
        <v>25</v>
      </c>
      <c r="K4983" s="1">
        <v>0</v>
      </c>
      <c r="L4983" s="1" t="s">
        <v>23</v>
      </c>
      <c r="M4983" s="1" t="str">
        <f t="shared" si="78"/>
        <v>Consistent</v>
      </c>
      <c r="N4983" s="1" t="str">
        <f>_xlfn.XLOOKUP(H4983, risk_score!A:A, risk_score!B:B, 0)</f>
        <v>Low Risk</v>
      </c>
    </row>
    <row r="4984" spans="1:14">
      <c r="A4984" s="2">
        <v>0.57087962962962968</v>
      </c>
      <c r="B4984" s="3">
        <v>44841</v>
      </c>
      <c r="C4984" s="1">
        <v>4109732596</v>
      </c>
      <c r="D4984" s="1">
        <v>5708936901</v>
      </c>
      <c r="E4984" s="1">
        <v>17721.02</v>
      </c>
      <c r="F4984" s="1" t="s">
        <v>12</v>
      </c>
      <c r="G4984" s="1" t="s">
        <v>12</v>
      </c>
      <c r="H4984" s="1" t="s">
        <v>13</v>
      </c>
      <c r="I4984" s="1" t="s">
        <v>13</v>
      </c>
      <c r="J4984" s="1" t="s">
        <v>27</v>
      </c>
      <c r="K4984" s="1">
        <v>0</v>
      </c>
      <c r="L4984" s="1" t="s">
        <v>23</v>
      </c>
      <c r="M4984" s="1" t="str">
        <f t="shared" si="78"/>
        <v>Consistent</v>
      </c>
      <c r="N4984" s="1" t="str">
        <f>_xlfn.XLOOKUP(H4984, risk_score!A:A, risk_score!B:B, 0)</f>
        <v>Low Risk</v>
      </c>
    </row>
    <row r="4985" spans="1:14">
      <c r="A4985" s="2">
        <v>0.57089120370370372</v>
      </c>
      <c r="B4985" s="3">
        <v>44841</v>
      </c>
      <c r="C4985" s="1">
        <v>6904668523</v>
      </c>
      <c r="D4985" s="1">
        <v>645194991</v>
      </c>
      <c r="E4985" s="1">
        <v>15749.62</v>
      </c>
      <c r="F4985" s="1" t="s">
        <v>12</v>
      </c>
      <c r="G4985" s="1" t="s">
        <v>12</v>
      </c>
      <c r="H4985" s="1" t="s">
        <v>13</v>
      </c>
      <c r="I4985" s="1" t="s">
        <v>13</v>
      </c>
      <c r="J4985" s="1" t="s">
        <v>22</v>
      </c>
      <c r="K4985" s="1">
        <v>0</v>
      </c>
      <c r="L4985" s="1" t="s">
        <v>19</v>
      </c>
      <c r="M4985" s="1" t="str">
        <f t="shared" si="78"/>
        <v>Consistent</v>
      </c>
      <c r="N4985" s="1" t="str">
        <f>_xlfn.XLOOKUP(H4985, risk_score!A:A, risk_score!B:B, 0)</f>
        <v>Low Risk</v>
      </c>
    </row>
    <row r="4986" spans="1:14">
      <c r="A4986" s="2">
        <v>0.57093749999999999</v>
      </c>
      <c r="B4986" s="3">
        <v>44841</v>
      </c>
      <c r="C4986" s="1">
        <v>6896368083</v>
      </c>
      <c r="D4986" s="1">
        <v>1341325734</v>
      </c>
      <c r="E4986" s="1">
        <v>2089.44</v>
      </c>
      <c r="F4986" s="1" t="s">
        <v>12</v>
      </c>
      <c r="G4986" s="1" t="s">
        <v>12</v>
      </c>
      <c r="H4986" s="1" t="s">
        <v>13</v>
      </c>
      <c r="I4986" s="1" t="s">
        <v>13</v>
      </c>
      <c r="J4986" s="1" t="s">
        <v>27</v>
      </c>
      <c r="K4986" s="1">
        <v>0</v>
      </c>
      <c r="L4986" s="1" t="s">
        <v>21</v>
      </c>
      <c r="M4986" s="1" t="str">
        <f t="shared" si="78"/>
        <v>Consistent</v>
      </c>
      <c r="N4986" s="1" t="str">
        <f>_xlfn.XLOOKUP(H4986, risk_score!A:A, risk_score!B:B, 0)</f>
        <v>Low Risk</v>
      </c>
    </row>
    <row r="4987" spans="1:14">
      <c r="A4987" s="2">
        <v>0.57096064814814818</v>
      </c>
      <c r="B4987" s="3">
        <v>44841</v>
      </c>
      <c r="C4987" s="1">
        <v>573508750</v>
      </c>
      <c r="D4987" s="1">
        <v>1605730227</v>
      </c>
      <c r="E4987" s="1">
        <v>1791.27</v>
      </c>
      <c r="F4987" s="1" t="s">
        <v>12</v>
      </c>
      <c r="G4987" s="1" t="s">
        <v>12</v>
      </c>
      <c r="H4987" s="1" t="s">
        <v>13</v>
      </c>
      <c r="I4987" s="1" t="s">
        <v>13</v>
      </c>
      <c r="J4987" s="1" t="s">
        <v>25</v>
      </c>
      <c r="K4987" s="1">
        <v>0</v>
      </c>
      <c r="L4987" s="1" t="s">
        <v>21</v>
      </c>
      <c r="M4987" s="1" t="str">
        <f t="shared" si="78"/>
        <v>Consistent</v>
      </c>
      <c r="N4987" s="1" t="str">
        <f>_xlfn.XLOOKUP(H4987, risk_score!A:A, risk_score!B:B, 0)</f>
        <v>Low Risk</v>
      </c>
    </row>
    <row r="4988" spans="1:14">
      <c r="A4988" s="2">
        <v>0.57097222222222221</v>
      </c>
      <c r="B4988" s="3">
        <v>44841</v>
      </c>
      <c r="C4988" s="1">
        <v>9172740995</v>
      </c>
      <c r="D4988" s="1">
        <v>5363117119</v>
      </c>
      <c r="E4988" s="1">
        <v>10533.99</v>
      </c>
      <c r="F4988" s="1" t="s">
        <v>12</v>
      </c>
      <c r="G4988" s="1" t="s">
        <v>12</v>
      </c>
      <c r="H4988" s="1" t="s">
        <v>13</v>
      </c>
      <c r="I4988" s="1" t="s">
        <v>13</v>
      </c>
      <c r="J4988" s="1" t="s">
        <v>25</v>
      </c>
      <c r="K4988" s="1">
        <v>0</v>
      </c>
      <c r="L4988" s="1" t="s">
        <v>23</v>
      </c>
      <c r="M4988" s="1" t="str">
        <f t="shared" si="78"/>
        <v>Consistent</v>
      </c>
      <c r="N4988" s="1" t="str">
        <f>_xlfn.XLOOKUP(H4988, risk_score!A:A, risk_score!B:B, 0)</f>
        <v>Low Risk</v>
      </c>
    </row>
    <row r="4989" spans="1:14">
      <c r="A4989" s="2">
        <v>0.57097222222222221</v>
      </c>
      <c r="B4989" s="3">
        <v>44841</v>
      </c>
      <c r="C4989" s="1">
        <v>2797271466</v>
      </c>
      <c r="D4989" s="1">
        <v>4525312913</v>
      </c>
      <c r="E4989" s="1">
        <v>12912.46</v>
      </c>
      <c r="F4989" s="1" t="s">
        <v>12</v>
      </c>
      <c r="G4989" s="1" t="s">
        <v>12</v>
      </c>
      <c r="H4989" s="1" t="s">
        <v>13</v>
      </c>
      <c r="I4989" s="1" t="s">
        <v>13</v>
      </c>
      <c r="J4989" s="1" t="s">
        <v>25</v>
      </c>
      <c r="K4989" s="1">
        <v>0</v>
      </c>
      <c r="L4989" s="1" t="s">
        <v>19</v>
      </c>
      <c r="M4989" s="1" t="str">
        <f t="shared" si="78"/>
        <v>Consistent</v>
      </c>
      <c r="N4989" s="1" t="str">
        <f>_xlfn.XLOOKUP(H4989, risk_score!A:A, risk_score!B:B, 0)</f>
        <v>Low Risk</v>
      </c>
    </row>
    <row r="4990" spans="1:14">
      <c r="A4990" s="2">
        <v>0.57098379629629625</v>
      </c>
      <c r="B4990" s="3">
        <v>44841</v>
      </c>
      <c r="C4990" s="1">
        <v>1275253161</v>
      </c>
      <c r="D4990" s="1">
        <v>5103043844</v>
      </c>
      <c r="E4990" s="1">
        <v>16398.13</v>
      </c>
      <c r="F4990" s="1" t="s">
        <v>12</v>
      </c>
      <c r="G4990" s="1" t="s">
        <v>44</v>
      </c>
      <c r="H4990" s="1" t="s">
        <v>13</v>
      </c>
      <c r="I4990" s="1" t="s">
        <v>45</v>
      </c>
      <c r="J4990" s="1" t="s">
        <v>18</v>
      </c>
      <c r="K4990" s="1">
        <v>0</v>
      </c>
      <c r="L4990" s="1" t="s">
        <v>23</v>
      </c>
      <c r="M4990" s="1" t="str">
        <f t="shared" si="78"/>
        <v>Potential Layering</v>
      </c>
      <c r="N4990" s="1" t="str">
        <f>_xlfn.XLOOKUP(H4990, risk_score!A:A, risk_score!B:B, 0)</f>
        <v>Low Risk</v>
      </c>
    </row>
    <row r="4991" spans="1:14">
      <c r="A4991" s="2">
        <v>0.57098379629629625</v>
      </c>
      <c r="B4991" s="3">
        <v>44841</v>
      </c>
      <c r="C4991" s="1">
        <v>6989832152</v>
      </c>
      <c r="D4991" s="1">
        <v>1230988846</v>
      </c>
      <c r="E4991" s="1">
        <v>5343.81</v>
      </c>
      <c r="F4991" s="1" t="s">
        <v>12</v>
      </c>
      <c r="G4991" s="1" t="s">
        <v>12</v>
      </c>
      <c r="H4991" s="1" t="s">
        <v>13</v>
      </c>
      <c r="I4991" s="1" t="s">
        <v>13</v>
      </c>
      <c r="J4991" s="1" t="s">
        <v>25</v>
      </c>
      <c r="K4991" s="1">
        <v>0</v>
      </c>
      <c r="L4991" s="1" t="s">
        <v>21</v>
      </c>
      <c r="M4991" s="1" t="str">
        <f t="shared" ref="M4991:M5000" si="79">IF(F4991=G4991, "Consistent", "Potential Layering")</f>
        <v>Consistent</v>
      </c>
      <c r="N4991" s="1" t="str">
        <f>_xlfn.XLOOKUP(H4991, risk_score!A:A, risk_score!B:B, 0)</f>
        <v>Low Risk</v>
      </c>
    </row>
    <row r="4992" spans="1:14">
      <c r="A4992" s="2">
        <v>0.5709953703703704</v>
      </c>
      <c r="B4992" s="3">
        <v>44841</v>
      </c>
      <c r="C4992" s="1">
        <v>9529943023</v>
      </c>
      <c r="D4992" s="1">
        <v>3220735304</v>
      </c>
      <c r="E4992" s="1">
        <v>6939.34</v>
      </c>
      <c r="F4992" s="1" t="s">
        <v>12</v>
      </c>
      <c r="G4992" s="1" t="s">
        <v>12</v>
      </c>
      <c r="H4992" s="1" t="s">
        <v>13</v>
      </c>
      <c r="I4992" s="1" t="s">
        <v>13</v>
      </c>
      <c r="J4992" s="1" t="s">
        <v>25</v>
      </c>
      <c r="K4992" s="1">
        <v>0</v>
      </c>
      <c r="L4992" s="1" t="s">
        <v>23</v>
      </c>
      <c r="M4992" s="1" t="str">
        <f t="shared" si="79"/>
        <v>Consistent</v>
      </c>
      <c r="N4992" s="1" t="str">
        <f>_xlfn.XLOOKUP(H4992, risk_score!A:A, risk_score!B:B, 0)</f>
        <v>Low Risk</v>
      </c>
    </row>
    <row r="4993" spans="1:14">
      <c r="A4993" s="2">
        <v>0.57101851851851848</v>
      </c>
      <c r="B4993" s="3">
        <v>44841</v>
      </c>
      <c r="C4993" s="1">
        <v>1491989064</v>
      </c>
      <c r="D4993" s="1">
        <v>4658438113</v>
      </c>
      <c r="E4993" s="1">
        <v>8434.5</v>
      </c>
      <c r="F4993" s="1" t="s">
        <v>12</v>
      </c>
      <c r="G4993" s="1" t="s">
        <v>12</v>
      </c>
      <c r="H4993" s="1" t="s">
        <v>13</v>
      </c>
      <c r="I4993" s="1" t="s">
        <v>13</v>
      </c>
      <c r="J4993" s="1" t="s">
        <v>22</v>
      </c>
      <c r="K4993" s="1">
        <v>0</v>
      </c>
      <c r="L4993" s="1" t="s">
        <v>19</v>
      </c>
      <c r="M4993" s="1" t="str">
        <f t="shared" si="79"/>
        <v>Consistent</v>
      </c>
      <c r="N4993" s="1" t="str">
        <f>_xlfn.XLOOKUP(H4993, risk_score!A:A, risk_score!B:B, 0)</f>
        <v>Low Risk</v>
      </c>
    </row>
    <row r="4994" spans="1:14">
      <c r="A4994" s="2">
        <v>0.57101851851851848</v>
      </c>
      <c r="B4994" s="3">
        <v>44841</v>
      </c>
      <c r="C4994" s="1">
        <v>6163866266</v>
      </c>
      <c r="D4994" s="1">
        <v>7302976489</v>
      </c>
      <c r="E4994" s="1">
        <v>2549.27</v>
      </c>
      <c r="F4994" s="1" t="s">
        <v>12</v>
      </c>
      <c r="G4994" s="1" t="s">
        <v>12</v>
      </c>
      <c r="H4994" s="1" t="s">
        <v>13</v>
      </c>
      <c r="I4994" s="1" t="s">
        <v>13</v>
      </c>
      <c r="J4994" s="1" t="s">
        <v>14</v>
      </c>
      <c r="K4994" s="1">
        <v>0</v>
      </c>
      <c r="L4994" s="1" t="s">
        <v>15</v>
      </c>
      <c r="M4994" s="1" t="str">
        <f t="shared" si="79"/>
        <v>Consistent</v>
      </c>
      <c r="N4994" s="1" t="str">
        <f>_xlfn.XLOOKUP(H4994, risk_score!A:A, risk_score!B:B, 0)</f>
        <v>Low Risk</v>
      </c>
    </row>
    <row r="4995" spans="1:14">
      <c r="A4995" s="2">
        <v>0.57103009259259263</v>
      </c>
      <c r="B4995" s="3">
        <v>44841</v>
      </c>
      <c r="C4995" s="1">
        <v>7421451752</v>
      </c>
      <c r="D4995" s="1">
        <v>4086663568</v>
      </c>
      <c r="E4995" s="1">
        <v>8452.7900000000009</v>
      </c>
      <c r="F4995" s="1" t="s">
        <v>12</v>
      </c>
      <c r="G4995" s="1" t="s">
        <v>12</v>
      </c>
      <c r="H4995" s="1" t="s">
        <v>13</v>
      </c>
      <c r="I4995" s="1" t="s">
        <v>13</v>
      </c>
      <c r="J4995" s="1" t="s">
        <v>27</v>
      </c>
      <c r="K4995" s="1">
        <v>0</v>
      </c>
      <c r="L4995" s="1" t="s">
        <v>19</v>
      </c>
      <c r="M4995" s="1" t="str">
        <f t="shared" si="79"/>
        <v>Consistent</v>
      </c>
      <c r="N4995" s="1" t="str">
        <f>_xlfn.XLOOKUP(H4995, risk_score!A:A, risk_score!B:B, 0)</f>
        <v>Low Risk</v>
      </c>
    </row>
    <row r="4996" spans="1:14">
      <c r="A4996" s="2">
        <v>0.57105324074074071</v>
      </c>
      <c r="B4996" s="3">
        <v>44841</v>
      </c>
      <c r="C4996" s="1">
        <v>2671456948</v>
      </c>
      <c r="D4996" s="1">
        <v>8673917867</v>
      </c>
      <c r="E4996" s="1">
        <v>9543.94</v>
      </c>
      <c r="F4996" s="1" t="s">
        <v>12</v>
      </c>
      <c r="G4996" s="1" t="s">
        <v>12</v>
      </c>
      <c r="H4996" s="1" t="s">
        <v>13</v>
      </c>
      <c r="I4996" s="1" t="s">
        <v>13</v>
      </c>
      <c r="J4996" s="1" t="s">
        <v>22</v>
      </c>
      <c r="K4996" s="1">
        <v>0</v>
      </c>
      <c r="L4996" s="1" t="s">
        <v>23</v>
      </c>
      <c r="M4996" s="1" t="str">
        <f t="shared" si="79"/>
        <v>Consistent</v>
      </c>
      <c r="N4996" s="1" t="str">
        <f>_xlfn.XLOOKUP(H4996, risk_score!A:A, risk_score!B:B, 0)</f>
        <v>Low Risk</v>
      </c>
    </row>
    <row r="4997" spans="1:14">
      <c r="A4997" s="2">
        <v>0.5710763888888889</v>
      </c>
      <c r="B4997" s="3">
        <v>44841</v>
      </c>
      <c r="C4997" s="1">
        <v>7133027548</v>
      </c>
      <c r="D4997" s="1">
        <v>4336977506</v>
      </c>
      <c r="E4997" s="1">
        <v>4629.26</v>
      </c>
      <c r="F4997" s="1" t="s">
        <v>12</v>
      </c>
      <c r="G4997" s="1" t="s">
        <v>12</v>
      </c>
      <c r="H4997" s="1" t="s">
        <v>13</v>
      </c>
      <c r="I4997" s="1" t="s">
        <v>13</v>
      </c>
      <c r="J4997" s="1" t="s">
        <v>25</v>
      </c>
      <c r="K4997" s="1">
        <v>0</v>
      </c>
      <c r="L4997" s="1" t="s">
        <v>23</v>
      </c>
      <c r="M4997" s="1" t="str">
        <f t="shared" si="79"/>
        <v>Consistent</v>
      </c>
      <c r="N4997" s="1" t="str">
        <f>_xlfn.XLOOKUP(H4997, risk_score!A:A, risk_score!B:B, 0)</f>
        <v>Low Risk</v>
      </c>
    </row>
    <row r="4998" spans="1:14">
      <c r="A4998" s="2">
        <v>0.57109953703703709</v>
      </c>
      <c r="B4998" s="3">
        <v>44841</v>
      </c>
      <c r="C4998" s="1">
        <v>283212952</v>
      </c>
      <c r="D4998" s="1">
        <v>5103043844</v>
      </c>
      <c r="E4998" s="1">
        <v>9120.6299999999992</v>
      </c>
      <c r="F4998" s="1" t="s">
        <v>12</v>
      </c>
      <c r="G4998" s="1" t="s">
        <v>44</v>
      </c>
      <c r="H4998" s="1" t="s">
        <v>13</v>
      </c>
      <c r="I4998" s="1" t="s">
        <v>45</v>
      </c>
      <c r="J4998" s="1" t="s">
        <v>18</v>
      </c>
      <c r="K4998" s="1">
        <v>0</v>
      </c>
      <c r="L4998" s="1" t="s">
        <v>23</v>
      </c>
      <c r="M4998" s="1" t="str">
        <f t="shared" si="79"/>
        <v>Potential Layering</v>
      </c>
      <c r="N4998" s="1" t="str">
        <f>_xlfn.XLOOKUP(H4998, risk_score!A:A, risk_score!B:B, 0)</f>
        <v>Low Risk</v>
      </c>
    </row>
    <row r="4999" spans="1:14">
      <c r="A4999" s="2">
        <v>0.57109953703703709</v>
      </c>
      <c r="B4999" s="3">
        <v>44841</v>
      </c>
      <c r="C4999" s="1">
        <v>5264015348</v>
      </c>
      <c r="D4999" s="1">
        <v>6646502650</v>
      </c>
      <c r="E4999" s="1">
        <v>8583.33</v>
      </c>
      <c r="F4999" s="1" t="s">
        <v>12</v>
      </c>
      <c r="G4999" s="1" t="s">
        <v>29</v>
      </c>
      <c r="H4999" s="1" t="s">
        <v>13</v>
      </c>
      <c r="I4999" s="1" t="s">
        <v>31</v>
      </c>
      <c r="J4999" s="1" t="s">
        <v>18</v>
      </c>
      <c r="K4999" s="1">
        <v>0</v>
      </c>
      <c r="L4999" s="1" t="s">
        <v>23</v>
      </c>
      <c r="M4999" s="1" t="str">
        <f t="shared" si="79"/>
        <v>Potential Layering</v>
      </c>
      <c r="N4999" s="1" t="str">
        <f>_xlfn.XLOOKUP(H4999, risk_score!A:A, risk_score!B:B, 0)</f>
        <v>Low Risk</v>
      </c>
    </row>
    <row r="5000" spans="1:14">
      <c r="A5000" s="2">
        <v>0.57109953703703709</v>
      </c>
      <c r="B5000" s="3">
        <v>44841</v>
      </c>
      <c r="C5000" s="1">
        <v>3954481733</v>
      </c>
      <c r="D5000" s="1">
        <v>7498218097</v>
      </c>
      <c r="E5000" s="1">
        <v>561.05999999999995</v>
      </c>
      <c r="F5000" s="1" t="s">
        <v>12</v>
      </c>
      <c r="G5000" s="1" t="s">
        <v>12</v>
      </c>
      <c r="H5000" s="1" t="s">
        <v>13</v>
      </c>
      <c r="I5000" s="1" t="s">
        <v>13</v>
      </c>
      <c r="J5000" s="1" t="s">
        <v>20</v>
      </c>
      <c r="K5000" s="1">
        <v>0</v>
      </c>
      <c r="L5000" s="1" t="s">
        <v>21</v>
      </c>
      <c r="M5000" s="1" t="str">
        <f t="shared" si="79"/>
        <v>Consistent</v>
      </c>
      <c r="N5000" s="1" t="str">
        <f>_xlfn.XLOOKUP(H5000, risk_score!A:A, risk_score!B:B, 0)</f>
        <v>Low Risk</v>
      </c>
    </row>
  </sheetData>
  <autoFilter ref="A1:N5000" xr:uid="{1840322C-08AA-4F1D-9307-13A88EEE509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E4CEE-08E7-46F7-A2DE-C7FDB2B8899B}">
  <dimension ref="A2:B18"/>
  <sheetViews>
    <sheetView workbookViewId="0">
      <selection activeCell="B11" sqref="B11"/>
    </sheetView>
  </sheetViews>
  <sheetFormatPr defaultRowHeight="14.4"/>
  <cols>
    <col min="1" max="1" width="14.109375" customWidth="1"/>
    <col min="2" max="2" width="14.77734375" customWidth="1"/>
  </cols>
  <sheetData>
    <row r="2" spans="1:2">
      <c r="A2" s="1" t="s">
        <v>70</v>
      </c>
      <c r="B2" s="1" t="s">
        <v>71</v>
      </c>
    </row>
    <row r="3" spans="1:2">
      <c r="A3" s="1" t="s">
        <v>13</v>
      </c>
      <c r="B3" s="1" t="s">
        <v>72</v>
      </c>
    </row>
    <row r="4" spans="1:2">
      <c r="A4" s="1" t="s">
        <v>40</v>
      </c>
      <c r="B4" s="1" t="s">
        <v>73</v>
      </c>
    </row>
    <row r="5" spans="1:2">
      <c r="A5" s="1" t="s">
        <v>45</v>
      </c>
      <c r="B5" s="1" t="s">
        <v>73</v>
      </c>
    </row>
    <row r="6" spans="1:2">
      <c r="A6" s="1" t="s">
        <v>52</v>
      </c>
      <c r="B6" s="1" t="s">
        <v>74</v>
      </c>
    </row>
    <row r="7" spans="1:2">
      <c r="A7" s="1" t="s">
        <v>30</v>
      </c>
      <c r="B7" s="1" t="s">
        <v>72</v>
      </c>
    </row>
    <row r="8" spans="1:2">
      <c r="A8" s="1" t="s">
        <v>47</v>
      </c>
      <c r="B8" s="1" t="s">
        <v>72</v>
      </c>
    </row>
    <row r="9" spans="1:2">
      <c r="A9" s="1" t="s">
        <v>17</v>
      </c>
      <c r="B9" s="1" t="s">
        <v>74</v>
      </c>
    </row>
    <row r="10" spans="1:2">
      <c r="A10" s="1" t="s">
        <v>48</v>
      </c>
      <c r="B10" s="1" t="s">
        <v>72</v>
      </c>
    </row>
    <row r="11" spans="1:2">
      <c r="A11" s="1" t="s">
        <v>31</v>
      </c>
      <c r="B11" s="1" t="s">
        <v>72</v>
      </c>
    </row>
    <row r="12" spans="1:2">
      <c r="A12" s="1" t="s">
        <v>57</v>
      </c>
      <c r="B12" s="1" t="s">
        <v>73</v>
      </c>
    </row>
    <row r="13" spans="1:2">
      <c r="A13" s="1" t="s">
        <v>35</v>
      </c>
      <c r="B13" s="1" t="s">
        <v>73</v>
      </c>
    </row>
    <row r="14" spans="1:2">
      <c r="A14" s="1" t="s">
        <v>54</v>
      </c>
      <c r="B14" s="1" t="s">
        <v>72</v>
      </c>
    </row>
    <row r="15" spans="1:2">
      <c r="A15" s="1" t="s">
        <v>50</v>
      </c>
      <c r="B15" s="1" t="s">
        <v>72</v>
      </c>
    </row>
    <row r="16" spans="1:2">
      <c r="A16" s="1" t="s">
        <v>43</v>
      </c>
      <c r="B16" s="1" t="s">
        <v>73</v>
      </c>
    </row>
    <row r="17" spans="1:2">
      <c r="A17" s="1" t="s">
        <v>56</v>
      </c>
      <c r="B17" s="1" t="s">
        <v>74</v>
      </c>
    </row>
    <row r="18" spans="1:2">
      <c r="A18" s="1" t="s">
        <v>60</v>
      </c>
      <c r="B18" s="1"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B5ECF-CE0C-439A-8293-D0A0F64875B7}">
  <dimension ref="A3:C7"/>
  <sheetViews>
    <sheetView workbookViewId="0">
      <selection activeCell="O16" sqref="O16"/>
    </sheetView>
  </sheetViews>
  <sheetFormatPr defaultRowHeight="14.4"/>
  <cols>
    <col min="1" max="1" width="12.5546875" bestFit="1" customWidth="1"/>
    <col min="2" max="2" width="14.44140625" bestFit="1" customWidth="1"/>
    <col min="3" max="3" width="22.77734375" bestFit="1" customWidth="1"/>
  </cols>
  <sheetData>
    <row r="3" spans="1:3">
      <c r="A3" s="6" t="s">
        <v>75</v>
      </c>
      <c r="B3" t="s">
        <v>77</v>
      </c>
      <c r="C3" t="s">
        <v>78</v>
      </c>
    </row>
    <row r="4" spans="1:3">
      <c r="A4" s="7" t="s">
        <v>73</v>
      </c>
      <c r="B4">
        <v>226466.48000000004</v>
      </c>
      <c r="C4">
        <v>30</v>
      </c>
    </row>
    <row r="5" spans="1:3">
      <c r="A5" s="7" t="s">
        <v>72</v>
      </c>
      <c r="B5">
        <v>39206059.709999979</v>
      </c>
      <c r="C5">
        <v>4949</v>
      </c>
    </row>
    <row r="6" spans="1:3">
      <c r="A6" s="7" t="s">
        <v>74</v>
      </c>
      <c r="B6">
        <v>232067.29726981538</v>
      </c>
      <c r="C6">
        <v>20</v>
      </c>
    </row>
    <row r="7" spans="1:3">
      <c r="A7" s="7" t="s">
        <v>76</v>
      </c>
      <c r="B7">
        <v>39664593.487269782</v>
      </c>
      <c r="C7">
        <v>4999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AD8B7-6E79-483F-B000-DB18EC507A3F}">
  <dimension ref="A1:B20"/>
  <sheetViews>
    <sheetView workbookViewId="0">
      <selection activeCell="N13" sqref="N13"/>
    </sheetView>
  </sheetViews>
  <sheetFormatPr defaultRowHeight="14.4"/>
  <cols>
    <col min="1" max="1" width="18.5546875" bestFit="1" customWidth="1"/>
    <col min="2" max="2" width="14.44140625" bestFit="1" customWidth="1"/>
  </cols>
  <sheetData>
    <row r="1" spans="1:2">
      <c r="A1" s="6" t="s">
        <v>79</v>
      </c>
      <c r="B1" t="s">
        <v>81</v>
      </c>
    </row>
    <row r="3" spans="1:2">
      <c r="A3" s="6" t="s">
        <v>75</v>
      </c>
      <c r="B3" t="s">
        <v>77</v>
      </c>
    </row>
    <row r="4" spans="1:2">
      <c r="A4" s="7" t="s">
        <v>40</v>
      </c>
      <c r="B4">
        <v>33040.78</v>
      </c>
    </row>
    <row r="5" spans="1:2">
      <c r="A5" s="7" t="s">
        <v>54</v>
      </c>
      <c r="B5">
        <v>11484.960000000001</v>
      </c>
    </row>
    <row r="6" spans="1:2">
      <c r="A6" s="7" t="s">
        <v>31</v>
      </c>
      <c r="B6">
        <v>94863.02</v>
      </c>
    </row>
    <row r="7" spans="1:2">
      <c r="A7" s="7" t="s">
        <v>50</v>
      </c>
      <c r="B7">
        <v>87087.3</v>
      </c>
    </row>
    <row r="8" spans="1:2">
      <c r="A8" s="7" t="s">
        <v>56</v>
      </c>
      <c r="B8">
        <v>5863.41</v>
      </c>
    </row>
    <row r="9" spans="1:2">
      <c r="A9" s="7" t="s">
        <v>48</v>
      </c>
      <c r="B9">
        <v>28759.570000000003</v>
      </c>
    </row>
    <row r="10" spans="1:2">
      <c r="A10" s="7" t="s">
        <v>52</v>
      </c>
      <c r="B10">
        <v>125796.2172698154</v>
      </c>
    </row>
    <row r="11" spans="1:2">
      <c r="A11" s="7" t="s">
        <v>35</v>
      </c>
      <c r="B11">
        <v>63847.420000000006</v>
      </c>
    </row>
    <row r="12" spans="1:2">
      <c r="A12" s="7" t="s">
        <v>60</v>
      </c>
      <c r="B12">
        <v>35594.99</v>
      </c>
    </row>
    <row r="13" spans="1:2">
      <c r="A13" s="7" t="s">
        <v>45</v>
      </c>
      <c r="B13">
        <v>41423.72</v>
      </c>
    </row>
    <row r="14" spans="1:2">
      <c r="A14" s="7" t="s">
        <v>57</v>
      </c>
      <c r="B14">
        <v>74093.59</v>
      </c>
    </row>
    <row r="15" spans="1:2">
      <c r="A15" s="7" t="s">
        <v>30</v>
      </c>
      <c r="B15">
        <v>276331.48000000004</v>
      </c>
    </row>
    <row r="16" spans="1:2">
      <c r="A16" s="7" t="s">
        <v>47</v>
      </c>
      <c r="B16">
        <v>2884.67</v>
      </c>
    </row>
    <row r="17" spans="1:2">
      <c r="A17" s="7" t="s">
        <v>43</v>
      </c>
      <c r="B17">
        <v>14060.97</v>
      </c>
    </row>
    <row r="18" spans="1:2">
      <c r="A18" s="7" t="s">
        <v>17</v>
      </c>
      <c r="B18">
        <v>64812.68</v>
      </c>
    </row>
    <row r="19" spans="1:2">
      <c r="A19" s="7" t="s">
        <v>13</v>
      </c>
      <c r="B19">
        <v>38704648.710000016</v>
      </c>
    </row>
    <row r="20" spans="1:2">
      <c r="A20" s="7" t="s">
        <v>76</v>
      </c>
      <c r="B20">
        <v>39664593.487269834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15AFD-5B6C-4EE4-ADF0-BF2E780D1345}">
  <dimension ref="A3:E12"/>
  <sheetViews>
    <sheetView workbookViewId="0">
      <selection activeCell="O20" sqref="O20"/>
    </sheetView>
  </sheetViews>
  <sheetFormatPr defaultRowHeight="14.4"/>
  <cols>
    <col min="1" max="1" width="14.88671875" bestFit="1" customWidth="1"/>
    <col min="2" max="2" width="15.5546875" bestFit="1" customWidth="1"/>
    <col min="3" max="5" width="12" bestFit="1" customWidth="1"/>
  </cols>
  <sheetData>
    <row r="3" spans="1:5">
      <c r="A3" s="6" t="s">
        <v>77</v>
      </c>
      <c r="B3" s="6" t="s">
        <v>80</v>
      </c>
    </row>
    <row r="4" spans="1:5">
      <c r="A4" s="6" t="s">
        <v>75</v>
      </c>
      <c r="B4" t="s">
        <v>73</v>
      </c>
      <c r="C4" t="s">
        <v>72</v>
      </c>
      <c r="D4" t="s">
        <v>74</v>
      </c>
      <c r="E4" t="s">
        <v>76</v>
      </c>
    </row>
    <row r="5" spans="1:5">
      <c r="A5" s="7" t="s">
        <v>22</v>
      </c>
      <c r="C5">
        <v>8516153.6799999923</v>
      </c>
      <c r="E5">
        <v>8516153.6799999923</v>
      </c>
    </row>
    <row r="6" spans="1:5">
      <c r="A6" s="7" t="s">
        <v>14</v>
      </c>
      <c r="C6">
        <v>637909.51</v>
      </c>
      <c r="E6">
        <v>637909.51</v>
      </c>
    </row>
    <row r="7" spans="1:5">
      <c r="A7" s="7" t="s">
        <v>36</v>
      </c>
      <c r="C7">
        <v>20609.079999999998</v>
      </c>
      <c r="E7">
        <v>20609.079999999998</v>
      </c>
    </row>
    <row r="8" spans="1:5">
      <c r="A8" s="7" t="s">
        <v>20</v>
      </c>
      <c r="C8">
        <v>8520028.1199999992</v>
      </c>
      <c r="E8">
        <v>8520028.1199999992</v>
      </c>
    </row>
    <row r="9" spans="1:5">
      <c r="A9" s="7" t="s">
        <v>25</v>
      </c>
      <c r="C9">
        <v>8616312.0800000001</v>
      </c>
      <c r="E9">
        <v>8616312.0800000001</v>
      </c>
    </row>
    <row r="10" spans="1:5">
      <c r="A10" s="7" t="s">
        <v>18</v>
      </c>
      <c r="B10">
        <v>225733.80000000002</v>
      </c>
      <c r="C10">
        <v>4145548.820000004</v>
      </c>
      <c r="D10">
        <v>232067.29726981538</v>
      </c>
      <c r="E10">
        <v>4603349.9172698194</v>
      </c>
    </row>
    <row r="11" spans="1:5">
      <c r="A11" s="7" t="s">
        <v>27</v>
      </c>
      <c r="B11">
        <v>732.68</v>
      </c>
      <c r="C11">
        <v>8749498.4199999869</v>
      </c>
      <c r="E11">
        <v>8750231.0999999866</v>
      </c>
    </row>
    <row r="12" spans="1:5">
      <c r="A12" s="7" t="s">
        <v>76</v>
      </c>
      <c r="B12">
        <v>226466.48</v>
      </c>
      <c r="C12">
        <v>39206059.709999979</v>
      </c>
      <c r="D12">
        <v>232067.29726981538</v>
      </c>
      <c r="E12">
        <v>39664593.487269796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1992-9A74-446C-8303-CEDAB1CD4A71}">
  <dimension ref="A1:D12"/>
  <sheetViews>
    <sheetView workbookViewId="0">
      <selection activeCell="G17" sqref="G17"/>
    </sheetView>
  </sheetViews>
  <sheetFormatPr defaultRowHeight="14.4"/>
  <cols>
    <col min="1" max="1" width="26" bestFit="1" customWidth="1"/>
    <col min="2" max="2" width="14.44140625" bestFit="1" customWidth="1"/>
    <col min="3" max="3" width="19.88671875" bestFit="1" customWidth="1"/>
    <col min="4" max="4" width="14.44140625" bestFit="1" customWidth="1"/>
  </cols>
  <sheetData>
    <row r="1" spans="1:4">
      <c r="A1" s="11" t="s">
        <v>10</v>
      </c>
      <c r="B1" s="20">
        <v>1</v>
      </c>
    </row>
    <row r="3" spans="1:4">
      <c r="A3" s="11" t="s">
        <v>1</v>
      </c>
      <c r="B3" s="11" t="s">
        <v>2</v>
      </c>
      <c r="C3" s="11" t="s">
        <v>11</v>
      </c>
      <c r="D3" s="12" t="s">
        <v>77</v>
      </c>
    </row>
    <row r="4" spans="1:4">
      <c r="A4" s="13">
        <v>44841</v>
      </c>
      <c r="B4" s="12">
        <v>445154846</v>
      </c>
      <c r="C4" s="12" t="s">
        <v>64</v>
      </c>
      <c r="D4" s="12">
        <v>3957.87</v>
      </c>
    </row>
    <row r="5" spans="1:4">
      <c r="A5" s="13">
        <v>44841</v>
      </c>
      <c r="B5" s="12">
        <v>2758469152</v>
      </c>
      <c r="C5" s="12" t="s">
        <v>64</v>
      </c>
      <c r="D5" s="12">
        <v>7832.41</v>
      </c>
    </row>
    <row r="6" spans="1:4">
      <c r="A6" s="13">
        <v>44841</v>
      </c>
      <c r="B6" s="12">
        <v>3758118046</v>
      </c>
      <c r="C6" s="12" t="s">
        <v>63</v>
      </c>
      <c r="D6" s="12">
        <v>5903.33</v>
      </c>
    </row>
    <row r="7" spans="1:4">
      <c r="A7" s="13">
        <v>44841</v>
      </c>
      <c r="B7" s="12">
        <v>4624222122</v>
      </c>
      <c r="C7" s="12" t="s">
        <v>67</v>
      </c>
      <c r="D7" s="12">
        <v>13837.82</v>
      </c>
    </row>
    <row r="8" spans="1:4">
      <c r="A8" s="13">
        <v>44841</v>
      </c>
      <c r="B8" s="12">
        <v>4928880336</v>
      </c>
      <c r="C8" s="12" t="s">
        <v>66</v>
      </c>
      <c r="D8" s="12">
        <v>10753.2672698154</v>
      </c>
    </row>
    <row r="9" spans="1:4">
      <c r="A9" s="13">
        <v>44841</v>
      </c>
      <c r="B9" s="12">
        <v>5262095561</v>
      </c>
      <c r="C9" s="12" t="s">
        <v>53</v>
      </c>
      <c r="D9" s="12">
        <v>4194.0200000000004</v>
      </c>
    </row>
    <row r="10" spans="1:4">
      <c r="A10" s="13">
        <v>44841</v>
      </c>
      <c r="B10" s="12">
        <v>5748489103</v>
      </c>
      <c r="C10" s="12" t="s">
        <v>65</v>
      </c>
      <c r="D10" s="12">
        <v>3252.35</v>
      </c>
    </row>
    <row r="11" spans="1:4">
      <c r="A11" s="13">
        <v>44841</v>
      </c>
      <c r="B11" s="12">
        <v>6340007440</v>
      </c>
      <c r="C11" s="12" t="s">
        <v>62</v>
      </c>
      <c r="D11" s="12">
        <v>106.04</v>
      </c>
    </row>
    <row r="12" spans="1:4">
      <c r="A12" s="13">
        <v>44841</v>
      </c>
      <c r="B12" s="12">
        <v>7401327478</v>
      </c>
      <c r="C12" s="12" t="s">
        <v>53</v>
      </c>
      <c r="D12" s="12">
        <v>2603.3000000000002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CF4D-D907-4C40-ACB1-8B10FBEEEBB5}">
  <dimension ref="A1:B4"/>
  <sheetViews>
    <sheetView workbookViewId="0">
      <selection activeCell="A3" sqref="A3"/>
    </sheetView>
  </sheetViews>
  <sheetFormatPr defaultRowHeight="14.4"/>
  <cols>
    <col min="1" max="1" width="20.33203125" bestFit="1" customWidth="1"/>
    <col min="2" max="2" width="4.21875" bestFit="1" customWidth="1"/>
  </cols>
  <sheetData>
    <row r="1" spans="1:2">
      <c r="A1" s="6" t="s">
        <v>10</v>
      </c>
      <c r="B1" s="7">
        <v>1</v>
      </c>
    </row>
    <row r="3" spans="1:2">
      <c r="A3" t="s">
        <v>82</v>
      </c>
    </row>
    <row r="4" spans="1:2">
      <c r="A4">
        <v>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94470-8B80-4352-9DAF-2AA0FB5CA1CF}">
  <dimension ref="A1:B9"/>
  <sheetViews>
    <sheetView workbookViewId="0">
      <selection activeCell="B4" sqref="B4"/>
    </sheetView>
  </sheetViews>
  <sheetFormatPr defaultRowHeight="14.4"/>
  <cols>
    <col min="1" max="1" width="14.88671875" bestFit="1" customWidth="1"/>
    <col min="2" max="2" width="20.33203125" bestFit="1" customWidth="1"/>
  </cols>
  <sheetData>
    <row r="1" spans="1:2">
      <c r="A1" s="6" t="s">
        <v>10</v>
      </c>
      <c r="B1" s="7">
        <v>1</v>
      </c>
    </row>
    <row r="3" spans="1:2">
      <c r="A3" s="6" t="s">
        <v>75</v>
      </c>
      <c r="B3" t="s">
        <v>82</v>
      </c>
    </row>
    <row r="4" spans="1:2">
      <c r="A4" s="7" t="s">
        <v>18</v>
      </c>
      <c r="B4">
        <v>4</v>
      </c>
    </row>
    <row r="5" spans="1:2">
      <c r="A5" s="7" t="s">
        <v>14</v>
      </c>
      <c r="B5">
        <v>2</v>
      </c>
    </row>
    <row r="6" spans="1:2">
      <c r="A6" s="7" t="s">
        <v>27</v>
      </c>
      <c r="B6">
        <v>1</v>
      </c>
    </row>
    <row r="7" spans="1:2">
      <c r="A7" s="7" t="s">
        <v>36</v>
      </c>
      <c r="B7">
        <v>1</v>
      </c>
    </row>
    <row r="8" spans="1:2">
      <c r="A8" s="7" t="s">
        <v>25</v>
      </c>
      <c r="B8">
        <v>1</v>
      </c>
    </row>
    <row r="9" spans="1:2">
      <c r="A9" s="7" t="s">
        <v>76</v>
      </c>
      <c r="B9">
        <v>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E335-06BC-4BBE-AA0B-5DFF4B00E40B}">
  <dimension ref="A1:B4"/>
  <sheetViews>
    <sheetView workbookViewId="0">
      <selection activeCell="A4" sqref="A4"/>
    </sheetView>
  </sheetViews>
  <sheetFormatPr defaultRowHeight="14.4"/>
  <cols>
    <col min="1" max="1" width="14.44140625" bestFit="1" customWidth="1"/>
    <col min="2" max="2" width="4.21875" bestFit="1" customWidth="1"/>
  </cols>
  <sheetData>
    <row r="1" spans="1:2">
      <c r="A1" s="6" t="s">
        <v>10</v>
      </c>
      <c r="B1" s="7">
        <v>1</v>
      </c>
    </row>
    <row r="3" spans="1:2">
      <c r="A3" t="s">
        <v>77</v>
      </c>
    </row>
    <row r="4" spans="1:2">
      <c r="A4" s="19">
        <v>52440.407269815405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2F560-21EF-4CE1-8A67-345A4EA32B0C}">
  <dimension ref="A1:B8"/>
  <sheetViews>
    <sheetView workbookViewId="0">
      <selection activeCell="C17" sqref="C17"/>
    </sheetView>
  </sheetViews>
  <sheetFormatPr defaultRowHeight="14.4"/>
  <cols>
    <col min="1" max="1" width="12.5546875" bestFit="1" customWidth="1"/>
    <col min="2" max="2" width="20.33203125" bestFit="1" customWidth="1"/>
  </cols>
  <sheetData>
    <row r="1" spans="1:2">
      <c r="A1" s="6" t="s">
        <v>10</v>
      </c>
      <c r="B1" t="s">
        <v>81</v>
      </c>
    </row>
    <row r="3" spans="1:2">
      <c r="A3" s="6" t="s">
        <v>75</v>
      </c>
      <c r="B3" t="s">
        <v>82</v>
      </c>
    </row>
    <row r="4" spans="1:2">
      <c r="A4" s="21" t="s">
        <v>83</v>
      </c>
      <c r="B4">
        <v>651</v>
      </c>
    </row>
    <row r="5" spans="1:2">
      <c r="A5" s="21" t="s">
        <v>84</v>
      </c>
      <c r="B5">
        <v>1674</v>
      </c>
    </row>
    <row r="6" spans="1:2">
      <c r="A6" s="21" t="s">
        <v>85</v>
      </c>
      <c r="B6">
        <v>1521</v>
      </c>
    </row>
    <row r="7" spans="1:2">
      <c r="A7" s="21" t="s">
        <v>86</v>
      </c>
      <c r="B7">
        <v>1153</v>
      </c>
    </row>
    <row r="8" spans="1:2">
      <c r="A8" s="21" t="s">
        <v>76</v>
      </c>
      <c r="B8">
        <v>4999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277E2-B787-425B-8B42-E1DE7BA422B3}">
  <dimension ref="A1:W200"/>
  <sheetViews>
    <sheetView showGridLines="0" tabSelected="1" workbookViewId="0">
      <selection activeCell="Q37" sqref="Q37"/>
    </sheetView>
  </sheetViews>
  <sheetFormatPr defaultRowHeight="14.4"/>
  <cols>
    <col min="11" max="11" width="8.88671875" customWidth="1"/>
    <col min="14" max="14" width="8.88671875" customWidth="1"/>
    <col min="16" max="16" width="12.88671875" customWidth="1"/>
    <col min="17" max="17" width="14.21875" customWidth="1"/>
    <col min="18" max="18" width="19.77734375" customWidth="1"/>
    <col min="19" max="19" width="15.33203125" customWidth="1"/>
    <col min="20" max="21" width="8.88671875" customWidth="1"/>
  </cols>
  <sheetData>
    <row r="1" spans="1:23">
      <c r="A1" s="9"/>
      <c r="B1" s="9"/>
      <c r="C1" s="9"/>
      <c r="D1" s="9"/>
      <c r="E1" s="9"/>
      <c r="F1" s="9"/>
      <c r="G1" s="9"/>
      <c r="H1" s="9"/>
      <c r="I1" s="9"/>
      <c r="J1" s="9"/>
      <c r="K1" s="9"/>
      <c r="L1" s="9"/>
      <c r="M1" s="9"/>
      <c r="N1" s="9"/>
      <c r="O1" s="9"/>
      <c r="P1" s="9"/>
      <c r="Q1" s="9"/>
      <c r="R1" s="9"/>
      <c r="S1" s="9"/>
      <c r="T1" s="9"/>
      <c r="U1" s="9"/>
      <c r="V1" s="9"/>
      <c r="W1" s="9"/>
    </row>
    <row r="2" spans="1:23">
      <c r="A2" s="9"/>
      <c r="B2" s="9"/>
      <c r="C2" s="9"/>
      <c r="D2" s="9"/>
      <c r="E2" s="9"/>
      <c r="F2" s="9"/>
      <c r="G2" s="9"/>
      <c r="H2" s="9"/>
      <c r="I2" s="9"/>
      <c r="J2" s="9"/>
      <c r="K2" s="9"/>
      <c r="L2" s="9"/>
      <c r="M2" s="9"/>
      <c r="N2" s="9"/>
      <c r="O2" s="9"/>
      <c r="P2" s="9"/>
      <c r="Q2" s="9"/>
      <c r="R2" s="9"/>
      <c r="S2" s="9"/>
      <c r="T2" s="9"/>
      <c r="U2" s="9"/>
      <c r="V2" s="9"/>
      <c r="W2" s="9"/>
    </row>
    <row r="3" spans="1:23">
      <c r="A3" s="9"/>
      <c r="B3" s="9"/>
      <c r="C3" s="9"/>
      <c r="D3" s="9"/>
      <c r="E3" s="9"/>
      <c r="F3" s="9"/>
      <c r="G3" s="9"/>
      <c r="H3" s="9"/>
      <c r="I3" s="9"/>
      <c r="J3" s="9"/>
      <c r="K3" s="9"/>
      <c r="L3" s="9"/>
      <c r="M3" s="9"/>
      <c r="N3" s="9"/>
      <c r="O3" s="9"/>
      <c r="P3" s="9"/>
      <c r="Q3" s="9"/>
      <c r="R3" s="9"/>
      <c r="S3" s="9"/>
      <c r="T3" s="9"/>
      <c r="U3" s="9"/>
      <c r="V3" s="9"/>
      <c r="W3" s="9"/>
    </row>
    <row r="4" spans="1:23">
      <c r="A4" s="9"/>
      <c r="B4" s="9"/>
      <c r="C4" s="9"/>
      <c r="D4" s="9"/>
      <c r="E4" s="9"/>
      <c r="F4" s="9"/>
      <c r="G4" s="9"/>
      <c r="H4" s="9"/>
      <c r="I4" s="9"/>
      <c r="J4" s="9"/>
      <c r="K4" s="9"/>
      <c r="L4" s="9"/>
      <c r="M4" s="9"/>
      <c r="N4" s="9"/>
      <c r="O4" s="9"/>
      <c r="P4" s="9"/>
      <c r="Q4" s="9"/>
      <c r="R4" s="9"/>
      <c r="S4" s="9"/>
      <c r="T4" s="9"/>
      <c r="U4" s="9"/>
      <c r="V4" s="9"/>
      <c r="W4" s="9"/>
    </row>
    <row r="5" spans="1:23">
      <c r="A5" s="9"/>
      <c r="B5" s="9"/>
      <c r="C5" s="9"/>
      <c r="D5" s="9"/>
      <c r="E5" s="9"/>
      <c r="F5" s="9"/>
      <c r="G5" s="9"/>
      <c r="H5" s="9"/>
      <c r="I5" s="9"/>
      <c r="J5" s="9"/>
      <c r="K5" s="9"/>
      <c r="L5" s="9"/>
      <c r="M5" s="9"/>
      <c r="N5" s="9"/>
      <c r="O5" s="9"/>
      <c r="P5" s="9"/>
      <c r="Q5" s="9"/>
      <c r="R5" s="9"/>
      <c r="S5" s="9"/>
      <c r="T5" s="9"/>
      <c r="U5" s="9"/>
      <c r="V5" s="9"/>
      <c r="W5" s="9"/>
    </row>
    <row r="6" spans="1:23">
      <c r="A6" s="9"/>
      <c r="B6" s="9"/>
      <c r="C6" s="9"/>
      <c r="D6" s="9"/>
      <c r="E6" s="9"/>
      <c r="F6" s="9"/>
      <c r="G6" s="9"/>
      <c r="H6" s="9"/>
      <c r="I6" s="9"/>
      <c r="J6" s="9"/>
      <c r="K6" s="9"/>
      <c r="L6" s="9"/>
      <c r="M6" s="9"/>
      <c r="N6" s="9"/>
      <c r="O6" s="9"/>
      <c r="P6" s="9"/>
      <c r="Q6" s="9"/>
      <c r="R6" s="9"/>
      <c r="S6" s="9"/>
      <c r="T6" s="9"/>
      <c r="U6" s="9"/>
      <c r="V6" s="9"/>
      <c r="W6" s="9"/>
    </row>
    <row r="7" spans="1:23">
      <c r="A7" s="9"/>
      <c r="B7" s="9"/>
      <c r="C7" s="9"/>
      <c r="D7" s="9"/>
      <c r="E7" s="9"/>
      <c r="F7" s="9"/>
      <c r="G7" s="9"/>
      <c r="H7" s="9"/>
      <c r="I7" s="9"/>
      <c r="J7" s="9"/>
      <c r="K7" s="9"/>
      <c r="L7" s="9"/>
      <c r="M7" s="9"/>
      <c r="N7" s="9"/>
      <c r="O7" s="9"/>
      <c r="P7" s="14" t="s">
        <v>1</v>
      </c>
      <c r="Q7" s="14" t="s">
        <v>2</v>
      </c>
      <c r="R7" s="14" t="s">
        <v>11</v>
      </c>
      <c r="S7" s="14" t="s">
        <v>77</v>
      </c>
      <c r="T7" s="9"/>
      <c r="U7" s="9"/>
      <c r="V7" s="9"/>
      <c r="W7" s="9"/>
    </row>
    <row r="8" spans="1:23">
      <c r="A8" s="9"/>
      <c r="B8" s="9"/>
      <c r="C8" s="9"/>
      <c r="D8" s="9"/>
      <c r="E8" s="9"/>
      <c r="F8" s="9"/>
      <c r="G8" s="9"/>
      <c r="H8" s="9"/>
      <c r="I8" s="9"/>
      <c r="J8" s="9"/>
      <c r="K8" s="9"/>
      <c r="L8" s="9"/>
      <c r="M8" s="9"/>
      <c r="N8" s="9"/>
      <c r="O8" s="9"/>
      <c r="P8" s="15">
        <v>44841</v>
      </c>
      <c r="Q8" s="16">
        <v>445154846</v>
      </c>
      <c r="R8" s="17" t="s">
        <v>64</v>
      </c>
      <c r="S8" s="18">
        <v>3957.87</v>
      </c>
      <c r="T8" s="9"/>
      <c r="U8" s="9"/>
      <c r="V8" s="9"/>
      <c r="W8" s="9"/>
    </row>
    <row r="9" spans="1:23">
      <c r="A9" s="9"/>
      <c r="B9" s="9"/>
      <c r="C9" s="9"/>
      <c r="D9" s="9"/>
      <c r="E9" s="9"/>
      <c r="F9" s="9"/>
      <c r="G9" s="9"/>
      <c r="H9" s="9"/>
      <c r="I9" s="9"/>
      <c r="J9" s="9"/>
      <c r="K9" s="9"/>
      <c r="L9" s="9"/>
      <c r="M9" s="9"/>
      <c r="N9" s="9"/>
      <c r="O9" s="9"/>
      <c r="P9" s="15">
        <v>44841</v>
      </c>
      <c r="Q9" s="16">
        <v>2758469152</v>
      </c>
      <c r="R9" s="17" t="s">
        <v>64</v>
      </c>
      <c r="S9" s="18">
        <v>7832.41</v>
      </c>
      <c r="T9" s="9"/>
      <c r="U9" s="9"/>
      <c r="V9" s="9"/>
      <c r="W9" s="9"/>
    </row>
    <row r="10" spans="1:23">
      <c r="A10" s="9"/>
      <c r="B10" s="9"/>
      <c r="C10" s="9"/>
      <c r="D10" s="9"/>
      <c r="E10" s="9"/>
      <c r="F10" s="9"/>
      <c r="G10" s="9"/>
      <c r="H10" s="9"/>
      <c r="I10" s="9"/>
      <c r="J10" s="9"/>
      <c r="K10" s="9"/>
      <c r="L10" s="9"/>
      <c r="M10" s="9"/>
      <c r="N10" s="9"/>
      <c r="O10" s="9"/>
      <c r="P10" s="15">
        <v>44841</v>
      </c>
      <c r="Q10" s="16">
        <v>3758118046</v>
      </c>
      <c r="R10" s="17" t="s">
        <v>63</v>
      </c>
      <c r="S10" s="18">
        <v>5903.33</v>
      </c>
      <c r="T10" s="9"/>
      <c r="U10" s="9"/>
      <c r="V10" s="9"/>
      <c r="W10" s="9"/>
    </row>
    <row r="11" spans="1:23">
      <c r="A11" s="9"/>
      <c r="B11" s="9"/>
      <c r="C11" s="9"/>
      <c r="D11" s="9"/>
      <c r="E11" s="9"/>
      <c r="F11" s="9"/>
      <c r="G11" s="9"/>
      <c r="H11" s="9"/>
      <c r="I11" s="9"/>
      <c r="J11" s="9"/>
      <c r="K11" s="9"/>
      <c r="L11" s="9"/>
      <c r="M11" s="9"/>
      <c r="N11" s="9"/>
      <c r="O11" s="9"/>
      <c r="P11" s="15">
        <v>44841</v>
      </c>
      <c r="Q11" s="16">
        <v>4624222122</v>
      </c>
      <c r="R11" s="17" t="s">
        <v>67</v>
      </c>
      <c r="S11" s="18">
        <v>13837.82</v>
      </c>
      <c r="T11" s="9"/>
      <c r="U11" s="9"/>
      <c r="V11" s="9"/>
      <c r="W11" s="9"/>
    </row>
    <row r="12" spans="1:23">
      <c r="A12" s="9"/>
      <c r="B12" s="9"/>
      <c r="C12" s="9"/>
      <c r="D12" s="9"/>
      <c r="E12" s="9"/>
      <c r="F12" s="9"/>
      <c r="G12" s="9"/>
      <c r="H12" s="9"/>
      <c r="I12" s="9"/>
      <c r="J12" s="9"/>
      <c r="K12" s="9"/>
      <c r="L12" s="9"/>
      <c r="M12" s="9"/>
      <c r="N12" s="9"/>
      <c r="O12" s="9"/>
      <c r="P12" s="15">
        <v>44841</v>
      </c>
      <c r="Q12" s="16">
        <v>4928880336</v>
      </c>
      <c r="R12" s="17" t="s">
        <v>66</v>
      </c>
      <c r="S12" s="18">
        <v>10753.2672698154</v>
      </c>
      <c r="T12" s="9"/>
      <c r="U12" s="9"/>
      <c r="V12" s="9"/>
      <c r="W12" s="9"/>
    </row>
    <row r="13" spans="1:23">
      <c r="A13" s="9"/>
      <c r="B13" s="9"/>
      <c r="C13" s="9"/>
      <c r="D13" s="9"/>
      <c r="E13" s="9"/>
      <c r="F13" s="9"/>
      <c r="G13" s="9"/>
      <c r="H13" s="9"/>
      <c r="I13" s="9"/>
      <c r="J13" s="9"/>
      <c r="K13" s="9"/>
      <c r="L13" s="9"/>
      <c r="M13" s="9"/>
      <c r="N13" s="9"/>
      <c r="O13" s="9"/>
      <c r="P13" s="15">
        <v>44841</v>
      </c>
      <c r="Q13" s="16">
        <v>5262095561</v>
      </c>
      <c r="R13" s="17" t="s">
        <v>53</v>
      </c>
      <c r="S13" s="18">
        <v>4194.0200000000004</v>
      </c>
      <c r="T13" s="9"/>
      <c r="U13" s="9"/>
      <c r="V13" s="9"/>
      <c r="W13" s="9"/>
    </row>
    <row r="14" spans="1:23">
      <c r="A14" s="9"/>
      <c r="B14" s="9"/>
      <c r="C14" s="9"/>
      <c r="D14" s="9"/>
      <c r="E14" s="9"/>
      <c r="F14" s="9"/>
      <c r="G14" s="9"/>
      <c r="H14" s="9"/>
      <c r="I14" s="9"/>
      <c r="J14" s="9"/>
      <c r="K14" s="9"/>
      <c r="L14" s="9"/>
      <c r="M14" s="9"/>
      <c r="N14" s="9"/>
      <c r="O14" s="9"/>
      <c r="P14" s="15">
        <v>44841</v>
      </c>
      <c r="Q14" s="16">
        <v>5748489103</v>
      </c>
      <c r="R14" s="17" t="s">
        <v>65</v>
      </c>
      <c r="S14" s="18">
        <v>3252.35</v>
      </c>
      <c r="T14" s="9"/>
      <c r="U14" s="9"/>
      <c r="V14" s="9"/>
      <c r="W14" s="9"/>
    </row>
    <row r="15" spans="1:23">
      <c r="A15" s="9"/>
      <c r="B15" s="9"/>
      <c r="C15" s="9"/>
      <c r="D15" s="9"/>
      <c r="E15" s="9"/>
      <c r="F15" s="9"/>
      <c r="G15" s="9"/>
      <c r="H15" s="9"/>
      <c r="I15" s="9"/>
      <c r="J15" s="9"/>
      <c r="K15" s="9"/>
      <c r="L15" s="9"/>
      <c r="M15" s="9"/>
      <c r="N15" s="9"/>
      <c r="O15" s="9"/>
      <c r="P15" s="15">
        <v>44841</v>
      </c>
      <c r="Q15" s="16">
        <v>6340007440</v>
      </c>
      <c r="R15" s="17" t="s">
        <v>62</v>
      </c>
      <c r="S15" s="18">
        <v>106.04</v>
      </c>
      <c r="T15" s="9"/>
      <c r="U15" s="9"/>
      <c r="V15" s="9"/>
      <c r="W15" s="9"/>
    </row>
    <row r="16" spans="1:23">
      <c r="A16" s="9"/>
      <c r="B16" s="9"/>
      <c r="C16" s="9"/>
      <c r="D16" s="9"/>
      <c r="E16" s="9"/>
      <c r="F16" s="9"/>
      <c r="G16" s="9"/>
      <c r="H16" s="9"/>
      <c r="I16" s="9"/>
      <c r="J16" s="9"/>
      <c r="K16" s="9"/>
      <c r="L16" s="9"/>
      <c r="M16" s="9"/>
      <c r="N16" s="9"/>
      <c r="O16" s="9"/>
      <c r="P16" s="15">
        <v>44841</v>
      </c>
      <c r="Q16" s="16">
        <v>7401327478</v>
      </c>
      <c r="R16" s="17" t="s">
        <v>53</v>
      </c>
      <c r="S16" s="18">
        <v>2603.3000000000002</v>
      </c>
      <c r="T16" s="9"/>
      <c r="U16" s="9"/>
      <c r="V16" s="9"/>
      <c r="W16" s="9"/>
    </row>
    <row r="17" spans="1:23">
      <c r="A17" s="9"/>
      <c r="B17" s="9"/>
      <c r="C17" s="9"/>
      <c r="D17" s="9"/>
      <c r="E17" s="9"/>
      <c r="F17" s="9"/>
      <c r="G17" s="9"/>
      <c r="H17" s="9"/>
      <c r="I17" s="9"/>
      <c r="J17" s="9"/>
      <c r="K17" s="9"/>
      <c r="L17" s="9"/>
      <c r="M17" s="9"/>
      <c r="N17" s="9"/>
      <c r="O17" s="9"/>
      <c r="P17" s="9"/>
      <c r="Q17" s="9"/>
      <c r="R17" s="9"/>
      <c r="S17" s="9"/>
      <c r="T17" s="9"/>
      <c r="U17" s="9"/>
      <c r="V17" s="9"/>
      <c r="W17" s="9"/>
    </row>
    <row r="18" spans="1:23">
      <c r="A18" s="9"/>
      <c r="B18" s="9"/>
      <c r="C18" s="9"/>
      <c r="D18" s="9"/>
      <c r="E18" s="9"/>
      <c r="F18" s="9"/>
      <c r="G18" s="9"/>
      <c r="H18" s="9"/>
      <c r="I18" s="9"/>
      <c r="J18" s="9"/>
      <c r="K18" s="9"/>
      <c r="L18" s="9"/>
      <c r="M18" s="9"/>
      <c r="N18" s="9"/>
      <c r="O18" s="9"/>
      <c r="P18" s="9"/>
      <c r="Q18" s="9"/>
      <c r="R18" s="9"/>
      <c r="S18" s="9"/>
      <c r="T18" s="9"/>
      <c r="U18" s="9"/>
      <c r="V18" s="9"/>
      <c r="W18" s="9"/>
    </row>
    <row r="19" spans="1:23">
      <c r="A19" s="9"/>
      <c r="B19" s="9"/>
      <c r="C19" s="9"/>
      <c r="D19" s="9"/>
      <c r="E19" s="9"/>
      <c r="F19" s="9"/>
      <c r="G19" s="9"/>
      <c r="H19" s="9"/>
      <c r="I19" s="9"/>
      <c r="J19" s="9"/>
      <c r="K19" s="9"/>
      <c r="L19" s="9"/>
      <c r="M19" s="9"/>
      <c r="N19" s="9"/>
      <c r="O19" s="9"/>
      <c r="P19" s="9"/>
      <c r="Q19" s="9"/>
      <c r="R19" s="9"/>
      <c r="S19" s="9"/>
      <c r="T19" s="9"/>
      <c r="U19" s="9"/>
      <c r="V19" s="9"/>
      <c r="W19" s="9"/>
    </row>
    <row r="20" spans="1:23">
      <c r="A20" s="9"/>
      <c r="B20" s="9"/>
      <c r="C20" s="9"/>
      <c r="D20" s="9"/>
      <c r="E20" s="9"/>
      <c r="F20" s="9"/>
      <c r="G20" s="9"/>
      <c r="H20" s="9"/>
      <c r="I20" s="9"/>
      <c r="J20" s="9"/>
      <c r="K20" s="9"/>
      <c r="L20" s="9"/>
      <c r="M20" s="9"/>
      <c r="N20" s="9"/>
      <c r="O20" s="9"/>
      <c r="P20" s="9"/>
      <c r="Q20" s="9"/>
      <c r="R20" s="9"/>
      <c r="S20" s="9"/>
      <c r="T20" s="9"/>
      <c r="U20" s="9"/>
      <c r="V20" s="9"/>
      <c r="W20" s="9"/>
    </row>
    <row r="21" spans="1:23">
      <c r="A21" s="9"/>
      <c r="B21" s="9"/>
      <c r="C21" s="9"/>
      <c r="D21" s="9"/>
      <c r="E21" s="9"/>
      <c r="F21" s="9"/>
      <c r="G21" s="9"/>
      <c r="H21" s="9"/>
      <c r="I21" s="9"/>
      <c r="J21" s="9"/>
      <c r="K21" s="9"/>
      <c r="L21" s="9"/>
      <c r="M21" s="9"/>
      <c r="N21" s="9"/>
      <c r="O21" s="9"/>
      <c r="P21" s="9"/>
      <c r="Q21" s="9"/>
      <c r="R21" s="9"/>
      <c r="S21" s="9"/>
      <c r="T21" s="9"/>
      <c r="U21" s="9"/>
      <c r="V21" s="9"/>
      <c r="W21" s="9"/>
    </row>
    <row r="22" spans="1:23">
      <c r="A22" s="9"/>
      <c r="B22" s="9"/>
      <c r="C22" s="9"/>
      <c r="D22" s="9"/>
      <c r="E22" s="9"/>
      <c r="F22" s="9"/>
      <c r="G22" s="9"/>
      <c r="H22" s="9"/>
      <c r="I22" s="9"/>
      <c r="J22" s="9"/>
      <c r="K22" s="9"/>
      <c r="L22" s="9"/>
      <c r="M22" s="9"/>
      <c r="N22" s="9"/>
      <c r="O22" s="9"/>
      <c r="P22" s="9"/>
      <c r="Q22" s="9"/>
      <c r="R22" s="9"/>
      <c r="S22" s="9"/>
      <c r="T22" s="9"/>
      <c r="U22" s="9"/>
      <c r="V22" s="9"/>
      <c r="W22" s="9"/>
    </row>
    <row r="23" spans="1:23">
      <c r="A23" s="9"/>
      <c r="B23" s="9"/>
      <c r="C23" s="9"/>
      <c r="D23" s="9"/>
      <c r="E23" s="9"/>
      <c r="F23" s="9"/>
      <c r="G23" s="9"/>
      <c r="H23" s="9"/>
      <c r="I23" s="9"/>
      <c r="J23" s="9"/>
      <c r="K23" s="9"/>
      <c r="L23" s="9"/>
      <c r="M23" s="9"/>
      <c r="N23" s="9"/>
      <c r="O23" s="9"/>
      <c r="P23" s="9"/>
      <c r="Q23" s="9"/>
      <c r="R23" s="9"/>
      <c r="S23" s="9"/>
      <c r="T23" s="9"/>
      <c r="U23" s="9"/>
      <c r="V23" s="9"/>
      <c r="W23" s="9"/>
    </row>
    <row r="24" spans="1:23">
      <c r="A24" s="9"/>
      <c r="B24" s="9"/>
      <c r="C24" s="9"/>
      <c r="D24" s="9"/>
      <c r="E24" s="9"/>
      <c r="F24" s="9"/>
      <c r="G24" s="9"/>
      <c r="H24" s="9"/>
      <c r="I24" s="9"/>
      <c r="J24" s="9"/>
      <c r="K24" s="9"/>
      <c r="L24" s="9"/>
      <c r="M24" s="9"/>
      <c r="N24" s="9"/>
      <c r="O24" s="9"/>
      <c r="P24" s="9"/>
      <c r="Q24" s="9"/>
      <c r="R24" s="9"/>
      <c r="S24" s="9"/>
      <c r="T24" s="9"/>
      <c r="U24" s="9"/>
      <c r="V24" s="9"/>
      <c r="W24" s="9"/>
    </row>
    <row r="25" spans="1:23">
      <c r="A25" s="9"/>
      <c r="B25" s="9"/>
      <c r="C25" s="9"/>
      <c r="D25" s="9"/>
      <c r="E25" s="9"/>
      <c r="F25" s="9"/>
      <c r="G25" s="9"/>
      <c r="H25" s="9"/>
      <c r="I25" s="9"/>
      <c r="J25" s="9"/>
      <c r="K25" s="9"/>
      <c r="L25" s="9"/>
      <c r="M25" s="9"/>
      <c r="N25" s="9"/>
      <c r="O25" s="9"/>
      <c r="P25" s="9"/>
      <c r="Q25" s="9"/>
      <c r="R25" s="9"/>
      <c r="S25" s="9"/>
      <c r="T25" s="9"/>
      <c r="U25" s="9"/>
      <c r="V25" s="9"/>
      <c r="W25" s="9"/>
    </row>
    <row r="26" spans="1:23">
      <c r="A26" s="9"/>
      <c r="B26" s="9"/>
      <c r="C26" s="9"/>
      <c r="D26" s="9"/>
      <c r="E26" s="9"/>
      <c r="F26" s="9"/>
      <c r="G26" s="9"/>
      <c r="H26" s="9"/>
      <c r="I26" s="9"/>
      <c r="J26" s="9"/>
      <c r="K26" s="9"/>
      <c r="L26" s="9"/>
      <c r="M26" s="9"/>
      <c r="N26" s="9"/>
      <c r="O26" s="9"/>
      <c r="P26" s="9"/>
      <c r="Q26" s="9"/>
      <c r="R26" s="9"/>
      <c r="S26" s="9"/>
      <c r="T26" s="9"/>
      <c r="U26" s="9"/>
      <c r="V26" s="9"/>
      <c r="W26" s="9"/>
    </row>
    <row r="27" spans="1:23">
      <c r="A27" s="9"/>
      <c r="B27" s="9"/>
      <c r="C27" s="9"/>
      <c r="D27" s="9"/>
      <c r="E27" s="9"/>
      <c r="F27" s="9"/>
      <c r="G27" s="9"/>
      <c r="H27" s="9"/>
      <c r="I27" s="9"/>
      <c r="J27" s="9"/>
      <c r="K27" s="9"/>
      <c r="L27" s="9"/>
      <c r="M27" s="9"/>
      <c r="N27" s="9"/>
      <c r="O27" s="9"/>
      <c r="P27" s="9"/>
      <c r="Q27" s="9"/>
      <c r="R27" s="9"/>
      <c r="S27" s="9"/>
      <c r="T27" s="9"/>
      <c r="U27" s="9"/>
      <c r="V27" s="9"/>
      <c r="W27" s="9"/>
    </row>
    <row r="28" spans="1:23">
      <c r="A28" s="9"/>
      <c r="B28" s="9"/>
      <c r="C28" s="9"/>
      <c r="D28" s="9"/>
      <c r="E28" s="9"/>
      <c r="F28" s="9"/>
      <c r="G28" s="9"/>
      <c r="H28" s="9"/>
      <c r="I28" s="9"/>
      <c r="J28" s="9"/>
      <c r="K28" s="9"/>
      <c r="L28" s="9"/>
      <c r="M28" s="9"/>
      <c r="N28" s="9"/>
      <c r="O28" s="9"/>
      <c r="P28" s="9"/>
      <c r="Q28" s="9"/>
      <c r="R28" s="9"/>
      <c r="S28" s="9"/>
      <c r="T28" s="9"/>
      <c r="U28" s="9"/>
      <c r="V28" s="9"/>
      <c r="W28" s="9"/>
    </row>
    <row r="29" spans="1:23">
      <c r="A29" s="9"/>
      <c r="B29" s="9"/>
      <c r="C29" s="9"/>
      <c r="D29" s="9"/>
      <c r="E29" s="9"/>
      <c r="F29" s="9"/>
      <c r="G29" s="9"/>
      <c r="H29" s="9"/>
      <c r="I29" s="9"/>
      <c r="J29" s="9"/>
      <c r="K29" s="9"/>
      <c r="L29" s="9"/>
      <c r="M29" s="9"/>
      <c r="N29" s="9"/>
      <c r="O29" s="9"/>
      <c r="P29" s="9"/>
      <c r="Q29" s="9"/>
      <c r="R29" s="9"/>
      <c r="S29" s="9"/>
      <c r="T29" s="9"/>
      <c r="U29" s="9"/>
      <c r="V29" s="9"/>
      <c r="W29" s="9"/>
    </row>
    <row r="30" spans="1:23">
      <c r="A30" s="9"/>
      <c r="B30" s="9"/>
      <c r="C30" s="9"/>
      <c r="D30" s="9"/>
      <c r="E30" s="9"/>
      <c r="F30" s="9"/>
      <c r="G30" s="9"/>
      <c r="H30" s="9"/>
      <c r="I30" s="9"/>
      <c r="J30" s="9"/>
      <c r="K30" s="9"/>
      <c r="L30" s="9"/>
      <c r="M30" s="9"/>
      <c r="N30" s="9"/>
      <c r="O30" s="9"/>
      <c r="P30" s="9"/>
      <c r="Q30" s="9"/>
      <c r="R30" s="9"/>
      <c r="S30" s="9"/>
      <c r="T30" s="9"/>
      <c r="U30" s="9"/>
      <c r="V30" s="9"/>
      <c r="W30" s="9"/>
    </row>
    <row r="31" spans="1:23">
      <c r="A31" s="9"/>
      <c r="B31" s="9"/>
      <c r="C31" s="9"/>
      <c r="D31" s="9"/>
      <c r="E31" s="9"/>
      <c r="F31" s="9"/>
      <c r="G31" s="9"/>
      <c r="H31" s="9"/>
      <c r="I31" s="9"/>
      <c r="J31" s="9"/>
      <c r="K31" s="9"/>
      <c r="L31" s="9"/>
      <c r="M31" s="9"/>
      <c r="N31" s="9"/>
      <c r="O31" s="9"/>
      <c r="P31" s="9"/>
      <c r="Q31" s="9"/>
      <c r="R31" s="9"/>
      <c r="S31" s="9"/>
      <c r="T31" s="9"/>
      <c r="U31" s="9"/>
      <c r="V31" s="9"/>
      <c r="W31" s="9"/>
    </row>
    <row r="32" spans="1:23">
      <c r="A32" s="9"/>
      <c r="B32" s="9"/>
      <c r="C32" s="9"/>
      <c r="D32" s="9"/>
      <c r="E32" s="9"/>
      <c r="F32" s="9"/>
      <c r="G32" s="9"/>
      <c r="H32" s="9"/>
      <c r="I32" s="9"/>
      <c r="J32" s="9"/>
      <c r="K32" s="9"/>
      <c r="L32" s="9"/>
      <c r="M32" s="9"/>
      <c r="N32" s="9"/>
      <c r="O32" s="9"/>
      <c r="P32" s="9"/>
      <c r="Q32" s="9"/>
      <c r="R32" s="9"/>
      <c r="S32" s="9"/>
      <c r="T32" s="9"/>
      <c r="U32" s="9"/>
      <c r="V32" s="9"/>
      <c r="W32" s="9"/>
    </row>
    <row r="33" spans="1:23">
      <c r="A33" s="9"/>
      <c r="B33" s="9"/>
      <c r="C33" s="9"/>
      <c r="D33" s="9"/>
      <c r="E33" s="9"/>
      <c r="F33" s="9"/>
      <c r="G33" s="9"/>
      <c r="H33" s="9"/>
      <c r="I33" s="9"/>
      <c r="J33" s="9"/>
      <c r="K33" s="9"/>
      <c r="L33" s="9"/>
      <c r="M33" s="9"/>
      <c r="N33" s="9"/>
      <c r="O33" s="9"/>
      <c r="P33" s="9"/>
      <c r="Q33" s="9"/>
      <c r="R33" s="9"/>
      <c r="S33" s="9"/>
      <c r="T33" s="9"/>
      <c r="U33" s="9"/>
      <c r="V33" s="9"/>
      <c r="W33" s="9"/>
    </row>
    <row r="34" spans="1:23">
      <c r="A34" s="9"/>
      <c r="B34" s="9"/>
      <c r="C34" s="9"/>
      <c r="D34" s="9"/>
      <c r="E34" s="9"/>
      <c r="F34" s="9"/>
      <c r="G34" s="9"/>
      <c r="H34" s="9"/>
      <c r="I34" s="9"/>
      <c r="J34" s="9"/>
      <c r="K34" s="9"/>
      <c r="L34" s="9"/>
      <c r="M34" s="9"/>
      <c r="N34" s="9"/>
      <c r="O34" s="9"/>
      <c r="P34" s="9"/>
      <c r="Q34" s="9"/>
      <c r="R34" s="9"/>
      <c r="S34" s="9"/>
      <c r="T34" s="9"/>
      <c r="U34" s="9"/>
      <c r="V34" s="9"/>
      <c r="W34" s="9"/>
    </row>
    <row r="35" spans="1:23">
      <c r="A35" s="9"/>
      <c r="B35" s="9"/>
      <c r="C35" s="9"/>
      <c r="D35" s="9"/>
      <c r="E35" s="9"/>
      <c r="F35" s="9"/>
      <c r="G35" s="9"/>
      <c r="H35" s="9"/>
      <c r="I35" s="9"/>
      <c r="J35" s="9"/>
      <c r="K35" s="9"/>
      <c r="L35" s="9"/>
      <c r="M35" s="9"/>
      <c r="N35" s="9"/>
      <c r="O35" s="9"/>
      <c r="P35" s="9"/>
      <c r="Q35" s="9"/>
      <c r="R35" s="9"/>
      <c r="S35" s="9"/>
      <c r="T35" s="9"/>
      <c r="U35" s="9"/>
      <c r="V35" s="9"/>
      <c r="W35" s="9"/>
    </row>
    <row r="36" spans="1:23">
      <c r="A36" s="9"/>
      <c r="B36" s="9"/>
      <c r="C36" s="9"/>
      <c r="D36" s="9"/>
      <c r="E36" s="9"/>
      <c r="F36" s="9"/>
      <c r="G36" s="9"/>
      <c r="H36" s="9"/>
      <c r="I36" s="9"/>
      <c r="J36" s="9"/>
      <c r="K36" s="9"/>
      <c r="L36" s="9"/>
      <c r="M36" s="9"/>
      <c r="N36" s="9"/>
      <c r="O36" s="9"/>
      <c r="P36" s="9"/>
      <c r="Q36" s="9"/>
      <c r="R36" s="9"/>
      <c r="S36" s="9"/>
      <c r="T36" s="9"/>
      <c r="U36" s="9"/>
      <c r="V36" s="9"/>
      <c r="W36" s="9"/>
    </row>
    <row r="37" spans="1:23">
      <c r="A37" s="9"/>
      <c r="B37" s="9"/>
      <c r="C37" s="9"/>
      <c r="D37" s="9"/>
      <c r="E37" s="9"/>
      <c r="F37" s="9"/>
      <c r="G37" s="9"/>
      <c r="H37" s="9"/>
      <c r="I37" s="9"/>
      <c r="J37" s="9"/>
      <c r="K37" s="9"/>
      <c r="L37" s="9"/>
      <c r="M37" s="9"/>
      <c r="N37" s="9"/>
      <c r="O37" s="9"/>
      <c r="P37" s="9"/>
      <c r="Q37" s="9"/>
      <c r="R37" s="9"/>
      <c r="S37" s="9"/>
      <c r="T37" s="9"/>
      <c r="U37" s="9"/>
      <c r="V37" s="9"/>
      <c r="W37" s="9"/>
    </row>
    <row r="38" spans="1:23">
      <c r="A38" s="9"/>
      <c r="B38" s="9"/>
      <c r="C38" s="9"/>
      <c r="D38" s="9"/>
      <c r="E38" s="9"/>
      <c r="F38" s="9"/>
      <c r="G38" s="9"/>
      <c r="H38" s="9"/>
      <c r="I38" s="9"/>
      <c r="J38" s="9"/>
      <c r="K38" s="9"/>
      <c r="L38" s="9"/>
      <c r="M38" s="9"/>
      <c r="N38" s="9"/>
      <c r="O38" s="9"/>
      <c r="P38" s="9"/>
      <c r="Q38" s="9"/>
      <c r="R38" s="9"/>
      <c r="S38" s="9"/>
      <c r="T38" s="9"/>
      <c r="U38" s="9"/>
      <c r="V38" s="9"/>
      <c r="W38" s="9"/>
    </row>
    <row r="39" spans="1:23">
      <c r="A39" s="9"/>
      <c r="B39" s="9"/>
      <c r="C39" s="9"/>
      <c r="D39" s="9"/>
      <c r="E39" s="9"/>
      <c r="F39" s="9"/>
      <c r="G39" s="9"/>
      <c r="H39" s="9"/>
      <c r="I39" s="9"/>
      <c r="J39" s="9"/>
      <c r="K39" s="9"/>
      <c r="L39" s="9"/>
      <c r="M39" s="9"/>
      <c r="N39" s="9"/>
      <c r="O39" s="9"/>
      <c r="P39" s="9"/>
      <c r="Q39" s="9"/>
      <c r="R39" s="9"/>
      <c r="S39" s="9"/>
      <c r="T39" s="9"/>
      <c r="U39" s="9"/>
      <c r="V39" s="9"/>
      <c r="W39" s="9"/>
    </row>
    <row r="40" spans="1:23">
      <c r="A40" s="9"/>
      <c r="B40" s="9"/>
      <c r="C40" s="9"/>
      <c r="D40" s="9"/>
      <c r="E40" s="9"/>
      <c r="F40" s="9"/>
      <c r="G40" s="9"/>
      <c r="H40" s="9"/>
      <c r="I40" s="9"/>
      <c r="J40" s="9"/>
      <c r="K40" s="9"/>
      <c r="L40" s="9"/>
      <c r="M40" s="9"/>
      <c r="N40" s="9"/>
      <c r="O40" s="9"/>
      <c r="P40" s="9"/>
      <c r="Q40" s="9"/>
      <c r="R40" s="9"/>
      <c r="S40" s="9"/>
      <c r="T40" s="9"/>
      <c r="U40" s="9"/>
      <c r="V40" s="9"/>
      <c r="W40" s="9"/>
    </row>
    <row r="41" spans="1:23">
      <c r="A41" s="9"/>
      <c r="B41" s="9"/>
      <c r="C41" s="9"/>
      <c r="D41" s="9"/>
      <c r="E41" s="9"/>
      <c r="F41" s="9"/>
      <c r="G41" s="9"/>
      <c r="H41" s="9"/>
      <c r="I41" s="9"/>
      <c r="J41" s="9"/>
      <c r="K41" s="9"/>
      <c r="L41" s="9"/>
      <c r="M41" s="9"/>
      <c r="N41" s="9"/>
      <c r="O41" s="9"/>
      <c r="P41" s="9"/>
      <c r="Q41" s="9"/>
      <c r="R41" s="9"/>
      <c r="S41" s="9"/>
      <c r="T41" s="9"/>
      <c r="U41" s="9"/>
      <c r="V41" s="9"/>
      <c r="W41" s="9"/>
    </row>
    <row r="42" spans="1:23">
      <c r="A42" s="9"/>
      <c r="B42" s="9"/>
      <c r="C42" s="9"/>
      <c r="D42" s="9"/>
      <c r="E42" s="9"/>
      <c r="F42" s="9"/>
      <c r="G42" s="9"/>
      <c r="H42" s="9"/>
      <c r="I42" s="9"/>
      <c r="J42" s="9"/>
      <c r="K42" s="9"/>
      <c r="L42" s="9"/>
      <c r="M42" s="9"/>
      <c r="N42" s="9"/>
      <c r="O42" s="9"/>
      <c r="P42" s="9"/>
      <c r="Q42" s="9"/>
      <c r="R42" s="9"/>
      <c r="S42" s="9"/>
      <c r="T42" s="9"/>
      <c r="U42" s="9"/>
      <c r="V42" s="9"/>
      <c r="W42" s="9"/>
    </row>
    <row r="43" spans="1:23">
      <c r="A43" s="10"/>
      <c r="B43" s="10"/>
      <c r="C43" s="10"/>
      <c r="D43" s="10"/>
      <c r="E43" s="10"/>
      <c r="F43" s="10"/>
      <c r="G43" s="10"/>
      <c r="H43" s="10"/>
      <c r="I43" s="10"/>
      <c r="J43" s="10"/>
      <c r="K43" s="10"/>
      <c r="L43" s="10"/>
      <c r="M43" s="10"/>
      <c r="N43" s="10"/>
      <c r="O43" s="10"/>
      <c r="P43" s="10"/>
      <c r="Q43" s="10"/>
      <c r="R43" s="10"/>
      <c r="S43" s="10"/>
      <c r="T43" s="10"/>
      <c r="U43" s="10"/>
      <c r="V43" s="10"/>
      <c r="W43" s="10"/>
    </row>
    <row r="44" spans="1:23">
      <c r="A44" s="10"/>
      <c r="B44" s="10"/>
      <c r="C44" s="10"/>
      <c r="D44" s="10"/>
      <c r="E44" s="10"/>
      <c r="F44" s="10"/>
      <c r="G44" s="10"/>
      <c r="H44" s="10"/>
      <c r="I44" s="10"/>
      <c r="J44" s="10"/>
      <c r="K44" s="10"/>
      <c r="L44" s="10"/>
      <c r="M44" s="10"/>
      <c r="N44" s="10"/>
      <c r="O44" s="10"/>
      <c r="P44" s="10"/>
      <c r="Q44" s="10"/>
      <c r="R44" s="10"/>
      <c r="S44" s="10"/>
      <c r="T44" s="10"/>
      <c r="U44" s="10"/>
      <c r="V44" s="10"/>
      <c r="W44" s="10"/>
    </row>
    <row r="45" spans="1:23">
      <c r="A45" s="10"/>
      <c r="B45" s="10"/>
      <c r="C45" s="10"/>
      <c r="D45" s="10"/>
      <c r="E45" s="10"/>
      <c r="F45" s="10"/>
      <c r="G45" s="10"/>
      <c r="H45" s="10"/>
      <c r="I45" s="10"/>
      <c r="J45" s="10"/>
      <c r="K45" s="10"/>
      <c r="L45" s="10"/>
      <c r="M45" s="10"/>
      <c r="N45" s="10"/>
      <c r="O45" s="10"/>
      <c r="P45" s="10"/>
      <c r="Q45" s="10"/>
      <c r="R45" s="10"/>
      <c r="S45" s="10"/>
      <c r="T45" s="10"/>
      <c r="U45" s="10"/>
      <c r="V45" s="10"/>
      <c r="W45" s="10"/>
    </row>
    <row r="46" spans="1:23">
      <c r="A46" s="10"/>
      <c r="B46" s="10"/>
      <c r="C46" s="10"/>
      <c r="D46" s="10"/>
      <c r="E46" s="10"/>
      <c r="F46" s="10"/>
      <c r="G46" s="10"/>
      <c r="H46" s="10"/>
      <c r="I46" s="10"/>
      <c r="J46" s="10"/>
      <c r="K46" s="10"/>
      <c r="L46" s="10"/>
      <c r="M46" s="10"/>
      <c r="N46" s="10"/>
      <c r="O46" s="10"/>
      <c r="P46" s="10"/>
      <c r="Q46" s="10"/>
      <c r="R46" s="10"/>
      <c r="S46" s="10"/>
      <c r="T46" s="10"/>
      <c r="U46" s="10"/>
      <c r="V46" s="10"/>
      <c r="W46" s="10"/>
    </row>
    <row r="47" spans="1:23">
      <c r="A47" s="10"/>
      <c r="B47" s="10"/>
      <c r="C47" s="10"/>
      <c r="D47" s="10"/>
      <c r="E47" s="10"/>
      <c r="F47" s="10"/>
      <c r="G47" s="10"/>
      <c r="H47" s="10"/>
      <c r="I47" s="10"/>
      <c r="J47" s="10"/>
      <c r="K47" s="10"/>
      <c r="L47" s="10"/>
      <c r="M47" s="10"/>
      <c r="N47" s="10"/>
      <c r="O47" s="10"/>
      <c r="P47" s="10"/>
      <c r="Q47" s="10"/>
      <c r="R47" s="10"/>
      <c r="S47" s="10"/>
      <c r="T47" s="10"/>
      <c r="U47" s="10"/>
      <c r="V47" s="10"/>
      <c r="W47" s="10"/>
    </row>
    <row r="48" spans="1:23">
      <c r="A48" s="10"/>
      <c r="B48" s="10"/>
      <c r="C48" s="10"/>
      <c r="D48" s="10"/>
      <c r="E48" s="10"/>
      <c r="F48" s="10"/>
      <c r="G48" s="10"/>
      <c r="H48" s="10"/>
      <c r="I48" s="10"/>
      <c r="J48" s="10"/>
      <c r="K48" s="10"/>
      <c r="L48" s="10"/>
      <c r="M48" s="10"/>
      <c r="N48" s="10"/>
      <c r="O48" s="10"/>
      <c r="P48" s="10"/>
      <c r="Q48" s="10"/>
      <c r="R48" s="10"/>
      <c r="S48" s="10"/>
      <c r="T48" s="10"/>
      <c r="U48" s="10"/>
      <c r="V48" s="10"/>
      <c r="W48" s="10"/>
    </row>
    <row r="49" spans="1:23">
      <c r="A49" s="10"/>
      <c r="B49" s="10"/>
      <c r="C49" s="10"/>
      <c r="D49" s="10"/>
      <c r="E49" s="10"/>
      <c r="F49" s="10"/>
      <c r="G49" s="10"/>
      <c r="H49" s="10"/>
      <c r="I49" s="10"/>
      <c r="J49" s="10"/>
      <c r="K49" s="10"/>
      <c r="L49" s="10"/>
      <c r="M49" s="10"/>
      <c r="N49" s="10"/>
      <c r="O49" s="10"/>
      <c r="P49" s="10"/>
      <c r="Q49" s="10"/>
      <c r="R49" s="10"/>
      <c r="S49" s="10"/>
      <c r="T49" s="10"/>
      <c r="U49" s="10"/>
      <c r="V49" s="10"/>
      <c r="W49" s="10"/>
    </row>
    <row r="50" spans="1:23">
      <c r="A50" s="10"/>
      <c r="B50" s="10"/>
      <c r="C50" s="10"/>
      <c r="D50" s="10"/>
      <c r="E50" s="10"/>
      <c r="F50" s="10"/>
      <c r="G50" s="10"/>
      <c r="H50" s="10"/>
      <c r="I50" s="10"/>
      <c r="J50" s="10"/>
      <c r="K50" s="10"/>
      <c r="L50" s="10"/>
      <c r="M50" s="10"/>
      <c r="N50" s="10"/>
      <c r="O50" s="10"/>
      <c r="P50" s="10"/>
      <c r="Q50" s="10"/>
      <c r="R50" s="10"/>
      <c r="S50" s="10"/>
      <c r="T50" s="10"/>
      <c r="U50" s="10"/>
      <c r="V50" s="10"/>
      <c r="W50" s="10"/>
    </row>
    <row r="51" spans="1:23">
      <c r="A51" s="10"/>
      <c r="B51" s="10"/>
      <c r="C51" s="10"/>
      <c r="D51" s="10"/>
      <c r="E51" s="10"/>
      <c r="F51" s="10"/>
      <c r="G51" s="10"/>
      <c r="H51" s="10"/>
      <c r="I51" s="10"/>
      <c r="J51" s="10"/>
      <c r="K51" s="10"/>
      <c r="L51" s="10"/>
      <c r="M51" s="10"/>
      <c r="N51" s="10"/>
      <c r="O51" s="10"/>
      <c r="P51" s="10"/>
      <c r="Q51" s="10"/>
      <c r="R51" s="10"/>
      <c r="S51" s="10"/>
      <c r="T51" s="10"/>
      <c r="U51" s="10"/>
      <c r="V51" s="10"/>
      <c r="W51" s="10"/>
    </row>
    <row r="52" spans="1:23">
      <c r="A52" s="10"/>
      <c r="B52" s="10"/>
      <c r="C52" s="10"/>
      <c r="D52" s="10"/>
      <c r="E52" s="10"/>
      <c r="F52" s="10"/>
      <c r="G52" s="10"/>
      <c r="H52" s="10"/>
      <c r="I52" s="10"/>
      <c r="J52" s="10"/>
      <c r="K52" s="10"/>
      <c r="L52" s="10"/>
      <c r="M52" s="10"/>
      <c r="N52" s="10"/>
      <c r="O52" s="10"/>
      <c r="P52" s="10"/>
      <c r="Q52" s="10"/>
      <c r="R52" s="10"/>
      <c r="S52" s="10"/>
      <c r="T52" s="10"/>
      <c r="U52" s="10"/>
      <c r="V52" s="10"/>
      <c r="W52" s="10"/>
    </row>
    <row r="53" spans="1:23">
      <c r="A53" s="10"/>
      <c r="B53" s="10"/>
      <c r="C53" s="10"/>
      <c r="D53" s="10"/>
      <c r="E53" s="10"/>
      <c r="F53" s="10"/>
      <c r="G53" s="10"/>
      <c r="H53" s="10"/>
      <c r="I53" s="10"/>
      <c r="J53" s="10"/>
      <c r="K53" s="10"/>
      <c r="L53" s="10"/>
      <c r="M53" s="10"/>
      <c r="N53" s="10"/>
      <c r="O53" s="10"/>
      <c r="P53" s="10"/>
      <c r="Q53" s="10"/>
      <c r="R53" s="10"/>
      <c r="S53" s="10"/>
      <c r="T53" s="10"/>
      <c r="U53" s="10"/>
      <c r="V53" s="10"/>
      <c r="W53" s="10"/>
    </row>
    <row r="54" spans="1:23">
      <c r="A54" s="10"/>
      <c r="B54" s="10"/>
      <c r="C54" s="10"/>
      <c r="D54" s="10"/>
      <c r="E54" s="10"/>
      <c r="F54" s="10"/>
      <c r="G54" s="10"/>
      <c r="H54" s="10"/>
      <c r="I54" s="10"/>
      <c r="J54" s="10"/>
      <c r="K54" s="10"/>
      <c r="L54" s="10"/>
      <c r="M54" s="10"/>
      <c r="N54" s="10"/>
      <c r="O54" s="10"/>
      <c r="P54" s="10"/>
      <c r="Q54" s="10"/>
      <c r="R54" s="10"/>
      <c r="S54" s="10"/>
      <c r="T54" s="10"/>
      <c r="U54" s="10"/>
      <c r="V54" s="10"/>
      <c r="W54" s="10"/>
    </row>
    <row r="55" spans="1:23">
      <c r="A55" s="10"/>
      <c r="B55" s="10"/>
      <c r="C55" s="10"/>
      <c r="D55" s="10"/>
      <c r="E55" s="10"/>
      <c r="F55" s="10"/>
      <c r="G55" s="10"/>
      <c r="H55" s="10"/>
      <c r="I55" s="10"/>
      <c r="J55" s="10"/>
      <c r="K55" s="10"/>
      <c r="L55" s="10"/>
      <c r="M55" s="10"/>
      <c r="N55" s="10"/>
      <c r="O55" s="10"/>
      <c r="P55" s="10"/>
      <c r="Q55" s="10"/>
      <c r="R55" s="10"/>
      <c r="S55" s="10"/>
      <c r="T55" s="10"/>
      <c r="U55" s="10"/>
      <c r="V55" s="10"/>
      <c r="W55" s="10"/>
    </row>
    <row r="56" spans="1:23">
      <c r="A56" s="10"/>
      <c r="B56" s="10"/>
      <c r="C56" s="10"/>
      <c r="D56" s="10"/>
      <c r="E56" s="10"/>
      <c r="F56" s="10"/>
      <c r="G56" s="10"/>
      <c r="H56" s="10"/>
      <c r="I56" s="10"/>
      <c r="J56" s="10"/>
      <c r="K56" s="10"/>
      <c r="L56" s="10"/>
      <c r="M56" s="10"/>
      <c r="N56" s="10"/>
      <c r="O56" s="10"/>
      <c r="P56" s="10"/>
      <c r="Q56" s="10"/>
      <c r="R56" s="10"/>
      <c r="S56" s="10"/>
      <c r="T56" s="10"/>
      <c r="U56" s="10"/>
      <c r="V56" s="10"/>
      <c r="W56" s="10"/>
    </row>
    <row r="57" spans="1:23">
      <c r="A57" s="10"/>
      <c r="B57" s="10"/>
      <c r="C57" s="10"/>
      <c r="D57" s="10"/>
      <c r="E57" s="10"/>
      <c r="F57" s="10"/>
      <c r="G57" s="10"/>
      <c r="H57" s="10"/>
      <c r="I57" s="10"/>
      <c r="J57" s="10"/>
      <c r="K57" s="10"/>
      <c r="L57" s="10"/>
      <c r="M57" s="10"/>
      <c r="N57" s="10"/>
      <c r="O57" s="10"/>
      <c r="P57" s="10"/>
      <c r="Q57" s="10"/>
      <c r="R57" s="10"/>
      <c r="S57" s="10"/>
      <c r="T57" s="10"/>
      <c r="U57" s="10"/>
      <c r="V57" s="10"/>
      <c r="W57" s="10"/>
    </row>
    <row r="58" spans="1:23">
      <c r="A58" s="10"/>
      <c r="B58" s="10"/>
      <c r="C58" s="10"/>
      <c r="D58" s="10"/>
      <c r="E58" s="10"/>
      <c r="F58" s="10"/>
      <c r="G58" s="10"/>
      <c r="H58" s="10"/>
      <c r="I58" s="10"/>
      <c r="J58" s="10"/>
      <c r="K58" s="10"/>
      <c r="L58" s="10"/>
      <c r="M58" s="10"/>
      <c r="N58" s="10"/>
      <c r="O58" s="10"/>
      <c r="P58" s="10"/>
      <c r="Q58" s="10"/>
      <c r="R58" s="10"/>
      <c r="S58" s="10"/>
      <c r="T58" s="10"/>
      <c r="U58" s="10"/>
      <c r="V58" s="10"/>
      <c r="W58" s="10"/>
    </row>
    <row r="59" spans="1:23">
      <c r="A59" s="10"/>
      <c r="B59" s="10"/>
      <c r="C59" s="10"/>
      <c r="D59" s="10"/>
      <c r="E59" s="10"/>
      <c r="F59" s="10"/>
      <c r="G59" s="10"/>
      <c r="H59" s="10"/>
      <c r="I59" s="10"/>
      <c r="J59" s="10"/>
      <c r="K59" s="10"/>
      <c r="L59" s="10"/>
      <c r="M59" s="10"/>
      <c r="N59" s="10"/>
      <c r="O59" s="10"/>
      <c r="P59" s="10"/>
      <c r="Q59" s="10"/>
      <c r="R59" s="10"/>
      <c r="S59" s="10"/>
      <c r="T59" s="10"/>
      <c r="U59" s="10"/>
      <c r="V59" s="10"/>
      <c r="W59" s="10"/>
    </row>
    <row r="60" spans="1:23">
      <c r="A60" s="10"/>
      <c r="B60" s="10"/>
      <c r="C60" s="10"/>
      <c r="D60" s="10"/>
      <c r="E60" s="10"/>
      <c r="F60" s="10"/>
      <c r="G60" s="10"/>
      <c r="H60" s="10"/>
      <c r="I60" s="10"/>
      <c r="J60" s="10"/>
      <c r="K60" s="10"/>
      <c r="L60" s="10"/>
      <c r="M60" s="10"/>
      <c r="N60" s="10"/>
      <c r="O60" s="10"/>
      <c r="P60" s="10"/>
      <c r="Q60" s="10"/>
      <c r="R60" s="10"/>
      <c r="S60" s="10"/>
      <c r="T60" s="10"/>
      <c r="U60" s="10"/>
      <c r="V60" s="10"/>
      <c r="W60" s="10"/>
    </row>
    <row r="61" spans="1:23">
      <c r="A61" s="10"/>
      <c r="B61" s="10"/>
      <c r="C61" s="10"/>
      <c r="D61" s="10"/>
      <c r="E61" s="10"/>
      <c r="F61" s="10"/>
      <c r="G61" s="10"/>
      <c r="H61" s="10"/>
      <c r="I61" s="10"/>
      <c r="J61" s="10"/>
      <c r="K61" s="10"/>
      <c r="L61" s="10"/>
      <c r="M61" s="10"/>
      <c r="N61" s="10"/>
      <c r="O61" s="10"/>
      <c r="P61" s="10"/>
      <c r="Q61" s="10"/>
      <c r="R61" s="10"/>
      <c r="S61" s="10"/>
      <c r="T61" s="10"/>
      <c r="U61" s="10"/>
      <c r="V61" s="10"/>
      <c r="W61" s="10"/>
    </row>
    <row r="62" spans="1:23">
      <c r="A62" s="10"/>
      <c r="B62" s="10"/>
      <c r="C62" s="10"/>
      <c r="D62" s="10"/>
      <c r="E62" s="10"/>
      <c r="F62" s="10"/>
      <c r="G62" s="10"/>
      <c r="H62" s="10"/>
      <c r="I62" s="10"/>
      <c r="J62" s="10"/>
      <c r="K62" s="10"/>
      <c r="L62" s="10"/>
      <c r="M62" s="10"/>
      <c r="N62" s="10"/>
      <c r="O62" s="10"/>
      <c r="P62" s="10"/>
      <c r="Q62" s="10"/>
      <c r="R62" s="10"/>
      <c r="S62" s="10"/>
      <c r="T62" s="10"/>
      <c r="U62" s="10"/>
      <c r="V62" s="10"/>
      <c r="W62" s="10"/>
    </row>
    <row r="63" spans="1:23">
      <c r="A63" s="10"/>
      <c r="B63" s="10"/>
      <c r="C63" s="10"/>
      <c r="D63" s="10"/>
      <c r="E63" s="10"/>
      <c r="F63" s="10"/>
      <c r="G63" s="10"/>
      <c r="H63" s="10"/>
      <c r="I63" s="10"/>
      <c r="J63" s="10"/>
      <c r="K63" s="10"/>
      <c r="L63" s="10"/>
      <c r="M63" s="10"/>
      <c r="N63" s="10"/>
      <c r="O63" s="10"/>
      <c r="P63" s="10"/>
      <c r="Q63" s="10"/>
      <c r="R63" s="10"/>
      <c r="S63" s="10"/>
      <c r="T63" s="10"/>
      <c r="U63" s="10"/>
      <c r="V63" s="10"/>
      <c r="W63" s="10"/>
    </row>
    <row r="64" spans="1:23">
      <c r="A64" s="10"/>
      <c r="B64" s="10"/>
      <c r="C64" s="10"/>
      <c r="D64" s="10"/>
      <c r="E64" s="10"/>
      <c r="F64" s="10"/>
      <c r="G64" s="10"/>
      <c r="H64" s="10"/>
      <c r="I64" s="10"/>
      <c r="J64" s="10"/>
      <c r="K64" s="10"/>
      <c r="L64" s="10"/>
      <c r="M64" s="10"/>
      <c r="N64" s="10"/>
      <c r="O64" s="10"/>
      <c r="P64" s="10"/>
      <c r="Q64" s="10"/>
      <c r="R64" s="10"/>
      <c r="S64" s="10"/>
      <c r="T64" s="10"/>
      <c r="U64" s="10"/>
      <c r="V64" s="10"/>
      <c r="W64" s="10"/>
    </row>
    <row r="65" spans="1:23">
      <c r="A65" s="10"/>
      <c r="B65" s="10"/>
      <c r="C65" s="10"/>
      <c r="D65" s="10"/>
      <c r="E65" s="10"/>
      <c r="F65" s="10"/>
      <c r="G65" s="10"/>
      <c r="H65" s="10"/>
      <c r="I65" s="10"/>
      <c r="J65" s="10"/>
      <c r="K65" s="10"/>
      <c r="L65" s="10"/>
      <c r="M65" s="10"/>
      <c r="N65" s="10"/>
      <c r="O65" s="10"/>
      <c r="P65" s="10"/>
      <c r="Q65" s="10"/>
      <c r="R65" s="10"/>
      <c r="S65" s="10"/>
      <c r="T65" s="10"/>
      <c r="U65" s="10"/>
      <c r="V65" s="10"/>
      <c r="W65" s="10"/>
    </row>
    <row r="66" spans="1:23">
      <c r="A66" s="10"/>
      <c r="B66" s="10"/>
      <c r="C66" s="10"/>
      <c r="D66" s="10"/>
      <c r="E66" s="10"/>
      <c r="F66" s="10"/>
      <c r="G66" s="10"/>
      <c r="H66" s="10"/>
      <c r="I66" s="10"/>
      <c r="J66" s="10"/>
      <c r="K66" s="10"/>
      <c r="L66" s="10"/>
      <c r="M66" s="10"/>
      <c r="N66" s="10"/>
      <c r="O66" s="10"/>
      <c r="P66" s="10"/>
      <c r="Q66" s="10"/>
      <c r="R66" s="10"/>
      <c r="S66" s="10"/>
      <c r="T66" s="10"/>
      <c r="U66" s="10"/>
      <c r="V66" s="10"/>
      <c r="W66" s="10"/>
    </row>
    <row r="67" spans="1:23">
      <c r="A67" s="10"/>
      <c r="B67" s="10"/>
      <c r="C67" s="10"/>
      <c r="D67" s="10"/>
      <c r="E67" s="10"/>
      <c r="F67" s="10"/>
      <c r="G67" s="10"/>
      <c r="H67" s="10"/>
      <c r="I67" s="10"/>
      <c r="J67" s="10"/>
      <c r="K67" s="10"/>
      <c r="L67" s="10"/>
      <c r="M67" s="10"/>
      <c r="N67" s="10"/>
      <c r="O67" s="10"/>
      <c r="P67" s="10"/>
      <c r="Q67" s="10"/>
      <c r="R67" s="10"/>
      <c r="S67" s="10"/>
      <c r="T67" s="10"/>
      <c r="U67" s="10"/>
      <c r="V67" s="10"/>
      <c r="W67" s="10"/>
    </row>
    <row r="68" spans="1:23">
      <c r="A68" s="10"/>
      <c r="B68" s="10"/>
      <c r="C68" s="10"/>
      <c r="D68" s="10"/>
      <c r="E68" s="10"/>
      <c r="F68" s="10"/>
      <c r="G68" s="10"/>
      <c r="H68" s="10"/>
      <c r="I68" s="10"/>
      <c r="J68" s="10"/>
      <c r="K68" s="10"/>
      <c r="L68" s="10"/>
      <c r="M68" s="10"/>
      <c r="N68" s="10"/>
      <c r="O68" s="10"/>
      <c r="P68" s="10"/>
      <c r="Q68" s="10"/>
      <c r="R68" s="10"/>
      <c r="S68" s="10"/>
      <c r="T68" s="10"/>
      <c r="U68" s="10"/>
      <c r="V68" s="10"/>
      <c r="W68" s="10"/>
    </row>
    <row r="69" spans="1:23">
      <c r="A69" s="10"/>
      <c r="B69" s="10"/>
      <c r="C69" s="10"/>
      <c r="D69" s="10"/>
      <c r="E69" s="10"/>
      <c r="F69" s="10"/>
      <c r="G69" s="10"/>
      <c r="H69" s="10"/>
      <c r="I69" s="10"/>
      <c r="J69" s="10"/>
      <c r="K69" s="10"/>
      <c r="L69" s="10"/>
      <c r="M69" s="10"/>
      <c r="N69" s="10"/>
      <c r="O69" s="10"/>
      <c r="P69" s="10"/>
      <c r="Q69" s="10"/>
      <c r="R69" s="10"/>
      <c r="S69" s="10"/>
      <c r="T69" s="10"/>
      <c r="U69" s="10"/>
      <c r="V69" s="10"/>
      <c r="W69" s="10"/>
    </row>
    <row r="70" spans="1:23">
      <c r="A70" s="10"/>
      <c r="B70" s="10"/>
      <c r="C70" s="10"/>
      <c r="D70" s="10"/>
      <c r="E70" s="10"/>
      <c r="F70" s="10"/>
      <c r="G70" s="10"/>
      <c r="H70" s="10"/>
      <c r="I70" s="10"/>
      <c r="J70" s="10"/>
      <c r="K70" s="10"/>
      <c r="L70" s="10"/>
      <c r="M70" s="10"/>
      <c r="N70" s="10"/>
      <c r="O70" s="10"/>
      <c r="P70" s="10"/>
      <c r="Q70" s="10"/>
      <c r="R70" s="10"/>
      <c r="S70" s="10"/>
      <c r="T70" s="10"/>
      <c r="U70" s="10"/>
      <c r="V70" s="10"/>
      <c r="W70" s="10"/>
    </row>
    <row r="71" spans="1:23">
      <c r="A71" s="10"/>
      <c r="B71" s="10"/>
      <c r="C71" s="10"/>
      <c r="D71" s="10"/>
      <c r="E71" s="10"/>
      <c r="F71" s="10"/>
      <c r="G71" s="10"/>
      <c r="H71" s="10"/>
      <c r="I71" s="10"/>
      <c r="J71" s="10"/>
      <c r="K71" s="10"/>
      <c r="L71" s="10"/>
      <c r="M71" s="10"/>
      <c r="N71" s="10"/>
      <c r="O71" s="10"/>
      <c r="P71" s="10"/>
      <c r="Q71" s="10"/>
      <c r="R71" s="10"/>
      <c r="S71" s="10"/>
      <c r="T71" s="10"/>
      <c r="U71" s="10"/>
      <c r="V71" s="10"/>
      <c r="W71" s="10"/>
    </row>
    <row r="72" spans="1:23">
      <c r="A72" s="10"/>
      <c r="B72" s="10"/>
      <c r="C72" s="10"/>
      <c r="D72" s="10"/>
      <c r="E72" s="10"/>
      <c r="F72" s="10"/>
      <c r="G72" s="10"/>
      <c r="H72" s="10"/>
      <c r="I72" s="10"/>
      <c r="J72" s="10"/>
      <c r="K72" s="10"/>
      <c r="L72" s="10"/>
      <c r="M72" s="10"/>
      <c r="N72" s="10"/>
      <c r="O72" s="10"/>
      <c r="P72" s="10"/>
      <c r="Q72" s="10"/>
      <c r="R72" s="10"/>
      <c r="S72" s="10"/>
      <c r="T72" s="10"/>
      <c r="U72" s="10"/>
      <c r="V72" s="10"/>
      <c r="W72" s="10"/>
    </row>
    <row r="73" spans="1:23">
      <c r="A73" s="10"/>
      <c r="B73" s="10"/>
      <c r="C73" s="10"/>
      <c r="D73" s="10"/>
      <c r="E73" s="10"/>
      <c r="F73" s="10"/>
      <c r="G73" s="10"/>
      <c r="H73" s="10"/>
      <c r="I73" s="10"/>
      <c r="J73" s="10"/>
      <c r="K73" s="10"/>
      <c r="L73" s="10"/>
      <c r="M73" s="10"/>
      <c r="N73" s="10"/>
      <c r="O73" s="10"/>
      <c r="P73" s="10"/>
      <c r="Q73" s="10"/>
      <c r="R73" s="10"/>
      <c r="S73" s="10"/>
      <c r="T73" s="10"/>
      <c r="U73" s="10"/>
      <c r="V73" s="10"/>
      <c r="W73" s="10"/>
    </row>
    <row r="74" spans="1:23">
      <c r="A74" s="10"/>
      <c r="B74" s="10"/>
      <c r="C74" s="10"/>
      <c r="D74" s="10"/>
      <c r="E74" s="10"/>
      <c r="F74" s="10"/>
      <c r="G74" s="10"/>
      <c r="H74" s="10"/>
      <c r="I74" s="10"/>
      <c r="J74" s="10"/>
      <c r="K74" s="10"/>
      <c r="L74" s="10"/>
      <c r="M74" s="10"/>
      <c r="N74" s="10"/>
      <c r="O74" s="10"/>
      <c r="P74" s="10"/>
      <c r="Q74" s="10"/>
      <c r="R74" s="10"/>
      <c r="S74" s="10"/>
      <c r="T74" s="10"/>
      <c r="U74" s="10"/>
      <c r="V74" s="10"/>
      <c r="W74" s="10"/>
    </row>
    <row r="75" spans="1:23">
      <c r="A75" s="10"/>
      <c r="B75" s="10"/>
      <c r="C75" s="10"/>
      <c r="D75" s="10"/>
      <c r="E75" s="10"/>
      <c r="F75" s="10"/>
      <c r="G75" s="10"/>
      <c r="H75" s="10"/>
      <c r="I75" s="10"/>
      <c r="J75" s="10"/>
      <c r="K75" s="10"/>
      <c r="L75" s="10"/>
      <c r="M75" s="10"/>
      <c r="N75" s="10"/>
      <c r="O75" s="10"/>
      <c r="P75" s="10"/>
      <c r="Q75" s="10"/>
      <c r="R75" s="10"/>
      <c r="S75" s="10"/>
      <c r="T75" s="10"/>
      <c r="U75" s="10"/>
      <c r="V75" s="10"/>
      <c r="W75" s="10"/>
    </row>
    <row r="76" spans="1:23">
      <c r="A76" s="10"/>
      <c r="B76" s="10"/>
      <c r="C76" s="10"/>
      <c r="D76" s="10"/>
      <c r="E76" s="10"/>
      <c r="F76" s="10"/>
      <c r="G76" s="10"/>
      <c r="H76" s="10"/>
      <c r="I76" s="10"/>
      <c r="J76" s="10"/>
      <c r="K76" s="10"/>
      <c r="L76" s="10"/>
      <c r="M76" s="10"/>
      <c r="N76" s="10"/>
      <c r="O76" s="10"/>
      <c r="P76" s="10"/>
      <c r="Q76" s="10"/>
      <c r="R76" s="10"/>
      <c r="S76" s="10"/>
      <c r="T76" s="10"/>
      <c r="U76" s="10"/>
      <c r="V76" s="10"/>
      <c r="W76" s="10"/>
    </row>
    <row r="77" spans="1:23">
      <c r="A77" s="10"/>
      <c r="B77" s="10"/>
      <c r="C77" s="10"/>
      <c r="D77" s="10"/>
      <c r="E77" s="10"/>
      <c r="F77" s="10"/>
      <c r="G77" s="10"/>
      <c r="H77" s="10"/>
      <c r="I77" s="10"/>
      <c r="J77" s="10"/>
      <c r="K77" s="10"/>
      <c r="L77" s="10"/>
      <c r="M77" s="10"/>
      <c r="N77" s="10"/>
      <c r="O77" s="10"/>
      <c r="P77" s="10"/>
      <c r="Q77" s="10"/>
      <c r="R77" s="10"/>
      <c r="S77" s="10"/>
      <c r="T77" s="10"/>
      <c r="U77" s="10"/>
      <c r="V77" s="10"/>
      <c r="W77" s="10"/>
    </row>
    <row r="78" spans="1:23">
      <c r="A78" s="10"/>
      <c r="B78" s="10"/>
      <c r="C78" s="10"/>
      <c r="D78" s="10"/>
      <c r="E78" s="10"/>
      <c r="F78" s="10"/>
      <c r="G78" s="10"/>
      <c r="H78" s="10"/>
      <c r="I78" s="10"/>
      <c r="J78" s="10"/>
      <c r="K78" s="10"/>
      <c r="L78" s="10"/>
      <c r="M78" s="10"/>
      <c r="N78" s="10"/>
      <c r="O78" s="10"/>
      <c r="P78" s="10"/>
      <c r="Q78" s="10"/>
      <c r="R78" s="10"/>
      <c r="S78" s="10"/>
      <c r="T78" s="10"/>
      <c r="U78" s="10"/>
      <c r="V78" s="10"/>
      <c r="W78" s="10"/>
    </row>
    <row r="79" spans="1:23">
      <c r="A79" s="10"/>
      <c r="B79" s="10"/>
      <c r="C79" s="10"/>
      <c r="D79" s="10"/>
      <c r="E79" s="10"/>
      <c r="F79" s="10"/>
      <c r="G79" s="10"/>
      <c r="H79" s="10"/>
      <c r="I79" s="10"/>
      <c r="J79" s="10"/>
      <c r="K79" s="10"/>
      <c r="L79" s="10"/>
      <c r="M79" s="10"/>
      <c r="N79" s="10"/>
      <c r="O79" s="10"/>
      <c r="P79" s="10"/>
      <c r="Q79" s="10"/>
      <c r="R79" s="10"/>
      <c r="S79" s="10"/>
      <c r="T79" s="10"/>
      <c r="U79" s="10"/>
      <c r="V79" s="10"/>
      <c r="W79" s="10"/>
    </row>
    <row r="80" spans="1:23">
      <c r="A80" s="10"/>
      <c r="B80" s="10"/>
      <c r="C80" s="10"/>
      <c r="D80" s="10"/>
      <c r="E80" s="10"/>
      <c r="F80" s="10"/>
      <c r="G80" s="10"/>
      <c r="H80" s="10"/>
      <c r="I80" s="10"/>
      <c r="J80" s="10"/>
      <c r="K80" s="10"/>
      <c r="L80" s="10"/>
      <c r="M80" s="10"/>
      <c r="N80" s="10"/>
      <c r="O80" s="10"/>
      <c r="P80" s="10"/>
      <c r="Q80" s="10"/>
      <c r="R80" s="10"/>
      <c r="S80" s="10"/>
      <c r="T80" s="10"/>
      <c r="U80" s="10"/>
      <c r="V80" s="10"/>
      <c r="W80" s="10"/>
    </row>
    <row r="81" spans="1:23">
      <c r="A81" s="10"/>
      <c r="B81" s="10"/>
      <c r="C81" s="10"/>
      <c r="D81" s="10"/>
      <c r="E81" s="10"/>
      <c r="F81" s="10"/>
      <c r="G81" s="10"/>
      <c r="H81" s="10"/>
      <c r="I81" s="10"/>
      <c r="J81" s="10"/>
      <c r="K81" s="10"/>
      <c r="L81" s="10"/>
      <c r="M81" s="10"/>
      <c r="N81" s="10"/>
      <c r="O81" s="10"/>
      <c r="P81" s="10"/>
      <c r="Q81" s="10"/>
      <c r="R81" s="10"/>
      <c r="S81" s="10"/>
      <c r="T81" s="10"/>
      <c r="U81" s="10"/>
      <c r="V81" s="10"/>
      <c r="W81" s="10"/>
    </row>
    <row r="82" spans="1:23">
      <c r="A82" s="10"/>
      <c r="B82" s="10"/>
      <c r="C82" s="10"/>
      <c r="D82" s="10"/>
      <c r="E82" s="10"/>
      <c r="F82" s="10"/>
      <c r="G82" s="10"/>
      <c r="H82" s="10"/>
      <c r="I82" s="10"/>
      <c r="J82" s="10"/>
      <c r="K82" s="10"/>
      <c r="L82" s="10"/>
      <c r="M82" s="10"/>
      <c r="N82" s="10"/>
      <c r="O82" s="10"/>
      <c r="P82" s="10"/>
      <c r="Q82" s="10"/>
      <c r="R82" s="10"/>
      <c r="S82" s="10"/>
      <c r="T82" s="10"/>
      <c r="U82" s="10"/>
      <c r="V82" s="10"/>
      <c r="W82" s="10"/>
    </row>
    <row r="83" spans="1:23">
      <c r="A83" s="10"/>
      <c r="B83" s="10"/>
      <c r="C83" s="10"/>
      <c r="D83" s="10"/>
      <c r="E83" s="10"/>
      <c r="F83" s="10"/>
      <c r="G83" s="10"/>
      <c r="H83" s="10"/>
      <c r="I83" s="10"/>
      <c r="J83" s="10"/>
      <c r="K83" s="10"/>
      <c r="L83" s="10"/>
      <c r="M83" s="10"/>
      <c r="N83" s="10"/>
      <c r="O83" s="10"/>
      <c r="P83" s="10"/>
      <c r="Q83" s="10"/>
      <c r="R83" s="10"/>
      <c r="S83" s="10"/>
      <c r="T83" s="10"/>
      <c r="U83" s="10"/>
      <c r="V83" s="10"/>
      <c r="W83" s="10"/>
    </row>
    <row r="84" spans="1:23">
      <c r="A84" s="10"/>
      <c r="B84" s="10"/>
      <c r="C84" s="10"/>
      <c r="D84" s="10"/>
      <c r="E84" s="10"/>
      <c r="F84" s="10"/>
      <c r="G84" s="10"/>
      <c r="H84" s="10"/>
      <c r="I84" s="10"/>
      <c r="J84" s="10"/>
      <c r="K84" s="10"/>
      <c r="L84" s="10"/>
      <c r="M84" s="10"/>
      <c r="N84" s="10"/>
      <c r="O84" s="10"/>
      <c r="P84" s="10"/>
      <c r="Q84" s="10"/>
      <c r="R84" s="10"/>
      <c r="S84" s="10"/>
      <c r="T84" s="10"/>
      <c r="U84" s="10"/>
      <c r="V84" s="10"/>
      <c r="W84" s="10"/>
    </row>
    <row r="85" spans="1:23">
      <c r="A85" s="10"/>
      <c r="B85" s="10"/>
      <c r="C85" s="10"/>
      <c r="D85" s="10"/>
      <c r="E85" s="10"/>
      <c r="F85" s="10"/>
      <c r="G85" s="10"/>
      <c r="H85" s="10"/>
      <c r="I85" s="10"/>
      <c r="J85" s="10"/>
      <c r="K85" s="10"/>
      <c r="L85" s="10"/>
      <c r="M85" s="10"/>
      <c r="N85" s="10"/>
      <c r="O85" s="10"/>
      <c r="P85" s="10"/>
      <c r="Q85" s="10"/>
      <c r="R85" s="10"/>
      <c r="S85" s="10"/>
      <c r="T85" s="10"/>
      <c r="U85" s="10"/>
      <c r="V85" s="10"/>
      <c r="W85" s="10"/>
    </row>
    <row r="86" spans="1:23">
      <c r="A86" s="10"/>
      <c r="B86" s="10"/>
      <c r="C86" s="10"/>
      <c r="D86" s="10"/>
      <c r="E86" s="10"/>
      <c r="F86" s="10"/>
      <c r="G86" s="10"/>
      <c r="H86" s="10"/>
      <c r="I86" s="10"/>
      <c r="J86" s="10"/>
      <c r="K86" s="10"/>
      <c r="L86" s="10"/>
      <c r="M86" s="10"/>
      <c r="N86" s="10"/>
      <c r="O86" s="10"/>
      <c r="P86" s="10"/>
      <c r="Q86" s="10"/>
      <c r="R86" s="10"/>
      <c r="S86" s="10"/>
      <c r="T86" s="10"/>
      <c r="U86" s="10"/>
      <c r="V86" s="10"/>
      <c r="W86" s="10"/>
    </row>
    <row r="87" spans="1:23">
      <c r="A87" s="10"/>
      <c r="B87" s="10"/>
      <c r="C87" s="10"/>
      <c r="D87" s="10"/>
      <c r="E87" s="10"/>
      <c r="F87" s="10"/>
      <c r="G87" s="10"/>
      <c r="H87" s="10"/>
      <c r="I87" s="10"/>
      <c r="J87" s="10"/>
      <c r="K87" s="10"/>
      <c r="L87" s="10"/>
      <c r="M87" s="10"/>
      <c r="N87" s="10"/>
      <c r="O87" s="10"/>
      <c r="P87" s="10"/>
      <c r="Q87" s="10"/>
      <c r="R87" s="10"/>
      <c r="S87" s="10"/>
      <c r="T87" s="10"/>
      <c r="U87" s="10"/>
      <c r="V87" s="10"/>
      <c r="W87" s="10"/>
    </row>
    <row r="88" spans="1:23">
      <c r="A88" s="10"/>
      <c r="B88" s="10"/>
      <c r="C88" s="10"/>
      <c r="D88" s="10"/>
      <c r="E88" s="10"/>
      <c r="F88" s="10"/>
      <c r="G88" s="10"/>
      <c r="H88" s="10"/>
      <c r="I88" s="10"/>
      <c r="J88" s="10"/>
      <c r="K88" s="10"/>
      <c r="L88" s="10"/>
      <c r="M88" s="10"/>
      <c r="N88" s="10"/>
      <c r="O88" s="10"/>
      <c r="P88" s="10"/>
      <c r="Q88" s="10"/>
      <c r="R88" s="10"/>
      <c r="S88" s="10"/>
      <c r="T88" s="10"/>
      <c r="U88" s="10"/>
      <c r="V88" s="10"/>
      <c r="W88" s="10"/>
    </row>
    <row r="89" spans="1:23">
      <c r="A89" s="10"/>
      <c r="B89" s="10"/>
      <c r="C89" s="10"/>
      <c r="D89" s="10"/>
      <c r="E89" s="10"/>
      <c r="F89" s="10"/>
      <c r="G89" s="10"/>
      <c r="H89" s="10"/>
      <c r="I89" s="10"/>
      <c r="J89" s="10"/>
      <c r="K89" s="10"/>
      <c r="L89" s="10"/>
      <c r="M89" s="10"/>
      <c r="N89" s="10"/>
      <c r="O89" s="10"/>
      <c r="P89" s="10"/>
      <c r="Q89" s="10"/>
      <c r="R89" s="10"/>
      <c r="S89" s="10"/>
      <c r="T89" s="10"/>
      <c r="U89" s="10"/>
      <c r="V89" s="10"/>
      <c r="W89" s="10"/>
    </row>
    <row r="90" spans="1:23">
      <c r="A90" s="10"/>
      <c r="B90" s="10"/>
      <c r="C90" s="10"/>
      <c r="D90" s="10"/>
      <c r="E90" s="10"/>
      <c r="F90" s="10"/>
      <c r="G90" s="10"/>
      <c r="H90" s="10"/>
      <c r="I90" s="10"/>
      <c r="J90" s="10"/>
      <c r="K90" s="10"/>
      <c r="L90" s="10"/>
      <c r="M90" s="10"/>
      <c r="N90" s="10"/>
      <c r="O90" s="10"/>
      <c r="P90" s="10"/>
      <c r="Q90" s="10"/>
      <c r="R90" s="10"/>
      <c r="S90" s="10"/>
      <c r="T90" s="10"/>
      <c r="U90" s="10"/>
      <c r="V90" s="10"/>
      <c r="W90" s="10"/>
    </row>
    <row r="91" spans="1:23">
      <c r="A91" s="10"/>
      <c r="B91" s="10"/>
      <c r="C91" s="10"/>
      <c r="D91" s="10"/>
      <c r="E91" s="10"/>
      <c r="F91" s="10"/>
      <c r="G91" s="10"/>
      <c r="H91" s="10"/>
      <c r="I91" s="10"/>
      <c r="J91" s="10"/>
      <c r="K91" s="10"/>
      <c r="L91" s="10"/>
      <c r="M91" s="10"/>
      <c r="N91" s="10"/>
      <c r="O91" s="10"/>
      <c r="P91" s="10"/>
      <c r="Q91" s="10"/>
      <c r="R91" s="10"/>
      <c r="S91" s="10"/>
      <c r="T91" s="10"/>
      <c r="U91" s="10"/>
      <c r="V91" s="10"/>
      <c r="W91" s="10"/>
    </row>
    <row r="92" spans="1:23">
      <c r="A92" s="10"/>
      <c r="B92" s="10"/>
      <c r="C92" s="10"/>
      <c r="D92" s="10"/>
      <c r="E92" s="10"/>
      <c r="F92" s="10"/>
      <c r="G92" s="10"/>
      <c r="H92" s="10"/>
      <c r="I92" s="10"/>
      <c r="J92" s="10"/>
      <c r="K92" s="10"/>
      <c r="L92" s="10"/>
      <c r="M92" s="10"/>
      <c r="N92" s="10"/>
      <c r="O92" s="10"/>
      <c r="P92" s="10"/>
      <c r="Q92" s="10"/>
      <c r="R92" s="10"/>
      <c r="S92" s="10"/>
      <c r="T92" s="10"/>
      <c r="U92" s="10"/>
      <c r="V92" s="10"/>
      <c r="W92" s="10"/>
    </row>
    <row r="93" spans="1:23">
      <c r="A93" s="10"/>
      <c r="B93" s="10"/>
      <c r="C93" s="10"/>
      <c r="D93" s="10"/>
      <c r="E93" s="10"/>
      <c r="F93" s="10"/>
      <c r="G93" s="10"/>
      <c r="H93" s="10"/>
      <c r="I93" s="10"/>
      <c r="J93" s="10"/>
      <c r="K93" s="10"/>
      <c r="L93" s="10"/>
      <c r="M93" s="10"/>
      <c r="N93" s="10"/>
      <c r="O93" s="10"/>
      <c r="P93" s="10"/>
      <c r="Q93" s="10"/>
      <c r="R93" s="10"/>
      <c r="S93" s="10"/>
      <c r="T93" s="10"/>
      <c r="U93" s="10"/>
      <c r="V93" s="10"/>
      <c r="W93" s="10"/>
    </row>
    <row r="94" spans="1:23">
      <c r="A94" s="10"/>
      <c r="B94" s="10"/>
      <c r="C94" s="10"/>
      <c r="D94" s="10"/>
      <c r="E94" s="10"/>
      <c r="F94" s="10"/>
      <c r="G94" s="10"/>
      <c r="H94" s="10"/>
      <c r="I94" s="10"/>
      <c r="J94" s="10"/>
      <c r="K94" s="10"/>
      <c r="L94" s="10"/>
      <c r="M94" s="10"/>
      <c r="N94" s="10"/>
      <c r="O94" s="10"/>
      <c r="P94" s="10"/>
      <c r="Q94" s="10"/>
      <c r="R94" s="10"/>
      <c r="S94" s="10"/>
      <c r="T94" s="10"/>
      <c r="U94" s="10"/>
      <c r="V94" s="10"/>
      <c r="W94" s="10"/>
    </row>
    <row r="95" spans="1:23">
      <c r="A95" s="10"/>
      <c r="B95" s="10"/>
      <c r="C95" s="10"/>
      <c r="D95" s="10"/>
      <c r="E95" s="10"/>
      <c r="F95" s="10"/>
      <c r="G95" s="10"/>
      <c r="H95" s="10"/>
      <c r="I95" s="10"/>
      <c r="J95" s="10"/>
      <c r="K95" s="10"/>
      <c r="L95" s="10"/>
      <c r="M95" s="10"/>
      <c r="N95" s="10"/>
      <c r="O95" s="10"/>
      <c r="P95" s="10"/>
      <c r="Q95" s="10"/>
      <c r="R95" s="10"/>
      <c r="S95" s="10"/>
      <c r="T95" s="10"/>
      <c r="U95" s="10"/>
      <c r="V95" s="10"/>
      <c r="W95" s="10"/>
    </row>
    <row r="96" spans="1:23">
      <c r="A96" s="10"/>
      <c r="B96" s="10"/>
      <c r="C96" s="10"/>
      <c r="D96" s="10"/>
      <c r="E96" s="10"/>
      <c r="F96" s="10"/>
      <c r="G96" s="10"/>
      <c r="H96" s="10"/>
      <c r="I96" s="10"/>
      <c r="J96" s="10"/>
      <c r="K96" s="10"/>
      <c r="L96" s="10"/>
      <c r="M96" s="10"/>
      <c r="N96" s="10"/>
      <c r="O96" s="10"/>
      <c r="P96" s="10"/>
      <c r="Q96" s="10"/>
      <c r="R96" s="10"/>
      <c r="S96" s="10"/>
      <c r="T96" s="10"/>
      <c r="U96" s="10"/>
      <c r="V96" s="10"/>
      <c r="W96" s="10"/>
    </row>
    <row r="97" spans="1:23">
      <c r="A97" s="10"/>
      <c r="B97" s="10"/>
      <c r="C97" s="10"/>
      <c r="D97" s="10"/>
      <c r="E97" s="10"/>
      <c r="F97" s="10"/>
      <c r="G97" s="10"/>
      <c r="H97" s="10"/>
      <c r="I97" s="10"/>
      <c r="J97" s="10"/>
      <c r="K97" s="10"/>
      <c r="L97" s="10"/>
      <c r="M97" s="10"/>
      <c r="N97" s="10"/>
      <c r="O97" s="10"/>
      <c r="P97" s="10"/>
      <c r="Q97" s="10"/>
      <c r="R97" s="10"/>
      <c r="S97" s="10"/>
      <c r="T97" s="10"/>
      <c r="U97" s="10"/>
      <c r="V97" s="10"/>
      <c r="W97" s="10"/>
    </row>
    <row r="98" spans="1:23">
      <c r="A98" s="10"/>
      <c r="B98" s="10"/>
      <c r="C98" s="10"/>
      <c r="D98" s="10"/>
      <c r="E98" s="10"/>
      <c r="F98" s="10"/>
      <c r="G98" s="10"/>
      <c r="H98" s="10"/>
      <c r="I98" s="10"/>
      <c r="J98" s="10"/>
      <c r="K98" s="10"/>
      <c r="L98" s="10"/>
      <c r="M98" s="10"/>
      <c r="N98" s="10"/>
      <c r="O98" s="10"/>
      <c r="P98" s="10"/>
      <c r="Q98" s="10"/>
      <c r="R98" s="10"/>
      <c r="S98" s="10"/>
      <c r="T98" s="10"/>
      <c r="U98" s="10"/>
      <c r="V98" s="10"/>
      <c r="W98" s="10"/>
    </row>
    <row r="99" spans="1:23">
      <c r="A99" s="10"/>
      <c r="B99" s="10"/>
      <c r="C99" s="10"/>
      <c r="D99" s="10"/>
      <c r="E99" s="10"/>
      <c r="F99" s="10"/>
      <c r="G99" s="10"/>
      <c r="H99" s="10"/>
      <c r="I99" s="10"/>
      <c r="J99" s="10"/>
      <c r="K99" s="10"/>
      <c r="L99" s="10"/>
      <c r="M99" s="10"/>
      <c r="N99" s="10"/>
      <c r="O99" s="10"/>
      <c r="P99" s="10"/>
      <c r="Q99" s="10"/>
      <c r="R99" s="10"/>
      <c r="S99" s="10"/>
      <c r="T99" s="10"/>
      <c r="U99" s="10"/>
      <c r="V99" s="10"/>
      <c r="W99" s="10"/>
    </row>
    <row r="100" spans="1:23">
      <c r="A100" s="10"/>
      <c r="B100" s="10"/>
      <c r="C100" s="10"/>
      <c r="D100" s="10"/>
      <c r="E100" s="10"/>
      <c r="F100" s="10"/>
      <c r="G100" s="10"/>
      <c r="H100" s="10"/>
      <c r="I100" s="10"/>
      <c r="J100" s="10"/>
      <c r="K100" s="10"/>
      <c r="L100" s="10"/>
      <c r="M100" s="10"/>
      <c r="N100" s="10"/>
      <c r="O100" s="10"/>
      <c r="P100" s="10"/>
      <c r="Q100" s="10"/>
      <c r="R100" s="10"/>
      <c r="S100" s="10"/>
      <c r="T100" s="10"/>
      <c r="U100" s="10"/>
      <c r="V100" s="10"/>
      <c r="W100" s="10"/>
    </row>
    <row r="101" spans="1:23">
      <c r="A101" s="10"/>
      <c r="B101" s="10"/>
      <c r="C101" s="10"/>
      <c r="D101" s="10"/>
      <c r="E101" s="10"/>
      <c r="F101" s="10"/>
      <c r="G101" s="10"/>
      <c r="H101" s="10"/>
      <c r="I101" s="10"/>
      <c r="J101" s="10"/>
      <c r="K101" s="10"/>
      <c r="L101" s="10"/>
      <c r="M101" s="10"/>
      <c r="N101" s="10"/>
      <c r="O101" s="10"/>
      <c r="P101" s="10"/>
      <c r="Q101" s="10"/>
      <c r="R101" s="10"/>
      <c r="S101" s="10"/>
      <c r="T101" s="10"/>
      <c r="U101" s="10"/>
      <c r="V101" s="10"/>
      <c r="W101" s="10"/>
    </row>
    <row r="102" spans="1:23">
      <c r="A102" s="10"/>
      <c r="B102" s="10"/>
      <c r="C102" s="10"/>
      <c r="D102" s="10"/>
      <c r="E102" s="10"/>
      <c r="F102" s="10"/>
      <c r="G102" s="10"/>
      <c r="H102" s="10"/>
      <c r="I102" s="10"/>
      <c r="J102" s="10"/>
      <c r="K102" s="10"/>
      <c r="L102" s="10"/>
      <c r="M102" s="10"/>
      <c r="N102" s="10"/>
      <c r="O102" s="10"/>
      <c r="P102" s="10"/>
      <c r="Q102" s="10"/>
      <c r="R102" s="10"/>
      <c r="S102" s="10"/>
      <c r="T102" s="10"/>
      <c r="U102" s="10"/>
      <c r="V102" s="10"/>
      <c r="W102" s="10"/>
    </row>
    <row r="103" spans="1:23">
      <c r="A103" s="10"/>
      <c r="B103" s="10"/>
      <c r="C103" s="10"/>
      <c r="D103" s="10"/>
      <c r="E103" s="10"/>
      <c r="F103" s="10"/>
      <c r="G103" s="10"/>
      <c r="H103" s="10"/>
      <c r="I103" s="10"/>
      <c r="J103" s="10"/>
      <c r="K103" s="10"/>
      <c r="L103" s="10"/>
      <c r="M103" s="10"/>
      <c r="N103" s="10"/>
      <c r="O103" s="10"/>
      <c r="P103" s="10"/>
      <c r="Q103" s="10"/>
      <c r="R103" s="10"/>
      <c r="S103" s="10"/>
      <c r="T103" s="10"/>
      <c r="U103" s="10"/>
      <c r="V103" s="10"/>
      <c r="W103" s="10"/>
    </row>
    <row r="104" spans="1:23">
      <c r="A104" s="10"/>
      <c r="B104" s="10"/>
      <c r="C104" s="10"/>
      <c r="D104" s="10"/>
      <c r="E104" s="10"/>
      <c r="F104" s="10"/>
      <c r="G104" s="10"/>
      <c r="H104" s="10"/>
      <c r="I104" s="10"/>
      <c r="J104" s="10"/>
      <c r="K104" s="10"/>
      <c r="L104" s="10"/>
      <c r="M104" s="10"/>
      <c r="N104" s="10"/>
      <c r="O104" s="10"/>
      <c r="P104" s="10"/>
      <c r="Q104" s="10"/>
      <c r="R104" s="10"/>
      <c r="S104" s="10"/>
      <c r="T104" s="10"/>
      <c r="U104" s="10"/>
      <c r="V104" s="10"/>
      <c r="W104" s="10"/>
    </row>
    <row r="105" spans="1:23">
      <c r="A105" s="10"/>
      <c r="B105" s="10"/>
      <c r="C105" s="10"/>
      <c r="D105" s="10"/>
      <c r="E105" s="10"/>
      <c r="F105" s="10"/>
      <c r="G105" s="10"/>
      <c r="H105" s="10"/>
      <c r="I105" s="10"/>
      <c r="J105" s="10"/>
      <c r="K105" s="10"/>
      <c r="L105" s="10"/>
      <c r="M105" s="10"/>
      <c r="N105" s="10"/>
      <c r="O105" s="10"/>
      <c r="P105" s="10"/>
      <c r="Q105" s="10"/>
      <c r="R105" s="10"/>
      <c r="S105" s="10"/>
      <c r="T105" s="10"/>
      <c r="U105" s="10"/>
      <c r="V105" s="10"/>
      <c r="W105" s="10"/>
    </row>
    <row r="106" spans="1:23">
      <c r="A106" s="10"/>
      <c r="B106" s="10"/>
      <c r="C106" s="10"/>
      <c r="D106" s="10"/>
      <c r="E106" s="10"/>
      <c r="F106" s="10"/>
      <c r="G106" s="10"/>
      <c r="H106" s="10"/>
      <c r="I106" s="10"/>
      <c r="J106" s="10"/>
      <c r="K106" s="10"/>
      <c r="L106" s="10"/>
      <c r="M106" s="10"/>
      <c r="N106" s="10"/>
      <c r="O106" s="10"/>
      <c r="P106" s="10"/>
      <c r="Q106" s="10"/>
      <c r="R106" s="10"/>
      <c r="S106" s="10"/>
      <c r="T106" s="10"/>
      <c r="U106" s="10"/>
      <c r="V106" s="10"/>
      <c r="W106" s="10"/>
    </row>
    <row r="107" spans="1:23">
      <c r="A107" s="10"/>
      <c r="B107" s="10"/>
      <c r="C107" s="10"/>
      <c r="D107" s="10"/>
      <c r="E107" s="10"/>
      <c r="F107" s="10"/>
      <c r="G107" s="10"/>
      <c r="H107" s="10"/>
      <c r="I107" s="10"/>
      <c r="J107" s="10"/>
      <c r="K107" s="10"/>
      <c r="L107" s="10"/>
      <c r="M107" s="10"/>
      <c r="N107" s="10"/>
      <c r="O107" s="10"/>
      <c r="P107" s="10"/>
      <c r="Q107" s="10"/>
      <c r="R107" s="10"/>
      <c r="S107" s="10"/>
      <c r="T107" s="10"/>
      <c r="U107" s="10"/>
      <c r="V107" s="10"/>
      <c r="W107" s="10"/>
    </row>
    <row r="108" spans="1:23">
      <c r="A108" s="10"/>
      <c r="B108" s="10"/>
      <c r="C108" s="10"/>
      <c r="D108" s="10"/>
      <c r="E108" s="10"/>
      <c r="F108" s="10"/>
      <c r="G108" s="10"/>
      <c r="H108" s="10"/>
      <c r="I108" s="10"/>
      <c r="J108" s="10"/>
      <c r="K108" s="10"/>
      <c r="L108" s="10"/>
      <c r="M108" s="10"/>
      <c r="N108" s="10"/>
      <c r="O108" s="10"/>
      <c r="P108" s="10"/>
      <c r="Q108" s="10"/>
      <c r="R108" s="10"/>
      <c r="S108" s="10"/>
      <c r="T108" s="10"/>
      <c r="U108" s="10"/>
      <c r="V108" s="10"/>
      <c r="W108" s="10"/>
    </row>
    <row r="109" spans="1:23">
      <c r="A109" s="10"/>
      <c r="B109" s="10"/>
      <c r="C109" s="10"/>
      <c r="D109" s="10"/>
      <c r="E109" s="10"/>
      <c r="F109" s="10"/>
      <c r="G109" s="10"/>
      <c r="H109" s="10"/>
      <c r="I109" s="10"/>
      <c r="J109" s="10"/>
      <c r="K109" s="10"/>
      <c r="L109" s="10"/>
      <c r="M109" s="10"/>
      <c r="N109" s="10"/>
      <c r="O109" s="10"/>
      <c r="P109" s="10"/>
      <c r="Q109" s="10"/>
      <c r="R109" s="10"/>
      <c r="S109" s="10"/>
      <c r="T109" s="10"/>
      <c r="U109" s="10"/>
      <c r="V109" s="10"/>
      <c r="W109" s="10"/>
    </row>
    <row r="110" spans="1:23">
      <c r="A110" s="10"/>
      <c r="B110" s="10"/>
      <c r="C110" s="10"/>
      <c r="D110" s="10"/>
      <c r="E110" s="10"/>
      <c r="F110" s="10"/>
      <c r="G110" s="10"/>
      <c r="H110" s="10"/>
      <c r="I110" s="10"/>
      <c r="J110" s="10"/>
      <c r="K110" s="10"/>
      <c r="L110" s="10"/>
      <c r="M110" s="10"/>
      <c r="N110" s="10"/>
      <c r="O110" s="10"/>
      <c r="P110" s="10"/>
      <c r="Q110" s="10"/>
      <c r="R110" s="10"/>
      <c r="S110" s="10"/>
      <c r="T110" s="10"/>
      <c r="U110" s="10"/>
      <c r="V110" s="10"/>
      <c r="W110" s="10"/>
    </row>
    <row r="111" spans="1:23">
      <c r="A111" s="10"/>
      <c r="B111" s="10"/>
      <c r="C111" s="10"/>
      <c r="D111" s="10"/>
      <c r="E111" s="10"/>
      <c r="F111" s="10"/>
      <c r="G111" s="10"/>
      <c r="H111" s="10"/>
      <c r="I111" s="10"/>
      <c r="J111" s="10"/>
      <c r="K111" s="10"/>
      <c r="L111" s="10"/>
      <c r="M111" s="10"/>
      <c r="N111" s="10"/>
      <c r="O111" s="10"/>
      <c r="P111" s="10"/>
      <c r="Q111" s="10"/>
      <c r="R111" s="10"/>
      <c r="S111" s="10"/>
      <c r="T111" s="10"/>
      <c r="U111" s="10"/>
      <c r="V111" s="10"/>
      <c r="W111" s="10"/>
    </row>
    <row r="112" spans="1:23">
      <c r="A112" s="10"/>
      <c r="B112" s="10"/>
      <c r="C112" s="10"/>
      <c r="D112" s="10"/>
      <c r="E112" s="10"/>
      <c r="F112" s="10"/>
      <c r="G112" s="10"/>
      <c r="H112" s="10"/>
      <c r="I112" s="10"/>
      <c r="J112" s="10"/>
      <c r="K112" s="10"/>
      <c r="L112" s="10"/>
      <c r="M112" s="10"/>
      <c r="N112" s="10"/>
      <c r="O112" s="10"/>
      <c r="P112" s="10"/>
      <c r="Q112" s="10"/>
      <c r="R112" s="10"/>
      <c r="S112" s="10"/>
      <c r="T112" s="10"/>
      <c r="U112" s="10"/>
      <c r="V112" s="10"/>
      <c r="W112" s="10"/>
    </row>
    <row r="113" spans="1:23">
      <c r="A113" s="10"/>
      <c r="B113" s="10"/>
      <c r="C113" s="10"/>
      <c r="D113" s="10"/>
      <c r="E113" s="10"/>
      <c r="F113" s="10"/>
      <c r="G113" s="10"/>
      <c r="H113" s="10"/>
      <c r="I113" s="10"/>
      <c r="J113" s="10"/>
      <c r="K113" s="10"/>
      <c r="L113" s="10"/>
      <c r="M113" s="10"/>
      <c r="N113" s="10"/>
      <c r="O113" s="10"/>
      <c r="P113" s="10"/>
      <c r="Q113" s="10"/>
      <c r="R113" s="10"/>
      <c r="S113" s="10"/>
      <c r="T113" s="10"/>
      <c r="U113" s="10"/>
      <c r="V113" s="10"/>
      <c r="W113" s="10"/>
    </row>
    <row r="114" spans="1:23">
      <c r="A114" s="10"/>
      <c r="B114" s="10"/>
      <c r="C114" s="10"/>
      <c r="D114" s="10"/>
      <c r="E114" s="10"/>
      <c r="F114" s="10"/>
      <c r="G114" s="10"/>
      <c r="H114" s="10"/>
      <c r="I114" s="10"/>
      <c r="J114" s="10"/>
      <c r="K114" s="10"/>
      <c r="L114" s="10"/>
      <c r="M114" s="10"/>
      <c r="N114" s="10"/>
      <c r="O114" s="10"/>
      <c r="P114" s="10"/>
      <c r="Q114" s="10"/>
      <c r="R114" s="10"/>
      <c r="S114" s="10"/>
      <c r="T114" s="10"/>
      <c r="U114" s="10"/>
      <c r="V114" s="10"/>
      <c r="W114" s="10"/>
    </row>
    <row r="115" spans="1:23">
      <c r="A115" s="10"/>
      <c r="B115" s="10"/>
      <c r="C115" s="10"/>
      <c r="D115" s="10"/>
      <c r="E115" s="10"/>
      <c r="F115" s="10"/>
      <c r="G115" s="10"/>
      <c r="H115" s="10"/>
      <c r="I115" s="10"/>
      <c r="J115" s="10"/>
      <c r="K115" s="10"/>
      <c r="L115" s="10"/>
      <c r="M115" s="10"/>
      <c r="N115" s="10"/>
      <c r="O115" s="10"/>
      <c r="P115" s="10"/>
      <c r="Q115" s="10"/>
      <c r="R115" s="10"/>
      <c r="S115" s="10"/>
      <c r="T115" s="10"/>
      <c r="U115" s="10"/>
      <c r="V115" s="10"/>
      <c r="W115" s="10"/>
    </row>
    <row r="116" spans="1:23">
      <c r="A116" s="10"/>
      <c r="B116" s="10"/>
      <c r="C116" s="10"/>
      <c r="D116" s="10"/>
      <c r="E116" s="10"/>
      <c r="F116" s="10"/>
      <c r="G116" s="10"/>
      <c r="H116" s="10"/>
      <c r="I116" s="10"/>
      <c r="J116" s="10"/>
      <c r="K116" s="10"/>
      <c r="L116" s="10"/>
      <c r="M116" s="10"/>
      <c r="N116" s="10"/>
      <c r="O116" s="10"/>
      <c r="P116" s="10"/>
      <c r="Q116" s="10"/>
      <c r="R116" s="10"/>
      <c r="S116" s="10"/>
      <c r="T116" s="10"/>
      <c r="U116" s="10"/>
      <c r="V116" s="10"/>
      <c r="W116" s="10"/>
    </row>
    <row r="117" spans="1:23">
      <c r="A117" s="10"/>
      <c r="B117" s="10"/>
      <c r="C117" s="10"/>
      <c r="D117" s="10"/>
      <c r="E117" s="10"/>
      <c r="F117" s="10"/>
      <c r="G117" s="10"/>
      <c r="H117" s="10"/>
      <c r="I117" s="10"/>
      <c r="J117" s="10"/>
      <c r="K117" s="10"/>
      <c r="L117" s="10"/>
      <c r="M117" s="10"/>
      <c r="N117" s="10"/>
      <c r="O117" s="10"/>
      <c r="P117" s="10"/>
      <c r="Q117" s="10"/>
      <c r="R117" s="10"/>
      <c r="S117" s="10"/>
      <c r="T117" s="10"/>
      <c r="U117" s="10"/>
      <c r="V117" s="10"/>
      <c r="W117" s="10"/>
    </row>
    <row r="118" spans="1:23">
      <c r="A118" s="10"/>
      <c r="B118" s="10"/>
      <c r="C118" s="10"/>
      <c r="D118" s="10"/>
      <c r="E118" s="10"/>
      <c r="F118" s="10"/>
      <c r="G118" s="10"/>
      <c r="H118" s="10"/>
      <c r="I118" s="10"/>
      <c r="J118" s="10"/>
      <c r="K118" s="10"/>
      <c r="L118" s="10"/>
      <c r="M118" s="10"/>
      <c r="N118" s="10"/>
      <c r="O118" s="10"/>
      <c r="P118" s="10"/>
      <c r="Q118" s="10"/>
      <c r="R118" s="10"/>
      <c r="S118" s="10"/>
      <c r="T118" s="10"/>
      <c r="U118" s="10"/>
      <c r="V118" s="10"/>
      <c r="W118" s="10"/>
    </row>
    <row r="119" spans="1:23">
      <c r="A119" s="10"/>
      <c r="B119" s="10"/>
      <c r="C119" s="10"/>
      <c r="D119" s="10"/>
      <c r="E119" s="10"/>
      <c r="F119" s="10"/>
      <c r="G119" s="10"/>
      <c r="H119" s="10"/>
      <c r="I119" s="10"/>
      <c r="J119" s="10"/>
      <c r="K119" s="10"/>
      <c r="L119" s="10"/>
      <c r="M119" s="10"/>
      <c r="N119" s="10"/>
      <c r="O119" s="10"/>
      <c r="P119" s="10"/>
      <c r="Q119" s="10"/>
      <c r="R119" s="10"/>
      <c r="S119" s="10"/>
      <c r="T119" s="10"/>
      <c r="U119" s="10"/>
      <c r="V119" s="10"/>
      <c r="W119" s="10"/>
    </row>
    <row r="120" spans="1:23">
      <c r="A120" s="10"/>
      <c r="B120" s="10"/>
      <c r="C120" s="10"/>
      <c r="D120" s="10"/>
      <c r="E120" s="10"/>
      <c r="F120" s="10"/>
      <c r="G120" s="10"/>
      <c r="H120" s="10"/>
      <c r="I120" s="10"/>
      <c r="J120" s="10"/>
      <c r="K120" s="10"/>
      <c r="L120" s="10"/>
      <c r="M120" s="10"/>
      <c r="N120" s="10"/>
      <c r="O120" s="10"/>
      <c r="P120" s="10"/>
      <c r="Q120" s="10"/>
      <c r="R120" s="10"/>
      <c r="S120" s="10"/>
      <c r="T120" s="10"/>
      <c r="U120" s="10"/>
      <c r="V120" s="10"/>
      <c r="W120" s="10"/>
    </row>
    <row r="121" spans="1:23">
      <c r="A121" s="10"/>
      <c r="B121" s="10"/>
      <c r="C121" s="10"/>
      <c r="D121" s="10"/>
      <c r="E121" s="10"/>
      <c r="F121" s="10"/>
      <c r="G121" s="10"/>
      <c r="H121" s="10"/>
      <c r="I121" s="10"/>
      <c r="J121" s="10"/>
      <c r="K121" s="10"/>
      <c r="L121" s="10"/>
      <c r="M121" s="10"/>
      <c r="N121" s="10"/>
      <c r="O121" s="10"/>
      <c r="P121" s="10"/>
      <c r="Q121" s="10"/>
      <c r="R121" s="10"/>
      <c r="S121" s="10"/>
      <c r="T121" s="10"/>
      <c r="U121" s="10"/>
      <c r="V121" s="10"/>
      <c r="W121" s="10"/>
    </row>
    <row r="122" spans="1:23">
      <c r="A122" s="10"/>
      <c r="B122" s="10"/>
      <c r="C122" s="10"/>
      <c r="D122" s="10"/>
      <c r="E122" s="10"/>
      <c r="F122" s="10"/>
      <c r="G122" s="10"/>
      <c r="H122" s="10"/>
      <c r="I122" s="10"/>
      <c r="J122" s="10"/>
      <c r="K122" s="10"/>
      <c r="L122" s="10"/>
      <c r="M122" s="10"/>
      <c r="N122" s="10"/>
      <c r="O122" s="10"/>
      <c r="P122" s="10"/>
      <c r="Q122" s="10"/>
      <c r="R122" s="10"/>
      <c r="S122" s="10"/>
      <c r="T122" s="10"/>
      <c r="U122" s="10"/>
      <c r="V122" s="10"/>
      <c r="W122" s="10"/>
    </row>
    <row r="123" spans="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row>
    <row r="124" spans="1:23">
      <c r="A124" s="10"/>
      <c r="B124" s="10"/>
      <c r="C124" s="10"/>
      <c r="D124" s="10"/>
      <c r="E124" s="10"/>
      <c r="F124" s="10"/>
      <c r="G124" s="10"/>
      <c r="H124" s="10"/>
      <c r="I124" s="10"/>
      <c r="J124" s="10"/>
      <c r="K124" s="10"/>
      <c r="L124" s="10"/>
      <c r="M124" s="10"/>
      <c r="N124" s="10"/>
      <c r="O124" s="10"/>
      <c r="P124" s="10"/>
      <c r="Q124" s="10"/>
      <c r="R124" s="10"/>
      <c r="S124" s="10"/>
      <c r="T124" s="10"/>
      <c r="U124" s="10"/>
      <c r="V124" s="10"/>
      <c r="W124" s="10"/>
    </row>
    <row r="125" spans="1:23">
      <c r="A125" s="10"/>
      <c r="B125" s="10"/>
      <c r="C125" s="10"/>
      <c r="D125" s="10"/>
      <c r="E125" s="10"/>
      <c r="F125" s="10"/>
      <c r="G125" s="10"/>
      <c r="H125" s="10"/>
      <c r="I125" s="10"/>
      <c r="J125" s="10"/>
      <c r="K125" s="10"/>
      <c r="L125" s="10"/>
      <c r="M125" s="10"/>
      <c r="N125" s="10"/>
      <c r="O125" s="10"/>
      <c r="P125" s="10"/>
      <c r="Q125" s="10"/>
      <c r="R125" s="10"/>
      <c r="S125" s="10"/>
      <c r="T125" s="10"/>
      <c r="U125" s="10"/>
      <c r="V125" s="10"/>
      <c r="W125" s="10"/>
    </row>
    <row r="126" spans="1:23">
      <c r="A126" s="10"/>
      <c r="B126" s="10"/>
      <c r="C126" s="10"/>
      <c r="D126" s="10"/>
      <c r="E126" s="10"/>
      <c r="F126" s="10"/>
      <c r="G126" s="10"/>
      <c r="H126" s="10"/>
      <c r="I126" s="10"/>
      <c r="J126" s="10"/>
      <c r="K126" s="10"/>
      <c r="L126" s="10"/>
      <c r="M126" s="10"/>
      <c r="N126" s="10"/>
      <c r="O126" s="10"/>
      <c r="P126" s="10"/>
      <c r="Q126" s="10"/>
      <c r="R126" s="10"/>
      <c r="S126" s="10"/>
      <c r="T126" s="10"/>
      <c r="U126" s="10"/>
      <c r="V126" s="10"/>
      <c r="W126" s="10"/>
    </row>
    <row r="127" spans="1:23">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1:23">
      <c r="A128" s="10"/>
      <c r="B128" s="10"/>
      <c r="C128" s="10"/>
      <c r="D128" s="10"/>
      <c r="E128" s="10"/>
      <c r="F128" s="10"/>
      <c r="G128" s="10"/>
      <c r="H128" s="10"/>
      <c r="I128" s="10"/>
      <c r="J128" s="10"/>
      <c r="K128" s="10"/>
      <c r="L128" s="10"/>
      <c r="M128" s="10"/>
      <c r="N128" s="10"/>
      <c r="O128" s="10"/>
      <c r="P128" s="10"/>
      <c r="Q128" s="10"/>
      <c r="R128" s="10"/>
      <c r="S128" s="10"/>
      <c r="T128" s="10"/>
      <c r="U128" s="10"/>
      <c r="V128" s="10"/>
      <c r="W128" s="10"/>
    </row>
    <row r="129" spans="1:23">
      <c r="A129" s="10"/>
      <c r="B129" s="10"/>
      <c r="C129" s="10"/>
      <c r="D129" s="10"/>
      <c r="E129" s="10"/>
      <c r="F129" s="10"/>
      <c r="G129" s="10"/>
      <c r="H129" s="10"/>
      <c r="I129" s="10"/>
      <c r="J129" s="10"/>
      <c r="K129" s="10"/>
      <c r="L129" s="10"/>
      <c r="M129" s="10"/>
      <c r="N129" s="10"/>
      <c r="O129" s="10"/>
      <c r="P129" s="10"/>
      <c r="Q129" s="10"/>
      <c r="R129" s="10"/>
      <c r="S129" s="10"/>
      <c r="T129" s="10"/>
      <c r="U129" s="10"/>
      <c r="V129" s="10"/>
      <c r="W129" s="10"/>
    </row>
    <row r="130" spans="1:23">
      <c r="A130" s="10"/>
      <c r="B130" s="10"/>
      <c r="C130" s="10"/>
      <c r="D130" s="10"/>
      <c r="E130" s="10"/>
      <c r="F130" s="10"/>
      <c r="G130" s="10"/>
      <c r="H130" s="10"/>
      <c r="I130" s="10"/>
      <c r="J130" s="10"/>
      <c r="K130" s="10"/>
      <c r="L130" s="10"/>
      <c r="M130" s="10"/>
      <c r="N130" s="10"/>
      <c r="O130" s="10"/>
      <c r="P130" s="10"/>
      <c r="Q130" s="10"/>
      <c r="R130" s="10"/>
      <c r="S130" s="10"/>
      <c r="T130" s="10"/>
      <c r="U130" s="10"/>
      <c r="V130" s="10"/>
      <c r="W130" s="10"/>
    </row>
    <row r="131" spans="1:23">
      <c r="A131" s="10"/>
      <c r="B131" s="10"/>
      <c r="C131" s="10"/>
      <c r="D131" s="10"/>
      <c r="E131" s="10"/>
      <c r="F131" s="10"/>
      <c r="G131" s="10"/>
      <c r="H131" s="10"/>
      <c r="I131" s="10"/>
      <c r="J131" s="10"/>
      <c r="K131" s="10"/>
      <c r="L131" s="10"/>
      <c r="M131" s="10"/>
      <c r="N131" s="10"/>
      <c r="O131" s="10"/>
      <c r="P131" s="10"/>
      <c r="Q131" s="10"/>
      <c r="R131" s="10"/>
      <c r="S131" s="10"/>
      <c r="T131" s="10"/>
      <c r="U131" s="10"/>
      <c r="V131" s="10"/>
      <c r="W131" s="10"/>
    </row>
    <row r="132" spans="1:23">
      <c r="A132" s="10"/>
      <c r="B132" s="10"/>
      <c r="C132" s="10"/>
      <c r="D132" s="10"/>
      <c r="E132" s="10"/>
      <c r="F132" s="10"/>
      <c r="G132" s="10"/>
      <c r="H132" s="10"/>
      <c r="I132" s="10"/>
      <c r="J132" s="10"/>
      <c r="K132" s="10"/>
      <c r="L132" s="10"/>
      <c r="M132" s="10"/>
      <c r="N132" s="10"/>
      <c r="O132" s="10"/>
      <c r="P132" s="10"/>
      <c r="Q132" s="10"/>
      <c r="R132" s="10"/>
      <c r="S132" s="10"/>
      <c r="T132" s="10"/>
      <c r="U132" s="10"/>
      <c r="V132" s="10"/>
      <c r="W132" s="10"/>
    </row>
    <row r="133" spans="1:23">
      <c r="A133" s="10"/>
      <c r="B133" s="10"/>
      <c r="C133" s="10"/>
      <c r="D133" s="10"/>
      <c r="E133" s="10"/>
      <c r="F133" s="10"/>
      <c r="G133" s="10"/>
      <c r="H133" s="10"/>
      <c r="I133" s="10"/>
      <c r="J133" s="10"/>
      <c r="K133" s="10"/>
      <c r="L133" s="10"/>
      <c r="M133" s="10"/>
      <c r="N133" s="10"/>
      <c r="O133" s="10"/>
      <c r="P133" s="10"/>
      <c r="Q133" s="10"/>
      <c r="R133" s="10"/>
      <c r="S133" s="10"/>
      <c r="T133" s="10"/>
      <c r="U133" s="10"/>
      <c r="V133" s="10"/>
      <c r="W133" s="10"/>
    </row>
    <row r="134" spans="1:23">
      <c r="A134" s="10"/>
      <c r="B134" s="10"/>
      <c r="C134" s="10"/>
      <c r="D134" s="10"/>
      <c r="E134" s="10"/>
      <c r="F134" s="10"/>
      <c r="G134" s="10"/>
      <c r="H134" s="10"/>
      <c r="I134" s="10"/>
      <c r="J134" s="10"/>
      <c r="K134" s="10"/>
      <c r="L134" s="10"/>
      <c r="M134" s="10"/>
      <c r="N134" s="10"/>
      <c r="O134" s="10"/>
      <c r="P134" s="10"/>
      <c r="Q134" s="10"/>
      <c r="R134" s="10"/>
      <c r="S134" s="10"/>
      <c r="T134" s="10"/>
      <c r="U134" s="10"/>
      <c r="V134" s="10"/>
      <c r="W134" s="10"/>
    </row>
    <row r="135" spans="1:23">
      <c r="A135" s="10"/>
      <c r="B135" s="10"/>
      <c r="C135" s="10"/>
      <c r="D135" s="10"/>
      <c r="E135" s="10"/>
      <c r="F135" s="10"/>
      <c r="G135" s="10"/>
      <c r="H135" s="10"/>
      <c r="I135" s="10"/>
      <c r="J135" s="10"/>
      <c r="K135" s="10"/>
      <c r="L135" s="10"/>
      <c r="M135" s="10"/>
      <c r="N135" s="10"/>
      <c r="O135" s="10"/>
      <c r="P135" s="10"/>
      <c r="Q135" s="10"/>
      <c r="R135" s="10"/>
      <c r="S135" s="10"/>
      <c r="T135" s="10"/>
      <c r="U135" s="10"/>
      <c r="V135" s="10"/>
      <c r="W135" s="10"/>
    </row>
    <row r="136" spans="1:23">
      <c r="A136" s="10"/>
      <c r="B136" s="10"/>
      <c r="C136" s="10"/>
      <c r="D136" s="10"/>
      <c r="E136" s="10"/>
      <c r="F136" s="10"/>
      <c r="G136" s="10"/>
      <c r="H136" s="10"/>
      <c r="I136" s="10"/>
      <c r="J136" s="10"/>
      <c r="K136" s="10"/>
      <c r="L136" s="10"/>
      <c r="M136" s="10"/>
      <c r="N136" s="10"/>
      <c r="O136" s="10"/>
      <c r="P136" s="10"/>
      <c r="Q136" s="10"/>
      <c r="R136" s="10"/>
      <c r="S136" s="10"/>
      <c r="T136" s="10"/>
      <c r="U136" s="10"/>
      <c r="V136" s="10"/>
      <c r="W136" s="10"/>
    </row>
    <row r="137" spans="1:23">
      <c r="A137" s="10"/>
      <c r="B137" s="10"/>
      <c r="C137" s="10"/>
      <c r="D137" s="10"/>
      <c r="E137" s="10"/>
      <c r="F137" s="10"/>
      <c r="G137" s="10"/>
      <c r="H137" s="10"/>
      <c r="I137" s="10"/>
      <c r="J137" s="10"/>
      <c r="K137" s="10"/>
      <c r="L137" s="10"/>
      <c r="M137" s="10"/>
      <c r="N137" s="10"/>
      <c r="O137" s="10"/>
      <c r="P137" s="10"/>
      <c r="Q137" s="10"/>
      <c r="R137" s="10"/>
      <c r="S137" s="10"/>
      <c r="T137" s="10"/>
      <c r="U137" s="10"/>
      <c r="V137" s="10"/>
      <c r="W137" s="10"/>
    </row>
    <row r="138" spans="1:23">
      <c r="A138" s="10"/>
      <c r="B138" s="10"/>
      <c r="C138" s="10"/>
      <c r="D138" s="10"/>
      <c r="E138" s="10"/>
      <c r="F138" s="10"/>
      <c r="G138" s="10"/>
      <c r="H138" s="10"/>
      <c r="I138" s="10"/>
      <c r="J138" s="10"/>
      <c r="K138" s="10"/>
      <c r="L138" s="10"/>
      <c r="M138" s="10"/>
      <c r="N138" s="10"/>
      <c r="O138" s="10"/>
      <c r="P138" s="10"/>
      <c r="Q138" s="10"/>
      <c r="R138" s="10"/>
      <c r="S138" s="10"/>
      <c r="T138" s="10"/>
      <c r="U138" s="10"/>
      <c r="V138" s="10"/>
      <c r="W138" s="10"/>
    </row>
    <row r="139" spans="1:23">
      <c r="A139" s="10"/>
      <c r="B139" s="10"/>
      <c r="C139" s="10"/>
      <c r="D139" s="10"/>
      <c r="E139" s="10"/>
      <c r="F139" s="10"/>
      <c r="G139" s="10"/>
      <c r="H139" s="10"/>
      <c r="I139" s="10"/>
      <c r="J139" s="10"/>
      <c r="K139" s="10"/>
      <c r="L139" s="10"/>
      <c r="M139" s="10"/>
      <c r="N139" s="10"/>
      <c r="O139" s="10"/>
      <c r="P139" s="10"/>
      <c r="Q139" s="10"/>
      <c r="R139" s="10"/>
      <c r="S139" s="10"/>
      <c r="T139" s="10"/>
      <c r="U139" s="10"/>
      <c r="V139" s="10"/>
      <c r="W139" s="10"/>
    </row>
    <row r="140" spans="1:23">
      <c r="A140" s="10"/>
      <c r="B140" s="10"/>
      <c r="C140" s="10"/>
      <c r="D140" s="10"/>
      <c r="E140" s="10"/>
      <c r="F140" s="10"/>
      <c r="G140" s="10"/>
      <c r="H140" s="10"/>
      <c r="I140" s="10"/>
      <c r="J140" s="10"/>
      <c r="K140" s="10"/>
      <c r="L140" s="10"/>
      <c r="M140" s="10"/>
      <c r="N140" s="10"/>
      <c r="O140" s="10"/>
      <c r="P140" s="10"/>
      <c r="Q140" s="10"/>
      <c r="R140" s="10"/>
      <c r="S140" s="10"/>
      <c r="T140" s="10"/>
      <c r="U140" s="10"/>
      <c r="V140" s="10"/>
      <c r="W140" s="10"/>
    </row>
    <row r="141" spans="1:23">
      <c r="A141" s="10"/>
      <c r="B141" s="10"/>
      <c r="C141" s="10"/>
      <c r="D141" s="10"/>
      <c r="E141" s="10"/>
      <c r="F141" s="10"/>
      <c r="G141" s="10"/>
      <c r="H141" s="10"/>
      <c r="I141" s="10"/>
      <c r="J141" s="10"/>
      <c r="K141" s="10"/>
      <c r="L141" s="10"/>
      <c r="M141" s="10"/>
      <c r="N141" s="10"/>
      <c r="O141" s="10"/>
      <c r="P141" s="10"/>
      <c r="Q141" s="10"/>
      <c r="R141" s="10"/>
      <c r="S141" s="10"/>
      <c r="T141" s="10"/>
      <c r="U141" s="10"/>
      <c r="V141" s="10"/>
      <c r="W141" s="10"/>
    </row>
    <row r="142" spans="1:23">
      <c r="A142" s="10"/>
      <c r="B142" s="10"/>
      <c r="C142" s="10"/>
      <c r="D142" s="10"/>
      <c r="E142" s="10"/>
      <c r="F142" s="10"/>
      <c r="G142" s="10"/>
      <c r="H142" s="10"/>
      <c r="I142" s="10"/>
      <c r="J142" s="10"/>
      <c r="K142" s="10"/>
      <c r="L142" s="10"/>
      <c r="M142" s="10"/>
      <c r="N142" s="10"/>
      <c r="O142" s="10"/>
      <c r="P142" s="10"/>
      <c r="Q142" s="10"/>
      <c r="R142" s="10"/>
      <c r="S142" s="10"/>
      <c r="T142" s="10"/>
      <c r="U142" s="10"/>
      <c r="V142" s="10"/>
      <c r="W142" s="10"/>
    </row>
    <row r="143" spans="1:23">
      <c r="A143" s="10"/>
      <c r="B143" s="10"/>
      <c r="C143" s="10"/>
      <c r="D143" s="10"/>
      <c r="E143" s="10"/>
      <c r="F143" s="10"/>
      <c r="G143" s="10"/>
      <c r="H143" s="10"/>
      <c r="I143" s="10"/>
      <c r="J143" s="10"/>
      <c r="K143" s="10"/>
      <c r="L143" s="10"/>
      <c r="M143" s="10"/>
      <c r="N143" s="10"/>
      <c r="O143" s="10"/>
      <c r="P143" s="10"/>
      <c r="Q143" s="10"/>
      <c r="R143" s="10"/>
      <c r="S143" s="10"/>
      <c r="T143" s="10"/>
      <c r="U143" s="10"/>
      <c r="V143" s="10"/>
      <c r="W143" s="10"/>
    </row>
    <row r="144" spans="1:23">
      <c r="A144" s="10"/>
      <c r="B144" s="10"/>
      <c r="C144" s="10"/>
      <c r="D144" s="10"/>
      <c r="E144" s="10"/>
      <c r="F144" s="10"/>
      <c r="G144" s="10"/>
      <c r="H144" s="10"/>
      <c r="I144" s="10"/>
      <c r="J144" s="10"/>
      <c r="K144" s="10"/>
      <c r="L144" s="10"/>
      <c r="M144" s="10"/>
      <c r="N144" s="10"/>
      <c r="O144" s="10"/>
      <c r="P144" s="10"/>
      <c r="Q144" s="10"/>
      <c r="R144" s="10"/>
      <c r="S144" s="10"/>
      <c r="T144" s="10"/>
      <c r="U144" s="10"/>
      <c r="V144" s="10"/>
      <c r="W144" s="10"/>
    </row>
    <row r="145" spans="1:23">
      <c r="A145" s="10"/>
      <c r="B145" s="10"/>
      <c r="C145" s="10"/>
      <c r="D145" s="10"/>
      <c r="E145" s="10"/>
      <c r="F145" s="10"/>
      <c r="G145" s="10"/>
      <c r="H145" s="10"/>
      <c r="I145" s="10"/>
      <c r="J145" s="10"/>
      <c r="K145" s="10"/>
      <c r="L145" s="10"/>
      <c r="M145" s="10"/>
      <c r="N145" s="10"/>
      <c r="O145" s="10"/>
      <c r="P145" s="10"/>
      <c r="Q145" s="10"/>
      <c r="R145" s="10"/>
      <c r="S145" s="10"/>
      <c r="T145" s="10"/>
      <c r="U145" s="10"/>
      <c r="V145" s="10"/>
      <c r="W145" s="10"/>
    </row>
    <row r="146" spans="1:23">
      <c r="A146" s="10"/>
      <c r="B146" s="10"/>
      <c r="C146" s="10"/>
      <c r="D146" s="10"/>
      <c r="E146" s="10"/>
      <c r="F146" s="10"/>
      <c r="G146" s="10"/>
      <c r="H146" s="10"/>
      <c r="I146" s="10"/>
      <c r="J146" s="10"/>
      <c r="K146" s="10"/>
      <c r="L146" s="10"/>
      <c r="M146" s="10"/>
      <c r="N146" s="10"/>
      <c r="O146" s="10"/>
      <c r="P146" s="10"/>
      <c r="Q146" s="10"/>
      <c r="R146" s="10"/>
      <c r="S146" s="10"/>
      <c r="T146" s="10"/>
      <c r="U146" s="10"/>
      <c r="V146" s="10"/>
      <c r="W146" s="10"/>
    </row>
    <row r="147" spans="1:23">
      <c r="A147" s="10"/>
      <c r="B147" s="10"/>
      <c r="C147" s="10"/>
      <c r="D147" s="10"/>
      <c r="E147" s="10"/>
      <c r="F147" s="10"/>
      <c r="G147" s="10"/>
      <c r="H147" s="10"/>
      <c r="I147" s="10"/>
      <c r="J147" s="10"/>
      <c r="K147" s="10"/>
      <c r="L147" s="10"/>
      <c r="M147" s="10"/>
      <c r="N147" s="10"/>
      <c r="O147" s="10"/>
      <c r="P147" s="10"/>
      <c r="Q147" s="10"/>
      <c r="R147" s="10"/>
      <c r="S147" s="10"/>
      <c r="T147" s="10"/>
      <c r="U147" s="10"/>
      <c r="V147" s="10"/>
      <c r="W147" s="10"/>
    </row>
    <row r="148" spans="1:23">
      <c r="A148" s="10"/>
      <c r="B148" s="10"/>
      <c r="C148" s="10"/>
      <c r="D148" s="10"/>
      <c r="E148" s="10"/>
      <c r="F148" s="10"/>
      <c r="G148" s="10"/>
      <c r="H148" s="10"/>
      <c r="I148" s="10"/>
      <c r="J148" s="10"/>
      <c r="K148" s="10"/>
      <c r="L148" s="10"/>
      <c r="M148" s="10"/>
      <c r="N148" s="10"/>
      <c r="O148" s="10"/>
      <c r="P148" s="10"/>
      <c r="Q148" s="10"/>
      <c r="R148" s="10"/>
      <c r="S148" s="10"/>
      <c r="T148" s="10"/>
      <c r="U148" s="10"/>
      <c r="V148" s="10"/>
      <c r="W148" s="10"/>
    </row>
    <row r="149" spans="1:23">
      <c r="A149" s="10"/>
      <c r="B149" s="10"/>
      <c r="C149" s="10"/>
      <c r="D149" s="10"/>
      <c r="E149" s="10"/>
      <c r="F149" s="10"/>
      <c r="G149" s="10"/>
      <c r="H149" s="10"/>
      <c r="I149" s="10"/>
      <c r="J149" s="10"/>
      <c r="K149" s="10"/>
      <c r="L149" s="10"/>
      <c r="M149" s="10"/>
      <c r="N149" s="10"/>
      <c r="O149" s="10"/>
      <c r="P149" s="10"/>
      <c r="Q149" s="10"/>
      <c r="R149" s="10"/>
      <c r="S149" s="10"/>
      <c r="T149" s="10"/>
      <c r="U149" s="10"/>
      <c r="V149" s="10"/>
      <c r="W149" s="10"/>
    </row>
    <row r="150" spans="1:23">
      <c r="A150" s="10"/>
      <c r="B150" s="10"/>
      <c r="C150" s="10"/>
      <c r="D150" s="10"/>
      <c r="E150" s="10"/>
      <c r="F150" s="10"/>
      <c r="G150" s="10"/>
      <c r="H150" s="10"/>
      <c r="I150" s="10"/>
      <c r="J150" s="10"/>
      <c r="K150" s="10"/>
      <c r="L150" s="10"/>
      <c r="M150" s="10"/>
      <c r="N150" s="10"/>
      <c r="O150" s="10"/>
      <c r="P150" s="10"/>
      <c r="Q150" s="10"/>
      <c r="R150" s="10"/>
      <c r="S150" s="10"/>
      <c r="T150" s="10"/>
      <c r="U150" s="10"/>
      <c r="V150" s="10"/>
      <c r="W150" s="10"/>
    </row>
    <row r="151" spans="1:23">
      <c r="A151" s="10"/>
      <c r="B151" s="10"/>
      <c r="C151" s="10"/>
      <c r="D151" s="10"/>
      <c r="E151" s="10"/>
      <c r="F151" s="10"/>
      <c r="G151" s="10"/>
      <c r="H151" s="10"/>
      <c r="I151" s="10"/>
      <c r="J151" s="10"/>
      <c r="K151" s="10"/>
      <c r="L151" s="10"/>
      <c r="M151" s="10"/>
      <c r="N151" s="10"/>
      <c r="O151" s="10"/>
      <c r="P151" s="10"/>
      <c r="Q151" s="10"/>
      <c r="R151" s="10"/>
      <c r="S151" s="10"/>
      <c r="T151" s="10"/>
      <c r="U151" s="10"/>
      <c r="V151" s="10"/>
      <c r="W151" s="10"/>
    </row>
    <row r="152" spans="1:23">
      <c r="A152" s="10"/>
      <c r="B152" s="10"/>
      <c r="C152" s="10"/>
      <c r="D152" s="10"/>
      <c r="E152" s="10"/>
      <c r="F152" s="10"/>
      <c r="G152" s="10"/>
      <c r="H152" s="10"/>
      <c r="I152" s="10"/>
      <c r="J152" s="10"/>
      <c r="K152" s="10"/>
      <c r="L152" s="10"/>
      <c r="M152" s="10"/>
      <c r="N152" s="10"/>
      <c r="O152" s="10"/>
      <c r="P152" s="10"/>
      <c r="Q152" s="10"/>
      <c r="R152" s="10"/>
      <c r="S152" s="10"/>
      <c r="T152" s="10"/>
      <c r="U152" s="10"/>
      <c r="V152" s="10"/>
      <c r="W152" s="10"/>
    </row>
    <row r="153" spans="1:23">
      <c r="A153" s="10"/>
      <c r="B153" s="10"/>
      <c r="C153" s="10"/>
      <c r="D153" s="10"/>
      <c r="E153" s="10"/>
      <c r="F153" s="10"/>
      <c r="G153" s="10"/>
      <c r="H153" s="10"/>
      <c r="I153" s="10"/>
      <c r="J153" s="10"/>
      <c r="K153" s="10"/>
      <c r="L153" s="10"/>
      <c r="M153" s="10"/>
      <c r="N153" s="10"/>
      <c r="O153" s="10"/>
      <c r="P153" s="10"/>
      <c r="Q153" s="10"/>
      <c r="R153" s="10"/>
      <c r="S153" s="10"/>
      <c r="T153" s="10"/>
      <c r="U153" s="10"/>
      <c r="V153" s="10"/>
      <c r="W153" s="10"/>
    </row>
    <row r="154" spans="1:23">
      <c r="A154" s="10"/>
      <c r="B154" s="10"/>
      <c r="C154" s="10"/>
      <c r="D154" s="10"/>
      <c r="E154" s="10"/>
      <c r="F154" s="10"/>
      <c r="G154" s="10"/>
      <c r="H154" s="10"/>
      <c r="I154" s="10"/>
      <c r="J154" s="10"/>
      <c r="K154" s="10"/>
      <c r="L154" s="10"/>
      <c r="M154" s="10"/>
      <c r="N154" s="10"/>
      <c r="O154" s="10"/>
      <c r="P154" s="10"/>
      <c r="Q154" s="10"/>
      <c r="R154" s="10"/>
      <c r="S154" s="10"/>
      <c r="T154" s="10"/>
      <c r="U154" s="10"/>
      <c r="V154" s="10"/>
      <c r="W154" s="10"/>
    </row>
    <row r="155" spans="1:23">
      <c r="A155" s="10"/>
      <c r="B155" s="10"/>
      <c r="C155" s="10"/>
      <c r="D155" s="10"/>
      <c r="E155" s="10"/>
      <c r="F155" s="10"/>
      <c r="G155" s="10"/>
      <c r="H155" s="10"/>
      <c r="I155" s="10"/>
      <c r="J155" s="10"/>
      <c r="K155" s="10"/>
      <c r="L155" s="10"/>
      <c r="M155" s="10"/>
      <c r="N155" s="10"/>
      <c r="O155" s="10"/>
      <c r="P155" s="10"/>
      <c r="Q155" s="10"/>
      <c r="R155" s="10"/>
      <c r="S155" s="10"/>
      <c r="T155" s="10"/>
      <c r="U155" s="10"/>
      <c r="V155" s="10"/>
      <c r="W155" s="10"/>
    </row>
    <row r="156" spans="1:23">
      <c r="A156" s="10"/>
      <c r="B156" s="10"/>
      <c r="C156" s="10"/>
      <c r="D156" s="10"/>
      <c r="E156" s="10"/>
      <c r="F156" s="10"/>
      <c r="G156" s="10"/>
      <c r="H156" s="10"/>
      <c r="I156" s="10"/>
      <c r="J156" s="10"/>
      <c r="K156" s="10"/>
      <c r="L156" s="10"/>
      <c r="M156" s="10"/>
      <c r="N156" s="10"/>
      <c r="O156" s="10"/>
      <c r="P156" s="10"/>
      <c r="Q156" s="10"/>
      <c r="R156" s="10"/>
      <c r="S156" s="10"/>
      <c r="T156" s="10"/>
      <c r="U156" s="10"/>
      <c r="V156" s="10"/>
      <c r="W156" s="10"/>
    </row>
    <row r="157" spans="1:23">
      <c r="A157" s="10"/>
      <c r="B157" s="10"/>
      <c r="C157" s="10"/>
      <c r="D157" s="10"/>
      <c r="E157" s="10"/>
      <c r="F157" s="10"/>
      <c r="G157" s="10"/>
      <c r="H157" s="10"/>
      <c r="I157" s="10"/>
      <c r="J157" s="10"/>
      <c r="K157" s="10"/>
      <c r="L157" s="10"/>
      <c r="M157" s="10"/>
      <c r="N157" s="10"/>
      <c r="O157" s="10"/>
      <c r="P157" s="10"/>
      <c r="Q157" s="10"/>
      <c r="R157" s="10"/>
      <c r="S157" s="10"/>
      <c r="T157" s="10"/>
      <c r="U157" s="10"/>
      <c r="V157" s="10"/>
      <c r="W157" s="10"/>
    </row>
    <row r="158" spans="1:23">
      <c r="A158" s="10"/>
      <c r="B158" s="10"/>
      <c r="C158" s="10"/>
      <c r="D158" s="10"/>
      <c r="E158" s="10"/>
      <c r="F158" s="10"/>
      <c r="G158" s="10"/>
      <c r="H158" s="10"/>
      <c r="I158" s="10"/>
      <c r="J158" s="10"/>
      <c r="K158" s="10"/>
      <c r="L158" s="10"/>
      <c r="M158" s="10"/>
      <c r="N158" s="10"/>
      <c r="O158" s="10"/>
      <c r="P158" s="10"/>
      <c r="Q158" s="10"/>
      <c r="R158" s="10"/>
      <c r="S158" s="10"/>
      <c r="T158" s="10"/>
      <c r="U158" s="10"/>
      <c r="V158" s="10"/>
      <c r="W158" s="10"/>
    </row>
    <row r="159" spans="1:23">
      <c r="A159" s="10"/>
      <c r="B159" s="10"/>
      <c r="C159" s="10"/>
      <c r="D159" s="10"/>
      <c r="E159" s="10"/>
      <c r="F159" s="10"/>
      <c r="G159" s="10"/>
      <c r="H159" s="10"/>
      <c r="I159" s="10"/>
      <c r="J159" s="10"/>
      <c r="K159" s="10"/>
      <c r="L159" s="10"/>
      <c r="M159" s="10"/>
      <c r="N159" s="10"/>
      <c r="O159" s="10"/>
      <c r="P159" s="10"/>
      <c r="Q159" s="10"/>
      <c r="R159" s="10"/>
      <c r="S159" s="10"/>
      <c r="T159" s="10"/>
      <c r="U159" s="10"/>
      <c r="V159" s="10"/>
      <c r="W159" s="10"/>
    </row>
    <row r="160" spans="1:23">
      <c r="A160" s="10"/>
      <c r="B160" s="10"/>
      <c r="C160" s="10"/>
      <c r="D160" s="10"/>
      <c r="E160" s="10"/>
      <c r="F160" s="10"/>
      <c r="G160" s="10"/>
      <c r="H160" s="10"/>
      <c r="I160" s="10"/>
      <c r="J160" s="10"/>
      <c r="K160" s="10"/>
      <c r="L160" s="10"/>
      <c r="M160" s="10"/>
      <c r="N160" s="10"/>
      <c r="O160" s="10"/>
      <c r="P160" s="10"/>
      <c r="Q160" s="10"/>
      <c r="R160" s="10"/>
      <c r="S160" s="10"/>
      <c r="T160" s="10"/>
      <c r="U160" s="10"/>
      <c r="V160" s="10"/>
      <c r="W160" s="10"/>
    </row>
    <row r="161" spans="1:23">
      <c r="A161" s="10"/>
      <c r="B161" s="10"/>
      <c r="C161" s="10"/>
      <c r="D161" s="10"/>
      <c r="E161" s="10"/>
      <c r="F161" s="10"/>
      <c r="G161" s="10"/>
      <c r="H161" s="10"/>
      <c r="I161" s="10"/>
      <c r="J161" s="10"/>
      <c r="K161" s="10"/>
      <c r="L161" s="10"/>
      <c r="M161" s="10"/>
      <c r="N161" s="10"/>
      <c r="O161" s="10"/>
      <c r="P161" s="10"/>
      <c r="Q161" s="10"/>
      <c r="R161" s="10"/>
      <c r="S161" s="10"/>
      <c r="T161" s="10"/>
      <c r="U161" s="10"/>
      <c r="V161" s="10"/>
      <c r="W161" s="10"/>
    </row>
    <row r="162" spans="1:23">
      <c r="A162" s="10"/>
      <c r="B162" s="10"/>
      <c r="C162" s="10"/>
      <c r="D162" s="10"/>
      <c r="E162" s="10"/>
      <c r="F162" s="10"/>
      <c r="G162" s="10"/>
      <c r="H162" s="10"/>
      <c r="I162" s="10"/>
      <c r="J162" s="10"/>
      <c r="K162" s="10"/>
      <c r="L162" s="10"/>
      <c r="M162" s="10"/>
      <c r="N162" s="10"/>
      <c r="O162" s="10"/>
      <c r="P162" s="10"/>
      <c r="Q162" s="10"/>
      <c r="R162" s="10"/>
      <c r="S162" s="10"/>
      <c r="T162" s="10"/>
      <c r="U162" s="10"/>
      <c r="V162" s="10"/>
      <c r="W162" s="10"/>
    </row>
    <row r="163" spans="1:23">
      <c r="A163" s="10"/>
      <c r="B163" s="10"/>
      <c r="C163" s="10"/>
      <c r="D163" s="10"/>
      <c r="E163" s="10"/>
      <c r="F163" s="10"/>
      <c r="G163" s="10"/>
      <c r="H163" s="10"/>
      <c r="I163" s="10"/>
      <c r="J163" s="10"/>
      <c r="K163" s="10"/>
      <c r="L163" s="10"/>
      <c r="M163" s="10"/>
      <c r="N163" s="10"/>
      <c r="O163" s="10"/>
      <c r="P163" s="10"/>
      <c r="Q163" s="10"/>
      <c r="R163" s="10"/>
      <c r="S163" s="10"/>
      <c r="T163" s="10"/>
      <c r="U163" s="10"/>
      <c r="V163" s="10"/>
      <c r="W163" s="10"/>
    </row>
    <row r="164" spans="1:23">
      <c r="A164" s="10"/>
      <c r="B164" s="10"/>
      <c r="C164" s="10"/>
      <c r="D164" s="10"/>
      <c r="E164" s="10"/>
      <c r="F164" s="10"/>
      <c r="G164" s="10"/>
      <c r="H164" s="10"/>
      <c r="I164" s="10"/>
      <c r="J164" s="10"/>
      <c r="K164" s="10"/>
      <c r="L164" s="10"/>
      <c r="M164" s="10"/>
      <c r="N164" s="10"/>
      <c r="O164" s="10"/>
      <c r="P164" s="10"/>
      <c r="Q164" s="10"/>
      <c r="R164" s="10"/>
      <c r="S164" s="10"/>
      <c r="T164" s="10"/>
      <c r="U164" s="10"/>
      <c r="V164" s="10"/>
      <c r="W164" s="10"/>
    </row>
    <row r="165" spans="1:23">
      <c r="A165" s="10"/>
      <c r="B165" s="10"/>
      <c r="C165" s="10"/>
      <c r="D165" s="10"/>
      <c r="E165" s="10"/>
      <c r="F165" s="10"/>
      <c r="G165" s="10"/>
      <c r="H165" s="10"/>
      <c r="I165" s="10"/>
      <c r="J165" s="10"/>
      <c r="K165" s="10"/>
      <c r="L165" s="10"/>
      <c r="M165" s="10"/>
      <c r="N165" s="10"/>
      <c r="O165" s="10"/>
      <c r="P165" s="10"/>
      <c r="Q165" s="10"/>
      <c r="R165" s="10"/>
      <c r="S165" s="10"/>
      <c r="T165" s="10"/>
      <c r="U165" s="10"/>
      <c r="V165" s="10"/>
      <c r="W165" s="10"/>
    </row>
    <row r="166" spans="1:23">
      <c r="A166" s="10"/>
      <c r="B166" s="10"/>
      <c r="C166" s="10"/>
      <c r="D166" s="10"/>
      <c r="E166" s="10"/>
      <c r="F166" s="10"/>
      <c r="G166" s="10"/>
      <c r="H166" s="10"/>
      <c r="I166" s="10"/>
      <c r="J166" s="10"/>
      <c r="K166" s="10"/>
      <c r="L166" s="10"/>
      <c r="M166" s="10"/>
      <c r="N166" s="10"/>
      <c r="O166" s="10"/>
      <c r="P166" s="10"/>
      <c r="Q166" s="10"/>
      <c r="R166" s="10"/>
      <c r="S166" s="10"/>
      <c r="T166" s="10"/>
      <c r="U166" s="10"/>
      <c r="V166" s="10"/>
      <c r="W166" s="10"/>
    </row>
    <row r="167" spans="1:23">
      <c r="A167" s="10"/>
      <c r="B167" s="10"/>
      <c r="C167" s="10"/>
      <c r="D167" s="10"/>
      <c r="E167" s="10"/>
      <c r="F167" s="10"/>
      <c r="G167" s="10"/>
      <c r="H167" s="10"/>
      <c r="I167" s="10"/>
      <c r="J167" s="10"/>
      <c r="K167" s="10"/>
      <c r="L167" s="10"/>
      <c r="M167" s="10"/>
      <c r="N167" s="10"/>
      <c r="O167" s="10"/>
      <c r="P167" s="10"/>
      <c r="Q167" s="10"/>
      <c r="R167" s="10"/>
      <c r="S167" s="10"/>
      <c r="T167" s="10"/>
      <c r="U167" s="10"/>
      <c r="V167" s="10"/>
      <c r="W167" s="10"/>
    </row>
    <row r="168" spans="1:23">
      <c r="A168" s="10"/>
      <c r="B168" s="10"/>
      <c r="C168" s="10"/>
      <c r="D168" s="10"/>
      <c r="E168" s="10"/>
      <c r="F168" s="10"/>
      <c r="G168" s="10"/>
      <c r="H168" s="10"/>
      <c r="I168" s="10"/>
      <c r="J168" s="10"/>
      <c r="K168" s="10"/>
      <c r="L168" s="10"/>
      <c r="M168" s="10"/>
      <c r="N168" s="10"/>
      <c r="O168" s="10"/>
      <c r="P168" s="10"/>
      <c r="Q168" s="10"/>
      <c r="R168" s="10"/>
      <c r="S168" s="10"/>
      <c r="T168" s="10"/>
      <c r="U168" s="10"/>
      <c r="V168" s="10"/>
      <c r="W168" s="10"/>
    </row>
    <row r="169" spans="1:23">
      <c r="A169" s="10"/>
      <c r="B169" s="10"/>
      <c r="C169" s="10"/>
      <c r="D169" s="10"/>
      <c r="E169" s="10"/>
      <c r="F169" s="10"/>
      <c r="G169" s="10"/>
      <c r="H169" s="10"/>
      <c r="I169" s="10"/>
      <c r="J169" s="10"/>
      <c r="K169" s="10"/>
      <c r="L169" s="10"/>
      <c r="M169" s="10"/>
      <c r="N169" s="10"/>
      <c r="O169" s="10"/>
      <c r="P169" s="10"/>
      <c r="Q169" s="10"/>
      <c r="R169" s="10"/>
      <c r="S169" s="10"/>
      <c r="T169" s="10"/>
      <c r="U169" s="10"/>
      <c r="V169" s="10"/>
      <c r="W169" s="10"/>
    </row>
    <row r="170" spans="1:23">
      <c r="A170" s="10"/>
      <c r="B170" s="10"/>
      <c r="C170" s="10"/>
      <c r="D170" s="10"/>
      <c r="E170" s="10"/>
      <c r="F170" s="10"/>
      <c r="G170" s="10"/>
      <c r="H170" s="10"/>
      <c r="I170" s="10"/>
      <c r="J170" s="10"/>
      <c r="K170" s="10"/>
      <c r="L170" s="10"/>
      <c r="M170" s="10"/>
      <c r="N170" s="10"/>
      <c r="O170" s="10"/>
      <c r="P170" s="10"/>
      <c r="Q170" s="10"/>
      <c r="R170" s="10"/>
      <c r="S170" s="10"/>
      <c r="T170" s="10"/>
      <c r="U170" s="10"/>
      <c r="V170" s="10"/>
      <c r="W170" s="10"/>
    </row>
    <row r="171" spans="1:23">
      <c r="A171" s="10"/>
      <c r="B171" s="10"/>
      <c r="C171" s="10"/>
      <c r="D171" s="10"/>
      <c r="E171" s="10"/>
      <c r="F171" s="10"/>
      <c r="G171" s="10"/>
      <c r="H171" s="10"/>
      <c r="I171" s="10"/>
      <c r="J171" s="10"/>
      <c r="K171" s="10"/>
      <c r="L171" s="10"/>
      <c r="M171" s="10"/>
      <c r="N171" s="10"/>
      <c r="O171" s="10"/>
      <c r="P171" s="10"/>
      <c r="Q171" s="10"/>
      <c r="R171" s="10"/>
      <c r="S171" s="10"/>
      <c r="T171" s="10"/>
      <c r="U171" s="10"/>
      <c r="V171" s="10"/>
      <c r="W171" s="10"/>
    </row>
    <row r="172" spans="1:23">
      <c r="A172" s="10"/>
      <c r="B172" s="10"/>
      <c r="C172" s="10"/>
      <c r="D172" s="10"/>
      <c r="E172" s="10"/>
      <c r="F172" s="10"/>
      <c r="G172" s="10"/>
      <c r="H172" s="10"/>
      <c r="I172" s="10"/>
      <c r="J172" s="10"/>
      <c r="K172" s="10"/>
      <c r="L172" s="10"/>
      <c r="M172" s="10"/>
      <c r="N172" s="10"/>
      <c r="O172" s="10"/>
      <c r="P172" s="10"/>
      <c r="Q172" s="10"/>
      <c r="R172" s="10"/>
      <c r="S172" s="10"/>
      <c r="T172" s="10"/>
      <c r="U172" s="10"/>
      <c r="V172" s="10"/>
      <c r="W172" s="10"/>
    </row>
    <row r="173" spans="1:23">
      <c r="A173" s="10"/>
      <c r="B173" s="10"/>
      <c r="C173" s="10"/>
      <c r="D173" s="10"/>
      <c r="E173" s="10"/>
      <c r="F173" s="10"/>
      <c r="G173" s="10"/>
      <c r="H173" s="10"/>
      <c r="I173" s="10"/>
      <c r="J173" s="10"/>
      <c r="K173" s="10"/>
      <c r="L173" s="10"/>
      <c r="M173" s="10"/>
      <c r="N173" s="10"/>
      <c r="O173" s="10"/>
      <c r="P173" s="10"/>
      <c r="Q173" s="10"/>
      <c r="R173" s="10"/>
      <c r="S173" s="10"/>
      <c r="T173" s="10"/>
      <c r="U173" s="10"/>
      <c r="V173" s="10"/>
      <c r="W173" s="10"/>
    </row>
    <row r="174" spans="1:23">
      <c r="A174" s="10"/>
      <c r="B174" s="10"/>
      <c r="C174" s="10"/>
      <c r="D174" s="10"/>
      <c r="E174" s="10"/>
      <c r="F174" s="10"/>
      <c r="G174" s="10"/>
      <c r="H174" s="10"/>
      <c r="I174" s="10"/>
      <c r="J174" s="10"/>
      <c r="K174" s="10"/>
      <c r="L174" s="10"/>
      <c r="M174" s="10"/>
      <c r="N174" s="10"/>
      <c r="O174" s="10"/>
      <c r="P174" s="10"/>
      <c r="Q174" s="10"/>
      <c r="R174" s="10"/>
      <c r="S174" s="10"/>
      <c r="T174" s="10"/>
      <c r="U174" s="10"/>
      <c r="V174" s="10"/>
      <c r="W174" s="10"/>
    </row>
    <row r="175" spans="1:23">
      <c r="A175" s="10"/>
      <c r="B175" s="10"/>
      <c r="C175" s="10"/>
      <c r="D175" s="10"/>
      <c r="E175" s="10"/>
      <c r="F175" s="10"/>
      <c r="G175" s="10"/>
      <c r="H175" s="10"/>
      <c r="I175" s="10"/>
      <c r="J175" s="10"/>
      <c r="K175" s="10"/>
      <c r="L175" s="10"/>
      <c r="M175" s="10"/>
      <c r="N175" s="10"/>
      <c r="O175" s="10"/>
      <c r="P175" s="10"/>
      <c r="Q175" s="10"/>
      <c r="R175" s="10"/>
      <c r="S175" s="10"/>
      <c r="T175" s="10"/>
      <c r="U175" s="10"/>
      <c r="V175" s="10"/>
      <c r="W175" s="10"/>
    </row>
    <row r="176" spans="1:23">
      <c r="A176" s="10"/>
      <c r="B176" s="10"/>
      <c r="C176" s="10"/>
      <c r="D176" s="10"/>
      <c r="E176" s="10"/>
      <c r="F176" s="10"/>
      <c r="G176" s="10"/>
      <c r="H176" s="10"/>
      <c r="I176" s="10"/>
      <c r="J176" s="10"/>
      <c r="K176" s="10"/>
      <c r="L176" s="10"/>
      <c r="M176" s="10"/>
      <c r="N176" s="10"/>
      <c r="O176" s="10"/>
      <c r="P176" s="10"/>
      <c r="Q176" s="10"/>
      <c r="R176" s="10"/>
      <c r="S176" s="10"/>
      <c r="T176" s="10"/>
      <c r="U176" s="10"/>
      <c r="V176" s="10"/>
      <c r="W176" s="10"/>
    </row>
    <row r="177" spans="1:23">
      <c r="A177" s="10"/>
      <c r="B177" s="10"/>
      <c r="C177" s="10"/>
      <c r="D177" s="10"/>
      <c r="E177" s="10"/>
      <c r="F177" s="10"/>
      <c r="G177" s="10"/>
      <c r="H177" s="10"/>
      <c r="I177" s="10"/>
      <c r="J177" s="10"/>
      <c r="K177" s="10"/>
      <c r="L177" s="10"/>
      <c r="M177" s="10"/>
      <c r="N177" s="10"/>
      <c r="O177" s="10"/>
      <c r="P177" s="10"/>
      <c r="Q177" s="10"/>
      <c r="R177" s="10"/>
      <c r="S177" s="10"/>
      <c r="T177" s="10"/>
      <c r="U177" s="10"/>
      <c r="V177" s="10"/>
      <c r="W177" s="10"/>
    </row>
    <row r="178" spans="1:23">
      <c r="A178" s="10"/>
      <c r="B178" s="10"/>
      <c r="C178" s="10"/>
      <c r="D178" s="10"/>
      <c r="E178" s="10"/>
      <c r="F178" s="10"/>
      <c r="G178" s="10"/>
      <c r="H178" s="10"/>
      <c r="I178" s="10"/>
      <c r="J178" s="10"/>
      <c r="K178" s="10"/>
      <c r="L178" s="10"/>
      <c r="M178" s="10"/>
      <c r="N178" s="10"/>
      <c r="O178" s="10"/>
      <c r="P178" s="10"/>
      <c r="Q178" s="10"/>
      <c r="R178" s="10"/>
      <c r="S178" s="10"/>
      <c r="T178" s="10"/>
      <c r="U178" s="10"/>
      <c r="V178" s="10"/>
      <c r="W178" s="10"/>
    </row>
    <row r="179" spans="1:23">
      <c r="A179" s="10"/>
      <c r="B179" s="10"/>
      <c r="C179" s="10"/>
      <c r="D179" s="10"/>
      <c r="E179" s="10"/>
      <c r="F179" s="10"/>
      <c r="G179" s="10"/>
      <c r="H179" s="10"/>
      <c r="I179" s="10"/>
      <c r="J179" s="10"/>
      <c r="K179" s="10"/>
      <c r="L179" s="10"/>
      <c r="M179" s="10"/>
      <c r="N179" s="10"/>
      <c r="O179" s="10"/>
      <c r="P179" s="10"/>
      <c r="Q179" s="10"/>
      <c r="R179" s="10"/>
      <c r="S179" s="10"/>
      <c r="T179" s="10"/>
      <c r="U179" s="10"/>
      <c r="V179" s="10"/>
      <c r="W179" s="10"/>
    </row>
    <row r="180" spans="1:23">
      <c r="A180" s="10"/>
      <c r="B180" s="10"/>
      <c r="C180" s="10"/>
      <c r="D180" s="10"/>
      <c r="E180" s="10"/>
      <c r="F180" s="10"/>
      <c r="G180" s="10"/>
      <c r="H180" s="10"/>
      <c r="I180" s="10"/>
      <c r="J180" s="10"/>
      <c r="K180" s="10"/>
      <c r="L180" s="10"/>
      <c r="M180" s="10"/>
      <c r="N180" s="10"/>
      <c r="O180" s="10"/>
      <c r="P180" s="10"/>
      <c r="Q180" s="10"/>
      <c r="R180" s="10"/>
      <c r="S180" s="10"/>
      <c r="T180" s="10"/>
      <c r="U180" s="10"/>
      <c r="V180" s="10"/>
      <c r="W180" s="10"/>
    </row>
    <row r="181" spans="1:23">
      <c r="A181" s="10"/>
      <c r="B181" s="10"/>
      <c r="C181" s="10"/>
      <c r="D181" s="10"/>
      <c r="E181" s="10"/>
      <c r="F181" s="10"/>
      <c r="G181" s="10"/>
      <c r="H181" s="10"/>
      <c r="I181" s="10"/>
      <c r="J181" s="10"/>
      <c r="K181" s="10"/>
      <c r="L181" s="10"/>
      <c r="M181" s="10"/>
      <c r="N181" s="10"/>
      <c r="O181" s="10"/>
      <c r="P181" s="10"/>
      <c r="Q181" s="10"/>
      <c r="R181" s="10"/>
      <c r="S181" s="10"/>
      <c r="T181" s="10"/>
      <c r="U181" s="10"/>
      <c r="V181" s="10"/>
      <c r="W181" s="10"/>
    </row>
    <row r="182" spans="1:23">
      <c r="A182" s="10"/>
      <c r="B182" s="10"/>
      <c r="C182" s="10"/>
      <c r="D182" s="10"/>
      <c r="E182" s="10"/>
      <c r="F182" s="10"/>
      <c r="G182" s="10"/>
      <c r="H182" s="10"/>
      <c r="I182" s="10"/>
      <c r="J182" s="10"/>
      <c r="K182" s="10"/>
      <c r="L182" s="10"/>
      <c r="M182" s="10"/>
      <c r="N182" s="10"/>
      <c r="O182" s="10"/>
      <c r="P182" s="10"/>
      <c r="Q182" s="10"/>
      <c r="R182" s="10"/>
      <c r="S182" s="10"/>
      <c r="T182" s="10"/>
      <c r="U182" s="10"/>
      <c r="V182" s="10"/>
      <c r="W182" s="10"/>
    </row>
    <row r="183" spans="1:23">
      <c r="A183" s="10"/>
      <c r="B183" s="10"/>
      <c r="C183" s="10"/>
      <c r="D183" s="10"/>
      <c r="E183" s="10"/>
      <c r="F183" s="10"/>
      <c r="G183" s="10"/>
      <c r="H183" s="10"/>
      <c r="I183" s="10"/>
      <c r="J183" s="10"/>
      <c r="K183" s="10"/>
      <c r="L183" s="10"/>
      <c r="M183" s="10"/>
      <c r="N183" s="10"/>
      <c r="O183" s="10"/>
      <c r="P183" s="10"/>
      <c r="Q183" s="10"/>
      <c r="R183" s="10"/>
      <c r="S183" s="10"/>
      <c r="T183" s="10"/>
      <c r="U183" s="10"/>
      <c r="V183" s="10"/>
      <c r="W183" s="10"/>
    </row>
    <row r="184" spans="1:23">
      <c r="A184" s="10"/>
      <c r="B184" s="10"/>
      <c r="C184" s="10"/>
      <c r="D184" s="10"/>
      <c r="E184" s="10"/>
      <c r="F184" s="10"/>
      <c r="G184" s="10"/>
      <c r="H184" s="10"/>
      <c r="I184" s="10"/>
      <c r="J184" s="10"/>
      <c r="K184" s="10"/>
      <c r="L184" s="10"/>
      <c r="M184" s="10"/>
      <c r="N184" s="10"/>
      <c r="O184" s="10"/>
      <c r="P184" s="10"/>
      <c r="Q184" s="10"/>
      <c r="R184" s="10"/>
      <c r="S184" s="10"/>
      <c r="T184" s="10"/>
      <c r="U184" s="10"/>
      <c r="V184" s="10"/>
      <c r="W184" s="10"/>
    </row>
    <row r="185" spans="1:23">
      <c r="A185" s="8"/>
      <c r="B185" s="8"/>
      <c r="C185" s="8"/>
      <c r="D185" s="8"/>
      <c r="E185" s="8"/>
      <c r="F185" s="8"/>
      <c r="G185" s="8"/>
      <c r="H185" s="8"/>
      <c r="I185" s="8"/>
      <c r="J185" s="8"/>
      <c r="K185" s="8"/>
      <c r="L185" s="8"/>
      <c r="M185" s="8"/>
      <c r="N185" s="8"/>
      <c r="O185" s="8"/>
      <c r="P185" s="8"/>
      <c r="Q185" s="8"/>
      <c r="R185" s="8"/>
      <c r="S185" s="8"/>
      <c r="T185" s="8"/>
      <c r="U185" s="8"/>
      <c r="V185" s="8"/>
      <c r="W185" s="8"/>
    </row>
    <row r="186" spans="1:23">
      <c r="A186" s="8"/>
      <c r="B186" s="8"/>
      <c r="C186" s="8"/>
      <c r="D186" s="8"/>
      <c r="E186" s="8"/>
      <c r="F186" s="8"/>
      <c r="G186" s="8"/>
      <c r="H186" s="8"/>
      <c r="I186" s="8"/>
      <c r="J186" s="8"/>
      <c r="K186" s="8"/>
      <c r="L186" s="8"/>
      <c r="M186" s="8"/>
      <c r="N186" s="8"/>
      <c r="O186" s="8"/>
      <c r="P186" s="8"/>
      <c r="Q186" s="8"/>
      <c r="R186" s="8"/>
      <c r="S186" s="8"/>
      <c r="T186" s="8"/>
      <c r="U186" s="8"/>
      <c r="V186" s="8"/>
      <c r="W186" s="8"/>
    </row>
    <row r="187" spans="1:23">
      <c r="A187" s="8"/>
      <c r="B187" s="8"/>
      <c r="C187" s="8"/>
      <c r="D187" s="8"/>
      <c r="E187" s="8"/>
      <c r="F187" s="8"/>
      <c r="G187" s="8"/>
      <c r="H187" s="8"/>
      <c r="I187" s="8"/>
      <c r="J187" s="8"/>
      <c r="K187" s="8"/>
      <c r="L187" s="8"/>
      <c r="M187" s="8"/>
      <c r="N187" s="8"/>
      <c r="O187" s="8"/>
      <c r="P187" s="8"/>
      <c r="Q187" s="8"/>
      <c r="R187" s="8"/>
      <c r="S187" s="8"/>
      <c r="T187" s="8"/>
      <c r="U187" s="8"/>
      <c r="V187" s="8"/>
      <c r="W187" s="8"/>
    </row>
    <row r="188" spans="1:23">
      <c r="A188" s="8"/>
      <c r="B188" s="8"/>
      <c r="C188" s="8"/>
      <c r="D188" s="8"/>
      <c r="E188" s="8"/>
      <c r="F188" s="8"/>
      <c r="G188" s="8"/>
      <c r="H188" s="8"/>
      <c r="I188" s="8"/>
      <c r="J188" s="8"/>
      <c r="K188" s="8"/>
      <c r="L188" s="8"/>
      <c r="M188" s="8"/>
      <c r="N188" s="8"/>
      <c r="O188" s="8"/>
      <c r="P188" s="8"/>
      <c r="Q188" s="8"/>
      <c r="R188" s="8"/>
      <c r="S188" s="8"/>
      <c r="T188" s="8"/>
      <c r="U188" s="8"/>
      <c r="V188" s="8"/>
      <c r="W188" s="8"/>
    </row>
    <row r="189" spans="1:23">
      <c r="A189" s="8"/>
      <c r="B189" s="8"/>
      <c r="C189" s="8"/>
      <c r="D189" s="8"/>
      <c r="E189" s="8"/>
      <c r="F189" s="8"/>
      <c r="G189" s="8"/>
      <c r="H189" s="8"/>
      <c r="I189" s="8"/>
      <c r="J189" s="8"/>
      <c r="K189" s="8"/>
      <c r="L189" s="8"/>
      <c r="M189" s="8"/>
      <c r="N189" s="8"/>
      <c r="O189" s="8"/>
      <c r="P189" s="8"/>
      <c r="Q189" s="8"/>
      <c r="R189" s="8"/>
      <c r="S189" s="8"/>
      <c r="T189" s="8"/>
      <c r="U189" s="8"/>
      <c r="V189" s="8"/>
      <c r="W189" s="8"/>
    </row>
    <row r="190" spans="1:23">
      <c r="A190" s="8"/>
      <c r="B190" s="8"/>
      <c r="C190" s="8"/>
      <c r="D190" s="8"/>
      <c r="E190" s="8"/>
      <c r="F190" s="8"/>
      <c r="G190" s="8"/>
      <c r="H190" s="8"/>
      <c r="I190" s="8"/>
      <c r="J190" s="8"/>
      <c r="K190" s="8"/>
      <c r="L190" s="8"/>
      <c r="M190" s="8"/>
      <c r="N190" s="8"/>
      <c r="O190" s="8"/>
      <c r="P190" s="8"/>
      <c r="Q190" s="8"/>
      <c r="R190" s="8"/>
      <c r="S190" s="8"/>
      <c r="T190" s="8"/>
      <c r="U190" s="8"/>
      <c r="V190" s="8"/>
      <c r="W190" s="8"/>
    </row>
    <row r="191" spans="1:23">
      <c r="A191" s="8"/>
      <c r="B191" s="8"/>
      <c r="C191" s="8"/>
      <c r="D191" s="8"/>
      <c r="E191" s="8"/>
      <c r="F191" s="8"/>
      <c r="G191" s="8"/>
      <c r="H191" s="8"/>
      <c r="I191" s="8"/>
      <c r="J191" s="8"/>
      <c r="K191" s="8"/>
      <c r="L191" s="8"/>
      <c r="M191" s="8"/>
      <c r="N191" s="8"/>
      <c r="O191" s="8"/>
      <c r="P191" s="8"/>
      <c r="Q191" s="8"/>
      <c r="R191" s="8"/>
      <c r="S191" s="8"/>
      <c r="T191" s="8"/>
      <c r="U191" s="8"/>
      <c r="V191" s="8"/>
      <c r="W191" s="8"/>
    </row>
    <row r="192" spans="1:23">
      <c r="A192" s="8"/>
      <c r="B192" s="8"/>
      <c r="C192" s="8"/>
      <c r="D192" s="8"/>
      <c r="E192" s="8"/>
      <c r="F192" s="8"/>
      <c r="G192" s="8"/>
      <c r="H192" s="8"/>
      <c r="I192" s="8"/>
      <c r="J192" s="8"/>
      <c r="K192" s="8"/>
      <c r="L192" s="8"/>
      <c r="M192" s="8"/>
      <c r="N192" s="8"/>
      <c r="O192" s="8"/>
      <c r="P192" s="8"/>
      <c r="Q192" s="8"/>
      <c r="R192" s="8"/>
      <c r="S192" s="8"/>
      <c r="T192" s="8"/>
      <c r="U192" s="8"/>
      <c r="V192" s="8"/>
      <c r="W192" s="8"/>
    </row>
    <row r="193" spans="1:23">
      <c r="A193" s="8"/>
      <c r="B193" s="8"/>
      <c r="C193" s="8"/>
      <c r="D193" s="8"/>
      <c r="E193" s="8"/>
      <c r="F193" s="8"/>
      <c r="G193" s="8"/>
      <c r="H193" s="8"/>
      <c r="I193" s="8"/>
      <c r="J193" s="8"/>
      <c r="K193" s="8"/>
      <c r="L193" s="8"/>
      <c r="M193" s="8"/>
      <c r="N193" s="8"/>
      <c r="O193" s="8"/>
      <c r="P193" s="8"/>
      <c r="Q193" s="8"/>
      <c r="R193" s="8"/>
      <c r="S193" s="8"/>
      <c r="T193" s="8"/>
      <c r="U193" s="8"/>
      <c r="V193" s="8"/>
      <c r="W193" s="8"/>
    </row>
    <row r="194" spans="1:23">
      <c r="A194" s="8"/>
      <c r="B194" s="8"/>
      <c r="C194" s="8"/>
      <c r="D194" s="8"/>
      <c r="E194" s="8"/>
      <c r="F194" s="8"/>
      <c r="G194" s="8"/>
      <c r="H194" s="8"/>
      <c r="I194" s="8"/>
      <c r="J194" s="8"/>
      <c r="K194" s="8"/>
      <c r="L194" s="8"/>
      <c r="M194" s="8"/>
      <c r="N194" s="8"/>
      <c r="O194" s="8"/>
      <c r="P194" s="8"/>
      <c r="Q194" s="8"/>
      <c r="R194" s="8"/>
      <c r="S194" s="8"/>
      <c r="T194" s="8"/>
      <c r="U194" s="8"/>
      <c r="V194" s="8"/>
      <c r="W194" s="8"/>
    </row>
    <row r="195" spans="1:23">
      <c r="A195" s="8"/>
      <c r="B195" s="8"/>
      <c r="C195" s="8"/>
      <c r="D195" s="8"/>
      <c r="E195" s="8"/>
      <c r="F195" s="8"/>
      <c r="G195" s="8"/>
      <c r="H195" s="8"/>
      <c r="I195" s="8"/>
      <c r="J195" s="8"/>
      <c r="K195" s="8"/>
      <c r="L195" s="8"/>
      <c r="M195" s="8"/>
      <c r="N195" s="8"/>
      <c r="O195" s="8"/>
      <c r="P195" s="8"/>
      <c r="Q195" s="8"/>
      <c r="R195" s="8"/>
      <c r="S195" s="8"/>
      <c r="T195" s="8"/>
      <c r="U195" s="8"/>
      <c r="V195" s="8"/>
      <c r="W195" s="8"/>
    </row>
    <row r="196" spans="1:23">
      <c r="A196" s="8"/>
      <c r="B196" s="8"/>
      <c r="C196" s="8"/>
      <c r="D196" s="8"/>
      <c r="E196" s="8"/>
      <c r="F196" s="8"/>
      <c r="G196" s="8"/>
      <c r="H196" s="8"/>
      <c r="I196" s="8"/>
      <c r="J196" s="8"/>
      <c r="K196" s="8"/>
      <c r="L196" s="8"/>
      <c r="M196" s="8"/>
      <c r="N196" s="8"/>
      <c r="O196" s="8"/>
      <c r="P196" s="8"/>
      <c r="Q196" s="8"/>
      <c r="R196" s="8"/>
      <c r="S196" s="8"/>
      <c r="T196" s="8"/>
      <c r="U196" s="8"/>
      <c r="V196" s="8"/>
      <c r="W196" s="8"/>
    </row>
    <row r="197" spans="1:23">
      <c r="A197" s="8"/>
      <c r="B197" s="8"/>
      <c r="C197" s="8"/>
      <c r="D197" s="8"/>
      <c r="E197" s="8"/>
      <c r="F197" s="8"/>
      <c r="G197" s="8"/>
      <c r="H197" s="8"/>
      <c r="I197" s="8"/>
      <c r="J197" s="8"/>
      <c r="K197" s="8"/>
      <c r="L197" s="8"/>
      <c r="M197" s="8"/>
      <c r="N197" s="8"/>
      <c r="O197" s="8"/>
      <c r="P197" s="8"/>
      <c r="Q197" s="8"/>
      <c r="R197" s="8"/>
      <c r="S197" s="8"/>
      <c r="T197" s="8"/>
      <c r="U197" s="8"/>
      <c r="V197" s="8"/>
      <c r="W197" s="8"/>
    </row>
    <row r="198" spans="1:23">
      <c r="A198" s="8"/>
      <c r="B198" s="8"/>
      <c r="C198" s="8"/>
      <c r="D198" s="8"/>
      <c r="E198" s="8"/>
      <c r="F198" s="8"/>
      <c r="G198" s="8"/>
      <c r="H198" s="8"/>
      <c r="I198" s="8"/>
      <c r="J198" s="8"/>
      <c r="K198" s="8"/>
      <c r="L198" s="8"/>
      <c r="M198" s="8"/>
      <c r="N198" s="8"/>
      <c r="O198" s="8"/>
      <c r="P198" s="8"/>
      <c r="Q198" s="8"/>
      <c r="R198" s="8"/>
      <c r="S198" s="8"/>
      <c r="T198" s="8"/>
      <c r="U198" s="8"/>
      <c r="V198" s="8"/>
      <c r="W198" s="8"/>
    </row>
    <row r="199" spans="1:23">
      <c r="A199" s="8"/>
      <c r="B199" s="8"/>
      <c r="C199" s="8"/>
      <c r="D199" s="8"/>
      <c r="E199" s="8"/>
      <c r="F199" s="8"/>
      <c r="G199" s="8"/>
      <c r="H199" s="8"/>
      <c r="I199" s="8"/>
      <c r="J199" s="8"/>
      <c r="K199" s="8"/>
      <c r="L199" s="8"/>
      <c r="M199" s="8"/>
      <c r="N199" s="8"/>
      <c r="O199" s="8"/>
      <c r="P199" s="8"/>
      <c r="Q199" s="8"/>
      <c r="R199" s="8"/>
      <c r="S199" s="8"/>
      <c r="T199" s="8"/>
      <c r="U199" s="8"/>
      <c r="V199" s="8"/>
      <c r="W199" s="8"/>
    </row>
    <row r="200" spans="1:23">
      <c r="A200" s="8"/>
      <c r="B200" s="8"/>
      <c r="C200" s="8"/>
      <c r="D200" s="8"/>
      <c r="E200" s="8"/>
      <c r="F200" s="8"/>
      <c r="G200" s="8"/>
      <c r="H200" s="8"/>
      <c r="I200" s="8"/>
      <c r="J200" s="8"/>
      <c r="K200" s="8"/>
      <c r="L200" s="8"/>
      <c r="M200" s="8"/>
      <c r="N200" s="8"/>
      <c r="O200" s="8"/>
      <c r="P200" s="8"/>
      <c r="Q200" s="8"/>
      <c r="R200" s="8"/>
      <c r="S200" s="8"/>
      <c r="T200" s="8"/>
      <c r="U200" s="8"/>
      <c r="V200" s="8"/>
      <c r="W200"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risk_score</vt:lpstr>
      <vt:lpstr>Sheet2</vt:lpstr>
      <vt:lpstr>Sheet3</vt:lpstr>
      <vt:lpstr>Sheet4</vt:lpstr>
      <vt:lpstr>Sheet5</vt:lpstr>
      <vt:lpstr>Sheet7</vt:lpstr>
      <vt:lpstr>Sheet8</vt:lpstr>
      <vt:lpstr>Sheet9</vt:lpstr>
      <vt:lpstr>Sheet11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Sarang Patil</dc:creator>
  <cp:lastModifiedBy>Sarang Patil</cp:lastModifiedBy>
  <dcterms:created xsi:type="dcterms:W3CDTF">2026-03-21T12:43:37Z</dcterms:created>
  <dcterms:modified xsi:type="dcterms:W3CDTF">2026-03-24T10:15:12Z</dcterms:modified>
</cp:coreProperties>
</file>